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Material Search" sheetId="2" state="visible" r:id="rId4"/>
    <sheet name="Product View" sheetId="3" state="visible" r:id="rId5"/>
    <sheet name="Materials" sheetId="4" state="visible" r:id="rId6"/>
    <sheet name="Products" sheetId="5" state="visible" r:id="rId7"/>
    <sheet name="Formulas" sheetId="6" state="visible" r:id="rId8"/>
    <sheet name="Matrix" sheetId="7" state="visible" r:id="rId9"/>
    <sheet name="Similarity" sheetId="8" state="visible" r:id="rId10"/>
    <sheet name="Lists" sheetId="9" state="visible" r:id="rId11"/>
  </sheets>
  <definedNames>
    <definedName function="false" hidden="true" localSheetId="5" name="_xlnm._FilterDatabase" vbProcedure="false">Formulas!$A$1:$D$1501</definedName>
    <definedName function="false" hidden="true" localSheetId="3" name="_xlnm._FilterDatabase" vbProcedure="false">Materials!$A$1:$G$201</definedName>
    <definedName function="false" hidden="true" localSheetId="4" name="_xlnm._FilterDatabase" vbProcedure="false">Products!$A$1:$G$61</definedName>
    <definedName function="false" hidden="false" name="CategoryList" vbProcedure="false">OFFSET(Lists!$A$2,0,0,MAX(1,COUNTA(Lists!$A$2:$A$60)),1)</definedName>
    <definedName function="false" hidden="false" name="MaterialList" vbProcedure="false">OFFSET(Materials!$A$2,0,0,MAX(1,COUNTA(Materials!$A$2:$A$201)),1)</definedName>
    <definedName function="false" hidden="false" name="ProductList" vbProcedure="false">OFFSET(Products!$A$2,0,0,MAX(1,COUNTA(Products!$A$2:$A$61)),1)</definedName>
    <definedName function="false" hidden="false" name="StageList" vbProcedure="false">OFFSET(Lists!$C$2,0,0,MAX(1,COUNTA(Lists!$C$2:$C$60)),1)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<sst xmlns="http://schemas.openxmlformats.org/spreadsheetml/2006/main" count="563" uniqueCount="146">
  <si>
    <t xml:space="preserve">Product-Material Database</t>
  </si>
  <si>
    <t xml:space="preserve">How it works</t>
  </si>
  <si>
    <t xml:space="preserve">Formulas</t>
  </si>
  <si>
    <t xml:space="preserve">The ONLY place where data is entered about what goes in which product: one line per product / material. Blue = you type, grey = automatic.</t>
  </si>
  <si>
    <t xml:space="preserve">Products</t>
  </si>
  <si>
    <t xml:space="preserve">Master list of products. Add a new product in the next empty row (no blank rows in between).</t>
  </si>
  <si>
    <t xml:space="preserve">Materials</t>
  </si>
  <si>
    <t xml:space="preserve">Master list of materials with Category. Add a new material in the next empty row. One name per material, so synonyms are not counted as different materials (use Aliases / Notes for other spellings).</t>
  </si>
  <si>
    <t xml:space="preserve">Reports</t>
  </si>
  <si>
    <t xml:space="preserve">Material Search</t>
  </si>
  <si>
    <t xml:space="preserve">Pick a material in the yellow cell: lists all products that contain it, their active ingredient(s) and the stage(s) of use.</t>
  </si>
  <si>
    <t xml:space="preserve">Product View</t>
  </si>
  <si>
    <t xml:space="preserve">Pick a product: shows its complete formula and how many other products share each material.</t>
  </si>
  <si>
    <t xml:space="preserve">Materials (columns D-G)</t>
  </si>
  <si>
    <t xml:space="preserve">Per material: number of products, formula lines, % of products, status (In all products / Shared / Unique to 1 product / Not used). Filter or sort as needed.</t>
  </si>
  <si>
    <t xml:space="preserve">Matrix</t>
  </si>
  <si>
    <t xml:space="preserve">Material x Product grid, green = used.</t>
  </si>
  <si>
    <t xml:space="preserve">Similarity</t>
  </si>
  <si>
    <t xml:space="preserve">Shared-material count between every pair of products.</t>
  </si>
  <si>
    <t xml:space="preserve">Adding data</t>
  </si>
  <si>
    <t xml:space="preserve">New product</t>
  </si>
  <si>
    <t xml:space="preserve">1) Add its name in Products.  2) In Formulas add one line per material (pick Product and Material from the dropdowns).</t>
  </si>
  <si>
    <t xml:space="preserve">New material</t>
  </si>
  <si>
    <t xml:space="preserve">Add it in Materials first (with Category), then pick it in Formulas.</t>
  </si>
  <si>
    <t xml:space="preserve">Same material twice in a product</t>
  </si>
  <si>
    <t xml:space="preserve">Allowed (e.g. Croscarmellose Sodium intra- and extra-granular): use "Stage / Note" to tell them apart. It is counted once as a product.</t>
  </si>
  <si>
    <t xml:space="preserve">Check column</t>
  </si>
  <si>
    <t xml:space="preserve">Formulas column G shows "OK" or what is wrong (e.g. name not in master list). Red = fix it.</t>
  </si>
  <si>
    <t xml:space="preserve">Capacity</t>
  </si>
  <si>
    <t xml:space="preserve">60 products, 200 materials, 1500 formula lines. Do not leave blank rows inside the Products / Materials lists.</t>
  </si>
  <si>
    <t xml:space="preserve">Open points</t>
  </si>
  <si>
    <t xml:space="preserve">Alcohol vs Ethanol 96%, and Water vs Purified Water are kept as separate materials as in the source. Merge them in Materials / Formulas if they are the same. Categories were assigned by me, please review.</t>
  </si>
  <si>
    <t xml:space="preserve">Material Search: which products contain a material?</t>
  </si>
  <si>
    <t xml:space="preserve">Select material</t>
  </si>
  <si>
    <t xml:space="preserve">Croscarmellose Sodium</t>
  </si>
  <si>
    <t xml:space="preserve">Category</t>
  </si>
  <si>
    <t xml:space="preserve">Products using it</t>
  </si>
  <si>
    <t xml:space="preserve">% of all products</t>
  </si>
  <si>
    <t xml:space="preserve">#</t>
  </si>
  <si>
    <t xml:space="preserve">Product</t>
  </si>
  <si>
    <t xml:space="preserve">Active ingredient(s)</t>
  </si>
  <si>
    <t xml:space="preserve">Lines</t>
  </si>
  <si>
    <t xml:space="preserve">Stage / Note</t>
  </si>
  <si>
    <t xml:space="preserve">Product (helper)</t>
  </si>
  <si>
    <t xml:space="preserve">Match index (helper)</t>
  </si>
  <si>
    <t xml:space="preserve">Product View: formula (bill of materials) of one product</t>
  </si>
  <si>
    <t xml:space="preserve">Select product</t>
  </si>
  <si>
    <t xml:space="preserve">Product 1</t>
  </si>
  <si>
    <t xml:space="preserve">Formula lines</t>
  </si>
  <si>
    <t xml:space="preserve">Material</t>
  </si>
  <si>
    <t xml:space="preserve">Qty</t>
  </si>
  <si>
    <t xml:space="preserve">Also used in (other products)</t>
  </si>
  <si>
    <t xml:space="preserve">Aliases / Notes</t>
  </si>
  <si>
    <t xml:space="preserve"># Products (auto)</t>
  </si>
  <si>
    <t xml:space="preserve"># Formula lines (auto)</t>
  </si>
  <si>
    <t xml:space="preserve">% of products (auto)</t>
  </si>
  <si>
    <t xml:space="preserve">Status (auto)</t>
  </si>
  <si>
    <t xml:space="preserve">Ezetimibe</t>
  </si>
  <si>
    <t xml:space="preserve">Active</t>
  </si>
  <si>
    <t xml:space="preserve">Disintegrant</t>
  </si>
  <si>
    <t xml:space="preserve">Sodium Lauryl Sulfate</t>
  </si>
  <si>
    <t xml:space="preserve">Surfactant</t>
  </si>
  <si>
    <t xml:space="preserve">Mannitol</t>
  </si>
  <si>
    <t xml:space="preserve">Filler / Diluent</t>
  </si>
  <si>
    <t xml:space="preserve">PVP K30</t>
  </si>
  <si>
    <t xml:space="preserve">Binder</t>
  </si>
  <si>
    <t xml:space="preserve">Ethanol 96%</t>
  </si>
  <si>
    <t xml:space="preserve">Solvent</t>
  </si>
  <si>
    <t xml:space="preserve">Rosuvastatin Calcium</t>
  </si>
  <si>
    <t xml:space="preserve">Microcrystalline Cellulose PH 102</t>
  </si>
  <si>
    <t xml:space="preserve">Also written as MCC 102</t>
  </si>
  <si>
    <t xml:space="preserve">Colloidal Silicon Dioxide</t>
  </si>
  <si>
    <t xml:space="preserve">Glidant</t>
  </si>
  <si>
    <t xml:space="preserve">Sodium Stearyl Fumarate</t>
  </si>
  <si>
    <t xml:space="preserve">Lubricant</t>
  </si>
  <si>
    <t xml:space="preserve">Hydroxypropylmethyl Cellulose 6cps</t>
  </si>
  <si>
    <t xml:space="preserve">Binder / Coating Polymer</t>
  </si>
  <si>
    <t xml:space="preserve">Also written as HPMC 6cps</t>
  </si>
  <si>
    <t xml:space="preserve">Polyethylene Glycol 4000</t>
  </si>
  <si>
    <t xml:space="preserve">Plasticizer</t>
  </si>
  <si>
    <t xml:space="preserve">Also written as PEG 4000</t>
  </si>
  <si>
    <t xml:space="preserve">Titanium Dioxide</t>
  </si>
  <si>
    <t xml:space="preserve">Opacifier</t>
  </si>
  <si>
    <t xml:space="preserve">Talc</t>
  </si>
  <si>
    <t xml:space="preserve">Glidant / Anti-tacking</t>
  </si>
  <si>
    <t xml:space="preserve">Ferric Oxide Yellow</t>
  </si>
  <si>
    <t xml:space="preserve">Colorant</t>
  </si>
  <si>
    <t xml:space="preserve">Purified Water</t>
  </si>
  <si>
    <t xml:space="preserve">Citric Acid Anhydrous</t>
  </si>
  <si>
    <t xml:space="preserve">pH Modifier / Acidifier</t>
  </si>
  <si>
    <t xml:space="preserve">Resmetirom</t>
  </si>
  <si>
    <t xml:space="preserve">Magnesium Stearate</t>
  </si>
  <si>
    <t xml:space="preserve">Apple Green Lake</t>
  </si>
  <si>
    <t xml:space="preserve">Black Iron Oxide</t>
  </si>
  <si>
    <t xml:space="preserve">Finerenone</t>
  </si>
  <si>
    <t xml:space="preserve">Lactose Monohydrate</t>
  </si>
  <si>
    <t xml:space="preserve">Microcrystalline Cellulose PH 101</t>
  </si>
  <si>
    <t xml:space="preserve">Also written as MCC 101</t>
  </si>
  <si>
    <t xml:space="preserve">Alcohol</t>
  </si>
  <si>
    <t xml:space="preserve">Check: may be the same as Ethanol 96%</t>
  </si>
  <si>
    <t xml:space="preserve">Telmisartan</t>
  </si>
  <si>
    <t xml:space="preserve">Meglumine</t>
  </si>
  <si>
    <t xml:space="preserve">Alkalizer / Solubilizer</t>
  </si>
  <si>
    <t xml:space="preserve">Sodium Hydroxide</t>
  </si>
  <si>
    <t xml:space="preserve">Crospovidone</t>
  </si>
  <si>
    <t xml:space="preserve">Water</t>
  </si>
  <si>
    <t xml:space="preserve">Check: may be the same as Purified Water</t>
  </si>
  <si>
    <t xml:space="preserve">Notes (strength, dosage form...)</t>
  </si>
  <si>
    <t xml:space="preserve">Active 1 (auto)</t>
  </si>
  <si>
    <t xml:space="preserve">Active 2 (auto)</t>
  </si>
  <si>
    <t xml:space="preserve">Active(s) (auto)</t>
  </si>
  <si>
    <t xml:space="preserve"># Distinct materials (auto)</t>
  </si>
  <si>
    <t xml:space="preserve">Product 2</t>
  </si>
  <si>
    <t xml:space="preserve">Product 3</t>
  </si>
  <si>
    <t xml:space="preserve">Product 4</t>
  </si>
  <si>
    <t xml:space="preserve">Product 5</t>
  </si>
  <si>
    <t xml:space="preserve">Product 6</t>
  </si>
  <si>
    <t xml:space="preserve">Product 7</t>
  </si>
  <si>
    <t xml:space="preserve">Product 8</t>
  </si>
  <si>
    <t xml:space="preserve">Product 9</t>
  </si>
  <si>
    <t xml:space="preserve">Product 10</t>
  </si>
  <si>
    <t xml:space="preserve">Qty (optional)</t>
  </si>
  <si>
    <t xml:space="preserve">Category (auto)</t>
  </si>
  <si>
    <t xml:space="preserve">Check (auto)</t>
  </si>
  <si>
    <t xml:space="preserve">Active key (auto)</t>
  </si>
  <si>
    <t xml:space="preserve">Stages combined (auto)</t>
  </si>
  <si>
    <t xml:space="preserve">Line key (auto)</t>
  </si>
  <si>
    <t xml:space="preserve">First use (auto)</t>
  </si>
  <si>
    <t xml:space="preserve">Intra-granular</t>
  </si>
  <si>
    <t xml:space="preserve">Binder Solution</t>
  </si>
  <si>
    <t xml:space="preserve">Binder Solvent</t>
  </si>
  <si>
    <t xml:space="preserve">Extra-granular</t>
  </si>
  <si>
    <t xml:space="preserve">Dry Binder</t>
  </si>
  <si>
    <t xml:space="preserve">Coating Solvent</t>
  </si>
  <si>
    <t xml:space="preserve">Fine powder</t>
  </si>
  <si>
    <t xml:space="preserve">Mesh 200</t>
  </si>
  <si>
    <t xml:space="preserve">Material x Product matrix (number of formula lines; blank = not used)</t>
  </si>
  <si>
    <t xml:space="preserve">Distinct materials per product</t>
  </si>
  <si>
    <t xml:space="preserve"># Products</t>
  </si>
  <si>
    <t xml:space="preserve">Product similarity: number of distinct materials shared by two products</t>
  </si>
  <si>
    <t xml:space="preserve">Diagonal = total distinct materials in that product. Higher number = more similar formula.</t>
  </si>
  <si>
    <t xml:space="preserve">Idx</t>
  </si>
  <si>
    <t xml:space="preserve">Categories</t>
  </si>
  <si>
    <t xml:space="preserve">Stage / Note suggestions</t>
  </si>
  <si>
    <t xml:space="preserve">Add new categories / stages under the lists. The category "Active" must keep that exact spelling: it drives the Active ingredient columns.</t>
  </si>
  <si>
    <t xml:space="preserve">Other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</si>
</sst>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General"/>
    <numFmt numFmtId="167" formatCode="0;\-0;;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9"/>
      <color rgb="FF7F7F7F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8"/>
      <color rgb="FF7F7F7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7F7F7F"/>
        <bgColor rgb="FF59595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name val="Arial"/>
        <charset val="1"/>
        <family val="0"/>
        <b val="1"/>
        <color rgb="FFC00000"/>
        <sz val="10"/>
      </font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ont>
        <name val="Arial"/>
        <charset val="1"/>
        <family val="0"/>
        <b val="1"/>
        <color rgb="FFC00000"/>
        <sz val="9"/>
      </font>
    </dxf>
    <dxf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/>
    </row>
    <row r="4" customFormat="false" ht="23.8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4" t="s">
        <v>4</v>
      </c>
      <c r="B5" s="5" t="s">
        <v>5</v>
      </c>
    </row>
    <row r="6" customFormat="false" ht="23.85" hidden="false" customHeight="false" outlineLevel="0" collapsed="false">
      <c r="A6" s="4" t="s">
        <v>6</v>
      </c>
      <c r="B6" s="5" t="s">
        <v>7</v>
      </c>
    </row>
    <row r="7" customFormat="false" ht="15" hidden="false" customHeight="false" outlineLevel="0" collapsed="false">
      <c r="A7" s="4"/>
      <c r="B7" s="5"/>
    </row>
    <row r="8" customFormat="false" ht="15" hidden="false" customHeight="false" outlineLevel="0" collapsed="false">
      <c r="A8" s="2" t="s">
        <v>8</v>
      </c>
      <c r="B8" s="3"/>
    </row>
    <row r="9" customFormat="false" ht="15" hidden="false" customHeight="false" outlineLevel="0" collapsed="false">
      <c r="A9" s="4" t="s">
        <v>9</v>
      </c>
      <c r="B9" s="5" t="s">
        <v>10</v>
      </c>
    </row>
    <row r="10" customFormat="false" ht="15" hidden="false" customHeight="false" outlineLevel="0" collapsed="false">
      <c r="A10" s="4" t="s">
        <v>11</v>
      </c>
      <c r="B10" s="5" t="s">
        <v>12</v>
      </c>
    </row>
    <row r="11" customFormat="false" ht="23.85" hidden="false" customHeight="false" outlineLevel="0" collapsed="false">
      <c r="A11" s="4" t="s">
        <v>13</v>
      </c>
      <c r="B11" s="5" t="s">
        <v>14</v>
      </c>
    </row>
    <row r="12" customFormat="false" ht="15" hidden="false" customHeight="false" outlineLevel="0" collapsed="false">
      <c r="A12" s="4" t="s">
        <v>15</v>
      </c>
      <c r="B12" s="5" t="s">
        <v>16</v>
      </c>
    </row>
    <row r="13" customFormat="false" ht="15" hidden="false" customHeight="false" outlineLevel="0" collapsed="false">
      <c r="A13" s="4" t="s">
        <v>17</v>
      </c>
      <c r="B13" s="5" t="s">
        <v>18</v>
      </c>
    </row>
    <row r="14" customFormat="false" ht="15" hidden="false" customHeight="false" outlineLevel="0" collapsed="false">
      <c r="A14" s="4"/>
      <c r="B14" s="5"/>
    </row>
    <row r="15" customFormat="false" ht="15" hidden="false" customHeight="false" outlineLevel="0" collapsed="false">
      <c r="A15" s="2" t="s">
        <v>19</v>
      </c>
      <c r="B15" s="3"/>
    </row>
    <row r="16" customFormat="false" ht="15" hidden="false" customHeight="false" outlineLevel="0" collapsed="false">
      <c r="A16" s="4" t="s">
        <v>20</v>
      </c>
      <c r="B16" s="5" t="s">
        <v>21</v>
      </c>
    </row>
    <row r="17" customFormat="false" ht="15" hidden="false" customHeight="false" outlineLevel="0" collapsed="false">
      <c r="A17" s="4" t="s">
        <v>22</v>
      </c>
      <c r="B17" s="5" t="s">
        <v>23</v>
      </c>
    </row>
    <row r="18" customFormat="false" ht="15" hidden="false" customHeight="false" outlineLevel="0" collapsed="false">
      <c r="A18" s="4" t="s">
        <v>24</v>
      </c>
      <c r="B18" s="5" t="s">
        <v>25</v>
      </c>
    </row>
    <row r="19" customFormat="false" ht="15" hidden="false" customHeight="false" outlineLevel="0" collapsed="false">
      <c r="A19" s="4" t="s">
        <v>26</v>
      </c>
      <c r="B19" s="5" t="s">
        <v>27</v>
      </c>
    </row>
    <row r="20" customFormat="false" ht="15" hidden="false" customHeight="false" outlineLevel="0" collapsed="false">
      <c r="A20" s="4" t="s">
        <v>28</v>
      </c>
      <c r="B20" s="5" t="s">
        <v>29</v>
      </c>
    </row>
    <row r="21" customFormat="false" ht="23.85" hidden="false" customHeight="false" outlineLevel="0" collapsed="false">
      <c r="A21" s="4" t="s">
        <v>30</v>
      </c>
      <c r="B21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I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7" min="6" style="0" width="3"/>
    <col collapsed="false" customWidth="true" hidden="true" outlineLevel="0" max="9" min="8" style="0" width="16"/>
  </cols>
  <sheetData>
    <row r="1" customFormat="false" ht="17.35" hidden="false" customHeight="false" outlineLevel="0" collapsed="false">
      <c r="A1" s="1" t="s">
        <v>32</v>
      </c>
    </row>
    <row r="3" customFormat="false" ht="15" hidden="false" customHeight="false" outlineLevel="0" collapsed="false">
      <c r="A3" s="6" t="s">
        <v>33</v>
      </c>
      <c r="B3" s="7" t="s">
        <v>34</v>
      </c>
      <c r="C3" s="7"/>
    </row>
    <row r="4" customFormat="false" ht="15" hidden="false" customHeight="false" outlineLevel="0" collapsed="false">
      <c r="A4" s="6" t="s">
        <v>35</v>
      </c>
      <c r="B4" s="8" t="str">
        <f aca="false">IFERROR(INDEX(Materials!$B$2:$B$201,MATCH($B$3,Materials!$A$2:$A$201,0)),"")</f>
        <v>Disintegrant</v>
      </c>
    </row>
    <row r="5" customFormat="false" ht="15" hidden="false" customHeight="false" outlineLevel="0" collapsed="false">
      <c r="A5" s="6" t="s">
        <v>36</v>
      </c>
      <c r="B5" s="8" t="n">
        <f aca="false">SUMIFS(Formulas!$K$2:$K$1501,Formulas!$B$2:$B$1501,$B$3)</f>
        <v>8</v>
      </c>
    </row>
    <row r="6" customFormat="false" ht="15" hidden="false" customHeight="false" outlineLevel="0" collapsed="false">
      <c r="A6" s="6" t="s">
        <v>37</v>
      </c>
      <c r="B6" s="9" t="n">
        <f aca="false">IF(COUNTA(Products!$A$2:$A$61)=0,0,B5/COUNTA(Products!$A$2:$A$61))</f>
        <v>0.8</v>
      </c>
    </row>
    <row r="8" customFormat="false" ht="23.85" hidden="false" customHeight="false" outlineLevel="0" collapsed="false">
      <c r="A8" s="10" t="s">
        <v>38</v>
      </c>
      <c r="B8" s="10" t="s">
        <v>39</v>
      </c>
      <c r="C8" s="10" t="s">
        <v>40</v>
      </c>
      <c r="D8" s="10" t="s">
        <v>41</v>
      </c>
      <c r="E8" s="10" t="s">
        <v>42</v>
      </c>
      <c r="H8" s="11" t="s">
        <v>43</v>
      </c>
      <c r="I8" s="11" t="s">
        <v>44</v>
      </c>
    </row>
    <row r="9" customFormat="false" ht="15" hidden="false" customHeight="false" outlineLevel="0" collapsed="false">
      <c r="A9" s="12" t="n">
        <f aca="false">IF(ROW()-8&lt;=$B$5,ROW()-8,"")</f>
        <v>1</v>
      </c>
      <c r="B9" s="13" t="str">
        <f aca="false">IF(A9="","",INDEX($H$9:$H$68,MATCH(A9,$I$9:$I$68,0)))</f>
        <v>Product 1</v>
      </c>
      <c r="C9" s="13" t="str">
        <f aca="false">IF(A9="","",INDEX(Products!$E$2:$E$61,MATCH(B9,Products!$A$2:$A$61,0)))</f>
        <v>Ezetimibe, Rosuvastatin Calcium</v>
      </c>
      <c r="D9" s="12" t="n">
        <f aca="false">IF(A9="","",COUNTIFS(Formulas!$A$2:$A$1501,B9,Formulas!$B$2:$B$1501,$B$3))</f>
        <v>2</v>
      </c>
      <c r="E9" s="13" t="str">
        <f aca="false">IF(A9="","",INDEX(Formulas!$I$1:$I$1501,SUMPRODUCT(MAX((Formulas!$A$2:$A$1501=B9)*(Formulas!$B$2:$B$1501=$B$3)*ROW(Formulas!$A$2:$A$1501))))&amp;"")</f>
        <v>Intra-granular; Extra-granular</v>
      </c>
      <c r="H9" s="14" t="str">
        <f aca="false">IF(INDEX(Products!$A$2:$A$61,1)="","",INDEX(Products!$A$2:$A$61,1))</f>
        <v>Product 1</v>
      </c>
      <c r="I9" s="14" t="n">
        <f aca="false">IF(H9="","",IF(COUNTIFS(Formulas!$A$2:$A$1501,H9,Formulas!$B$2:$B$1501,$B$3)&gt;0,MAX(I$8:I8)+1,""))</f>
        <v>1</v>
      </c>
    </row>
    <row r="10" customFormat="false" ht="15" hidden="false" customHeight="false" outlineLevel="0" collapsed="false">
      <c r="A10" s="12" t="n">
        <f aca="false">IF(ROW()-8&lt;=$B$5,ROW()-8,"")</f>
        <v>2</v>
      </c>
      <c r="B10" s="13" t="str">
        <f aca="false">IF(A10="","",INDEX($H$9:$H$68,MATCH(A10,$I$9:$I$68,0)))</f>
        <v>Product 2</v>
      </c>
      <c r="C10" s="13" t="str">
        <f aca="false">IF(A10="","",INDEX(Products!$E$2:$E$61,MATCH(B10,Products!$A$2:$A$61,0)))</f>
        <v>Ezetimibe, Rosuvastatin Calcium</v>
      </c>
      <c r="D10" s="12" t="n">
        <f aca="false">IF(A10="","",COUNTIFS(Formulas!$A$2:$A$1501,B10,Formulas!$B$2:$B$1501,$B$3))</f>
        <v>2</v>
      </c>
      <c r="E10" s="13" t="str">
        <f aca="false">IF(A10="","",INDEX(Formulas!$I$1:$I$1501,SUMPRODUCT(MAX((Formulas!$A$2:$A$1501=B10)*(Formulas!$B$2:$B$1501=$B$3)*ROW(Formulas!$A$2:$A$1501))))&amp;"")</f>
        <v>Intra-granular; Extra-granular</v>
      </c>
      <c r="H10" s="14" t="str">
        <f aca="false">IF(INDEX(Products!$A$2:$A$61,2)="","",INDEX(Products!$A$2:$A$61,2))</f>
        <v>Product 2</v>
      </c>
      <c r="I10" s="14" t="n">
        <f aca="false">IF(H10="","",IF(COUNTIFS(Formulas!$A$2:$A$1501,H10,Formulas!$B$2:$B$1501,$B$3)&gt;0,MAX(I$8:I9)+1,""))</f>
        <v>2</v>
      </c>
    </row>
    <row r="11" customFormat="false" ht="15" hidden="false" customHeight="false" outlineLevel="0" collapsed="false">
      <c r="A11" s="12" t="n">
        <f aca="false">IF(ROW()-8&lt;=$B$5,ROW()-8,"")</f>
        <v>3</v>
      </c>
      <c r="B11" s="13" t="str">
        <f aca="false">IF(A11="","",INDEX($H$9:$H$68,MATCH(A11,$I$9:$I$68,0)))</f>
        <v>Product 3</v>
      </c>
      <c r="C11" s="13" t="str">
        <f aca="false">IF(A11="","",INDEX(Products!$E$2:$E$61,MATCH(B11,Products!$A$2:$A$61,0)))</f>
        <v>Ezetimibe, Rosuvastatin Calcium</v>
      </c>
      <c r="D11" s="12" t="n">
        <f aca="false">IF(A11="","",COUNTIFS(Formulas!$A$2:$A$1501,B11,Formulas!$B$2:$B$1501,$B$3))</f>
        <v>2</v>
      </c>
      <c r="E11" s="13" t="str">
        <f aca="false">IF(A11="","",INDEX(Formulas!$I$1:$I$1501,SUMPRODUCT(MAX((Formulas!$A$2:$A$1501=B11)*(Formulas!$B$2:$B$1501=$B$3)*ROW(Formulas!$A$2:$A$1501))))&amp;"")</f>
        <v>Intra-granular; Extra-granular</v>
      </c>
      <c r="H11" s="14" t="str">
        <f aca="false">IF(INDEX(Products!$A$2:$A$61,3)="","",INDEX(Products!$A$2:$A$61,3))</f>
        <v>Product 3</v>
      </c>
      <c r="I11" s="14" t="n">
        <f aca="false">IF(H11="","",IF(COUNTIFS(Formulas!$A$2:$A$1501,H11,Formulas!$B$2:$B$1501,$B$3)&gt;0,MAX(I$8:I10)+1,""))</f>
        <v>3</v>
      </c>
    </row>
    <row r="12" customFormat="false" ht="15" hidden="false" customHeight="false" outlineLevel="0" collapsed="false">
      <c r="A12" s="12" t="n">
        <f aca="false">IF(ROW()-8&lt;=$B$5,ROW()-8,"")</f>
        <v>4</v>
      </c>
      <c r="B12" s="13" t="str">
        <f aca="false">IF(A12="","",INDEX($H$9:$H$68,MATCH(A12,$I$9:$I$68,0)))</f>
        <v>Product 4</v>
      </c>
      <c r="C12" s="13" t="str">
        <f aca="false">IF(A12="","",INDEX(Products!$E$2:$E$61,MATCH(B12,Products!$A$2:$A$61,0)))</f>
        <v>Resmetirom</v>
      </c>
      <c r="D12" s="12" t="n">
        <f aca="false">IF(A12="","",COUNTIFS(Formulas!$A$2:$A$1501,B12,Formulas!$B$2:$B$1501,$B$3))</f>
        <v>2</v>
      </c>
      <c r="E12" s="13" t="str">
        <f aca="false">IF(A12="","",INDEX(Formulas!$I$1:$I$1501,SUMPRODUCT(MAX((Formulas!$A$2:$A$1501=B12)*(Formulas!$B$2:$B$1501=$B$3)*ROW(Formulas!$A$2:$A$1501))))&amp;"")</f>
        <v>Intra-granular; Extra-granular</v>
      </c>
      <c r="H12" s="14" t="str">
        <f aca="false">IF(INDEX(Products!$A$2:$A$61,4)="","",INDEX(Products!$A$2:$A$61,4))</f>
        <v>Product 4</v>
      </c>
      <c r="I12" s="14" t="n">
        <f aca="false">IF(H12="","",IF(COUNTIFS(Formulas!$A$2:$A$1501,H12,Formulas!$B$2:$B$1501,$B$3)&gt;0,MAX(I$8:I11)+1,""))</f>
        <v>4</v>
      </c>
    </row>
    <row r="13" customFormat="false" ht="15" hidden="false" customHeight="false" outlineLevel="0" collapsed="false">
      <c r="A13" s="12" t="n">
        <f aca="false">IF(ROW()-8&lt;=$B$5,ROW()-8,"")</f>
        <v>5</v>
      </c>
      <c r="B13" s="13" t="str">
        <f aca="false">IF(A13="","",INDEX($H$9:$H$68,MATCH(A13,$I$9:$I$68,0)))</f>
        <v>Product 5</v>
      </c>
      <c r="C13" s="13" t="str">
        <f aca="false">IF(A13="","",INDEX(Products!$E$2:$E$61,MATCH(B13,Products!$A$2:$A$61,0)))</f>
        <v>Resmetirom</v>
      </c>
      <c r="D13" s="12" t="n">
        <f aca="false">IF(A13="","",COUNTIFS(Formulas!$A$2:$A$1501,B13,Formulas!$B$2:$B$1501,$B$3))</f>
        <v>2</v>
      </c>
      <c r="E13" s="13" t="str">
        <f aca="false">IF(A13="","",INDEX(Formulas!$I$1:$I$1501,SUMPRODUCT(MAX((Formulas!$A$2:$A$1501=B13)*(Formulas!$B$2:$B$1501=$B$3)*ROW(Formulas!$A$2:$A$1501))))&amp;"")</f>
        <v>Intra-granular; Extra-granular</v>
      </c>
      <c r="H13" s="14" t="str">
        <f aca="false">IF(INDEX(Products!$A$2:$A$61,5)="","",INDEX(Products!$A$2:$A$61,5))</f>
        <v>Product 5</v>
      </c>
      <c r="I13" s="14" t="n">
        <f aca="false">IF(H13="","",IF(COUNTIFS(Formulas!$A$2:$A$1501,H13,Formulas!$B$2:$B$1501,$B$3)&gt;0,MAX(I$8:I12)+1,""))</f>
        <v>5</v>
      </c>
    </row>
    <row r="14" customFormat="false" ht="15" hidden="false" customHeight="false" outlineLevel="0" collapsed="false">
      <c r="A14" s="12" t="n">
        <f aca="false">IF(ROW()-8&lt;=$B$5,ROW()-8,"")</f>
        <v>6</v>
      </c>
      <c r="B14" s="13" t="str">
        <f aca="false">IF(A14="","",INDEX($H$9:$H$68,MATCH(A14,$I$9:$I$68,0)))</f>
        <v>Product 6</v>
      </c>
      <c r="C14" s="13" t="str">
        <f aca="false">IF(A14="","",INDEX(Products!$E$2:$E$61,MATCH(B14,Products!$A$2:$A$61,0)))</f>
        <v>Resmetirom</v>
      </c>
      <c r="D14" s="12" t="n">
        <f aca="false">IF(A14="","",COUNTIFS(Formulas!$A$2:$A$1501,B14,Formulas!$B$2:$B$1501,$B$3))</f>
        <v>2</v>
      </c>
      <c r="E14" s="13" t="str">
        <f aca="false">IF(A14="","",INDEX(Formulas!$I$1:$I$1501,SUMPRODUCT(MAX((Formulas!$A$2:$A$1501=B14)*(Formulas!$B$2:$B$1501=$B$3)*ROW(Formulas!$A$2:$A$1501))))&amp;"")</f>
        <v>Intra-granular; Extra-granular</v>
      </c>
      <c r="H14" s="14" t="str">
        <f aca="false">IF(INDEX(Products!$A$2:$A$61,6)="","",INDEX(Products!$A$2:$A$61,6))</f>
        <v>Product 6</v>
      </c>
      <c r="I14" s="14" t="n">
        <f aca="false">IF(H14="","",IF(COUNTIFS(Formulas!$A$2:$A$1501,H14,Formulas!$B$2:$B$1501,$B$3)&gt;0,MAX(I$8:I13)+1,""))</f>
        <v>6</v>
      </c>
    </row>
    <row r="15" customFormat="false" ht="15" hidden="false" customHeight="false" outlineLevel="0" collapsed="false">
      <c r="A15" s="12" t="n">
        <f aca="false">IF(ROW()-8&lt;=$B$5,ROW()-8,"")</f>
        <v>7</v>
      </c>
      <c r="B15" s="13" t="str">
        <f aca="false">IF(A15="","",INDEX($H$9:$H$68,MATCH(A15,$I$9:$I$68,0)))</f>
        <v>Product 7</v>
      </c>
      <c r="C15" s="13" t="str">
        <f aca="false">IF(A15="","",INDEX(Products!$E$2:$E$61,MATCH(B15,Products!$A$2:$A$61,0)))</f>
        <v>Finerenone</v>
      </c>
      <c r="D15" s="12" t="n">
        <f aca="false">IF(A15="","",COUNTIFS(Formulas!$A$2:$A$1501,B15,Formulas!$B$2:$B$1501,$B$3))</f>
        <v>1</v>
      </c>
      <c r="E15" s="13" t="str">
        <f aca="false">IF(A15="","",INDEX(Formulas!$I$1:$I$1501,SUMPRODUCT(MAX((Formulas!$A$2:$A$1501=B15)*(Formulas!$B$2:$B$1501=$B$3)*ROW(Formulas!$A$2:$A$1501))))&amp;"")</f>
        <v/>
      </c>
      <c r="H15" s="14" t="str">
        <f aca="false">IF(INDEX(Products!$A$2:$A$61,7)="","",INDEX(Products!$A$2:$A$61,7))</f>
        <v>Product 7</v>
      </c>
      <c r="I15" s="14" t="n">
        <f aca="false">IF(H15="","",IF(COUNTIFS(Formulas!$A$2:$A$1501,H15,Formulas!$B$2:$B$1501,$B$3)&gt;0,MAX(I$8:I14)+1,""))</f>
        <v>7</v>
      </c>
    </row>
    <row r="16" customFormat="false" ht="15" hidden="false" customHeight="false" outlineLevel="0" collapsed="false">
      <c r="A16" s="12" t="n">
        <f aca="false">IF(ROW()-8&lt;=$B$5,ROW()-8,"")</f>
        <v>8</v>
      </c>
      <c r="B16" s="13" t="str">
        <f aca="false">IF(A16="","",INDEX($H$9:$H$68,MATCH(A16,$I$9:$I$68,0)))</f>
        <v>Product 8</v>
      </c>
      <c r="C16" s="13" t="str">
        <f aca="false">IF(A16="","",INDEX(Products!$E$2:$E$61,MATCH(B16,Products!$A$2:$A$61,0)))</f>
        <v>Finerenone</v>
      </c>
      <c r="D16" s="12" t="n">
        <f aca="false">IF(A16="","",COUNTIFS(Formulas!$A$2:$A$1501,B16,Formulas!$B$2:$B$1501,$B$3))</f>
        <v>1</v>
      </c>
      <c r="E16" s="13" t="str">
        <f aca="false">IF(A16="","",INDEX(Formulas!$I$1:$I$1501,SUMPRODUCT(MAX((Formulas!$A$2:$A$1501=B16)*(Formulas!$B$2:$B$1501=$B$3)*ROW(Formulas!$A$2:$A$1501))))&amp;"")</f>
        <v/>
      </c>
      <c r="H16" s="14" t="str">
        <f aca="false">IF(INDEX(Products!$A$2:$A$61,8)="","",INDEX(Products!$A$2:$A$61,8))</f>
        <v>Product 8</v>
      </c>
      <c r="I16" s="14" t="n">
        <f aca="false">IF(H16="","",IF(COUNTIFS(Formulas!$A$2:$A$1501,H16,Formulas!$B$2:$B$1501,$B$3)&gt;0,MAX(I$8:I15)+1,""))</f>
        <v>8</v>
      </c>
    </row>
    <row r="17" customFormat="false" ht="15" hidden="false" customHeight="false" outlineLevel="0" collapsed="false">
      <c r="A17" s="12" t="str">
        <f aca="false">IF(ROW()-8&lt;=$B$5,ROW()-8,"")</f>
        <v/>
      </c>
      <c r="B17" s="13" t="str">
        <f aca="false">IF(A17="","",INDEX($H$9:$H$68,MATCH(A17,$I$9:$I$68,0)))</f>
        <v/>
      </c>
      <c r="C17" s="13" t="str">
        <f aca="false">IF(A17="","",INDEX(Products!$E$2:$E$61,MATCH(B17,Products!$A$2:$A$61,0)))</f>
        <v/>
      </c>
      <c r="D17" s="12" t="str">
        <f aca="false">IF(A17="","",COUNTIFS(Formulas!$A$2:$A$1501,B17,Formulas!$B$2:$B$1501,$B$3))</f>
        <v/>
      </c>
      <c r="E17" s="13" t="str">
        <f aca="false">IF(A17="","",INDEX(Formulas!$I$1:$I$1501,SUMPRODUCT(MAX((Formulas!$A$2:$A$1501=B17)*(Formulas!$B$2:$B$1501=$B$3)*ROW(Formulas!$A$2:$A$1501))))&amp;"")</f>
        <v/>
      </c>
      <c r="H17" s="14" t="str">
        <f aca="false">IF(INDEX(Products!$A$2:$A$61,9)="","",INDEX(Products!$A$2:$A$61,9))</f>
        <v>Product 9</v>
      </c>
      <c r="I17" s="14" t="str">
        <f aca="false">IF(H17="","",IF(COUNTIFS(Formulas!$A$2:$A$1501,H17,Formulas!$B$2:$B$1501,$B$3)&gt;0,MAX(I$8:I16)+1,""))</f>
        <v/>
      </c>
    </row>
    <row r="18" customFormat="false" ht="15" hidden="false" customHeight="false" outlineLevel="0" collapsed="false">
      <c r="A18" s="12" t="str">
        <f aca="false">IF(ROW()-8&lt;=$B$5,ROW()-8,"")</f>
        <v/>
      </c>
      <c r="B18" s="13" t="str">
        <f aca="false">IF(A18="","",INDEX($H$9:$H$68,MATCH(A18,$I$9:$I$68,0)))</f>
        <v/>
      </c>
      <c r="C18" s="13" t="str">
        <f aca="false">IF(A18="","",INDEX(Products!$E$2:$E$61,MATCH(B18,Products!$A$2:$A$61,0)))</f>
        <v/>
      </c>
      <c r="D18" s="12" t="str">
        <f aca="false">IF(A18="","",COUNTIFS(Formulas!$A$2:$A$1501,B18,Formulas!$B$2:$B$1501,$B$3))</f>
        <v/>
      </c>
      <c r="E18" s="13" t="str">
        <f aca="false">IF(A18="","",INDEX(Formulas!$I$1:$I$1501,SUMPRODUCT(MAX((Formulas!$A$2:$A$1501=B18)*(Formulas!$B$2:$B$1501=$B$3)*ROW(Formulas!$A$2:$A$1501))))&amp;"")</f>
        <v/>
      </c>
      <c r="H18" s="14" t="str">
        <f aca="false">IF(INDEX(Products!$A$2:$A$61,10)="","",INDEX(Products!$A$2:$A$61,10))</f>
        <v>Product 10</v>
      </c>
      <c r="I18" s="14" t="str">
        <f aca="false">IF(H18="","",IF(COUNTIFS(Formulas!$A$2:$A$1501,H18,Formulas!$B$2:$B$1501,$B$3)&gt;0,MAX(I$8:I17)+1,""))</f>
        <v/>
      </c>
    </row>
    <row r="19" customFormat="false" ht="15" hidden="false" customHeight="false" outlineLevel="0" collapsed="false">
      <c r="A19" s="12" t="str">
        <f aca="false">IF(ROW()-8&lt;=$B$5,ROW()-8,"")</f>
        <v/>
      </c>
      <c r="B19" s="13" t="str">
        <f aca="false">IF(A19="","",INDEX($H$9:$H$68,MATCH(A19,$I$9:$I$68,0)))</f>
        <v/>
      </c>
      <c r="C19" s="13" t="str">
        <f aca="false">IF(A19="","",INDEX(Products!$E$2:$E$61,MATCH(B19,Products!$A$2:$A$61,0)))</f>
        <v/>
      </c>
      <c r="D19" s="12" t="str">
        <f aca="false">IF(A19="","",COUNTIFS(Formulas!$A$2:$A$1501,B19,Formulas!$B$2:$B$1501,$B$3))</f>
        <v/>
      </c>
      <c r="E19" s="13" t="str">
        <f aca="false">IF(A19="","",INDEX(Formulas!$I$1:$I$1501,SUMPRODUCT(MAX((Formulas!$A$2:$A$1501=B19)*(Formulas!$B$2:$B$1501=$B$3)*ROW(Formulas!$A$2:$A$1501))))&amp;"")</f>
        <v/>
      </c>
      <c r="H19" s="14" t="str">
        <f aca="false">IF(INDEX(Products!$A$2:$A$61,11)="","",INDEX(Products!$A$2:$A$61,11))</f>
        <v/>
      </c>
      <c r="I19" s="14" t="str">
        <f aca="false">IF(H19="","",IF(COUNTIFS(Formulas!$A$2:$A$1501,H19,Formulas!$B$2:$B$1501,$B$3)&gt;0,MAX(I$8:I18)+1,""))</f>
        <v/>
      </c>
    </row>
    <row r="20" customFormat="false" ht="15" hidden="false" customHeight="false" outlineLevel="0" collapsed="false">
      <c r="A20" s="12" t="str">
        <f aca="false">IF(ROW()-8&lt;=$B$5,ROW()-8,"")</f>
        <v/>
      </c>
      <c r="B20" s="13" t="str">
        <f aca="false">IF(A20="","",INDEX($H$9:$H$68,MATCH(A20,$I$9:$I$68,0)))</f>
        <v/>
      </c>
      <c r="C20" s="13" t="str">
        <f aca="false">IF(A20="","",INDEX(Products!$E$2:$E$61,MATCH(B20,Products!$A$2:$A$61,0)))</f>
        <v/>
      </c>
      <c r="D20" s="12" t="str">
        <f aca="false">IF(A20="","",COUNTIFS(Formulas!$A$2:$A$1501,B20,Formulas!$B$2:$B$1501,$B$3))</f>
        <v/>
      </c>
      <c r="E20" s="13" t="str">
        <f aca="false">IF(A20="","",INDEX(Formulas!$I$1:$I$1501,SUMPRODUCT(MAX((Formulas!$A$2:$A$1501=B20)*(Formulas!$B$2:$B$1501=$B$3)*ROW(Formulas!$A$2:$A$1501))))&amp;"")</f>
        <v/>
      </c>
      <c r="H20" s="14" t="str">
        <f aca="false">IF(INDEX(Products!$A$2:$A$61,12)="","",INDEX(Products!$A$2:$A$61,12))</f>
        <v/>
      </c>
      <c r="I20" s="14" t="str">
        <f aca="false">IF(H20="","",IF(COUNTIFS(Formulas!$A$2:$A$1501,H20,Formulas!$B$2:$B$1501,$B$3)&gt;0,MAX(I$8:I19)+1,""))</f>
        <v/>
      </c>
    </row>
    <row r="21" customFormat="false" ht="15" hidden="false" customHeight="false" outlineLevel="0" collapsed="false">
      <c r="A21" s="12" t="str">
        <f aca="false">IF(ROW()-8&lt;=$B$5,ROW()-8,"")</f>
        <v/>
      </c>
      <c r="B21" s="13" t="str">
        <f aca="false">IF(A21="","",INDEX($H$9:$H$68,MATCH(A21,$I$9:$I$68,0)))</f>
        <v/>
      </c>
      <c r="C21" s="13" t="str">
        <f aca="false">IF(A21="","",INDEX(Products!$E$2:$E$61,MATCH(B21,Products!$A$2:$A$61,0)))</f>
        <v/>
      </c>
      <c r="D21" s="12" t="str">
        <f aca="false">IF(A21="","",COUNTIFS(Formulas!$A$2:$A$1501,B21,Formulas!$B$2:$B$1501,$B$3))</f>
        <v/>
      </c>
      <c r="E21" s="13" t="str">
        <f aca="false">IF(A21="","",INDEX(Formulas!$I$1:$I$1501,SUMPRODUCT(MAX((Formulas!$A$2:$A$1501=B21)*(Formulas!$B$2:$B$1501=$B$3)*ROW(Formulas!$A$2:$A$1501))))&amp;"")</f>
        <v/>
      </c>
      <c r="H21" s="14" t="str">
        <f aca="false">IF(INDEX(Products!$A$2:$A$61,13)="","",INDEX(Products!$A$2:$A$61,13))</f>
        <v/>
      </c>
      <c r="I21" s="14" t="str">
        <f aca="false">IF(H21="","",IF(COUNTIFS(Formulas!$A$2:$A$1501,H21,Formulas!$B$2:$B$1501,$B$3)&gt;0,MAX(I$8:I20)+1,""))</f>
        <v/>
      </c>
    </row>
    <row r="22" customFormat="false" ht="15" hidden="false" customHeight="false" outlineLevel="0" collapsed="false">
      <c r="A22" s="12" t="str">
        <f aca="false">IF(ROW()-8&lt;=$B$5,ROW()-8,"")</f>
        <v/>
      </c>
      <c r="B22" s="13" t="str">
        <f aca="false">IF(A22="","",INDEX($H$9:$H$68,MATCH(A22,$I$9:$I$68,0)))</f>
        <v/>
      </c>
      <c r="C22" s="13" t="str">
        <f aca="false">IF(A22="","",INDEX(Products!$E$2:$E$61,MATCH(B22,Products!$A$2:$A$61,0)))</f>
        <v/>
      </c>
      <c r="D22" s="12" t="str">
        <f aca="false">IF(A22="","",COUNTIFS(Formulas!$A$2:$A$1501,B22,Formulas!$B$2:$B$1501,$B$3))</f>
        <v/>
      </c>
      <c r="E22" s="13" t="str">
        <f aca="false">IF(A22="","",INDEX(Formulas!$I$1:$I$1501,SUMPRODUCT(MAX((Formulas!$A$2:$A$1501=B22)*(Formulas!$B$2:$B$1501=$B$3)*ROW(Formulas!$A$2:$A$1501))))&amp;"")</f>
        <v/>
      </c>
      <c r="H22" s="14" t="str">
        <f aca="false">IF(INDEX(Products!$A$2:$A$61,14)="","",INDEX(Products!$A$2:$A$61,14))</f>
        <v/>
      </c>
      <c r="I22" s="14" t="str">
        <f aca="false">IF(H22="","",IF(COUNTIFS(Formulas!$A$2:$A$1501,H22,Formulas!$B$2:$B$1501,$B$3)&gt;0,MAX(I$8:I21)+1,""))</f>
        <v/>
      </c>
    </row>
    <row r="23" customFormat="false" ht="15" hidden="false" customHeight="false" outlineLevel="0" collapsed="false">
      <c r="A23" s="12" t="str">
        <f aca="false">IF(ROW()-8&lt;=$B$5,ROW()-8,"")</f>
        <v/>
      </c>
      <c r="B23" s="13" t="str">
        <f aca="false">IF(A23="","",INDEX($H$9:$H$68,MATCH(A23,$I$9:$I$68,0)))</f>
        <v/>
      </c>
      <c r="C23" s="13" t="str">
        <f aca="false">IF(A23="","",INDEX(Products!$E$2:$E$61,MATCH(B23,Products!$A$2:$A$61,0)))</f>
        <v/>
      </c>
      <c r="D23" s="12" t="str">
        <f aca="false">IF(A23="","",COUNTIFS(Formulas!$A$2:$A$1501,B23,Formulas!$B$2:$B$1501,$B$3))</f>
        <v/>
      </c>
      <c r="E23" s="13" t="str">
        <f aca="false">IF(A23="","",INDEX(Formulas!$I$1:$I$1501,SUMPRODUCT(MAX((Formulas!$A$2:$A$1501=B23)*(Formulas!$B$2:$B$1501=$B$3)*ROW(Formulas!$A$2:$A$1501))))&amp;"")</f>
        <v/>
      </c>
      <c r="H23" s="14" t="str">
        <f aca="false">IF(INDEX(Products!$A$2:$A$61,15)="","",INDEX(Products!$A$2:$A$61,15))</f>
        <v/>
      </c>
      <c r="I23" s="14" t="str">
        <f aca="false">IF(H23="","",IF(COUNTIFS(Formulas!$A$2:$A$1501,H23,Formulas!$B$2:$B$1501,$B$3)&gt;0,MAX(I$8:I22)+1,""))</f>
        <v/>
      </c>
    </row>
    <row r="24" customFormat="false" ht="15" hidden="false" customHeight="false" outlineLevel="0" collapsed="false">
      <c r="A24" s="12" t="str">
        <f aca="false">IF(ROW()-8&lt;=$B$5,ROW()-8,"")</f>
        <v/>
      </c>
      <c r="B24" s="13" t="str">
        <f aca="false">IF(A24="","",INDEX($H$9:$H$68,MATCH(A24,$I$9:$I$68,0)))</f>
        <v/>
      </c>
      <c r="C24" s="13" t="str">
        <f aca="false">IF(A24="","",INDEX(Products!$E$2:$E$61,MATCH(B24,Products!$A$2:$A$61,0)))</f>
        <v/>
      </c>
      <c r="D24" s="12" t="str">
        <f aca="false">IF(A24="","",COUNTIFS(Formulas!$A$2:$A$1501,B24,Formulas!$B$2:$B$1501,$B$3))</f>
        <v/>
      </c>
      <c r="E24" s="13" t="str">
        <f aca="false">IF(A24="","",INDEX(Formulas!$I$1:$I$1501,SUMPRODUCT(MAX((Formulas!$A$2:$A$1501=B24)*(Formulas!$B$2:$B$1501=$B$3)*ROW(Formulas!$A$2:$A$1501))))&amp;"")</f>
        <v/>
      </c>
      <c r="H24" s="14" t="str">
        <f aca="false">IF(INDEX(Products!$A$2:$A$61,16)="","",INDEX(Products!$A$2:$A$61,16))</f>
        <v/>
      </c>
      <c r="I24" s="14" t="str">
        <f aca="false">IF(H24="","",IF(COUNTIFS(Formulas!$A$2:$A$1501,H24,Formulas!$B$2:$B$1501,$B$3)&gt;0,MAX(I$8:I23)+1,""))</f>
        <v/>
      </c>
    </row>
    <row r="25" customFormat="false" ht="15" hidden="false" customHeight="false" outlineLevel="0" collapsed="false">
      <c r="A25" s="12" t="str">
        <f aca="false">IF(ROW()-8&lt;=$B$5,ROW()-8,"")</f>
        <v/>
      </c>
      <c r="B25" s="13" t="str">
        <f aca="false">IF(A25="","",INDEX($H$9:$H$68,MATCH(A25,$I$9:$I$68,0)))</f>
        <v/>
      </c>
      <c r="C25" s="13" t="str">
        <f aca="false">IF(A25="","",INDEX(Products!$E$2:$E$61,MATCH(B25,Products!$A$2:$A$61,0)))</f>
        <v/>
      </c>
      <c r="D25" s="12" t="str">
        <f aca="false">IF(A25="","",COUNTIFS(Formulas!$A$2:$A$1501,B25,Formulas!$B$2:$B$1501,$B$3))</f>
        <v/>
      </c>
      <c r="E25" s="13" t="str">
        <f aca="false">IF(A25="","",INDEX(Formulas!$I$1:$I$1501,SUMPRODUCT(MAX((Formulas!$A$2:$A$1501=B25)*(Formulas!$B$2:$B$1501=$B$3)*ROW(Formulas!$A$2:$A$1501))))&amp;"")</f>
        <v/>
      </c>
      <c r="H25" s="14" t="str">
        <f aca="false">IF(INDEX(Products!$A$2:$A$61,17)="","",INDEX(Products!$A$2:$A$61,17))</f>
        <v/>
      </c>
      <c r="I25" s="14" t="str">
        <f aca="false">IF(H25="","",IF(COUNTIFS(Formulas!$A$2:$A$1501,H25,Formulas!$B$2:$B$1501,$B$3)&gt;0,MAX(I$8:I24)+1,""))</f>
        <v/>
      </c>
    </row>
    <row r="26" customFormat="false" ht="15" hidden="false" customHeight="false" outlineLevel="0" collapsed="false">
      <c r="A26" s="12" t="str">
        <f aca="false">IF(ROW()-8&lt;=$B$5,ROW()-8,"")</f>
        <v/>
      </c>
      <c r="B26" s="13" t="str">
        <f aca="false">IF(A26="","",INDEX($H$9:$H$68,MATCH(A26,$I$9:$I$68,0)))</f>
        <v/>
      </c>
      <c r="C26" s="13" t="str">
        <f aca="false">IF(A26="","",INDEX(Products!$E$2:$E$61,MATCH(B26,Products!$A$2:$A$61,0)))</f>
        <v/>
      </c>
      <c r="D26" s="12" t="str">
        <f aca="false">IF(A26="","",COUNTIFS(Formulas!$A$2:$A$1501,B26,Formulas!$B$2:$B$1501,$B$3))</f>
        <v/>
      </c>
      <c r="E26" s="13" t="str">
        <f aca="false">IF(A26="","",INDEX(Formulas!$I$1:$I$1501,SUMPRODUCT(MAX((Formulas!$A$2:$A$1501=B26)*(Formulas!$B$2:$B$1501=$B$3)*ROW(Formulas!$A$2:$A$1501))))&amp;"")</f>
        <v/>
      </c>
      <c r="H26" s="14" t="str">
        <f aca="false">IF(INDEX(Products!$A$2:$A$61,18)="","",INDEX(Products!$A$2:$A$61,18))</f>
        <v/>
      </c>
      <c r="I26" s="14" t="str">
        <f aca="false">IF(H26="","",IF(COUNTIFS(Formulas!$A$2:$A$1501,H26,Formulas!$B$2:$B$1501,$B$3)&gt;0,MAX(I$8:I25)+1,""))</f>
        <v/>
      </c>
    </row>
    <row r="27" customFormat="false" ht="15" hidden="false" customHeight="false" outlineLevel="0" collapsed="false">
      <c r="A27" s="12" t="str">
        <f aca="false">IF(ROW()-8&lt;=$B$5,ROW()-8,"")</f>
        <v/>
      </c>
      <c r="B27" s="13" t="str">
        <f aca="false">IF(A27="","",INDEX($H$9:$H$68,MATCH(A27,$I$9:$I$68,0)))</f>
        <v/>
      </c>
      <c r="C27" s="13" t="str">
        <f aca="false">IF(A27="","",INDEX(Products!$E$2:$E$61,MATCH(B27,Products!$A$2:$A$61,0)))</f>
        <v/>
      </c>
      <c r="D27" s="12" t="str">
        <f aca="false">IF(A27="","",COUNTIFS(Formulas!$A$2:$A$1501,B27,Formulas!$B$2:$B$1501,$B$3))</f>
        <v/>
      </c>
      <c r="E27" s="13" t="str">
        <f aca="false">IF(A27="","",INDEX(Formulas!$I$1:$I$1501,SUMPRODUCT(MAX((Formulas!$A$2:$A$1501=B27)*(Formulas!$B$2:$B$1501=$B$3)*ROW(Formulas!$A$2:$A$1501))))&amp;"")</f>
        <v/>
      </c>
      <c r="H27" s="14" t="str">
        <f aca="false">IF(INDEX(Products!$A$2:$A$61,19)="","",INDEX(Products!$A$2:$A$61,19))</f>
        <v/>
      </c>
      <c r="I27" s="14" t="str">
        <f aca="false">IF(H27="","",IF(COUNTIFS(Formulas!$A$2:$A$1501,H27,Formulas!$B$2:$B$1501,$B$3)&gt;0,MAX(I$8:I26)+1,""))</f>
        <v/>
      </c>
    </row>
    <row r="28" customFormat="false" ht="15" hidden="false" customHeight="false" outlineLevel="0" collapsed="false">
      <c r="A28" s="12" t="str">
        <f aca="false">IF(ROW()-8&lt;=$B$5,ROW()-8,"")</f>
        <v/>
      </c>
      <c r="B28" s="13" t="str">
        <f aca="false">IF(A28="","",INDEX($H$9:$H$68,MATCH(A28,$I$9:$I$68,0)))</f>
        <v/>
      </c>
      <c r="C28" s="13" t="str">
        <f aca="false">IF(A28="","",INDEX(Products!$E$2:$E$61,MATCH(B28,Products!$A$2:$A$61,0)))</f>
        <v/>
      </c>
      <c r="D28" s="12" t="str">
        <f aca="false">IF(A28="","",COUNTIFS(Formulas!$A$2:$A$1501,B28,Formulas!$B$2:$B$1501,$B$3))</f>
        <v/>
      </c>
      <c r="E28" s="13" t="str">
        <f aca="false">IF(A28="","",INDEX(Formulas!$I$1:$I$1501,SUMPRODUCT(MAX((Formulas!$A$2:$A$1501=B28)*(Formulas!$B$2:$B$1501=$B$3)*ROW(Formulas!$A$2:$A$1501))))&amp;"")</f>
        <v/>
      </c>
      <c r="H28" s="14" t="str">
        <f aca="false">IF(INDEX(Products!$A$2:$A$61,20)="","",INDEX(Products!$A$2:$A$61,20))</f>
        <v/>
      </c>
      <c r="I28" s="14" t="str">
        <f aca="false">IF(H28="","",IF(COUNTIFS(Formulas!$A$2:$A$1501,H28,Formulas!$B$2:$B$1501,$B$3)&gt;0,MAX(I$8:I27)+1,""))</f>
        <v/>
      </c>
    </row>
    <row r="29" customFormat="false" ht="15" hidden="false" customHeight="false" outlineLevel="0" collapsed="false">
      <c r="A29" s="12" t="str">
        <f aca="false">IF(ROW()-8&lt;=$B$5,ROW()-8,"")</f>
        <v/>
      </c>
      <c r="B29" s="13" t="str">
        <f aca="false">IF(A29="","",INDEX($H$9:$H$68,MATCH(A29,$I$9:$I$68,0)))</f>
        <v/>
      </c>
      <c r="C29" s="13" t="str">
        <f aca="false">IF(A29="","",INDEX(Products!$E$2:$E$61,MATCH(B29,Products!$A$2:$A$61,0)))</f>
        <v/>
      </c>
      <c r="D29" s="12" t="str">
        <f aca="false">IF(A29="","",COUNTIFS(Formulas!$A$2:$A$1501,B29,Formulas!$B$2:$B$1501,$B$3))</f>
        <v/>
      </c>
      <c r="E29" s="13" t="str">
        <f aca="false">IF(A29="","",INDEX(Formulas!$I$1:$I$1501,SUMPRODUCT(MAX((Formulas!$A$2:$A$1501=B29)*(Formulas!$B$2:$B$1501=$B$3)*ROW(Formulas!$A$2:$A$1501))))&amp;"")</f>
        <v/>
      </c>
      <c r="H29" s="14" t="str">
        <f aca="false">IF(INDEX(Products!$A$2:$A$61,21)="","",INDEX(Products!$A$2:$A$61,21))</f>
        <v/>
      </c>
      <c r="I29" s="14" t="str">
        <f aca="false">IF(H29="","",IF(COUNTIFS(Formulas!$A$2:$A$1501,H29,Formulas!$B$2:$B$1501,$B$3)&gt;0,MAX(I$8:I28)+1,""))</f>
        <v/>
      </c>
    </row>
    <row r="30" customFormat="false" ht="15" hidden="false" customHeight="false" outlineLevel="0" collapsed="false">
      <c r="A30" s="12" t="str">
        <f aca="false">IF(ROW()-8&lt;=$B$5,ROW()-8,"")</f>
        <v/>
      </c>
      <c r="B30" s="13" t="str">
        <f aca="false">IF(A30="","",INDEX($H$9:$H$68,MATCH(A30,$I$9:$I$68,0)))</f>
        <v/>
      </c>
      <c r="C30" s="13" t="str">
        <f aca="false">IF(A30="","",INDEX(Products!$E$2:$E$61,MATCH(B30,Products!$A$2:$A$61,0)))</f>
        <v/>
      </c>
      <c r="D30" s="12" t="str">
        <f aca="false">IF(A30="","",COUNTIFS(Formulas!$A$2:$A$1501,B30,Formulas!$B$2:$B$1501,$B$3))</f>
        <v/>
      </c>
      <c r="E30" s="13" t="str">
        <f aca="false">IF(A30="","",INDEX(Formulas!$I$1:$I$1501,SUMPRODUCT(MAX((Formulas!$A$2:$A$1501=B30)*(Formulas!$B$2:$B$1501=$B$3)*ROW(Formulas!$A$2:$A$1501))))&amp;"")</f>
        <v/>
      </c>
      <c r="H30" s="14" t="str">
        <f aca="false">IF(INDEX(Products!$A$2:$A$61,22)="","",INDEX(Products!$A$2:$A$61,22))</f>
        <v/>
      </c>
      <c r="I30" s="14" t="str">
        <f aca="false">IF(H30="","",IF(COUNTIFS(Formulas!$A$2:$A$1501,H30,Formulas!$B$2:$B$1501,$B$3)&gt;0,MAX(I$8:I29)+1,""))</f>
        <v/>
      </c>
    </row>
    <row r="31" customFormat="false" ht="15" hidden="false" customHeight="false" outlineLevel="0" collapsed="false">
      <c r="A31" s="12" t="str">
        <f aca="false">IF(ROW()-8&lt;=$B$5,ROW()-8,"")</f>
        <v/>
      </c>
      <c r="B31" s="13" t="str">
        <f aca="false">IF(A31="","",INDEX($H$9:$H$68,MATCH(A31,$I$9:$I$68,0)))</f>
        <v/>
      </c>
      <c r="C31" s="13" t="str">
        <f aca="false">IF(A31="","",INDEX(Products!$E$2:$E$61,MATCH(B31,Products!$A$2:$A$61,0)))</f>
        <v/>
      </c>
      <c r="D31" s="12" t="str">
        <f aca="false">IF(A31="","",COUNTIFS(Formulas!$A$2:$A$1501,B31,Formulas!$B$2:$B$1501,$B$3))</f>
        <v/>
      </c>
      <c r="E31" s="13" t="str">
        <f aca="false">IF(A31="","",INDEX(Formulas!$I$1:$I$1501,SUMPRODUCT(MAX((Formulas!$A$2:$A$1501=B31)*(Formulas!$B$2:$B$1501=$B$3)*ROW(Formulas!$A$2:$A$1501))))&amp;"")</f>
        <v/>
      </c>
      <c r="H31" s="14" t="str">
        <f aca="false">IF(INDEX(Products!$A$2:$A$61,23)="","",INDEX(Products!$A$2:$A$61,23))</f>
        <v/>
      </c>
      <c r="I31" s="14" t="str">
        <f aca="false">IF(H31="","",IF(COUNTIFS(Formulas!$A$2:$A$1501,H31,Formulas!$B$2:$B$1501,$B$3)&gt;0,MAX(I$8:I30)+1,""))</f>
        <v/>
      </c>
    </row>
    <row r="32" customFormat="false" ht="15" hidden="false" customHeight="false" outlineLevel="0" collapsed="false">
      <c r="A32" s="12" t="str">
        <f aca="false">IF(ROW()-8&lt;=$B$5,ROW()-8,"")</f>
        <v/>
      </c>
      <c r="B32" s="13" t="str">
        <f aca="false">IF(A32="","",INDEX($H$9:$H$68,MATCH(A32,$I$9:$I$68,0)))</f>
        <v/>
      </c>
      <c r="C32" s="13" t="str">
        <f aca="false">IF(A32="","",INDEX(Products!$E$2:$E$61,MATCH(B32,Products!$A$2:$A$61,0)))</f>
        <v/>
      </c>
      <c r="D32" s="12" t="str">
        <f aca="false">IF(A32="","",COUNTIFS(Formulas!$A$2:$A$1501,B32,Formulas!$B$2:$B$1501,$B$3))</f>
        <v/>
      </c>
      <c r="E32" s="13" t="str">
        <f aca="false">IF(A32="","",INDEX(Formulas!$I$1:$I$1501,SUMPRODUCT(MAX((Formulas!$A$2:$A$1501=B32)*(Formulas!$B$2:$B$1501=$B$3)*ROW(Formulas!$A$2:$A$1501))))&amp;"")</f>
        <v/>
      </c>
      <c r="H32" s="14" t="str">
        <f aca="false">IF(INDEX(Products!$A$2:$A$61,24)="","",INDEX(Products!$A$2:$A$61,24))</f>
        <v/>
      </c>
      <c r="I32" s="14" t="str">
        <f aca="false">IF(H32="","",IF(COUNTIFS(Formulas!$A$2:$A$1501,H32,Formulas!$B$2:$B$1501,$B$3)&gt;0,MAX(I$8:I31)+1,""))</f>
        <v/>
      </c>
    </row>
    <row r="33" customFormat="false" ht="15" hidden="false" customHeight="false" outlineLevel="0" collapsed="false">
      <c r="A33" s="12" t="str">
        <f aca="false">IF(ROW()-8&lt;=$B$5,ROW()-8,"")</f>
        <v/>
      </c>
      <c r="B33" s="13" t="str">
        <f aca="false">IF(A33="","",INDEX($H$9:$H$68,MATCH(A33,$I$9:$I$68,0)))</f>
        <v/>
      </c>
      <c r="C33" s="13" t="str">
        <f aca="false">IF(A33="","",INDEX(Products!$E$2:$E$61,MATCH(B33,Products!$A$2:$A$61,0)))</f>
        <v/>
      </c>
      <c r="D33" s="12" t="str">
        <f aca="false">IF(A33="","",COUNTIFS(Formulas!$A$2:$A$1501,B33,Formulas!$B$2:$B$1501,$B$3))</f>
        <v/>
      </c>
      <c r="E33" s="13" t="str">
        <f aca="false">IF(A33="","",INDEX(Formulas!$I$1:$I$1501,SUMPRODUCT(MAX((Formulas!$A$2:$A$1501=B33)*(Formulas!$B$2:$B$1501=$B$3)*ROW(Formulas!$A$2:$A$1501))))&amp;"")</f>
        <v/>
      </c>
      <c r="H33" s="14" t="str">
        <f aca="false">IF(INDEX(Products!$A$2:$A$61,25)="","",INDEX(Products!$A$2:$A$61,25))</f>
        <v/>
      </c>
      <c r="I33" s="14" t="str">
        <f aca="false">IF(H33="","",IF(COUNTIFS(Formulas!$A$2:$A$1501,H33,Formulas!$B$2:$B$1501,$B$3)&gt;0,MAX(I$8:I32)+1,""))</f>
        <v/>
      </c>
    </row>
    <row r="34" customFormat="false" ht="15" hidden="false" customHeight="false" outlineLevel="0" collapsed="false">
      <c r="A34" s="12" t="str">
        <f aca="false">IF(ROW()-8&lt;=$B$5,ROW()-8,"")</f>
        <v/>
      </c>
      <c r="B34" s="13" t="str">
        <f aca="false">IF(A34="","",INDEX($H$9:$H$68,MATCH(A34,$I$9:$I$68,0)))</f>
        <v/>
      </c>
      <c r="C34" s="13" t="str">
        <f aca="false">IF(A34="","",INDEX(Products!$E$2:$E$61,MATCH(B34,Products!$A$2:$A$61,0)))</f>
        <v/>
      </c>
      <c r="D34" s="12" t="str">
        <f aca="false">IF(A34="","",COUNTIFS(Formulas!$A$2:$A$1501,B34,Formulas!$B$2:$B$1501,$B$3))</f>
        <v/>
      </c>
      <c r="E34" s="13" t="str">
        <f aca="false">IF(A34="","",INDEX(Formulas!$I$1:$I$1501,SUMPRODUCT(MAX((Formulas!$A$2:$A$1501=B34)*(Formulas!$B$2:$B$1501=$B$3)*ROW(Formulas!$A$2:$A$1501))))&amp;"")</f>
        <v/>
      </c>
      <c r="H34" s="14" t="str">
        <f aca="false">IF(INDEX(Products!$A$2:$A$61,26)="","",INDEX(Products!$A$2:$A$61,26))</f>
        <v/>
      </c>
      <c r="I34" s="14" t="str">
        <f aca="false">IF(H34="","",IF(COUNTIFS(Formulas!$A$2:$A$1501,H34,Formulas!$B$2:$B$1501,$B$3)&gt;0,MAX(I$8:I33)+1,""))</f>
        <v/>
      </c>
    </row>
    <row r="35" customFormat="false" ht="15" hidden="false" customHeight="false" outlineLevel="0" collapsed="false">
      <c r="A35" s="12" t="str">
        <f aca="false">IF(ROW()-8&lt;=$B$5,ROW()-8,"")</f>
        <v/>
      </c>
      <c r="B35" s="13" t="str">
        <f aca="false">IF(A35="","",INDEX($H$9:$H$68,MATCH(A35,$I$9:$I$68,0)))</f>
        <v/>
      </c>
      <c r="C35" s="13" t="str">
        <f aca="false">IF(A35="","",INDEX(Products!$E$2:$E$61,MATCH(B35,Products!$A$2:$A$61,0)))</f>
        <v/>
      </c>
      <c r="D35" s="12" t="str">
        <f aca="false">IF(A35="","",COUNTIFS(Formulas!$A$2:$A$1501,B35,Formulas!$B$2:$B$1501,$B$3))</f>
        <v/>
      </c>
      <c r="E35" s="13" t="str">
        <f aca="false">IF(A35="","",INDEX(Formulas!$I$1:$I$1501,SUMPRODUCT(MAX((Formulas!$A$2:$A$1501=B35)*(Formulas!$B$2:$B$1501=$B$3)*ROW(Formulas!$A$2:$A$1501))))&amp;"")</f>
        <v/>
      </c>
      <c r="H35" s="14" t="str">
        <f aca="false">IF(INDEX(Products!$A$2:$A$61,27)="","",INDEX(Products!$A$2:$A$61,27))</f>
        <v/>
      </c>
      <c r="I35" s="14" t="str">
        <f aca="false">IF(H35="","",IF(COUNTIFS(Formulas!$A$2:$A$1501,H35,Formulas!$B$2:$B$1501,$B$3)&gt;0,MAX(I$8:I34)+1,""))</f>
        <v/>
      </c>
    </row>
    <row r="36" customFormat="false" ht="15" hidden="false" customHeight="false" outlineLevel="0" collapsed="false">
      <c r="A36" s="12" t="str">
        <f aca="false">IF(ROW()-8&lt;=$B$5,ROW()-8,"")</f>
        <v/>
      </c>
      <c r="B36" s="13" t="str">
        <f aca="false">IF(A36="","",INDEX($H$9:$H$68,MATCH(A36,$I$9:$I$68,0)))</f>
        <v/>
      </c>
      <c r="C36" s="13" t="str">
        <f aca="false">IF(A36="","",INDEX(Products!$E$2:$E$61,MATCH(B36,Products!$A$2:$A$61,0)))</f>
        <v/>
      </c>
      <c r="D36" s="12" t="str">
        <f aca="false">IF(A36="","",COUNTIFS(Formulas!$A$2:$A$1501,B36,Formulas!$B$2:$B$1501,$B$3))</f>
        <v/>
      </c>
      <c r="E36" s="13" t="str">
        <f aca="false">IF(A36="","",INDEX(Formulas!$I$1:$I$1501,SUMPRODUCT(MAX((Formulas!$A$2:$A$1501=B36)*(Formulas!$B$2:$B$1501=$B$3)*ROW(Formulas!$A$2:$A$1501))))&amp;"")</f>
        <v/>
      </c>
      <c r="H36" s="14" t="str">
        <f aca="false">IF(INDEX(Products!$A$2:$A$61,28)="","",INDEX(Products!$A$2:$A$61,28))</f>
        <v/>
      </c>
      <c r="I36" s="14" t="str">
        <f aca="false">IF(H36="","",IF(COUNTIFS(Formulas!$A$2:$A$1501,H36,Formulas!$B$2:$B$1501,$B$3)&gt;0,MAX(I$8:I35)+1,""))</f>
        <v/>
      </c>
    </row>
    <row r="37" customFormat="false" ht="15" hidden="false" customHeight="false" outlineLevel="0" collapsed="false">
      <c r="A37" s="12" t="str">
        <f aca="false">IF(ROW()-8&lt;=$B$5,ROW()-8,"")</f>
        <v/>
      </c>
      <c r="B37" s="13" t="str">
        <f aca="false">IF(A37="","",INDEX($H$9:$H$68,MATCH(A37,$I$9:$I$68,0)))</f>
        <v/>
      </c>
      <c r="C37" s="13" t="str">
        <f aca="false">IF(A37="","",INDEX(Products!$E$2:$E$61,MATCH(B37,Products!$A$2:$A$61,0)))</f>
        <v/>
      </c>
      <c r="D37" s="12" t="str">
        <f aca="false">IF(A37="","",COUNTIFS(Formulas!$A$2:$A$1501,B37,Formulas!$B$2:$B$1501,$B$3))</f>
        <v/>
      </c>
      <c r="E37" s="13" t="str">
        <f aca="false">IF(A37="","",INDEX(Formulas!$I$1:$I$1501,SUMPRODUCT(MAX((Formulas!$A$2:$A$1501=B37)*(Formulas!$B$2:$B$1501=$B$3)*ROW(Formulas!$A$2:$A$1501))))&amp;"")</f>
        <v/>
      </c>
      <c r="H37" s="14" t="str">
        <f aca="false">IF(INDEX(Products!$A$2:$A$61,29)="","",INDEX(Products!$A$2:$A$61,29))</f>
        <v/>
      </c>
      <c r="I37" s="14" t="str">
        <f aca="false">IF(H37="","",IF(COUNTIFS(Formulas!$A$2:$A$1501,H37,Formulas!$B$2:$B$1501,$B$3)&gt;0,MAX(I$8:I36)+1,""))</f>
        <v/>
      </c>
    </row>
    <row r="38" customFormat="false" ht="15" hidden="false" customHeight="false" outlineLevel="0" collapsed="false">
      <c r="A38" s="12" t="str">
        <f aca="false">IF(ROW()-8&lt;=$B$5,ROW()-8,"")</f>
        <v/>
      </c>
      <c r="B38" s="13" t="str">
        <f aca="false">IF(A38="","",INDEX($H$9:$H$68,MATCH(A38,$I$9:$I$68,0)))</f>
        <v/>
      </c>
      <c r="C38" s="13" t="str">
        <f aca="false">IF(A38="","",INDEX(Products!$E$2:$E$61,MATCH(B38,Products!$A$2:$A$61,0)))</f>
        <v/>
      </c>
      <c r="D38" s="12" t="str">
        <f aca="false">IF(A38="","",COUNTIFS(Formulas!$A$2:$A$1501,B38,Formulas!$B$2:$B$1501,$B$3))</f>
        <v/>
      </c>
      <c r="E38" s="13" t="str">
        <f aca="false">IF(A38="","",INDEX(Formulas!$I$1:$I$1501,SUMPRODUCT(MAX((Formulas!$A$2:$A$1501=B38)*(Formulas!$B$2:$B$1501=$B$3)*ROW(Formulas!$A$2:$A$1501))))&amp;"")</f>
        <v/>
      </c>
      <c r="H38" s="14" t="str">
        <f aca="false">IF(INDEX(Products!$A$2:$A$61,30)="","",INDEX(Products!$A$2:$A$61,30))</f>
        <v/>
      </c>
      <c r="I38" s="14" t="str">
        <f aca="false">IF(H38="","",IF(COUNTIFS(Formulas!$A$2:$A$1501,H38,Formulas!$B$2:$B$1501,$B$3)&gt;0,MAX(I$8:I37)+1,""))</f>
        <v/>
      </c>
    </row>
    <row r="39" customFormat="false" ht="15" hidden="false" customHeight="false" outlineLevel="0" collapsed="false">
      <c r="A39" s="12" t="str">
        <f aca="false">IF(ROW()-8&lt;=$B$5,ROW()-8,"")</f>
        <v/>
      </c>
      <c r="B39" s="13" t="str">
        <f aca="false">IF(A39="","",INDEX($H$9:$H$68,MATCH(A39,$I$9:$I$68,0)))</f>
        <v/>
      </c>
      <c r="C39" s="13" t="str">
        <f aca="false">IF(A39="","",INDEX(Products!$E$2:$E$61,MATCH(B39,Products!$A$2:$A$61,0)))</f>
        <v/>
      </c>
      <c r="D39" s="12" t="str">
        <f aca="false">IF(A39="","",COUNTIFS(Formulas!$A$2:$A$1501,B39,Formulas!$B$2:$B$1501,$B$3))</f>
        <v/>
      </c>
      <c r="E39" s="13" t="str">
        <f aca="false">IF(A39="","",INDEX(Formulas!$I$1:$I$1501,SUMPRODUCT(MAX((Formulas!$A$2:$A$1501=B39)*(Formulas!$B$2:$B$1501=$B$3)*ROW(Formulas!$A$2:$A$1501))))&amp;"")</f>
        <v/>
      </c>
      <c r="H39" s="14" t="str">
        <f aca="false">IF(INDEX(Products!$A$2:$A$61,31)="","",INDEX(Products!$A$2:$A$61,31))</f>
        <v/>
      </c>
      <c r="I39" s="14" t="str">
        <f aca="false">IF(H39="","",IF(COUNTIFS(Formulas!$A$2:$A$1501,H39,Formulas!$B$2:$B$1501,$B$3)&gt;0,MAX(I$8:I38)+1,""))</f>
        <v/>
      </c>
    </row>
    <row r="40" customFormat="false" ht="15" hidden="false" customHeight="false" outlineLevel="0" collapsed="false">
      <c r="A40" s="12" t="str">
        <f aca="false">IF(ROW()-8&lt;=$B$5,ROW()-8,"")</f>
        <v/>
      </c>
      <c r="B40" s="13" t="str">
        <f aca="false">IF(A40="","",INDEX($H$9:$H$68,MATCH(A40,$I$9:$I$68,0)))</f>
        <v/>
      </c>
      <c r="C40" s="13" t="str">
        <f aca="false">IF(A40="","",INDEX(Products!$E$2:$E$61,MATCH(B40,Products!$A$2:$A$61,0)))</f>
        <v/>
      </c>
      <c r="D40" s="12" t="str">
        <f aca="false">IF(A40="","",COUNTIFS(Formulas!$A$2:$A$1501,B40,Formulas!$B$2:$B$1501,$B$3))</f>
        <v/>
      </c>
      <c r="E40" s="13" t="str">
        <f aca="false">IF(A40="","",INDEX(Formulas!$I$1:$I$1501,SUMPRODUCT(MAX((Formulas!$A$2:$A$1501=B40)*(Formulas!$B$2:$B$1501=$B$3)*ROW(Formulas!$A$2:$A$1501))))&amp;"")</f>
        <v/>
      </c>
      <c r="H40" s="14" t="str">
        <f aca="false">IF(INDEX(Products!$A$2:$A$61,32)="","",INDEX(Products!$A$2:$A$61,32))</f>
        <v/>
      </c>
      <c r="I40" s="14" t="str">
        <f aca="false">IF(H40="","",IF(COUNTIFS(Formulas!$A$2:$A$1501,H40,Formulas!$B$2:$B$1501,$B$3)&gt;0,MAX(I$8:I39)+1,""))</f>
        <v/>
      </c>
    </row>
    <row r="41" customFormat="false" ht="15" hidden="false" customHeight="false" outlineLevel="0" collapsed="false">
      <c r="A41" s="12" t="str">
        <f aca="false">IF(ROW()-8&lt;=$B$5,ROW()-8,"")</f>
        <v/>
      </c>
      <c r="B41" s="13" t="str">
        <f aca="false">IF(A41="","",INDEX($H$9:$H$68,MATCH(A41,$I$9:$I$68,0)))</f>
        <v/>
      </c>
      <c r="C41" s="13" t="str">
        <f aca="false">IF(A41="","",INDEX(Products!$E$2:$E$61,MATCH(B41,Products!$A$2:$A$61,0)))</f>
        <v/>
      </c>
      <c r="D41" s="12" t="str">
        <f aca="false">IF(A41="","",COUNTIFS(Formulas!$A$2:$A$1501,B41,Formulas!$B$2:$B$1501,$B$3))</f>
        <v/>
      </c>
      <c r="E41" s="13" t="str">
        <f aca="false">IF(A41="","",INDEX(Formulas!$I$1:$I$1501,SUMPRODUCT(MAX((Formulas!$A$2:$A$1501=B41)*(Formulas!$B$2:$B$1501=$B$3)*ROW(Formulas!$A$2:$A$1501))))&amp;"")</f>
        <v/>
      </c>
      <c r="H41" s="14" t="str">
        <f aca="false">IF(INDEX(Products!$A$2:$A$61,33)="","",INDEX(Products!$A$2:$A$61,33))</f>
        <v/>
      </c>
      <c r="I41" s="14" t="str">
        <f aca="false">IF(H41="","",IF(COUNTIFS(Formulas!$A$2:$A$1501,H41,Formulas!$B$2:$B$1501,$B$3)&gt;0,MAX(I$8:I40)+1,""))</f>
        <v/>
      </c>
    </row>
    <row r="42" customFormat="false" ht="15" hidden="false" customHeight="false" outlineLevel="0" collapsed="false">
      <c r="A42" s="12" t="str">
        <f aca="false">IF(ROW()-8&lt;=$B$5,ROW()-8,"")</f>
        <v/>
      </c>
      <c r="B42" s="13" t="str">
        <f aca="false">IF(A42="","",INDEX($H$9:$H$68,MATCH(A42,$I$9:$I$68,0)))</f>
        <v/>
      </c>
      <c r="C42" s="13" t="str">
        <f aca="false">IF(A42="","",INDEX(Products!$E$2:$E$61,MATCH(B42,Products!$A$2:$A$61,0)))</f>
        <v/>
      </c>
      <c r="D42" s="12" t="str">
        <f aca="false">IF(A42="","",COUNTIFS(Formulas!$A$2:$A$1501,B42,Formulas!$B$2:$B$1501,$B$3))</f>
        <v/>
      </c>
      <c r="E42" s="13" t="str">
        <f aca="false">IF(A42="","",INDEX(Formulas!$I$1:$I$1501,SUMPRODUCT(MAX((Formulas!$A$2:$A$1501=B42)*(Formulas!$B$2:$B$1501=$B$3)*ROW(Formulas!$A$2:$A$1501))))&amp;"")</f>
        <v/>
      </c>
      <c r="H42" s="14" t="str">
        <f aca="false">IF(INDEX(Products!$A$2:$A$61,34)="","",INDEX(Products!$A$2:$A$61,34))</f>
        <v/>
      </c>
      <c r="I42" s="14" t="str">
        <f aca="false">IF(H42="","",IF(COUNTIFS(Formulas!$A$2:$A$1501,H42,Formulas!$B$2:$B$1501,$B$3)&gt;0,MAX(I$8:I41)+1,""))</f>
        <v/>
      </c>
    </row>
    <row r="43" customFormat="false" ht="15" hidden="false" customHeight="false" outlineLevel="0" collapsed="false">
      <c r="A43" s="12" t="str">
        <f aca="false">IF(ROW()-8&lt;=$B$5,ROW()-8,"")</f>
        <v/>
      </c>
      <c r="B43" s="13" t="str">
        <f aca="false">IF(A43="","",INDEX($H$9:$H$68,MATCH(A43,$I$9:$I$68,0)))</f>
        <v/>
      </c>
      <c r="C43" s="13" t="str">
        <f aca="false">IF(A43="","",INDEX(Products!$E$2:$E$61,MATCH(B43,Products!$A$2:$A$61,0)))</f>
        <v/>
      </c>
      <c r="D43" s="12" t="str">
        <f aca="false">IF(A43="","",COUNTIFS(Formulas!$A$2:$A$1501,B43,Formulas!$B$2:$B$1501,$B$3))</f>
        <v/>
      </c>
      <c r="E43" s="13" t="str">
        <f aca="false">IF(A43="","",INDEX(Formulas!$I$1:$I$1501,SUMPRODUCT(MAX((Formulas!$A$2:$A$1501=B43)*(Formulas!$B$2:$B$1501=$B$3)*ROW(Formulas!$A$2:$A$1501))))&amp;"")</f>
        <v/>
      </c>
      <c r="H43" s="14" t="str">
        <f aca="false">IF(INDEX(Products!$A$2:$A$61,35)="","",INDEX(Products!$A$2:$A$61,35))</f>
        <v/>
      </c>
      <c r="I43" s="14" t="str">
        <f aca="false">IF(H43="","",IF(COUNTIFS(Formulas!$A$2:$A$1501,H43,Formulas!$B$2:$B$1501,$B$3)&gt;0,MAX(I$8:I42)+1,""))</f>
        <v/>
      </c>
    </row>
    <row r="44" customFormat="false" ht="15" hidden="false" customHeight="false" outlineLevel="0" collapsed="false">
      <c r="A44" s="12" t="str">
        <f aca="false">IF(ROW()-8&lt;=$B$5,ROW()-8,"")</f>
        <v/>
      </c>
      <c r="B44" s="13" t="str">
        <f aca="false">IF(A44="","",INDEX($H$9:$H$68,MATCH(A44,$I$9:$I$68,0)))</f>
        <v/>
      </c>
      <c r="C44" s="13" t="str">
        <f aca="false">IF(A44="","",INDEX(Products!$E$2:$E$61,MATCH(B44,Products!$A$2:$A$61,0)))</f>
        <v/>
      </c>
      <c r="D44" s="12" t="str">
        <f aca="false">IF(A44="","",COUNTIFS(Formulas!$A$2:$A$1501,B44,Formulas!$B$2:$B$1501,$B$3))</f>
        <v/>
      </c>
      <c r="E44" s="13" t="str">
        <f aca="false">IF(A44="","",INDEX(Formulas!$I$1:$I$1501,SUMPRODUCT(MAX((Formulas!$A$2:$A$1501=B44)*(Formulas!$B$2:$B$1501=$B$3)*ROW(Formulas!$A$2:$A$1501))))&amp;"")</f>
        <v/>
      </c>
      <c r="H44" s="14" t="str">
        <f aca="false">IF(INDEX(Products!$A$2:$A$61,36)="","",INDEX(Products!$A$2:$A$61,36))</f>
        <v/>
      </c>
      <c r="I44" s="14" t="str">
        <f aca="false">IF(H44="","",IF(COUNTIFS(Formulas!$A$2:$A$1501,H44,Formulas!$B$2:$B$1501,$B$3)&gt;0,MAX(I$8:I43)+1,""))</f>
        <v/>
      </c>
    </row>
    <row r="45" customFormat="false" ht="15" hidden="false" customHeight="false" outlineLevel="0" collapsed="false">
      <c r="A45" s="12" t="str">
        <f aca="false">IF(ROW()-8&lt;=$B$5,ROW()-8,"")</f>
        <v/>
      </c>
      <c r="B45" s="13" t="str">
        <f aca="false">IF(A45="","",INDEX($H$9:$H$68,MATCH(A45,$I$9:$I$68,0)))</f>
        <v/>
      </c>
      <c r="C45" s="13" t="str">
        <f aca="false">IF(A45="","",INDEX(Products!$E$2:$E$61,MATCH(B45,Products!$A$2:$A$61,0)))</f>
        <v/>
      </c>
      <c r="D45" s="12" t="str">
        <f aca="false">IF(A45="","",COUNTIFS(Formulas!$A$2:$A$1501,B45,Formulas!$B$2:$B$1501,$B$3))</f>
        <v/>
      </c>
      <c r="E45" s="13" t="str">
        <f aca="false">IF(A45="","",INDEX(Formulas!$I$1:$I$1501,SUMPRODUCT(MAX((Formulas!$A$2:$A$1501=B45)*(Formulas!$B$2:$B$1501=$B$3)*ROW(Formulas!$A$2:$A$1501))))&amp;"")</f>
        <v/>
      </c>
      <c r="H45" s="14" t="str">
        <f aca="false">IF(INDEX(Products!$A$2:$A$61,37)="","",INDEX(Products!$A$2:$A$61,37))</f>
        <v/>
      </c>
      <c r="I45" s="14" t="str">
        <f aca="false">IF(H45="","",IF(COUNTIFS(Formulas!$A$2:$A$1501,H45,Formulas!$B$2:$B$1501,$B$3)&gt;0,MAX(I$8:I44)+1,""))</f>
        <v/>
      </c>
    </row>
    <row r="46" customFormat="false" ht="15" hidden="false" customHeight="false" outlineLevel="0" collapsed="false">
      <c r="A46" s="12" t="str">
        <f aca="false">IF(ROW()-8&lt;=$B$5,ROW()-8,"")</f>
        <v/>
      </c>
      <c r="B46" s="13" t="str">
        <f aca="false">IF(A46="","",INDEX($H$9:$H$68,MATCH(A46,$I$9:$I$68,0)))</f>
        <v/>
      </c>
      <c r="C46" s="13" t="str">
        <f aca="false">IF(A46="","",INDEX(Products!$E$2:$E$61,MATCH(B46,Products!$A$2:$A$61,0)))</f>
        <v/>
      </c>
      <c r="D46" s="12" t="str">
        <f aca="false">IF(A46="","",COUNTIFS(Formulas!$A$2:$A$1501,B46,Formulas!$B$2:$B$1501,$B$3))</f>
        <v/>
      </c>
      <c r="E46" s="13" t="str">
        <f aca="false">IF(A46="","",INDEX(Formulas!$I$1:$I$1501,SUMPRODUCT(MAX((Formulas!$A$2:$A$1501=B46)*(Formulas!$B$2:$B$1501=$B$3)*ROW(Formulas!$A$2:$A$1501))))&amp;"")</f>
        <v/>
      </c>
      <c r="H46" s="14" t="str">
        <f aca="false">IF(INDEX(Products!$A$2:$A$61,38)="","",INDEX(Products!$A$2:$A$61,38))</f>
        <v/>
      </c>
      <c r="I46" s="14" t="str">
        <f aca="false">IF(H46="","",IF(COUNTIFS(Formulas!$A$2:$A$1501,H46,Formulas!$B$2:$B$1501,$B$3)&gt;0,MAX(I$8:I45)+1,""))</f>
        <v/>
      </c>
    </row>
    <row r="47" customFormat="false" ht="15" hidden="false" customHeight="false" outlineLevel="0" collapsed="false">
      <c r="A47" s="12" t="str">
        <f aca="false">IF(ROW()-8&lt;=$B$5,ROW()-8,"")</f>
        <v/>
      </c>
      <c r="B47" s="13" t="str">
        <f aca="false">IF(A47="","",INDEX($H$9:$H$68,MATCH(A47,$I$9:$I$68,0)))</f>
        <v/>
      </c>
      <c r="C47" s="13" t="str">
        <f aca="false">IF(A47="","",INDEX(Products!$E$2:$E$61,MATCH(B47,Products!$A$2:$A$61,0)))</f>
        <v/>
      </c>
      <c r="D47" s="12" t="str">
        <f aca="false">IF(A47="","",COUNTIFS(Formulas!$A$2:$A$1501,B47,Formulas!$B$2:$B$1501,$B$3))</f>
        <v/>
      </c>
      <c r="E47" s="13" t="str">
        <f aca="false">IF(A47="","",INDEX(Formulas!$I$1:$I$1501,SUMPRODUCT(MAX((Formulas!$A$2:$A$1501=B47)*(Formulas!$B$2:$B$1501=$B$3)*ROW(Formulas!$A$2:$A$1501))))&amp;"")</f>
        <v/>
      </c>
      <c r="H47" s="14" t="str">
        <f aca="false">IF(INDEX(Products!$A$2:$A$61,39)="","",INDEX(Products!$A$2:$A$61,39))</f>
        <v/>
      </c>
      <c r="I47" s="14" t="str">
        <f aca="false">IF(H47="","",IF(COUNTIFS(Formulas!$A$2:$A$1501,H47,Formulas!$B$2:$B$1501,$B$3)&gt;0,MAX(I$8:I46)+1,""))</f>
        <v/>
      </c>
    </row>
    <row r="48" customFormat="false" ht="15" hidden="false" customHeight="false" outlineLevel="0" collapsed="false">
      <c r="A48" s="12" t="str">
        <f aca="false">IF(ROW()-8&lt;=$B$5,ROW()-8,"")</f>
        <v/>
      </c>
      <c r="B48" s="13" t="str">
        <f aca="false">IF(A48="","",INDEX($H$9:$H$68,MATCH(A48,$I$9:$I$68,0)))</f>
        <v/>
      </c>
      <c r="C48" s="13" t="str">
        <f aca="false">IF(A48="","",INDEX(Products!$E$2:$E$61,MATCH(B48,Products!$A$2:$A$61,0)))</f>
        <v/>
      </c>
      <c r="D48" s="12" t="str">
        <f aca="false">IF(A48="","",COUNTIFS(Formulas!$A$2:$A$1501,B48,Formulas!$B$2:$B$1501,$B$3))</f>
        <v/>
      </c>
      <c r="E48" s="13" t="str">
        <f aca="false">IF(A48="","",INDEX(Formulas!$I$1:$I$1501,SUMPRODUCT(MAX((Formulas!$A$2:$A$1501=B48)*(Formulas!$B$2:$B$1501=$B$3)*ROW(Formulas!$A$2:$A$1501))))&amp;"")</f>
        <v/>
      </c>
      <c r="H48" s="14" t="str">
        <f aca="false">IF(INDEX(Products!$A$2:$A$61,40)="","",INDEX(Products!$A$2:$A$61,40))</f>
        <v/>
      </c>
      <c r="I48" s="14" t="str">
        <f aca="false">IF(H48="","",IF(COUNTIFS(Formulas!$A$2:$A$1501,H48,Formulas!$B$2:$B$1501,$B$3)&gt;0,MAX(I$8:I47)+1,""))</f>
        <v/>
      </c>
    </row>
    <row r="49" customFormat="false" ht="15" hidden="false" customHeight="false" outlineLevel="0" collapsed="false">
      <c r="A49" s="12" t="str">
        <f aca="false">IF(ROW()-8&lt;=$B$5,ROW()-8,"")</f>
        <v/>
      </c>
      <c r="B49" s="13" t="str">
        <f aca="false">IF(A49="","",INDEX($H$9:$H$68,MATCH(A49,$I$9:$I$68,0)))</f>
        <v/>
      </c>
      <c r="C49" s="13" t="str">
        <f aca="false">IF(A49="","",INDEX(Products!$E$2:$E$61,MATCH(B49,Products!$A$2:$A$61,0)))</f>
        <v/>
      </c>
      <c r="D49" s="12" t="str">
        <f aca="false">IF(A49="","",COUNTIFS(Formulas!$A$2:$A$1501,B49,Formulas!$B$2:$B$1501,$B$3))</f>
        <v/>
      </c>
      <c r="E49" s="13" t="str">
        <f aca="false">IF(A49="","",INDEX(Formulas!$I$1:$I$1501,SUMPRODUCT(MAX((Formulas!$A$2:$A$1501=B49)*(Formulas!$B$2:$B$1501=$B$3)*ROW(Formulas!$A$2:$A$1501))))&amp;"")</f>
        <v/>
      </c>
      <c r="H49" s="14" t="str">
        <f aca="false">IF(INDEX(Products!$A$2:$A$61,41)="","",INDEX(Products!$A$2:$A$61,41))</f>
        <v/>
      </c>
      <c r="I49" s="14" t="str">
        <f aca="false">IF(H49="","",IF(COUNTIFS(Formulas!$A$2:$A$1501,H49,Formulas!$B$2:$B$1501,$B$3)&gt;0,MAX(I$8:I48)+1,""))</f>
        <v/>
      </c>
    </row>
    <row r="50" customFormat="false" ht="15" hidden="false" customHeight="false" outlineLevel="0" collapsed="false">
      <c r="A50" s="12" t="str">
        <f aca="false">IF(ROW()-8&lt;=$B$5,ROW()-8,"")</f>
        <v/>
      </c>
      <c r="B50" s="13" t="str">
        <f aca="false">IF(A50="","",INDEX($H$9:$H$68,MATCH(A50,$I$9:$I$68,0)))</f>
        <v/>
      </c>
      <c r="C50" s="13" t="str">
        <f aca="false">IF(A50="","",INDEX(Products!$E$2:$E$61,MATCH(B50,Products!$A$2:$A$61,0)))</f>
        <v/>
      </c>
      <c r="D50" s="12" t="str">
        <f aca="false">IF(A50="","",COUNTIFS(Formulas!$A$2:$A$1501,B50,Formulas!$B$2:$B$1501,$B$3))</f>
        <v/>
      </c>
      <c r="E50" s="13" t="str">
        <f aca="false">IF(A50="","",INDEX(Formulas!$I$1:$I$1501,SUMPRODUCT(MAX((Formulas!$A$2:$A$1501=B50)*(Formulas!$B$2:$B$1501=$B$3)*ROW(Formulas!$A$2:$A$1501))))&amp;"")</f>
        <v/>
      </c>
      <c r="H50" s="14" t="str">
        <f aca="false">IF(INDEX(Products!$A$2:$A$61,42)="","",INDEX(Products!$A$2:$A$61,42))</f>
        <v/>
      </c>
      <c r="I50" s="14" t="str">
        <f aca="false">IF(H50="","",IF(COUNTIFS(Formulas!$A$2:$A$1501,H50,Formulas!$B$2:$B$1501,$B$3)&gt;0,MAX(I$8:I49)+1,""))</f>
        <v/>
      </c>
    </row>
    <row r="51" customFormat="false" ht="15" hidden="false" customHeight="false" outlineLevel="0" collapsed="false">
      <c r="A51" s="12" t="str">
        <f aca="false">IF(ROW()-8&lt;=$B$5,ROW()-8,"")</f>
        <v/>
      </c>
      <c r="B51" s="13" t="str">
        <f aca="false">IF(A51="","",INDEX($H$9:$H$68,MATCH(A51,$I$9:$I$68,0)))</f>
        <v/>
      </c>
      <c r="C51" s="13" t="str">
        <f aca="false">IF(A51="","",INDEX(Products!$E$2:$E$61,MATCH(B51,Products!$A$2:$A$61,0)))</f>
        <v/>
      </c>
      <c r="D51" s="12" t="str">
        <f aca="false">IF(A51="","",COUNTIFS(Formulas!$A$2:$A$1501,B51,Formulas!$B$2:$B$1501,$B$3))</f>
        <v/>
      </c>
      <c r="E51" s="13" t="str">
        <f aca="false">IF(A51="","",INDEX(Formulas!$I$1:$I$1501,SUMPRODUCT(MAX((Formulas!$A$2:$A$1501=B51)*(Formulas!$B$2:$B$1501=$B$3)*ROW(Formulas!$A$2:$A$1501))))&amp;"")</f>
        <v/>
      </c>
      <c r="H51" s="14" t="str">
        <f aca="false">IF(INDEX(Products!$A$2:$A$61,43)="","",INDEX(Products!$A$2:$A$61,43))</f>
        <v/>
      </c>
      <c r="I51" s="14" t="str">
        <f aca="false">IF(H51="","",IF(COUNTIFS(Formulas!$A$2:$A$1501,H51,Formulas!$B$2:$B$1501,$B$3)&gt;0,MAX(I$8:I50)+1,""))</f>
        <v/>
      </c>
    </row>
    <row r="52" customFormat="false" ht="15" hidden="false" customHeight="false" outlineLevel="0" collapsed="false">
      <c r="A52" s="12" t="str">
        <f aca="false">IF(ROW()-8&lt;=$B$5,ROW()-8,"")</f>
        <v/>
      </c>
      <c r="B52" s="13" t="str">
        <f aca="false">IF(A52="","",INDEX($H$9:$H$68,MATCH(A52,$I$9:$I$68,0)))</f>
        <v/>
      </c>
      <c r="C52" s="13" t="str">
        <f aca="false">IF(A52="","",INDEX(Products!$E$2:$E$61,MATCH(B52,Products!$A$2:$A$61,0)))</f>
        <v/>
      </c>
      <c r="D52" s="12" t="str">
        <f aca="false">IF(A52="","",COUNTIFS(Formulas!$A$2:$A$1501,B52,Formulas!$B$2:$B$1501,$B$3))</f>
        <v/>
      </c>
      <c r="E52" s="13" t="str">
        <f aca="false">IF(A52="","",INDEX(Formulas!$I$1:$I$1501,SUMPRODUCT(MAX((Formulas!$A$2:$A$1501=B52)*(Formulas!$B$2:$B$1501=$B$3)*ROW(Formulas!$A$2:$A$1501))))&amp;"")</f>
        <v/>
      </c>
      <c r="H52" s="14" t="str">
        <f aca="false">IF(INDEX(Products!$A$2:$A$61,44)="","",INDEX(Products!$A$2:$A$61,44))</f>
        <v/>
      </c>
      <c r="I52" s="14" t="str">
        <f aca="false">IF(H52="","",IF(COUNTIFS(Formulas!$A$2:$A$1501,H52,Formulas!$B$2:$B$1501,$B$3)&gt;0,MAX(I$8:I51)+1,""))</f>
        <v/>
      </c>
    </row>
    <row r="53" customFormat="false" ht="15" hidden="false" customHeight="false" outlineLevel="0" collapsed="false">
      <c r="A53" s="12" t="str">
        <f aca="false">IF(ROW()-8&lt;=$B$5,ROW()-8,"")</f>
        <v/>
      </c>
      <c r="B53" s="13" t="str">
        <f aca="false">IF(A53="","",INDEX($H$9:$H$68,MATCH(A53,$I$9:$I$68,0)))</f>
        <v/>
      </c>
      <c r="C53" s="13" t="str">
        <f aca="false">IF(A53="","",INDEX(Products!$E$2:$E$61,MATCH(B53,Products!$A$2:$A$61,0)))</f>
        <v/>
      </c>
      <c r="D53" s="12" t="str">
        <f aca="false">IF(A53="","",COUNTIFS(Formulas!$A$2:$A$1501,B53,Formulas!$B$2:$B$1501,$B$3))</f>
        <v/>
      </c>
      <c r="E53" s="13" t="str">
        <f aca="false">IF(A53="","",INDEX(Formulas!$I$1:$I$1501,SUMPRODUCT(MAX((Formulas!$A$2:$A$1501=B53)*(Formulas!$B$2:$B$1501=$B$3)*ROW(Formulas!$A$2:$A$1501))))&amp;"")</f>
        <v/>
      </c>
      <c r="H53" s="14" t="str">
        <f aca="false">IF(INDEX(Products!$A$2:$A$61,45)="","",INDEX(Products!$A$2:$A$61,45))</f>
        <v/>
      </c>
      <c r="I53" s="14" t="str">
        <f aca="false">IF(H53="","",IF(COUNTIFS(Formulas!$A$2:$A$1501,H53,Formulas!$B$2:$B$1501,$B$3)&gt;0,MAX(I$8:I52)+1,""))</f>
        <v/>
      </c>
    </row>
    <row r="54" customFormat="false" ht="15" hidden="false" customHeight="false" outlineLevel="0" collapsed="false">
      <c r="A54" s="12" t="str">
        <f aca="false">IF(ROW()-8&lt;=$B$5,ROW()-8,"")</f>
        <v/>
      </c>
      <c r="B54" s="13" t="str">
        <f aca="false">IF(A54="","",INDEX($H$9:$H$68,MATCH(A54,$I$9:$I$68,0)))</f>
        <v/>
      </c>
      <c r="C54" s="13" t="str">
        <f aca="false">IF(A54="","",INDEX(Products!$E$2:$E$61,MATCH(B54,Products!$A$2:$A$61,0)))</f>
        <v/>
      </c>
      <c r="D54" s="12" t="str">
        <f aca="false">IF(A54="","",COUNTIFS(Formulas!$A$2:$A$1501,B54,Formulas!$B$2:$B$1501,$B$3))</f>
        <v/>
      </c>
      <c r="E54" s="13" t="str">
        <f aca="false">IF(A54="","",INDEX(Formulas!$I$1:$I$1501,SUMPRODUCT(MAX((Formulas!$A$2:$A$1501=B54)*(Formulas!$B$2:$B$1501=$B$3)*ROW(Formulas!$A$2:$A$1501))))&amp;"")</f>
        <v/>
      </c>
      <c r="H54" s="14" t="str">
        <f aca="false">IF(INDEX(Products!$A$2:$A$61,46)="","",INDEX(Products!$A$2:$A$61,46))</f>
        <v/>
      </c>
      <c r="I54" s="14" t="str">
        <f aca="false">IF(H54="","",IF(COUNTIFS(Formulas!$A$2:$A$1501,H54,Formulas!$B$2:$B$1501,$B$3)&gt;0,MAX(I$8:I53)+1,""))</f>
        <v/>
      </c>
    </row>
    <row r="55" customFormat="false" ht="15" hidden="false" customHeight="false" outlineLevel="0" collapsed="false">
      <c r="A55" s="12" t="str">
        <f aca="false">IF(ROW()-8&lt;=$B$5,ROW()-8,"")</f>
        <v/>
      </c>
      <c r="B55" s="13" t="str">
        <f aca="false">IF(A55="","",INDEX($H$9:$H$68,MATCH(A55,$I$9:$I$68,0)))</f>
        <v/>
      </c>
      <c r="C55" s="13" t="str">
        <f aca="false">IF(A55="","",INDEX(Products!$E$2:$E$61,MATCH(B55,Products!$A$2:$A$61,0)))</f>
        <v/>
      </c>
      <c r="D55" s="12" t="str">
        <f aca="false">IF(A55="","",COUNTIFS(Formulas!$A$2:$A$1501,B55,Formulas!$B$2:$B$1501,$B$3))</f>
        <v/>
      </c>
      <c r="E55" s="13" t="str">
        <f aca="false">IF(A55="","",INDEX(Formulas!$I$1:$I$1501,SUMPRODUCT(MAX((Formulas!$A$2:$A$1501=B55)*(Formulas!$B$2:$B$1501=$B$3)*ROW(Formulas!$A$2:$A$1501))))&amp;"")</f>
        <v/>
      </c>
      <c r="H55" s="14" t="str">
        <f aca="false">IF(INDEX(Products!$A$2:$A$61,47)="","",INDEX(Products!$A$2:$A$61,47))</f>
        <v/>
      </c>
      <c r="I55" s="14" t="str">
        <f aca="false">IF(H55="","",IF(COUNTIFS(Formulas!$A$2:$A$1501,H55,Formulas!$B$2:$B$1501,$B$3)&gt;0,MAX(I$8:I54)+1,""))</f>
        <v/>
      </c>
    </row>
    <row r="56" customFormat="false" ht="15" hidden="false" customHeight="false" outlineLevel="0" collapsed="false">
      <c r="A56" s="12" t="str">
        <f aca="false">IF(ROW()-8&lt;=$B$5,ROW()-8,"")</f>
        <v/>
      </c>
      <c r="B56" s="13" t="str">
        <f aca="false">IF(A56="","",INDEX($H$9:$H$68,MATCH(A56,$I$9:$I$68,0)))</f>
        <v/>
      </c>
      <c r="C56" s="13" t="str">
        <f aca="false">IF(A56="","",INDEX(Products!$E$2:$E$61,MATCH(B56,Products!$A$2:$A$61,0)))</f>
        <v/>
      </c>
      <c r="D56" s="12" t="str">
        <f aca="false">IF(A56="","",COUNTIFS(Formulas!$A$2:$A$1501,B56,Formulas!$B$2:$B$1501,$B$3))</f>
        <v/>
      </c>
      <c r="E56" s="13" t="str">
        <f aca="false">IF(A56="","",INDEX(Formulas!$I$1:$I$1501,SUMPRODUCT(MAX((Formulas!$A$2:$A$1501=B56)*(Formulas!$B$2:$B$1501=$B$3)*ROW(Formulas!$A$2:$A$1501))))&amp;"")</f>
        <v/>
      </c>
      <c r="H56" s="14" t="str">
        <f aca="false">IF(INDEX(Products!$A$2:$A$61,48)="","",INDEX(Products!$A$2:$A$61,48))</f>
        <v/>
      </c>
      <c r="I56" s="14" t="str">
        <f aca="false">IF(H56="","",IF(COUNTIFS(Formulas!$A$2:$A$1501,H56,Formulas!$B$2:$B$1501,$B$3)&gt;0,MAX(I$8:I55)+1,""))</f>
        <v/>
      </c>
    </row>
    <row r="57" customFormat="false" ht="15" hidden="false" customHeight="false" outlineLevel="0" collapsed="false">
      <c r="A57" s="12" t="str">
        <f aca="false">IF(ROW()-8&lt;=$B$5,ROW()-8,"")</f>
        <v/>
      </c>
      <c r="B57" s="13" t="str">
        <f aca="false">IF(A57="","",INDEX($H$9:$H$68,MATCH(A57,$I$9:$I$68,0)))</f>
        <v/>
      </c>
      <c r="C57" s="13" t="str">
        <f aca="false">IF(A57="","",INDEX(Products!$E$2:$E$61,MATCH(B57,Products!$A$2:$A$61,0)))</f>
        <v/>
      </c>
      <c r="D57" s="12" t="str">
        <f aca="false">IF(A57="","",COUNTIFS(Formulas!$A$2:$A$1501,B57,Formulas!$B$2:$B$1501,$B$3))</f>
        <v/>
      </c>
      <c r="E57" s="13" t="str">
        <f aca="false">IF(A57="","",INDEX(Formulas!$I$1:$I$1501,SUMPRODUCT(MAX((Formulas!$A$2:$A$1501=B57)*(Formulas!$B$2:$B$1501=$B$3)*ROW(Formulas!$A$2:$A$1501))))&amp;"")</f>
        <v/>
      </c>
      <c r="H57" s="14" t="str">
        <f aca="false">IF(INDEX(Products!$A$2:$A$61,49)="","",INDEX(Products!$A$2:$A$61,49))</f>
        <v/>
      </c>
      <c r="I57" s="14" t="str">
        <f aca="false">IF(H57="","",IF(COUNTIFS(Formulas!$A$2:$A$1501,H57,Formulas!$B$2:$B$1501,$B$3)&gt;0,MAX(I$8:I56)+1,""))</f>
        <v/>
      </c>
    </row>
    <row r="58" customFormat="false" ht="15" hidden="false" customHeight="false" outlineLevel="0" collapsed="false">
      <c r="A58" s="12" t="str">
        <f aca="false">IF(ROW()-8&lt;=$B$5,ROW()-8,"")</f>
        <v/>
      </c>
      <c r="B58" s="13" t="str">
        <f aca="false">IF(A58="","",INDEX($H$9:$H$68,MATCH(A58,$I$9:$I$68,0)))</f>
        <v/>
      </c>
      <c r="C58" s="13" t="str">
        <f aca="false">IF(A58="","",INDEX(Products!$E$2:$E$61,MATCH(B58,Products!$A$2:$A$61,0)))</f>
        <v/>
      </c>
      <c r="D58" s="12" t="str">
        <f aca="false">IF(A58="","",COUNTIFS(Formulas!$A$2:$A$1501,B58,Formulas!$B$2:$B$1501,$B$3))</f>
        <v/>
      </c>
      <c r="E58" s="13" t="str">
        <f aca="false">IF(A58="","",INDEX(Formulas!$I$1:$I$1501,SUMPRODUCT(MAX((Formulas!$A$2:$A$1501=B58)*(Formulas!$B$2:$B$1501=$B$3)*ROW(Formulas!$A$2:$A$1501))))&amp;"")</f>
        <v/>
      </c>
      <c r="H58" s="14" t="str">
        <f aca="false">IF(INDEX(Products!$A$2:$A$61,50)="","",INDEX(Products!$A$2:$A$61,50))</f>
        <v/>
      </c>
      <c r="I58" s="14" t="str">
        <f aca="false">IF(H58="","",IF(COUNTIFS(Formulas!$A$2:$A$1501,H58,Formulas!$B$2:$B$1501,$B$3)&gt;0,MAX(I$8:I57)+1,""))</f>
        <v/>
      </c>
    </row>
    <row r="59" customFormat="false" ht="15" hidden="false" customHeight="false" outlineLevel="0" collapsed="false">
      <c r="A59" s="12" t="str">
        <f aca="false">IF(ROW()-8&lt;=$B$5,ROW()-8,"")</f>
        <v/>
      </c>
      <c r="B59" s="13" t="str">
        <f aca="false">IF(A59="","",INDEX($H$9:$H$68,MATCH(A59,$I$9:$I$68,0)))</f>
        <v/>
      </c>
      <c r="C59" s="13" t="str">
        <f aca="false">IF(A59="","",INDEX(Products!$E$2:$E$61,MATCH(B59,Products!$A$2:$A$61,0)))</f>
        <v/>
      </c>
      <c r="D59" s="12" t="str">
        <f aca="false">IF(A59="","",COUNTIFS(Formulas!$A$2:$A$1501,B59,Formulas!$B$2:$B$1501,$B$3))</f>
        <v/>
      </c>
      <c r="E59" s="13" t="str">
        <f aca="false">IF(A59="","",INDEX(Formulas!$I$1:$I$1501,SUMPRODUCT(MAX((Formulas!$A$2:$A$1501=B59)*(Formulas!$B$2:$B$1501=$B$3)*ROW(Formulas!$A$2:$A$1501))))&amp;"")</f>
        <v/>
      </c>
      <c r="H59" s="14" t="str">
        <f aca="false">IF(INDEX(Products!$A$2:$A$61,51)="","",INDEX(Products!$A$2:$A$61,51))</f>
        <v/>
      </c>
      <c r="I59" s="14" t="str">
        <f aca="false">IF(H59="","",IF(COUNTIFS(Formulas!$A$2:$A$1501,H59,Formulas!$B$2:$B$1501,$B$3)&gt;0,MAX(I$8:I58)+1,""))</f>
        <v/>
      </c>
    </row>
    <row r="60" customFormat="false" ht="15" hidden="false" customHeight="false" outlineLevel="0" collapsed="false">
      <c r="A60" s="12" t="str">
        <f aca="false">IF(ROW()-8&lt;=$B$5,ROW()-8,"")</f>
        <v/>
      </c>
      <c r="B60" s="13" t="str">
        <f aca="false">IF(A60="","",INDEX($H$9:$H$68,MATCH(A60,$I$9:$I$68,0)))</f>
        <v/>
      </c>
      <c r="C60" s="13" t="str">
        <f aca="false">IF(A60="","",INDEX(Products!$E$2:$E$61,MATCH(B60,Products!$A$2:$A$61,0)))</f>
        <v/>
      </c>
      <c r="D60" s="12" t="str">
        <f aca="false">IF(A60="","",COUNTIFS(Formulas!$A$2:$A$1501,B60,Formulas!$B$2:$B$1501,$B$3))</f>
        <v/>
      </c>
      <c r="E60" s="13" t="str">
        <f aca="false">IF(A60="","",INDEX(Formulas!$I$1:$I$1501,SUMPRODUCT(MAX((Formulas!$A$2:$A$1501=B60)*(Formulas!$B$2:$B$1501=$B$3)*ROW(Formulas!$A$2:$A$1501))))&amp;"")</f>
        <v/>
      </c>
      <c r="H60" s="14" t="str">
        <f aca="false">IF(INDEX(Products!$A$2:$A$61,52)="","",INDEX(Products!$A$2:$A$61,52))</f>
        <v/>
      </c>
      <c r="I60" s="14" t="str">
        <f aca="false">IF(H60="","",IF(COUNTIFS(Formulas!$A$2:$A$1501,H60,Formulas!$B$2:$B$1501,$B$3)&gt;0,MAX(I$8:I59)+1,""))</f>
        <v/>
      </c>
    </row>
    <row r="61" customFormat="false" ht="15" hidden="false" customHeight="false" outlineLevel="0" collapsed="false">
      <c r="A61" s="12" t="str">
        <f aca="false">IF(ROW()-8&lt;=$B$5,ROW()-8,"")</f>
        <v/>
      </c>
      <c r="B61" s="13" t="str">
        <f aca="false">IF(A61="","",INDEX($H$9:$H$68,MATCH(A61,$I$9:$I$68,0)))</f>
        <v/>
      </c>
      <c r="C61" s="13" t="str">
        <f aca="false">IF(A61="","",INDEX(Products!$E$2:$E$61,MATCH(B61,Products!$A$2:$A$61,0)))</f>
        <v/>
      </c>
      <c r="D61" s="12" t="str">
        <f aca="false">IF(A61="","",COUNTIFS(Formulas!$A$2:$A$1501,B61,Formulas!$B$2:$B$1501,$B$3))</f>
        <v/>
      </c>
      <c r="E61" s="13" t="str">
        <f aca="false">IF(A61="","",INDEX(Formulas!$I$1:$I$1501,SUMPRODUCT(MAX((Formulas!$A$2:$A$1501=B61)*(Formulas!$B$2:$B$1501=$B$3)*ROW(Formulas!$A$2:$A$1501))))&amp;"")</f>
        <v/>
      </c>
      <c r="H61" s="14" t="str">
        <f aca="false">IF(INDEX(Products!$A$2:$A$61,53)="","",INDEX(Products!$A$2:$A$61,53))</f>
        <v/>
      </c>
      <c r="I61" s="14" t="str">
        <f aca="false">IF(H61="","",IF(COUNTIFS(Formulas!$A$2:$A$1501,H61,Formulas!$B$2:$B$1501,$B$3)&gt;0,MAX(I$8:I60)+1,""))</f>
        <v/>
      </c>
    </row>
    <row r="62" customFormat="false" ht="15" hidden="false" customHeight="false" outlineLevel="0" collapsed="false">
      <c r="A62" s="12" t="str">
        <f aca="false">IF(ROW()-8&lt;=$B$5,ROW()-8,"")</f>
        <v/>
      </c>
      <c r="B62" s="13" t="str">
        <f aca="false">IF(A62="","",INDEX($H$9:$H$68,MATCH(A62,$I$9:$I$68,0)))</f>
        <v/>
      </c>
      <c r="C62" s="13" t="str">
        <f aca="false">IF(A62="","",INDEX(Products!$E$2:$E$61,MATCH(B62,Products!$A$2:$A$61,0)))</f>
        <v/>
      </c>
      <c r="D62" s="12" t="str">
        <f aca="false">IF(A62="","",COUNTIFS(Formulas!$A$2:$A$1501,B62,Formulas!$B$2:$B$1501,$B$3))</f>
        <v/>
      </c>
      <c r="E62" s="13" t="str">
        <f aca="false">IF(A62="","",INDEX(Formulas!$I$1:$I$1501,SUMPRODUCT(MAX((Formulas!$A$2:$A$1501=B62)*(Formulas!$B$2:$B$1501=$B$3)*ROW(Formulas!$A$2:$A$1501))))&amp;"")</f>
        <v/>
      </c>
      <c r="H62" s="14" t="str">
        <f aca="false">IF(INDEX(Products!$A$2:$A$61,54)="","",INDEX(Products!$A$2:$A$61,54))</f>
        <v/>
      </c>
      <c r="I62" s="14" t="str">
        <f aca="false">IF(H62="","",IF(COUNTIFS(Formulas!$A$2:$A$1501,H62,Formulas!$B$2:$B$1501,$B$3)&gt;0,MAX(I$8:I61)+1,""))</f>
        <v/>
      </c>
    </row>
    <row r="63" customFormat="false" ht="15" hidden="false" customHeight="false" outlineLevel="0" collapsed="false">
      <c r="A63" s="12" t="str">
        <f aca="false">IF(ROW()-8&lt;=$B$5,ROW()-8,"")</f>
        <v/>
      </c>
      <c r="B63" s="13" t="str">
        <f aca="false">IF(A63="","",INDEX($H$9:$H$68,MATCH(A63,$I$9:$I$68,0)))</f>
        <v/>
      </c>
      <c r="C63" s="13" t="str">
        <f aca="false">IF(A63="","",INDEX(Products!$E$2:$E$61,MATCH(B63,Products!$A$2:$A$61,0)))</f>
        <v/>
      </c>
      <c r="D63" s="12" t="str">
        <f aca="false">IF(A63="","",COUNTIFS(Formulas!$A$2:$A$1501,B63,Formulas!$B$2:$B$1501,$B$3))</f>
        <v/>
      </c>
      <c r="E63" s="13" t="str">
        <f aca="false">IF(A63="","",INDEX(Formulas!$I$1:$I$1501,SUMPRODUCT(MAX((Formulas!$A$2:$A$1501=B63)*(Formulas!$B$2:$B$1501=$B$3)*ROW(Formulas!$A$2:$A$1501))))&amp;"")</f>
        <v/>
      </c>
      <c r="H63" s="14" t="str">
        <f aca="false">IF(INDEX(Products!$A$2:$A$61,55)="","",INDEX(Products!$A$2:$A$61,55))</f>
        <v/>
      </c>
      <c r="I63" s="14" t="str">
        <f aca="false">IF(H63="","",IF(COUNTIFS(Formulas!$A$2:$A$1501,H63,Formulas!$B$2:$B$1501,$B$3)&gt;0,MAX(I$8:I62)+1,""))</f>
        <v/>
      </c>
    </row>
    <row r="64" customFormat="false" ht="15" hidden="false" customHeight="false" outlineLevel="0" collapsed="false">
      <c r="A64" s="12" t="str">
        <f aca="false">IF(ROW()-8&lt;=$B$5,ROW()-8,"")</f>
        <v/>
      </c>
      <c r="B64" s="13" t="str">
        <f aca="false">IF(A64="","",INDEX($H$9:$H$68,MATCH(A64,$I$9:$I$68,0)))</f>
        <v/>
      </c>
      <c r="C64" s="13" t="str">
        <f aca="false">IF(A64="","",INDEX(Products!$E$2:$E$61,MATCH(B64,Products!$A$2:$A$61,0)))</f>
        <v/>
      </c>
      <c r="D64" s="12" t="str">
        <f aca="false">IF(A64="","",COUNTIFS(Formulas!$A$2:$A$1501,B64,Formulas!$B$2:$B$1501,$B$3))</f>
        <v/>
      </c>
      <c r="E64" s="13" t="str">
        <f aca="false">IF(A64="","",INDEX(Formulas!$I$1:$I$1501,SUMPRODUCT(MAX((Formulas!$A$2:$A$1501=B64)*(Formulas!$B$2:$B$1501=$B$3)*ROW(Formulas!$A$2:$A$1501))))&amp;"")</f>
        <v/>
      </c>
      <c r="H64" s="14" t="str">
        <f aca="false">IF(INDEX(Products!$A$2:$A$61,56)="","",INDEX(Products!$A$2:$A$61,56))</f>
        <v/>
      </c>
      <c r="I64" s="14" t="str">
        <f aca="false">IF(H64="","",IF(COUNTIFS(Formulas!$A$2:$A$1501,H64,Formulas!$B$2:$B$1501,$B$3)&gt;0,MAX(I$8:I63)+1,""))</f>
        <v/>
      </c>
    </row>
    <row r="65" customFormat="false" ht="15" hidden="false" customHeight="false" outlineLevel="0" collapsed="false">
      <c r="A65" s="12" t="str">
        <f aca="false">IF(ROW()-8&lt;=$B$5,ROW()-8,"")</f>
        <v/>
      </c>
      <c r="B65" s="13" t="str">
        <f aca="false">IF(A65="","",INDEX($H$9:$H$68,MATCH(A65,$I$9:$I$68,0)))</f>
        <v/>
      </c>
      <c r="C65" s="13" t="str">
        <f aca="false">IF(A65="","",INDEX(Products!$E$2:$E$61,MATCH(B65,Products!$A$2:$A$61,0)))</f>
        <v/>
      </c>
      <c r="D65" s="12" t="str">
        <f aca="false">IF(A65="","",COUNTIFS(Formulas!$A$2:$A$1501,B65,Formulas!$B$2:$B$1501,$B$3))</f>
        <v/>
      </c>
      <c r="E65" s="13" t="str">
        <f aca="false">IF(A65="","",INDEX(Formulas!$I$1:$I$1501,SUMPRODUCT(MAX((Formulas!$A$2:$A$1501=B65)*(Formulas!$B$2:$B$1501=$B$3)*ROW(Formulas!$A$2:$A$1501))))&amp;"")</f>
        <v/>
      </c>
      <c r="H65" s="14" t="str">
        <f aca="false">IF(INDEX(Products!$A$2:$A$61,57)="","",INDEX(Products!$A$2:$A$61,57))</f>
        <v/>
      </c>
      <c r="I65" s="14" t="str">
        <f aca="false">IF(H65="","",IF(COUNTIFS(Formulas!$A$2:$A$1501,H65,Formulas!$B$2:$B$1501,$B$3)&gt;0,MAX(I$8:I64)+1,""))</f>
        <v/>
      </c>
    </row>
    <row r="66" customFormat="false" ht="15" hidden="false" customHeight="false" outlineLevel="0" collapsed="false">
      <c r="A66" s="12" t="str">
        <f aca="false">IF(ROW()-8&lt;=$B$5,ROW()-8,"")</f>
        <v/>
      </c>
      <c r="B66" s="13" t="str">
        <f aca="false">IF(A66="","",INDEX($H$9:$H$68,MATCH(A66,$I$9:$I$68,0)))</f>
        <v/>
      </c>
      <c r="C66" s="13" t="str">
        <f aca="false">IF(A66="","",INDEX(Products!$E$2:$E$61,MATCH(B66,Products!$A$2:$A$61,0)))</f>
        <v/>
      </c>
      <c r="D66" s="12" t="str">
        <f aca="false">IF(A66="","",COUNTIFS(Formulas!$A$2:$A$1501,B66,Formulas!$B$2:$B$1501,$B$3))</f>
        <v/>
      </c>
      <c r="E66" s="13" t="str">
        <f aca="false">IF(A66="","",INDEX(Formulas!$I$1:$I$1501,SUMPRODUCT(MAX((Formulas!$A$2:$A$1501=B66)*(Formulas!$B$2:$B$1501=$B$3)*ROW(Formulas!$A$2:$A$1501))))&amp;"")</f>
        <v/>
      </c>
      <c r="H66" s="14" t="str">
        <f aca="false">IF(INDEX(Products!$A$2:$A$61,58)="","",INDEX(Products!$A$2:$A$61,58))</f>
        <v/>
      </c>
      <c r="I66" s="14" t="str">
        <f aca="false">IF(H66="","",IF(COUNTIFS(Formulas!$A$2:$A$1501,H66,Formulas!$B$2:$B$1501,$B$3)&gt;0,MAX(I$8:I65)+1,""))</f>
        <v/>
      </c>
    </row>
    <row r="67" customFormat="false" ht="15" hidden="false" customHeight="false" outlineLevel="0" collapsed="false">
      <c r="A67" s="12" t="str">
        <f aca="false">IF(ROW()-8&lt;=$B$5,ROW()-8,"")</f>
        <v/>
      </c>
      <c r="B67" s="13" t="str">
        <f aca="false">IF(A67="","",INDEX($H$9:$H$68,MATCH(A67,$I$9:$I$68,0)))</f>
        <v/>
      </c>
      <c r="C67" s="13" t="str">
        <f aca="false">IF(A67="","",INDEX(Products!$E$2:$E$61,MATCH(B67,Products!$A$2:$A$61,0)))</f>
        <v/>
      </c>
      <c r="D67" s="12" t="str">
        <f aca="false">IF(A67="","",COUNTIFS(Formulas!$A$2:$A$1501,B67,Formulas!$B$2:$B$1501,$B$3))</f>
        <v/>
      </c>
      <c r="E67" s="13" t="str">
        <f aca="false">IF(A67="","",INDEX(Formulas!$I$1:$I$1501,SUMPRODUCT(MAX((Formulas!$A$2:$A$1501=B67)*(Formulas!$B$2:$B$1501=$B$3)*ROW(Formulas!$A$2:$A$1501))))&amp;"")</f>
        <v/>
      </c>
      <c r="H67" s="14" t="str">
        <f aca="false">IF(INDEX(Products!$A$2:$A$61,59)="","",INDEX(Products!$A$2:$A$61,59))</f>
        <v/>
      </c>
      <c r="I67" s="14" t="str">
        <f aca="false">IF(H67="","",IF(COUNTIFS(Formulas!$A$2:$A$1501,H67,Formulas!$B$2:$B$1501,$B$3)&gt;0,MAX(I$8:I66)+1,""))</f>
        <v/>
      </c>
    </row>
    <row r="68" customFormat="false" ht="15" hidden="false" customHeight="false" outlineLevel="0" collapsed="false">
      <c r="A68" s="12" t="str">
        <f aca="false">IF(ROW()-8&lt;=$B$5,ROW()-8,"")</f>
        <v/>
      </c>
      <c r="B68" s="13" t="str">
        <f aca="false">IF(A68="","",INDEX($H$9:$H$68,MATCH(A68,$I$9:$I$68,0)))</f>
        <v/>
      </c>
      <c r="C68" s="13" t="str">
        <f aca="false">IF(A68="","",INDEX(Products!$E$2:$E$61,MATCH(B68,Products!$A$2:$A$61,0)))</f>
        <v/>
      </c>
      <c r="D68" s="12" t="str">
        <f aca="false">IF(A68="","",COUNTIFS(Formulas!$A$2:$A$1501,B68,Formulas!$B$2:$B$1501,$B$3))</f>
        <v/>
      </c>
      <c r="E68" s="13" t="str">
        <f aca="false">IF(A68="","",INDEX(Formulas!$I$1:$I$1501,SUMPRODUCT(MAX((Formulas!$A$2:$A$1501=B68)*(Formulas!$B$2:$B$1501=$B$3)*ROW(Formulas!$A$2:$A$1501))))&amp;"")</f>
        <v/>
      </c>
      <c r="H68" s="14" t="str">
        <f aca="false">IF(INDEX(Products!$A$2:$A$61,60)="","",INDEX(Products!$A$2:$A$61,60))</f>
        <v/>
      </c>
      <c r="I68" s="14" t="str">
        <f aca="false">IF(H68="","",IF(COUNTIFS(Formulas!$A$2:$A$1501,H68,Formulas!$B$2:$B$1501,$B$3)&gt;0,MAX(I$8:I67)+1,""))</f>
        <v/>
      </c>
    </row>
  </sheetData>
  <mergeCells count="1">
    <mergeCell ref="B3:C3"/>
  </mergeCells>
  <conditionalFormatting sqref="A9:E68">
    <cfRule type="expression" priority="2" aboveAverage="0" equalAverage="0" bottom="0" percent="0" rank="0" text="" dxfId="0">
      <formula>$A9&lt;&gt;""</formula>
    </cfRule>
  </conditionalFormatting>
  <dataValidations count="1">
    <dataValidation allowBlank="false" errorStyle="stop" operator="between" showDropDown="false" showErrorMessage="false" showInputMessage="false" sqref="B3" type="list">
      <formula1>MaterialList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28"/>
  </cols>
  <sheetData>
    <row r="1" customFormat="false" ht="17.35" hidden="false" customHeight="false" outlineLevel="0" collapsed="false">
      <c r="A1" s="1" t="s">
        <v>45</v>
      </c>
    </row>
    <row r="3" customFormat="false" ht="15" hidden="false" customHeight="false" outlineLevel="0" collapsed="false">
      <c r="A3" s="6" t="s">
        <v>46</v>
      </c>
      <c r="B3" s="7" t="s">
        <v>47</v>
      </c>
    </row>
    <row r="4" customFormat="false" ht="15" hidden="false" customHeight="false" outlineLevel="0" collapsed="false">
      <c r="A4" s="6" t="s">
        <v>40</v>
      </c>
      <c r="B4" s="8" t="str">
        <f aca="false">IFERROR(INDEX(Products!$E$2:$E$61,MATCH($B$3,Products!$A$2:$A$61,0)),"")</f>
        <v>Ezetimibe, Rosuvastatin Calcium</v>
      </c>
    </row>
    <row r="5" customFormat="false" ht="15" hidden="false" customHeight="false" outlineLevel="0" collapsed="false">
      <c r="A5" s="6" t="s">
        <v>48</v>
      </c>
      <c r="B5" s="8" t="n">
        <f aca="false">COUNTIF(Formulas!$A$2:$A$1501,$B$3)</f>
        <v>19</v>
      </c>
    </row>
    <row r="7" customFormat="false" ht="30" hidden="false" customHeight="true" outlineLevel="0" collapsed="false">
      <c r="A7" s="10" t="s">
        <v>38</v>
      </c>
      <c r="B7" s="10" t="s">
        <v>49</v>
      </c>
      <c r="C7" s="10" t="s">
        <v>35</v>
      </c>
      <c r="D7" s="10" t="s">
        <v>42</v>
      </c>
      <c r="E7" s="10" t="s">
        <v>50</v>
      </c>
      <c r="F7" s="10" t="s">
        <v>51</v>
      </c>
    </row>
    <row r="8" customFormat="false" ht="15" hidden="false" customHeight="false" outlineLevel="0" collapsed="false">
      <c r="A8" s="12" t="n">
        <f aca="false">IF(ROW()-7&lt;=$B$5,ROW()-7,"")</f>
        <v>1</v>
      </c>
      <c r="B8" s="13" t="str">
        <f aca="false">IF($A8="","",INDEX(Formulas!$B$2:$B$1501,MATCH($B$3&amp;"|"&amp;$A8,Formulas!$J$2:$J$1501,0)))</f>
        <v>Ezetimibe</v>
      </c>
      <c r="C8" s="13" t="str">
        <f aca="false">IF($A8="","",INDEX(Formulas!$F$2:$F$1501,MATCH($B$3&amp;"|"&amp;$A8,Formulas!$J$2:$J$1501,0)))</f>
        <v>Active</v>
      </c>
      <c r="D8" s="13" t="str">
        <f aca="false">IF($A8="","",INDEX(Formulas!$C$2:$C$1501,MATCH($B$3&amp;"|"&amp;$A8,Formulas!$J$2:$J$1501,0))&amp;"")</f>
        <v/>
      </c>
      <c r="E8" s="13" t="str">
        <f aca="false">IF($A8="","",IF(INDEX(Formulas!$D$2:$D$1501,MATCH($B$3&amp;"|"&amp;$A8,Formulas!$J$2:$J$1501,0))="","",INDEX(Formulas!$D$2:$D$1501,MATCH($B$3&amp;"|"&amp;$A8,Formulas!$J$2:$J$1501,0))))</f>
        <v/>
      </c>
      <c r="F8" s="12" t="n">
        <f aca="false">IF($A8="","",INDEX(Materials!$D$2:$D$201,MATCH(B8,Materials!$A$2:$A$201,0))-1)</f>
        <v>2</v>
      </c>
    </row>
    <row r="9" customFormat="false" ht="15" hidden="false" customHeight="false" outlineLevel="0" collapsed="false">
      <c r="A9" s="12" t="n">
        <f aca="false">IF(ROW()-7&lt;=$B$5,ROW()-7,"")</f>
        <v>2</v>
      </c>
      <c r="B9" s="13" t="str">
        <f aca="false">IF($A9="","",INDEX(Formulas!$B$2:$B$1501,MATCH($B$3&amp;"|"&amp;$A9,Formulas!$J$2:$J$1501,0)))</f>
        <v>Croscarmellose Sodium</v>
      </c>
      <c r="C9" s="13" t="str">
        <f aca="false">IF($A9="","",INDEX(Formulas!$F$2:$F$1501,MATCH($B$3&amp;"|"&amp;$A9,Formulas!$J$2:$J$1501,0)))</f>
        <v>Disintegrant</v>
      </c>
      <c r="D9" s="13" t="str">
        <f aca="false">IF($A9="","",INDEX(Formulas!$C$2:$C$1501,MATCH($B$3&amp;"|"&amp;$A9,Formulas!$J$2:$J$1501,0))&amp;"")</f>
        <v>Intra-granular</v>
      </c>
      <c r="E9" s="13" t="str">
        <f aca="false">IF($A9="","",IF(INDEX(Formulas!$D$2:$D$1501,MATCH($B$3&amp;"|"&amp;$A9,Formulas!$J$2:$J$1501,0))="","",INDEX(Formulas!$D$2:$D$1501,MATCH($B$3&amp;"|"&amp;$A9,Formulas!$J$2:$J$1501,0))))</f>
        <v/>
      </c>
      <c r="F9" s="12" t="n">
        <f aca="false">IF($A9="","",INDEX(Materials!$D$2:$D$201,MATCH(B9,Materials!$A$2:$A$201,0))-1)</f>
        <v>7</v>
      </c>
    </row>
    <row r="10" customFormat="false" ht="15" hidden="false" customHeight="false" outlineLevel="0" collapsed="false">
      <c r="A10" s="12" t="n">
        <f aca="false">IF(ROW()-7&lt;=$B$5,ROW()-7,"")</f>
        <v>3</v>
      </c>
      <c r="B10" s="13" t="str">
        <f aca="false">IF($A10="","",INDEX(Formulas!$B$2:$B$1501,MATCH($B$3&amp;"|"&amp;$A10,Formulas!$J$2:$J$1501,0)))</f>
        <v>Sodium Lauryl Sulfate</v>
      </c>
      <c r="C10" s="13" t="str">
        <f aca="false">IF($A10="","",INDEX(Formulas!$F$2:$F$1501,MATCH($B$3&amp;"|"&amp;$A10,Formulas!$J$2:$J$1501,0)))</f>
        <v>Surfactant</v>
      </c>
      <c r="D10" s="13" t="str">
        <f aca="false">IF($A10="","",INDEX(Formulas!$C$2:$C$1501,MATCH($B$3&amp;"|"&amp;$A10,Formulas!$J$2:$J$1501,0))&amp;"")</f>
        <v/>
      </c>
      <c r="E10" s="13" t="str">
        <f aca="false">IF($A10="","",IF(INDEX(Formulas!$D$2:$D$1501,MATCH($B$3&amp;"|"&amp;$A10,Formulas!$J$2:$J$1501,0))="","",INDEX(Formulas!$D$2:$D$1501,MATCH($B$3&amp;"|"&amp;$A10,Formulas!$J$2:$J$1501,0))))</f>
        <v/>
      </c>
      <c r="F10" s="12" t="n">
        <f aca="false">IF($A10="","",INDEX(Materials!$D$2:$D$201,MATCH(B10,Materials!$A$2:$A$201,0))-1)</f>
        <v>6</v>
      </c>
    </row>
    <row r="11" customFormat="false" ht="15" hidden="false" customHeight="false" outlineLevel="0" collapsed="false">
      <c r="A11" s="12" t="n">
        <f aca="false">IF(ROW()-7&lt;=$B$5,ROW()-7,"")</f>
        <v>4</v>
      </c>
      <c r="B11" s="13" t="str">
        <f aca="false">IF($A11="","",INDEX(Formulas!$B$2:$B$1501,MATCH($B$3&amp;"|"&amp;$A11,Formulas!$J$2:$J$1501,0)))</f>
        <v>Mannitol</v>
      </c>
      <c r="C11" s="13" t="str">
        <f aca="false">IF($A11="","",INDEX(Formulas!$F$2:$F$1501,MATCH($B$3&amp;"|"&amp;$A11,Formulas!$J$2:$J$1501,0)))</f>
        <v>Filler / Diluent</v>
      </c>
      <c r="D11" s="13" t="str">
        <f aca="false">IF($A11="","",INDEX(Formulas!$C$2:$C$1501,MATCH($B$3&amp;"|"&amp;$A11,Formulas!$J$2:$J$1501,0))&amp;"")</f>
        <v/>
      </c>
      <c r="E11" s="13" t="str">
        <f aca="false">IF($A11="","",IF(INDEX(Formulas!$D$2:$D$1501,MATCH($B$3&amp;"|"&amp;$A11,Formulas!$J$2:$J$1501,0))="","",INDEX(Formulas!$D$2:$D$1501,MATCH($B$3&amp;"|"&amp;$A11,Formulas!$J$2:$J$1501,0))))</f>
        <v/>
      </c>
      <c r="F11" s="12" t="n">
        <f aca="false">IF($A11="","",INDEX(Materials!$D$2:$D$201,MATCH(B11,Materials!$A$2:$A$201,0))-1)</f>
        <v>7</v>
      </c>
    </row>
    <row r="12" customFormat="false" ht="15" hidden="false" customHeight="false" outlineLevel="0" collapsed="false">
      <c r="A12" s="12" t="n">
        <f aca="false">IF(ROW()-7&lt;=$B$5,ROW()-7,"")</f>
        <v>5</v>
      </c>
      <c r="B12" s="13" t="str">
        <f aca="false">IF($A12="","",INDEX(Formulas!$B$2:$B$1501,MATCH($B$3&amp;"|"&amp;$A12,Formulas!$J$2:$J$1501,0)))</f>
        <v>PVP K30</v>
      </c>
      <c r="C12" s="13" t="str">
        <f aca="false">IF($A12="","",INDEX(Formulas!$F$2:$F$1501,MATCH($B$3&amp;"|"&amp;$A12,Formulas!$J$2:$J$1501,0)))</f>
        <v>Binder</v>
      </c>
      <c r="D12" s="13" t="str">
        <f aca="false">IF($A12="","",INDEX(Formulas!$C$2:$C$1501,MATCH($B$3&amp;"|"&amp;$A12,Formulas!$J$2:$J$1501,0))&amp;"")</f>
        <v>Binder Solution</v>
      </c>
      <c r="E12" s="13" t="str">
        <f aca="false">IF($A12="","",IF(INDEX(Formulas!$D$2:$D$1501,MATCH($B$3&amp;"|"&amp;$A12,Formulas!$J$2:$J$1501,0))="","",INDEX(Formulas!$D$2:$D$1501,MATCH($B$3&amp;"|"&amp;$A12,Formulas!$J$2:$J$1501,0))))</f>
        <v/>
      </c>
      <c r="F12" s="12" t="n">
        <f aca="false">IF($A12="","",INDEX(Materials!$D$2:$D$201,MATCH(B12,Materials!$A$2:$A$201,0))-1)</f>
        <v>7</v>
      </c>
    </row>
    <row r="13" customFormat="false" ht="15" hidden="false" customHeight="false" outlineLevel="0" collapsed="false">
      <c r="A13" s="12" t="n">
        <f aca="false">IF(ROW()-7&lt;=$B$5,ROW()-7,"")</f>
        <v>6</v>
      </c>
      <c r="B13" s="13" t="str">
        <f aca="false">IF($A13="","",INDEX(Formulas!$B$2:$B$1501,MATCH($B$3&amp;"|"&amp;$A13,Formulas!$J$2:$J$1501,0)))</f>
        <v>Ethanol 96%</v>
      </c>
      <c r="C13" s="13" t="str">
        <f aca="false">IF($A13="","",INDEX(Formulas!$F$2:$F$1501,MATCH($B$3&amp;"|"&amp;$A13,Formulas!$J$2:$J$1501,0)))</f>
        <v>Solvent</v>
      </c>
      <c r="D13" s="13" t="str">
        <f aca="false">IF($A13="","",INDEX(Formulas!$C$2:$C$1501,MATCH($B$3&amp;"|"&amp;$A13,Formulas!$J$2:$J$1501,0))&amp;"")</f>
        <v>Binder Solvent</v>
      </c>
      <c r="E13" s="13" t="str">
        <f aca="false">IF($A13="","",IF(INDEX(Formulas!$D$2:$D$1501,MATCH($B$3&amp;"|"&amp;$A13,Formulas!$J$2:$J$1501,0))="","",INDEX(Formulas!$D$2:$D$1501,MATCH($B$3&amp;"|"&amp;$A13,Formulas!$J$2:$J$1501,0))))</f>
        <v/>
      </c>
      <c r="F13" s="12" t="n">
        <f aca="false">IF($A13="","",INDEX(Materials!$D$2:$D$201,MATCH(B13,Materials!$A$2:$A$201,0))-1)</f>
        <v>7</v>
      </c>
    </row>
    <row r="14" customFormat="false" ht="15" hidden="false" customHeight="false" outlineLevel="0" collapsed="false">
      <c r="A14" s="12" t="n">
        <f aca="false">IF(ROW()-7&lt;=$B$5,ROW()-7,"")</f>
        <v>7</v>
      </c>
      <c r="B14" s="13" t="str">
        <f aca="false">IF($A14="","",INDEX(Formulas!$B$2:$B$1501,MATCH($B$3&amp;"|"&amp;$A14,Formulas!$J$2:$J$1501,0)))</f>
        <v>Rosuvastatin Calcium</v>
      </c>
      <c r="C14" s="13" t="str">
        <f aca="false">IF($A14="","",INDEX(Formulas!$F$2:$F$1501,MATCH($B$3&amp;"|"&amp;$A14,Formulas!$J$2:$J$1501,0)))</f>
        <v>Active</v>
      </c>
      <c r="D14" s="13" t="str">
        <f aca="false">IF($A14="","",INDEX(Formulas!$C$2:$C$1501,MATCH($B$3&amp;"|"&amp;$A14,Formulas!$J$2:$J$1501,0))&amp;"")</f>
        <v/>
      </c>
      <c r="E14" s="13" t="str">
        <f aca="false">IF($A14="","",IF(INDEX(Formulas!$D$2:$D$1501,MATCH($B$3&amp;"|"&amp;$A14,Formulas!$J$2:$J$1501,0))="","",INDEX(Formulas!$D$2:$D$1501,MATCH($B$3&amp;"|"&amp;$A14,Formulas!$J$2:$J$1501,0))))</f>
        <v/>
      </c>
      <c r="F14" s="12" t="n">
        <f aca="false">IF($A14="","",INDEX(Materials!$D$2:$D$201,MATCH(B14,Materials!$A$2:$A$201,0))-1)</f>
        <v>2</v>
      </c>
    </row>
    <row r="15" customFormat="false" ht="15" hidden="false" customHeight="false" outlineLevel="0" collapsed="false">
      <c r="A15" s="12" t="n">
        <f aca="false">IF(ROW()-7&lt;=$B$5,ROW()-7,"")</f>
        <v>8</v>
      </c>
      <c r="B15" s="13" t="str">
        <f aca="false">IF($A15="","",INDEX(Formulas!$B$2:$B$1501,MATCH($B$3&amp;"|"&amp;$A15,Formulas!$J$2:$J$1501,0)))</f>
        <v>Croscarmellose Sodium</v>
      </c>
      <c r="C15" s="13" t="str">
        <f aca="false">IF($A15="","",INDEX(Formulas!$F$2:$F$1501,MATCH($B$3&amp;"|"&amp;$A15,Formulas!$J$2:$J$1501,0)))</f>
        <v>Disintegrant</v>
      </c>
      <c r="D15" s="13" t="str">
        <f aca="false">IF($A15="","",INDEX(Formulas!$C$2:$C$1501,MATCH($B$3&amp;"|"&amp;$A15,Formulas!$J$2:$J$1501,0))&amp;"")</f>
        <v>Extra-granular</v>
      </c>
      <c r="E15" s="13" t="str">
        <f aca="false">IF($A15="","",IF(INDEX(Formulas!$D$2:$D$1501,MATCH($B$3&amp;"|"&amp;$A15,Formulas!$J$2:$J$1501,0))="","",INDEX(Formulas!$D$2:$D$1501,MATCH($B$3&amp;"|"&amp;$A15,Formulas!$J$2:$J$1501,0))))</f>
        <v/>
      </c>
      <c r="F15" s="12" t="n">
        <f aca="false">IF($A15="","",INDEX(Materials!$D$2:$D$201,MATCH(B15,Materials!$A$2:$A$201,0))-1)</f>
        <v>7</v>
      </c>
    </row>
    <row r="16" customFormat="false" ht="15" hidden="false" customHeight="false" outlineLevel="0" collapsed="false">
      <c r="A16" s="12" t="n">
        <f aca="false">IF(ROW()-7&lt;=$B$5,ROW()-7,"")</f>
        <v>9</v>
      </c>
      <c r="B16" s="13" t="str">
        <f aca="false">IF($A16="","",INDEX(Formulas!$B$2:$B$1501,MATCH($B$3&amp;"|"&amp;$A16,Formulas!$J$2:$J$1501,0)))</f>
        <v>Microcrystalline Cellulose PH 102</v>
      </c>
      <c r="C16" s="13" t="str">
        <f aca="false">IF($A16="","",INDEX(Formulas!$F$2:$F$1501,MATCH($B$3&amp;"|"&amp;$A16,Formulas!$J$2:$J$1501,0)))</f>
        <v>Filler / Diluent</v>
      </c>
      <c r="D16" s="13" t="str">
        <f aca="false">IF($A16="","",INDEX(Formulas!$C$2:$C$1501,MATCH($B$3&amp;"|"&amp;$A16,Formulas!$J$2:$J$1501,0))&amp;"")</f>
        <v/>
      </c>
      <c r="E16" s="13" t="str">
        <f aca="false">IF($A16="","",IF(INDEX(Formulas!$D$2:$D$1501,MATCH($B$3&amp;"|"&amp;$A16,Formulas!$J$2:$J$1501,0))="","",INDEX(Formulas!$D$2:$D$1501,MATCH($B$3&amp;"|"&amp;$A16,Formulas!$J$2:$J$1501,0))))</f>
        <v/>
      </c>
      <c r="F16" s="12" t="n">
        <f aca="false">IF($A16="","",INDEX(Materials!$D$2:$D$201,MATCH(B16,Materials!$A$2:$A$201,0))-1)</f>
        <v>5</v>
      </c>
    </row>
    <row r="17" customFormat="false" ht="15" hidden="false" customHeight="false" outlineLevel="0" collapsed="false">
      <c r="A17" s="12" t="n">
        <f aca="false">IF(ROW()-7&lt;=$B$5,ROW()-7,"")</f>
        <v>10</v>
      </c>
      <c r="B17" s="13" t="str">
        <f aca="false">IF($A17="","",INDEX(Formulas!$B$2:$B$1501,MATCH($B$3&amp;"|"&amp;$A17,Formulas!$J$2:$J$1501,0)))</f>
        <v>PVP K30</v>
      </c>
      <c r="C17" s="13" t="str">
        <f aca="false">IF($A17="","",INDEX(Formulas!$F$2:$F$1501,MATCH($B$3&amp;"|"&amp;$A17,Formulas!$J$2:$J$1501,0)))</f>
        <v>Binder</v>
      </c>
      <c r="D17" s="13" t="str">
        <f aca="false">IF($A17="","",INDEX(Formulas!$C$2:$C$1501,MATCH($B$3&amp;"|"&amp;$A17,Formulas!$J$2:$J$1501,0))&amp;"")</f>
        <v>Dry Binder</v>
      </c>
      <c r="E17" s="13" t="str">
        <f aca="false">IF($A17="","",IF(INDEX(Formulas!$D$2:$D$1501,MATCH($B$3&amp;"|"&amp;$A17,Formulas!$J$2:$J$1501,0))="","",INDEX(Formulas!$D$2:$D$1501,MATCH($B$3&amp;"|"&amp;$A17,Formulas!$J$2:$J$1501,0))))</f>
        <v/>
      </c>
      <c r="F17" s="12" t="n">
        <f aca="false">IF($A17="","",INDEX(Materials!$D$2:$D$201,MATCH(B17,Materials!$A$2:$A$201,0))-1)</f>
        <v>7</v>
      </c>
    </row>
    <row r="18" customFormat="false" ht="15" hidden="false" customHeight="false" outlineLevel="0" collapsed="false">
      <c r="A18" s="12" t="n">
        <f aca="false">IF(ROW()-7&lt;=$B$5,ROW()-7,"")</f>
        <v>11</v>
      </c>
      <c r="B18" s="13" t="str">
        <f aca="false">IF($A18="","",INDEX(Formulas!$B$2:$B$1501,MATCH($B$3&amp;"|"&amp;$A18,Formulas!$J$2:$J$1501,0)))</f>
        <v>Colloidal Silicon Dioxide</v>
      </c>
      <c r="C18" s="13" t="str">
        <f aca="false">IF($A18="","",INDEX(Formulas!$F$2:$F$1501,MATCH($B$3&amp;"|"&amp;$A18,Formulas!$J$2:$J$1501,0)))</f>
        <v>Glidant</v>
      </c>
      <c r="D18" s="13" t="str">
        <f aca="false">IF($A18="","",INDEX(Formulas!$C$2:$C$1501,MATCH($B$3&amp;"|"&amp;$A18,Formulas!$J$2:$J$1501,0))&amp;"")</f>
        <v/>
      </c>
      <c r="E18" s="13" t="str">
        <f aca="false">IF($A18="","",IF(INDEX(Formulas!$D$2:$D$1501,MATCH($B$3&amp;"|"&amp;$A18,Formulas!$J$2:$J$1501,0))="","",INDEX(Formulas!$D$2:$D$1501,MATCH($B$3&amp;"|"&amp;$A18,Formulas!$J$2:$J$1501,0))))</f>
        <v/>
      </c>
      <c r="F18" s="12" t="n">
        <f aca="false">IF($A18="","",INDEX(Materials!$D$2:$D$201,MATCH(B18,Materials!$A$2:$A$201,0))-1)</f>
        <v>9</v>
      </c>
    </row>
    <row r="19" customFormat="false" ht="15" hidden="false" customHeight="false" outlineLevel="0" collapsed="false">
      <c r="A19" s="12" t="n">
        <f aca="false">IF(ROW()-7&lt;=$B$5,ROW()-7,"")</f>
        <v>12</v>
      </c>
      <c r="B19" s="13" t="str">
        <f aca="false">IF($A19="","",INDEX(Formulas!$B$2:$B$1501,MATCH($B$3&amp;"|"&amp;$A19,Formulas!$J$2:$J$1501,0)))</f>
        <v>Sodium Stearyl Fumarate</v>
      </c>
      <c r="C19" s="13" t="str">
        <f aca="false">IF($A19="","",INDEX(Formulas!$F$2:$F$1501,MATCH($B$3&amp;"|"&amp;$A19,Formulas!$J$2:$J$1501,0)))</f>
        <v>Lubricant</v>
      </c>
      <c r="D19" s="13" t="str">
        <f aca="false">IF($A19="","",INDEX(Formulas!$C$2:$C$1501,MATCH($B$3&amp;"|"&amp;$A19,Formulas!$J$2:$J$1501,0))&amp;"")</f>
        <v/>
      </c>
      <c r="E19" s="13" t="str">
        <f aca="false">IF($A19="","",IF(INDEX(Formulas!$D$2:$D$1501,MATCH($B$3&amp;"|"&amp;$A19,Formulas!$J$2:$J$1501,0))="","",INDEX(Formulas!$D$2:$D$1501,MATCH($B$3&amp;"|"&amp;$A19,Formulas!$J$2:$J$1501,0))))</f>
        <v/>
      </c>
      <c r="F19" s="12" t="n">
        <f aca="false">IF($A19="","",INDEX(Materials!$D$2:$D$201,MATCH(B19,Materials!$A$2:$A$201,0))-1)</f>
        <v>2</v>
      </c>
    </row>
    <row r="20" customFormat="false" ht="15" hidden="false" customHeight="false" outlineLevel="0" collapsed="false">
      <c r="A20" s="12" t="n">
        <f aca="false">IF(ROW()-7&lt;=$B$5,ROW()-7,"")</f>
        <v>13</v>
      </c>
      <c r="B20" s="13" t="str">
        <f aca="false">IF($A20="","",INDEX(Formulas!$B$2:$B$1501,MATCH($B$3&amp;"|"&amp;$A20,Formulas!$J$2:$J$1501,0)))</f>
        <v>Hydroxypropylmethyl Cellulose 6cps</v>
      </c>
      <c r="C20" s="13" t="str">
        <f aca="false">IF($A20="","",INDEX(Formulas!$F$2:$F$1501,MATCH($B$3&amp;"|"&amp;$A20,Formulas!$J$2:$J$1501,0)))</f>
        <v>Binder / Coating Polymer</v>
      </c>
      <c r="D20" s="13" t="str">
        <f aca="false">IF($A20="","",INDEX(Formulas!$C$2:$C$1501,MATCH($B$3&amp;"|"&amp;$A20,Formulas!$J$2:$J$1501,0))&amp;"")</f>
        <v/>
      </c>
      <c r="E20" s="13" t="str">
        <f aca="false">IF($A20="","",IF(INDEX(Formulas!$D$2:$D$1501,MATCH($B$3&amp;"|"&amp;$A20,Formulas!$J$2:$J$1501,0))="","",INDEX(Formulas!$D$2:$D$1501,MATCH($B$3&amp;"|"&amp;$A20,Formulas!$J$2:$J$1501,0))))</f>
        <v/>
      </c>
      <c r="F20" s="12" t="n">
        <f aca="false">IF($A20="","",INDEX(Materials!$D$2:$D$201,MATCH(B20,Materials!$A$2:$A$201,0))-1)</f>
        <v>7</v>
      </c>
    </row>
    <row r="21" customFormat="false" ht="15" hidden="false" customHeight="false" outlineLevel="0" collapsed="false">
      <c r="A21" s="12" t="n">
        <f aca="false">IF(ROW()-7&lt;=$B$5,ROW()-7,"")</f>
        <v>14</v>
      </c>
      <c r="B21" s="13" t="str">
        <f aca="false">IF($A21="","",INDEX(Formulas!$B$2:$B$1501,MATCH($B$3&amp;"|"&amp;$A21,Formulas!$J$2:$J$1501,0)))</f>
        <v>Polyethylene Glycol 4000</v>
      </c>
      <c r="C21" s="13" t="str">
        <f aca="false">IF($A21="","",INDEX(Formulas!$F$2:$F$1501,MATCH($B$3&amp;"|"&amp;$A21,Formulas!$J$2:$J$1501,0)))</f>
        <v>Plasticizer</v>
      </c>
      <c r="D21" s="13" t="str">
        <f aca="false">IF($A21="","",INDEX(Formulas!$C$2:$C$1501,MATCH($B$3&amp;"|"&amp;$A21,Formulas!$J$2:$J$1501,0))&amp;"")</f>
        <v/>
      </c>
      <c r="E21" s="13" t="str">
        <f aca="false">IF($A21="","",IF(INDEX(Formulas!$D$2:$D$1501,MATCH($B$3&amp;"|"&amp;$A21,Formulas!$J$2:$J$1501,0))="","",INDEX(Formulas!$D$2:$D$1501,MATCH($B$3&amp;"|"&amp;$A21,Formulas!$J$2:$J$1501,0))))</f>
        <v/>
      </c>
      <c r="F21" s="12" t="n">
        <f aca="false">IF($A21="","",INDEX(Materials!$D$2:$D$201,MATCH(B21,Materials!$A$2:$A$201,0))-1)</f>
        <v>7</v>
      </c>
    </row>
    <row r="22" customFormat="false" ht="15" hidden="false" customHeight="false" outlineLevel="0" collapsed="false">
      <c r="A22" s="12" t="n">
        <f aca="false">IF(ROW()-7&lt;=$B$5,ROW()-7,"")</f>
        <v>15</v>
      </c>
      <c r="B22" s="13" t="str">
        <f aca="false">IF($A22="","",INDEX(Formulas!$B$2:$B$1501,MATCH($B$3&amp;"|"&amp;$A22,Formulas!$J$2:$J$1501,0)))</f>
        <v>Titanium Dioxide</v>
      </c>
      <c r="C22" s="13" t="str">
        <f aca="false">IF($A22="","",INDEX(Formulas!$F$2:$F$1501,MATCH($B$3&amp;"|"&amp;$A22,Formulas!$J$2:$J$1501,0)))</f>
        <v>Opacifier</v>
      </c>
      <c r="D22" s="13" t="str">
        <f aca="false">IF($A22="","",INDEX(Formulas!$C$2:$C$1501,MATCH($B$3&amp;"|"&amp;$A22,Formulas!$J$2:$J$1501,0))&amp;"")</f>
        <v/>
      </c>
      <c r="E22" s="13" t="str">
        <f aca="false">IF($A22="","",IF(INDEX(Formulas!$D$2:$D$1501,MATCH($B$3&amp;"|"&amp;$A22,Formulas!$J$2:$J$1501,0))="","",INDEX(Formulas!$D$2:$D$1501,MATCH($B$3&amp;"|"&amp;$A22,Formulas!$J$2:$J$1501,0))))</f>
        <v/>
      </c>
      <c r="F22" s="12" t="n">
        <f aca="false">IF($A22="","",INDEX(Materials!$D$2:$D$201,MATCH(B22,Materials!$A$2:$A$201,0))-1)</f>
        <v>7</v>
      </c>
    </row>
    <row r="23" customFormat="false" ht="15" hidden="false" customHeight="false" outlineLevel="0" collapsed="false">
      <c r="A23" s="12" t="n">
        <f aca="false">IF(ROW()-7&lt;=$B$5,ROW()-7,"")</f>
        <v>16</v>
      </c>
      <c r="B23" s="13" t="str">
        <f aca="false">IF($A23="","",INDEX(Formulas!$B$2:$B$1501,MATCH($B$3&amp;"|"&amp;$A23,Formulas!$J$2:$J$1501,0)))</f>
        <v>Talc</v>
      </c>
      <c r="C23" s="13" t="str">
        <f aca="false">IF($A23="","",INDEX(Formulas!$F$2:$F$1501,MATCH($B$3&amp;"|"&amp;$A23,Formulas!$J$2:$J$1501,0)))</f>
        <v>Glidant / Anti-tacking</v>
      </c>
      <c r="D23" s="13" t="str">
        <f aca="false">IF($A23="","",INDEX(Formulas!$C$2:$C$1501,MATCH($B$3&amp;"|"&amp;$A23,Formulas!$J$2:$J$1501,0))&amp;"")</f>
        <v/>
      </c>
      <c r="E23" s="13" t="str">
        <f aca="false">IF($A23="","",IF(INDEX(Formulas!$D$2:$D$1501,MATCH($B$3&amp;"|"&amp;$A23,Formulas!$J$2:$J$1501,0))="","",INDEX(Formulas!$D$2:$D$1501,MATCH($B$3&amp;"|"&amp;$A23,Formulas!$J$2:$J$1501,0))))</f>
        <v/>
      </c>
      <c r="F23" s="12" t="n">
        <f aca="false">IF($A23="","",INDEX(Materials!$D$2:$D$201,MATCH(B23,Materials!$A$2:$A$201,0))-1)</f>
        <v>9</v>
      </c>
    </row>
    <row r="24" customFormat="false" ht="15" hidden="false" customHeight="false" outlineLevel="0" collapsed="false">
      <c r="A24" s="12" t="n">
        <f aca="false">IF(ROW()-7&lt;=$B$5,ROW()-7,"")</f>
        <v>17</v>
      </c>
      <c r="B24" s="13" t="str">
        <f aca="false">IF($A24="","",INDEX(Formulas!$B$2:$B$1501,MATCH($B$3&amp;"|"&amp;$A24,Formulas!$J$2:$J$1501,0)))</f>
        <v>Ferric Oxide Yellow</v>
      </c>
      <c r="C24" s="13" t="str">
        <f aca="false">IF($A24="","",INDEX(Formulas!$F$2:$F$1501,MATCH($B$3&amp;"|"&amp;$A24,Formulas!$J$2:$J$1501,0)))</f>
        <v>Colorant</v>
      </c>
      <c r="D24" s="13" t="str">
        <f aca="false">IF($A24="","",INDEX(Formulas!$C$2:$C$1501,MATCH($B$3&amp;"|"&amp;$A24,Formulas!$J$2:$J$1501,0))&amp;"")</f>
        <v/>
      </c>
      <c r="E24" s="13" t="str">
        <f aca="false">IF($A24="","",IF(INDEX(Formulas!$D$2:$D$1501,MATCH($B$3&amp;"|"&amp;$A24,Formulas!$J$2:$J$1501,0))="","",INDEX(Formulas!$D$2:$D$1501,MATCH($B$3&amp;"|"&amp;$A24,Formulas!$J$2:$J$1501,0))))</f>
        <v/>
      </c>
      <c r="F24" s="12" t="n">
        <f aca="false">IF($A24="","",INDEX(Materials!$D$2:$D$201,MATCH(B24,Materials!$A$2:$A$201,0))-1)</f>
        <v>3</v>
      </c>
    </row>
    <row r="25" customFormat="false" ht="15" hidden="false" customHeight="false" outlineLevel="0" collapsed="false">
      <c r="A25" s="12" t="n">
        <f aca="false">IF(ROW()-7&lt;=$B$5,ROW()-7,"")</f>
        <v>18</v>
      </c>
      <c r="B25" s="13" t="str">
        <f aca="false">IF($A25="","",INDEX(Formulas!$B$2:$B$1501,MATCH($B$3&amp;"|"&amp;$A25,Formulas!$J$2:$J$1501,0)))</f>
        <v>Ethanol 96%</v>
      </c>
      <c r="C25" s="13" t="str">
        <f aca="false">IF($A25="","",INDEX(Formulas!$F$2:$F$1501,MATCH($B$3&amp;"|"&amp;$A25,Formulas!$J$2:$J$1501,0)))</f>
        <v>Solvent</v>
      </c>
      <c r="D25" s="13" t="str">
        <f aca="false">IF($A25="","",INDEX(Formulas!$C$2:$C$1501,MATCH($B$3&amp;"|"&amp;$A25,Formulas!$J$2:$J$1501,0))&amp;"")</f>
        <v>Coating Solvent</v>
      </c>
      <c r="E25" s="13" t="str">
        <f aca="false">IF($A25="","",IF(INDEX(Formulas!$D$2:$D$1501,MATCH($B$3&amp;"|"&amp;$A25,Formulas!$J$2:$J$1501,0))="","",INDEX(Formulas!$D$2:$D$1501,MATCH($B$3&amp;"|"&amp;$A25,Formulas!$J$2:$J$1501,0))))</f>
        <v/>
      </c>
      <c r="F25" s="12" t="n">
        <f aca="false">IF($A25="","",INDEX(Materials!$D$2:$D$201,MATCH(B25,Materials!$A$2:$A$201,0))-1)</f>
        <v>7</v>
      </c>
    </row>
    <row r="26" customFormat="false" ht="15" hidden="false" customHeight="false" outlineLevel="0" collapsed="false">
      <c r="A26" s="12" t="n">
        <f aca="false">IF(ROW()-7&lt;=$B$5,ROW()-7,"")</f>
        <v>19</v>
      </c>
      <c r="B26" s="13" t="str">
        <f aca="false">IF($A26="","",INDEX(Formulas!$B$2:$B$1501,MATCH($B$3&amp;"|"&amp;$A26,Formulas!$J$2:$J$1501,0)))</f>
        <v>Purified Water</v>
      </c>
      <c r="C26" s="13" t="str">
        <f aca="false">IF($A26="","",INDEX(Formulas!$F$2:$F$1501,MATCH($B$3&amp;"|"&amp;$A26,Formulas!$J$2:$J$1501,0)))</f>
        <v>Solvent</v>
      </c>
      <c r="D26" s="13" t="str">
        <f aca="false">IF($A26="","",INDEX(Formulas!$C$2:$C$1501,MATCH($B$3&amp;"|"&amp;$A26,Formulas!$J$2:$J$1501,0))&amp;"")</f>
        <v/>
      </c>
      <c r="E26" s="13" t="str">
        <f aca="false">IF($A26="","",IF(INDEX(Formulas!$D$2:$D$1501,MATCH($B$3&amp;"|"&amp;$A26,Formulas!$J$2:$J$1501,0))="","",INDEX(Formulas!$D$2:$D$1501,MATCH($B$3&amp;"|"&amp;$A26,Formulas!$J$2:$J$1501,0))))</f>
        <v/>
      </c>
      <c r="F26" s="12" t="n">
        <f aca="false">IF($A26="","",INDEX(Materials!$D$2:$D$201,MATCH(B26,Materials!$A$2:$A$201,0))-1)</f>
        <v>7</v>
      </c>
    </row>
    <row r="27" customFormat="false" ht="15" hidden="false" customHeight="false" outlineLevel="0" collapsed="false">
      <c r="A27" s="12" t="str">
        <f aca="false">IF(ROW()-7&lt;=$B$5,ROW()-7,"")</f>
        <v/>
      </c>
      <c r="B27" s="13" t="str">
        <f aca="false">IF($A27="","",INDEX(Formulas!$B$2:$B$1501,MATCH($B$3&amp;"|"&amp;$A27,Formulas!$J$2:$J$1501,0)))</f>
        <v/>
      </c>
      <c r="C27" s="13" t="str">
        <f aca="false">IF($A27="","",INDEX(Formulas!$F$2:$F$1501,MATCH($B$3&amp;"|"&amp;$A27,Formulas!$J$2:$J$1501,0)))</f>
        <v/>
      </c>
      <c r="D27" s="13" t="str">
        <f aca="false">IF($A27="","",INDEX(Formulas!$C$2:$C$1501,MATCH($B$3&amp;"|"&amp;$A27,Formulas!$J$2:$J$1501,0))&amp;"")</f>
        <v/>
      </c>
      <c r="E27" s="13" t="str">
        <f aca="false">IF($A27="","",IF(INDEX(Formulas!$D$2:$D$1501,MATCH($B$3&amp;"|"&amp;$A27,Formulas!$J$2:$J$1501,0))="","",INDEX(Formulas!$D$2:$D$1501,MATCH($B$3&amp;"|"&amp;$A27,Formulas!$J$2:$J$1501,0))))</f>
        <v/>
      </c>
      <c r="F27" s="12" t="str">
        <f aca="false">IF($A27="","",INDEX(Materials!$D$2:$D$201,MATCH(B27,Materials!$A$2:$A$201,0))-1)</f>
        <v/>
      </c>
    </row>
    <row r="28" customFormat="false" ht="15" hidden="false" customHeight="false" outlineLevel="0" collapsed="false">
      <c r="A28" s="12" t="str">
        <f aca="false">IF(ROW()-7&lt;=$B$5,ROW()-7,"")</f>
        <v/>
      </c>
      <c r="B28" s="13" t="str">
        <f aca="false">IF($A28="","",INDEX(Formulas!$B$2:$B$1501,MATCH($B$3&amp;"|"&amp;$A28,Formulas!$J$2:$J$1501,0)))</f>
        <v/>
      </c>
      <c r="C28" s="13" t="str">
        <f aca="false">IF($A28="","",INDEX(Formulas!$F$2:$F$1501,MATCH($B$3&amp;"|"&amp;$A28,Formulas!$J$2:$J$1501,0)))</f>
        <v/>
      </c>
      <c r="D28" s="13" t="str">
        <f aca="false">IF($A28="","",INDEX(Formulas!$C$2:$C$1501,MATCH($B$3&amp;"|"&amp;$A28,Formulas!$J$2:$J$1501,0))&amp;"")</f>
        <v/>
      </c>
      <c r="E28" s="13" t="str">
        <f aca="false">IF($A28="","",IF(INDEX(Formulas!$D$2:$D$1501,MATCH($B$3&amp;"|"&amp;$A28,Formulas!$J$2:$J$1501,0))="","",INDEX(Formulas!$D$2:$D$1501,MATCH($B$3&amp;"|"&amp;$A28,Formulas!$J$2:$J$1501,0))))</f>
        <v/>
      </c>
      <c r="F28" s="12" t="str">
        <f aca="false">IF($A28="","",INDEX(Materials!$D$2:$D$201,MATCH(B28,Materials!$A$2:$A$201,0))-1)</f>
        <v/>
      </c>
    </row>
    <row r="29" customFormat="false" ht="15" hidden="false" customHeight="false" outlineLevel="0" collapsed="false">
      <c r="A29" s="12" t="str">
        <f aca="false">IF(ROW()-7&lt;=$B$5,ROW()-7,"")</f>
        <v/>
      </c>
      <c r="B29" s="13" t="str">
        <f aca="false">IF($A29="","",INDEX(Formulas!$B$2:$B$1501,MATCH($B$3&amp;"|"&amp;$A29,Formulas!$J$2:$J$1501,0)))</f>
        <v/>
      </c>
      <c r="C29" s="13" t="str">
        <f aca="false">IF($A29="","",INDEX(Formulas!$F$2:$F$1501,MATCH($B$3&amp;"|"&amp;$A29,Formulas!$J$2:$J$1501,0)))</f>
        <v/>
      </c>
      <c r="D29" s="13" t="str">
        <f aca="false">IF($A29="","",INDEX(Formulas!$C$2:$C$1501,MATCH($B$3&amp;"|"&amp;$A29,Formulas!$J$2:$J$1501,0))&amp;"")</f>
        <v/>
      </c>
      <c r="E29" s="13" t="str">
        <f aca="false">IF($A29="","",IF(INDEX(Formulas!$D$2:$D$1501,MATCH($B$3&amp;"|"&amp;$A29,Formulas!$J$2:$J$1501,0))="","",INDEX(Formulas!$D$2:$D$1501,MATCH($B$3&amp;"|"&amp;$A29,Formulas!$J$2:$J$1501,0))))</f>
        <v/>
      </c>
      <c r="F29" s="12" t="str">
        <f aca="false">IF($A29="","",INDEX(Materials!$D$2:$D$201,MATCH(B29,Materials!$A$2:$A$201,0))-1)</f>
        <v/>
      </c>
    </row>
    <row r="30" customFormat="false" ht="15" hidden="false" customHeight="false" outlineLevel="0" collapsed="false">
      <c r="A30" s="12" t="str">
        <f aca="false">IF(ROW()-7&lt;=$B$5,ROW()-7,"")</f>
        <v/>
      </c>
      <c r="B30" s="13" t="str">
        <f aca="false">IF($A30="","",INDEX(Formulas!$B$2:$B$1501,MATCH($B$3&amp;"|"&amp;$A30,Formulas!$J$2:$J$1501,0)))</f>
        <v/>
      </c>
      <c r="C30" s="13" t="str">
        <f aca="false">IF($A30="","",INDEX(Formulas!$F$2:$F$1501,MATCH($B$3&amp;"|"&amp;$A30,Formulas!$J$2:$J$1501,0)))</f>
        <v/>
      </c>
      <c r="D30" s="13" t="str">
        <f aca="false">IF($A30="","",INDEX(Formulas!$C$2:$C$1501,MATCH($B$3&amp;"|"&amp;$A30,Formulas!$J$2:$J$1501,0))&amp;"")</f>
        <v/>
      </c>
      <c r="E30" s="13" t="str">
        <f aca="false">IF($A30="","",IF(INDEX(Formulas!$D$2:$D$1501,MATCH($B$3&amp;"|"&amp;$A30,Formulas!$J$2:$J$1501,0))="","",INDEX(Formulas!$D$2:$D$1501,MATCH($B$3&amp;"|"&amp;$A30,Formulas!$J$2:$J$1501,0))))</f>
        <v/>
      </c>
      <c r="F30" s="12" t="str">
        <f aca="false">IF($A30="","",INDEX(Materials!$D$2:$D$201,MATCH(B30,Materials!$A$2:$A$201,0))-1)</f>
        <v/>
      </c>
    </row>
    <row r="31" customFormat="false" ht="15" hidden="false" customHeight="false" outlineLevel="0" collapsed="false">
      <c r="A31" s="12" t="str">
        <f aca="false">IF(ROW()-7&lt;=$B$5,ROW()-7,"")</f>
        <v/>
      </c>
      <c r="B31" s="13" t="str">
        <f aca="false">IF($A31="","",INDEX(Formulas!$B$2:$B$1501,MATCH($B$3&amp;"|"&amp;$A31,Formulas!$J$2:$J$1501,0)))</f>
        <v/>
      </c>
      <c r="C31" s="13" t="str">
        <f aca="false">IF($A31="","",INDEX(Formulas!$F$2:$F$1501,MATCH($B$3&amp;"|"&amp;$A31,Formulas!$J$2:$J$1501,0)))</f>
        <v/>
      </c>
      <c r="D31" s="13" t="str">
        <f aca="false">IF($A31="","",INDEX(Formulas!$C$2:$C$1501,MATCH($B$3&amp;"|"&amp;$A31,Formulas!$J$2:$J$1501,0))&amp;"")</f>
        <v/>
      </c>
      <c r="E31" s="13" t="str">
        <f aca="false">IF($A31="","",IF(INDEX(Formulas!$D$2:$D$1501,MATCH($B$3&amp;"|"&amp;$A31,Formulas!$J$2:$J$1501,0))="","",INDEX(Formulas!$D$2:$D$1501,MATCH($B$3&amp;"|"&amp;$A31,Formulas!$J$2:$J$1501,0))))</f>
        <v/>
      </c>
      <c r="F31" s="12" t="str">
        <f aca="false">IF($A31="","",INDEX(Materials!$D$2:$D$201,MATCH(B31,Materials!$A$2:$A$201,0))-1)</f>
        <v/>
      </c>
    </row>
    <row r="32" customFormat="false" ht="15" hidden="false" customHeight="false" outlineLevel="0" collapsed="false">
      <c r="A32" s="12" t="str">
        <f aca="false">IF(ROW()-7&lt;=$B$5,ROW()-7,"")</f>
        <v/>
      </c>
      <c r="B32" s="13" t="str">
        <f aca="false">IF($A32="","",INDEX(Formulas!$B$2:$B$1501,MATCH($B$3&amp;"|"&amp;$A32,Formulas!$J$2:$J$1501,0)))</f>
        <v/>
      </c>
      <c r="C32" s="13" t="str">
        <f aca="false">IF($A32="","",INDEX(Formulas!$F$2:$F$1501,MATCH($B$3&amp;"|"&amp;$A32,Formulas!$J$2:$J$1501,0)))</f>
        <v/>
      </c>
      <c r="D32" s="13" t="str">
        <f aca="false">IF($A32="","",INDEX(Formulas!$C$2:$C$1501,MATCH($B$3&amp;"|"&amp;$A32,Formulas!$J$2:$J$1501,0))&amp;"")</f>
        <v/>
      </c>
      <c r="E32" s="13" t="str">
        <f aca="false">IF($A32="","",IF(INDEX(Formulas!$D$2:$D$1501,MATCH($B$3&amp;"|"&amp;$A32,Formulas!$J$2:$J$1501,0))="","",INDEX(Formulas!$D$2:$D$1501,MATCH($B$3&amp;"|"&amp;$A32,Formulas!$J$2:$J$1501,0))))</f>
        <v/>
      </c>
      <c r="F32" s="12" t="str">
        <f aca="false">IF($A32="","",INDEX(Materials!$D$2:$D$201,MATCH(B32,Materials!$A$2:$A$201,0))-1)</f>
        <v/>
      </c>
    </row>
    <row r="33" customFormat="false" ht="15" hidden="false" customHeight="false" outlineLevel="0" collapsed="false">
      <c r="A33" s="12" t="str">
        <f aca="false">IF(ROW()-7&lt;=$B$5,ROW()-7,"")</f>
        <v/>
      </c>
      <c r="B33" s="13" t="str">
        <f aca="false">IF($A33="","",INDEX(Formulas!$B$2:$B$1501,MATCH($B$3&amp;"|"&amp;$A33,Formulas!$J$2:$J$1501,0)))</f>
        <v/>
      </c>
      <c r="C33" s="13" t="str">
        <f aca="false">IF($A33="","",INDEX(Formulas!$F$2:$F$1501,MATCH($B$3&amp;"|"&amp;$A33,Formulas!$J$2:$J$1501,0)))</f>
        <v/>
      </c>
      <c r="D33" s="13" t="str">
        <f aca="false">IF($A33="","",INDEX(Formulas!$C$2:$C$1501,MATCH($B$3&amp;"|"&amp;$A33,Formulas!$J$2:$J$1501,0))&amp;"")</f>
        <v/>
      </c>
      <c r="E33" s="13" t="str">
        <f aca="false">IF($A33="","",IF(INDEX(Formulas!$D$2:$D$1501,MATCH($B$3&amp;"|"&amp;$A33,Formulas!$J$2:$J$1501,0))="","",INDEX(Formulas!$D$2:$D$1501,MATCH($B$3&amp;"|"&amp;$A33,Formulas!$J$2:$J$1501,0))))</f>
        <v/>
      </c>
      <c r="F33" s="12" t="str">
        <f aca="false">IF($A33="","",INDEX(Materials!$D$2:$D$201,MATCH(B33,Materials!$A$2:$A$201,0))-1)</f>
        <v/>
      </c>
    </row>
    <row r="34" customFormat="false" ht="15" hidden="false" customHeight="false" outlineLevel="0" collapsed="false">
      <c r="A34" s="12" t="str">
        <f aca="false">IF(ROW()-7&lt;=$B$5,ROW()-7,"")</f>
        <v/>
      </c>
      <c r="B34" s="13" t="str">
        <f aca="false">IF($A34="","",INDEX(Formulas!$B$2:$B$1501,MATCH($B$3&amp;"|"&amp;$A34,Formulas!$J$2:$J$1501,0)))</f>
        <v/>
      </c>
      <c r="C34" s="13" t="str">
        <f aca="false">IF($A34="","",INDEX(Formulas!$F$2:$F$1501,MATCH($B$3&amp;"|"&amp;$A34,Formulas!$J$2:$J$1501,0)))</f>
        <v/>
      </c>
      <c r="D34" s="13" t="str">
        <f aca="false">IF($A34="","",INDEX(Formulas!$C$2:$C$1501,MATCH($B$3&amp;"|"&amp;$A34,Formulas!$J$2:$J$1501,0))&amp;"")</f>
        <v/>
      </c>
      <c r="E34" s="13" t="str">
        <f aca="false">IF($A34="","",IF(INDEX(Formulas!$D$2:$D$1501,MATCH($B$3&amp;"|"&amp;$A34,Formulas!$J$2:$J$1501,0))="","",INDEX(Formulas!$D$2:$D$1501,MATCH($B$3&amp;"|"&amp;$A34,Formulas!$J$2:$J$1501,0))))</f>
        <v/>
      </c>
      <c r="F34" s="12" t="str">
        <f aca="false">IF($A34="","",INDEX(Materials!$D$2:$D$201,MATCH(B34,Materials!$A$2:$A$201,0))-1)</f>
        <v/>
      </c>
    </row>
    <row r="35" customFormat="false" ht="15" hidden="false" customHeight="false" outlineLevel="0" collapsed="false">
      <c r="A35" s="12" t="str">
        <f aca="false">IF(ROW()-7&lt;=$B$5,ROW()-7,"")</f>
        <v/>
      </c>
      <c r="B35" s="13" t="str">
        <f aca="false">IF($A35="","",INDEX(Formulas!$B$2:$B$1501,MATCH($B$3&amp;"|"&amp;$A35,Formulas!$J$2:$J$1501,0)))</f>
        <v/>
      </c>
      <c r="C35" s="13" t="str">
        <f aca="false">IF($A35="","",INDEX(Formulas!$F$2:$F$1501,MATCH($B$3&amp;"|"&amp;$A35,Formulas!$J$2:$J$1501,0)))</f>
        <v/>
      </c>
      <c r="D35" s="13" t="str">
        <f aca="false">IF($A35="","",INDEX(Formulas!$C$2:$C$1501,MATCH($B$3&amp;"|"&amp;$A35,Formulas!$J$2:$J$1501,0))&amp;"")</f>
        <v/>
      </c>
      <c r="E35" s="13" t="str">
        <f aca="false">IF($A35="","",IF(INDEX(Formulas!$D$2:$D$1501,MATCH($B$3&amp;"|"&amp;$A35,Formulas!$J$2:$J$1501,0))="","",INDEX(Formulas!$D$2:$D$1501,MATCH($B$3&amp;"|"&amp;$A35,Formulas!$J$2:$J$1501,0))))</f>
        <v/>
      </c>
      <c r="F35" s="12" t="str">
        <f aca="false">IF($A35="","",INDEX(Materials!$D$2:$D$201,MATCH(B35,Materials!$A$2:$A$201,0))-1)</f>
        <v/>
      </c>
    </row>
    <row r="36" customFormat="false" ht="15" hidden="false" customHeight="false" outlineLevel="0" collapsed="false">
      <c r="A36" s="12" t="str">
        <f aca="false">IF(ROW()-7&lt;=$B$5,ROW()-7,"")</f>
        <v/>
      </c>
      <c r="B36" s="13" t="str">
        <f aca="false">IF($A36="","",INDEX(Formulas!$B$2:$B$1501,MATCH($B$3&amp;"|"&amp;$A36,Formulas!$J$2:$J$1501,0)))</f>
        <v/>
      </c>
      <c r="C36" s="13" t="str">
        <f aca="false">IF($A36="","",INDEX(Formulas!$F$2:$F$1501,MATCH($B$3&amp;"|"&amp;$A36,Formulas!$J$2:$J$1501,0)))</f>
        <v/>
      </c>
      <c r="D36" s="13" t="str">
        <f aca="false">IF($A36="","",INDEX(Formulas!$C$2:$C$1501,MATCH($B$3&amp;"|"&amp;$A36,Formulas!$J$2:$J$1501,0))&amp;"")</f>
        <v/>
      </c>
      <c r="E36" s="13" t="str">
        <f aca="false">IF($A36="","",IF(INDEX(Formulas!$D$2:$D$1501,MATCH($B$3&amp;"|"&amp;$A36,Formulas!$J$2:$J$1501,0))="","",INDEX(Formulas!$D$2:$D$1501,MATCH($B$3&amp;"|"&amp;$A36,Formulas!$J$2:$J$1501,0))))</f>
        <v/>
      </c>
      <c r="F36" s="12" t="str">
        <f aca="false">IF($A36="","",INDEX(Materials!$D$2:$D$201,MATCH(B36,Materials!$A$2:$A$201,0))-1)</f>
        <v/>
      </c>
    </row>
    <row r="37" customFormat="false" ht="15" hidden="false" customHeight="false" outlineLevel="0" collapsed="false">
      <c r="A37" s="12" t="str">
        <f aca="false">IF(ROW()-7&lt;=$B$5,ROW()-7,"")</f>
        <v/>
      </c>
      <c r="B37" s="13" t="str">
        <f aca="false">IF($A37="","",INDEX(Formulas!$B$2:$B$1501,MATCH($B$3&amp;"|"&amp;$A37,Formulas!$J$2:$J$1501,0)))</f>
        <v/>
      </c>
      <c r="C37" s="13" t="str">
        <f aca="false">IF($A37="","",INDEX(Formulas!$F$2:$F$1501,MATCH($B$3&amp;"|"&amp;$A37,Formulas!$J$2:$J$1501,0)))</f>
        <v/>
      </c>
      <c r="D37" s="13" t="str">
        <f aca="false">IF($A37="","",INDEX(Formulas!$C$2:$C$1501,MATCH($B$3&amp;"|"&amp;$A37,Formulas!$J$2:$J$1501,0))&amp;"")</f>
        <v/>
      </c>
      <c r="E37" s="13" t="str">
        <f aca="false">IF($A37="","",IF(INDEX(Formulas!$D$2:$D$1501,MATCH($B$3&amp;"|"&amp;$A37,Formulas!$J$2:$J$1501,0))="","",INDEX(Formulas!$D$2:$D$1501,MATCH($B$3&amp;"|"&amp;$A37,Formulas!$J$2:$J$1501,0))))</f>
        <v/>
      </c>
      <c r="F37" s="12" t="str">
        <f aca="false">IF($A37="","",INDEX(Materials!$D$2:$D$201,MATCH(B37,Materials!$A$2:$A$201,0))-1)</f>
        <v/>
      </c>
    </row>
    <row r="38" customFormat="false" ht="15" hidden="false" customHeight="false" outlineLevel="0" collapsed="false">
      <c r="A38" s="12" t="str">
        <f aca="false">IF(ROW()-7&lt;=$B$5,ROW()-7,"")</f>
        <v/>
      </c>
      <c r="B38" s="13" t="str">
        <f aca="false">IF($A38="","",INDEX(Formulas!$B$2:$B$1501,MATCH($B$3&amp;"|"&amp;$A38,Formulas!$J$2:$J$1501,0)))</f>
        <v/>
      </c>
      <c r="C38" s="13" t="str">
        <f aca="false">IF($A38="","",INDEX(Formulas!$F$2:$F$1501,MATCH($B$3&amp;"|"&amp;$A38,Formulas!$J$2:$J$1501,0)))</f>
        <v/>
      </c>
      <c r="D38" s="13" t="str">
        <f aca="false">IF($A38="","",INDEX(Formulas!$C$2:$C$1501,MATCH($B$3&amp;"|"&amp;$A38,Formulas!$J$2:$J$1501,0))&amp;"")</f>
        <v/>
      </c>
      <c r="E38" s="13" t="str">
        <f aca="false">IF($A38="","",IF(INDEX(Formulas!$D$2:$D$1501,MATCH($B$3&amp;"|"&amp;$A38,Formulas!$J$2:$J$1501,0))="","",INDEX(Formulas!$D$2:$D$1501,MATCH($B$3&amp;"|"&amp;$A38,Formulas!$J$2:$J$1501,0))))</f>
        <v/>
      </c>
      <c r="F38" s="12" t="str">
        <f aca="false">IF($A38="","",INDEX(Materials!$D$2:$D$201,MATCH(B38,Materials!$A$2:$A$201,0))-1)</f>
        <v/>
      </c>
    </row>
    <row r="39" customFormat="false" ht="15" hidden="false" customHeight="false" outlineLevel="0" collapsed="false">
      <c r="A39" s="12" t="str">
        <f aca="false">IF(ROW()-7&lt;=$B$5,ROW()-7,"")</f>
        <v/>
      </c>
      <c r="B39" s="13" t="str">
        <f aca="false">IF($A39="","",INDEX(Formulas!$B$2:$B$1501,MATCH($B$3&amp;"|"&amp;$A39,Formulas!$J$2:$J$1501,0)))</f>
        <v/>
      </c>
      <c r="C39" s="13" t="str">
        <f aca="false">IF($A39="","",INDEX(Formulas!$F$2:$F$1501,MATCH($B$3&amp;"|"&amp;$A39,Formulas!$J$2:$J$1501,0)))</f>
        <v/>
      </c>
      <c r="D39" s="13" t="str">
        <f aca="false">IF($A39="","",INDEX(Formulas!$C$2:$C$1501,MATCH($B$3&amp;"|"&amp;$A39,Formulas!$J$2:$J$1501,0))&amp;"")</f>
        <v/>
      </c>
      <c r="E39" s="13" t="str">
        <f aca="false">IF($A39="","",IF(INDEX(Formulas!$D$2:$D$1501,MATCH($B$3&amp;"|"&amp;$A39,Formulas!$J$2:$J$1501,0))="","",INDEX(Formulas!$D$2:$D$1501,MATCH($B$3&amp;"|"&amp;$A39,Formulas!$J$2:$J$1501,0))))</f>
        <v/>
      </c>
      <c r="F39" s="12" t="str">
        <f aca="false">IF($A39="","",INDEX(Materials!$D$2:$D$201,MATCH(B39,Materials!$A$2:$A$201,0))-1)</f>
        <v/>
      </c>
    </row>
    <row r="40" customFormat="false" ht="15" hidden="false" customHeight="false" outlineLevel="0" collapsed="false">
      <c r="A40" s="12" t="str">
        <f aca="false">IF(ROW()-7&lt;=$B$5,ROW()-7,"")</f>
        <v/>
      </c>
      <c r="B40" s="13" t="str">
        <f aca="false">IF($A40="","",INDEX(Formulas!$B$2:$B$1501,MATCH($B$3&amp;"|"&amp;$A40,Formulas!$J$2:$J$1501,0)))</f>
        <v/>
      </c>
      <c r="C40" s="13" t="str">
        <f aca="false">IF($A40="","",INDEX(Formulas!$F$2:$F$1501,MATCH($B$3&amp;"|"&amp;$A40,Formulas!$J$2:$J$1501,0)))</f>
        <v/>
      </c>
      <c r="D40" s="13" t="str">
        <f aca="false">IF($A40="","",INDEX(Formulas!$C$2:$C$1501,MATCH($B$3&amp;"|"&amp;$A40,Formulas!$J$2:$J$1501,0))&amp;"")</f>
        <v/>
      </c>
      <c r="E40" s="13" t="str">
        <f aca="false">IF($A40="","",IF(INDEX(Formulas!$D$2:$D$1501,MATCH($B$3&amp;"|"&amp;$A40,Formulas!$J$2:$J$1501,0))="","",INDEX(Formulas!$D$2:$D$1501,MATCH($B$3&amp;"|"&amp;$A40,Formulas!$J$2:$J$1501,0))))</f>
        <v/>
      </c>
      <c r="F40" s="12" t="str">
        <f aca="false">IF($A40="","",INDEX(Materials!$D$2:$D$201,MATCH(B40,Materials!$A$2:$A$201,0))-1)</f>
        <v/>
      </c>
    </row>
    <row r="41" customFormat="false" ht="15" hidden="false" customHeight="false" outlineLevel="0" collapsed="false">
      <c r="A41" s="12" t="str">
        <f aca="false">IF(ROW()-7&lt;=$B$5,ROW()-7,"")</f>
        <v/>
      </c>
      <c r="B41" s="13" t="str">
        <f aca="false">IF($A41="","",INDEX(Formulas!$B$2:$B$1501,MATCH($B$3&amp;"|"&amp;$A41,Formulas!$J$2:$J$1501,0)))</f>
        <v/>
      </c>
      <c r="C41" s="13" t="str">
        <f aca="false">IF($A41="","",INDEX(Formulas!$F$2:$F$1501,MATCH($B$3&amp;"|"&amp;$A41,Formulas!$J$2:$J$1501,0)))</f>
        <v/>
      </c>
      <c r="D41" s="13" t="str">
        <f aca="false">IF($A41="","",INDEX(Formulas!$C$2:$C$1501,MATCH($B$3&amp;"|"&amp;$A41,Formulas!$J$2:$J$1501,0))&amp;"")</f>
        <v/>
      </c>
      <c r="E41" s="13" t="str">
        <f aca="false">IF($A41="","",IF(INDEX(Formulas!$D$2:$D$1501,MATCH($B$3&amp;"|"&amp;$A41,Formulas!$J$2:$J$1501,0))="","",INDEX(Formulas!$D$2:$D$1501,MATCH($B$3&amp;"|"&amp;$A41,Formulas!$J$2:$J$1501,0))))</f>
        <v/>
      </c>
      <c r="F41" s="12" t="str">
        <f aca="false">IF($A41="","",INDEX(Materials!$D$2:$D$201,MATCH(B41,Materials!$A$2:$A$201,0))-1)</f>
        <v/>
      </c>
    </row>
    <row r="42" customFormat="false" ht="15" hidden="false" customHeight="false" outlineLevel="0" collapsed="false">
      <c r="A42" s="12" t="str">
        <f aca="false">IF(ROW()-7&lt;=$B$5,ROW()-7,"")</f>
        <v/>
      </c>
      <c r="B42" s="13" t="str">
        <f aca="false">IF($A42="","",INDEX(Formulas!$B$2:$B$1501,MATCH($B$3&amp;"|"&amp;$A42,Formulas!$J$2:$J$1501,0)))</f>
        <v/>
      </c>
      <c r="C42" s="13" t="str">
        <f aca="false">IF($A42="","",INDEX(Formulas!$F$2:$F$1501,MATCH($B$3&amp;"|"&amp;$A42,Formulas!$J$2:$J$1501,0)))</f>
        <v/>
      </c>
      <c r="D42" s="13" t="str">
        <f aca="false">IF($A42="","",INDEX(Formulas!$C$2:$C$1501,MATCH($B$3&amp;"|"&amp;$A42,Formulas!$J$2:$J$1501,0))&amp;"")</f>
        <v/>
      </c>
      <c r="E42" s="13" t="str">
        <f aca="false">IF($A42="","",IF(INDEX(Formulas!$D$2:$D$1501,MATCH($B$3&amp;"|"&amp;$A42,Formulas!$J$2:$J$1501,0))="","",INDEX(Formulas!$D$2:$D$1501,MATCH($B$3&amp;"|"&amp;$A42,Formulas!$J$2:$J$1501,0))))</f>
        <v/>
      </c>
      <c r="F42" s="12" t="str">
        <f aca="false">IF($A42="","",INDEX(Materials!$D$2:$D$201,MATCH(B42,Materials!$A$2:$A$201,0))-1)</f>
        <v/>
      </c>
    </row>
    <row r="43" customFormat="false" ht="15" hidden="false" customHeight="false" outlineLevel="0" collapsed="false">
      <c r="A43" s="12" t="str">
        <f aca="false">IF(ROW()-7&lt;=$B$5,ROW()-7,"")</f>
        <v/>
      </c>
      <c r="B43" s="13" t="str">
        <f aca="false">IF($A43="","",INDEX(Formulas!$B$2:$B$1501,MATCH($B$3&amp;"|"&amp;$A43,Formulas!$J$2:$J$1501,0)))</f>
        <v/>
      </c>
      <c r="C43" s="13" t="str">
        <f aca="false">IF($A43="","",INDEX(Formulas!$F$2:$F$1501,MATCH($B$3&amp;"|"&amp;$A43,Formulas!$J$2:$J$1501,0)))</f>
        <v/>
      </c>
      <c r="D43" s="13" t="str">
        <f aca="false">IF($A43="","",INDEX(Formulas!$C$2:$C$1501,MATCH($B$3&amp;"|"&amp;$A43,Formulas!$J$2:$J$1501,0))&amp;"")</f>
        <v/>
      </c>
      <c r="E43" s="13" t="str">
        <f aca="false">IF($A43="","",IF(INDEX(Formulas!$D$2:$D$1501,MATCH($B$3&amp;"|"&amp;$A43,Formulas!$J$2:$J$1501,0))="","",INDEX(Formulas!$D$2:$D$1501,MATCH($B$3&amp;"|"&amp;$A43,Formulas!$J$2:$J$1501,0))))</f>
        <v/>
      </c>
      <c r="F43" s="12" t="str">
        <f aca="false">IF($A43="","",INDEX(Materials!$D$2:$D$201,MATCH(B43,Materials!$A$2:$A$201,0))-1)</f>
        <v/>
      </c>
    </row>
    <row r="44" customFormat="false" ht="15" hidden="false" customHeight="false" outlineLevel="0" collapsed="false">
      <c r="A44" s="12" t="str">
        <f aca="false">IF(ROW()-7&lt;=$B$5,ROW()-7,"")</f>
        <v/>
      </c>
      <c r="B44" s="13" t="str">
        <f aca="false">IF($A44="","",INDEX(Formulas!$B$2:$B$1501,MATCH($B$3&amp;"|"&amp;$A44,Formulas!$J$2:$J$1501,0)))</f>
        <v/>
      </c>
      <c r="C44" s="13" t="str">
        <f aca="false">IF($A44="","",INDEX(Formulas!$F$2:$F$1501,MATCH($B$3&amp;"|"&amp;$A44,Formulas!$J$2:$J$1501,0)))</f>
        <v/>
      </c>
      <c r="D44" s="13" t="str">
        <f aca="false">IF($A44="","",INDEX(Formulas!$C$2:$C$1501,MATCH($B$3&amp;"|"&amp;$A44,Formulas!$J$2:$J$1501,0))&amp;"")</f>
        <v/>
      </c>
      <c r="E44" s="13" t="str">
        <f aca="false">IF($A44="","",IF(INDEX(Formulas!$D$2:$D$1501,MATCH($B$3&amp;"|"&amp;$A44,Formulas!$J$2:$J$1501,0))="","",INDEX(Formulas!$D$2:$D$1501,MATCH($B$3&amp;"|"&amp;$A44,Formulas!$J$2:$J$1501,0))))</f>
        <v/>
      </c>
      <c r="F44" s="12" t="str">
        <f aca="false">IF($A44="","",INDEX(Materials!$D$2:$D$201,MATCH(B44,Materials!$A$2:$A$201,0))-1)</f>
        <v/>
      </c>
    </row>
    <row r="45" customFormat="false" ht="15" hidden="false" customHeight="false" outlineLevel="0" collapsed="false">
      <c r="A45" s="12" t="str">
        <f aca="false">IF(ROW()-7&lt;=$B$5,ROW()-7,"")</f>
        <v/>
      </c>
      <c r="B45" s="13" t="str">
        <f aca="false">IF($A45="","",INDEX(Formulas!$B$2:$B$1501,MATCH($B$3&amp;"|"&amp;$A45,Formulas!$J$2:$J$1501,0)))</f>
        <v/>
      </c>
      <c r="C45" s="13" t="str">
        <f aca="false">IF($A45="","",INDEX(Formulas!$F$2:$F$1501,MATCH($B$3&amp;"|"&amp;$A45,Formulas!$J$2:$J$1501,0)))</f>
        <v/>
      </c>
      <c r="D45" s="13" t="str">
        <f aca="false">IF($A45="","",INDEX(Formulas!$C$2:$C$1501,MATCH($B$3&amp;"|"&amp;$A45,Formulas!$J$2:$J$1501,0))&amp;"")</f>
        <v/>
      </c>
      <c r="E45" s="13" t="str">
        <f aca="false">IF($A45="","",IF(INDEX(Formulas!$D$2:$D$1501,MATCH($B$3&amp;"|"&amp;$A45,Formulas!$J$2:$J$1501,0))="","",INDEX(Formulas!$D$2:$D$1501,MATCH($B$3&amp;"|"&amp;$A45,Formulas!$J$2:$J$1501,0))))</f>
        <v/>
      </c>
      <c r="F45" s="12" t="str">
        <f aca="false">IF($A45="","",INDEX(Materials!$D$2:$D$201,MATCH(B45,Materials!$A$2:$A$201,0))-1)</f>
        <v/>
      </c>
    </row>
    <row r="46" customFormat="false" ht="15" hidden="false" customHeight="false" outlineLevel="0" collapsed="false">
      <c r="A46" s="12" t="str">
        <f aca="false">IF(ROW()-7&lt;=$B$5,ROW()-7,"")</f>
        <v/>
      </c>
      <c r="B46" s="13" t="str">
        <f aca="false">IF($A46="","",INDEX(Formulas!$B$2:$B$1501,MATCH($B$3&amp;"|"&amp;$A46,Formulas!$J$2:$J$1501,0)))</f>
        <v/>
      </c>
      <c r="C46" s="13" t="str">
        <f aca="false">IF($A46="","",INDEX(Formulas!$F$2:$F$1501,MATCH($B$3&amp;"|"&amp;$A46,Formulas!$J$2:$J$1501,0)))</f>
        <v/>
      </c>
      <c r="D46" s="13" t="str">
        <f aca="false">IF($A46="","",INDEX(Formulas!$C$2:$C$1501,MATCH($B$3&amp;"|"&amp;$A46,Formulas!$J$2:$J$1501,0))&amp;"")</f>
        <v/>
      </c>
      <c r="E46" s="13" t="str">
        <f aca="false">IF($A46="","",IF(INDEX(Formulas!$D$2:$D$1501,MATCH($B$3&amp;"|"&amp;$A46,Formulas!$J$2:$J$1501,0))="","",INDEX(Formulas!$D$2:$D$1501,MATCH($B$3&amp;"|"&amp;$A46,Formulas!$J$2:$J$1501,0))))</f>
        <v/>
      </c>
      <c r="F46" s="12" t="str">
        <f aca="false">IF($A46="","",INDEX(Materials!$D$2:$D$201,MATCH(B46,Materials!$A$2:$A$201,0))-1)</f>
        <v/>
      </c>
    </row>
    <row r="47" customFormat="false" ht="15" hidden="false" customHeight="false" outlineLevel="0" collapsed="false">
      <c r="A47" s="12" t="str">
        <f aca="false">IF(ROW()-7&lt;=$B$5,ROW()-7,"")</f>
        <v/>
      </c>
      <c r="B47" s="13" t="str">
        <f aca="false">IF($A47="","",INDEX(Formulas!$B$2:$B$1501,MATCH($B$3&amp;"|"&amp;$A47,Formulas!$J$2:$J$1501,0)))</f>
        <v/>
      </c>
      <c r="C47" s="13" t="str">
        <f aca="false">IF($A47="","",INDEX(Formulas!$F$2:$F$1501,MATCH($B$3&amp;"|"&amp;$A47,Formulas!$J$2:$J$1501,0)))</f>
        <v/>
      </c>
      <c r="D47" s="13" t="str">
        <f aca="false">IF($A47="","",INDEX(Formulas!$C$2:$C$1501,MATCH($B$3&amp;"|"&amp;$A47,Formulas!$J$2:$J$1501,0))&amp;"")</f>
        <v/>
      </c>
      <c r="E47" s="13" t="str">
        <f aca="false">IF($A47="","",IF(INDEX(Formulas!$D$2:$D$1501,MATCH($B$3&amp;"|"&amp;$A47,Formulas!$J$2:$J$1501,0))="","",INDEX(Formulas!$D$2:$D$1501,MATCH($B$3&amp;"|"&amp;$A47,Formulas!$J$2:$J$1501,0))))</f>
        <v/>
      </c>
      <c r="F47" s="12" t="str">
        <f aca="false">IF($A47="","",INDEX(Materials!$D$2:$D$201,MATCH(B47,Materials!$A$2:$A$201,0))-1)</f>
        <v/>
      </c>
    </row>
  </sheetData>
  <conditionalFormatting sqref="A8:F47">
    <cfRule type="expression" priority="2" aboveAverage="0" equalAverage="0" bottom="0" percent="0" rank="0" text="" dxfId="0">
      <formula>$A8&lt;&gt;""</formula>
    </cfRule>
  </conditionalFormatting>
  <conditionalFormatting sqref="F8:F47">
    <cfRule type="cellIs" priority="3" operator="equal" aboveAverage="0" equalAverage="0" bottom="0" percent="0" rank="0" text="" dxfId="1">
      <formula>0</formula>
    </cfRule>
  </conditionalFormatting>
  <dataValidations count="1">
    <dataValidation allowBlank="false" errorStyle="stop" operator="between" showDropDown="false" showErrorMessage="false" showInputMessage="false" sqref="B3" type="list">
      <formula1>ProductList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6" min="4" style="0" width="14"/>
    <col collapsed="false" customWidth="true" hidden="false" outlineLevel="0" max="7" min="7" style="0" width="22"/>
  </cols>
  <sheetData>
    <row r="1" customFormat="false" ht="30" hidden="false" customHeight="true" outlineLevel="0" collapsed="false">
      <c r="A1" s="10" t="s">
        <v>49</v>
      </c>
      <c r="B1" s="10" t="s">
        <v>35</v>
      </c>
      <c r="C1" s="10" t="s">
        <v>52</v>
      </c>
      <c r="D1" s="11" t="s">
        <v>53</v>
      </c>
      <c r="E1" s="11" t="s">
        <v>54</v>
      </c>
      <c r="F1" s="11" t="s">
        <v>55</v>
      </c>
      <c r="G1" s="11" t="s">
        <v>56</v>
      </c>
    </row>
    <row r="2" customFormat="false" ht="15" hidden="false" customHeight="false" outlineLevel="0" collapsed="false">
      <c r="A2" s="15" t="s">
        <v>57</v>
      </c>
      <c r="B2" s="15" t="s">
        <v>58</v>
      </c>
      <c r="C2" s="15"/>
      <c r="D2" s="16" t="n">
        <f aca="false">IF(A2="","",SUMIFS(Formulas!$K$2:$K$1501,Formulas!$B$2:$B$1501,A2))</f>
        <v>3</v>
      </c>
      <c r="E2" s="16" t="n">
        <f aca="false">IF(A2="","",COUNTIF(Formulas!$B$2:$B$1501,A2))</f>
        <v>3</v>
      </c>
      <c r="F2" s="17" t="n">
        <f aca="false">IF(A2="","",IF(COUNTA(Products!$A$2:$A$61)=0,0,D2/COUNTA(Products!$A$2:$A$61)))</f>
        <v>0.3</v>
      </c>
      <c r="G2" s="16" t="str">
        <f aca="false">IF(A2="","",IF(D2=0,"Not used",IF(D2=1,"Unique to 1 product",IF(D2=COUNTA(Products!$A$2:$A$61),"In all products","Shared"))))</f>
        <v>Shared</v>
      </c>
    </row>
    <row r="3" customFormat="false" ht="15" hidden="false" customHeight="false" outlineLevel="0" collapsed="false">
      <c r="A3" s="15" t="s">
        <v>34</v>
      </c>
      <c r="B3" s="15" t="s">
        <v>59</v>
      </c>
      <c r="C3" s="15"/>
      <c r="D3" s="16" t="n">
        <f aca="false">IF(A3="","",SUMIFS(Formulas!$K$2:$K$1501,Formulas!$B$2:$B$1501,A3))</f>
        <v>8</v>
      </c>
      <c r="E3" s="16" t="n">
        <f aca="false">IF(A3="","",COUNTIF(Formulas!$B$2:$B$1501,A3))</f>
        <v>14</v>
      </c>
      <c r="F3" s="17" t="n">
        <f aca="false">IF(A3="","",IF(COUNTA(Products!$A$2:$A$61)=0,0,D3/COUNTA(Products!$A$2:$A$61)))</f>
        <v>0.8</v>
      </c>
      <c r="G3" s="16" t="str">
        <f aca="false">IF(A3="","",IF(D3=0,"Not used",IF(D3=1,"Unique to 1 product",IF(D3=COUNTA(Products!$A$2:$A$61),"In all products","Shared"))))</f>
        <v>Shared</v>
      </c>
    </row>
    <row r="4" customFormat="false" ht="15" hidden="false" customHeight="false" outlineLevel="0" collapsed="false">
      <c r="A4" s="15" t="s">
        <v>60</v>
      </c>
      <c r="B4" s="15" t="s">
        <v>61</v>
      </c>
      <c r="C4" s="15"/>
      <c r="D4" s="16" t="n">
        <f aca="false">IF(A4="","",SUMIFS(Formulas!$K$2:$K$1501,Formulas!$B$2:$B$1501,A4))</f>
        <v>7</v>
      </c>
      <c r="E4" s="16" t="n">
        <f aca="false">IF(A4="","",COUNTIF(Formulas!$B$2:$B$1501,A4))</f>
        <v>7</v>
      </c>
      <c r="F4" s="17" t="n">
        <f aca="false">IF(A4="","",IF(COUNTA(Products!$A$2:$A$61)=0,0,D4/COUNTA(Products!$A$2:$A$61)))</f>
        <v>0.7</v>
      </c>
      <c r="G4" s="16" t="str">
        <f aca="false">IF(A4="","",IF(D4=0,"Not used",IF(D4=1,"Unique to 1 product",IF(D4=COUNTA(Products!$A$2:$A$61),"In all products","Shared"))))</f>
        <v>Shared</v>
      </c>
    </row>
    <row r="5" customFormat="false" ht="15" hidden="false" customHeight="false" outlineLevel="0" collapsed="false">
      <c r="A5" s="15" t="s">
        <v>62</v>
      </c>
      <c r="B5" s="15" t="s">
        <v>63</v>
      </c>
      <c r="C5" s="15"/>
      <c r="D5" s="16" t="n">
        <f aca="false">IF(A5="","",SUMIFS(Formulas!$K$2:$K$1501,Formulas!$B$2:$B$1501,A5))</f>
        <v>8</v>
      </c>
      <c r="E5" s="16" t="n">
        <f aca="false">IF(A5="","",COUNTIF(Formulas!$B$2:$B$1501,A5))</f>
        <v>8</v>
      </c>
      <c r="F5" s="17" t="n">
        <f aca="false">IF(A5="","",IF(COUNTA(Products!$A$2:$A$61)=0,0,D5/COUNTA(Products!$A$2:$A$61)))</f>
        <v>0.8</v>
      </c>
      <c r="G5" s="16" t="str">
        <f aca="false">IF(A5="","",IF(D5=0,"Not used",IF(D5=1,"Unique to 1 product",IF(D5=COUNTA(Products!$A$2:$A$61),"In all products","Shared"))))</f>
        <v>Shared</v>
      </c>
    </row>
    <row r="6" customFormat="false" ht="15" hidden="false" customHeight="false" outlineLevel="0" collapsed="false">
      <c r="A6" s="15" t="s">
        <v>64</v>
      </c>
      <c r="B6" s="15" t="s">
        <v>65</v>
      </c>
      <c r="C6" s="15"/>
      <c r="D6" s="16" t="n">
        <f aca="false">IF(A6="","",SUMIFS(Formulas!$K$2:$K$1501,Formulas!$B$2:$B$1501,A6))</f>
        <v>8</v>
      </c>
      <c r="E6" s="16" t="n">
        <f aca="false">IF(A6="","",COUNTIF(Formulas!$B$2:$B$1501,A6))</f>
        <v>11</v>
      </c>
      <c r="F6" s="17" t="n">
        <f aca="false">IF(A6="","",IF(COUNTA(Products!$A$2:$A$61)=0,0,D6/COUNTA(Products!$A$2:$A$61)))</f>
        <v>0.8</v>
      </c>
      <c r="G6" s="16" t="str">
        <f aca="false">IF(A6="","",IF(D6=0,"Not used",IF(D6=1,"Unique to 1 product",IF(D6=COUNTA(Products!$A$2:$A$61),"In all products","Shared"))))</f>
        <v>Shared</v>
      </c>
    </row>
    <row r="7" customFormat="false" ht="15" hidden="false" customHeight="false" outlineLevel="0" collapsed="false">
      <c r="A7" s="15" t="s">
        <v>66</v>
      </c>
      <c r="B7" s="15" t="s">
        <v>67</v>
      </c>
      <c r="C7" s="15"/>
      <c r="D7" s="16" t="n">
        <f aca="false">IF(A7="","",SUMIFS(Formulas!$K$2:$K$1501,Formulas!$B$2:$B$1501,A7))</f>
        <v>8</v>
      </c>
      <c r="E7" s="16" t="n">
        <f aca="false">IF(A7="","",COUNTIF(Formulas!$B$2:$B$1501,A7))</f>
        <v>11</v>
      </c>
      <c r="F7" s="17" t="n">
        <f aca="false">IF(A7="","",IF(COUNTA(Products!$A$2:$A$61)=0,0,D7/COUNTA(Products!$A$2:$A$61)))</f>
        <v>0.8</v>
      </c>
      <c r="G7" s="16" t="str">
        <f aca="false">IF(A7="","",IF(D7=0,"Not used",IF(D7=1,"Unique to 1 product",IF(D7=COUNTA(Products!$A$2:$A$61),"In all products","Shared"))))</f>
        <v>Shared</v>
      </c>
    </row>
    <row r="8" customFormat="false" ht="15" hidden="false" customHeight="false" outlineLevel="0" collapsed="false">
      <c r="A8" s="15" t="s">
        <v>68</v>
      </c>
      <c r="B8" s="15" t="s">
        <v>58</v>
      </c>
      <c r="C8" s="15"/>
      <c r="D8" s="16" t="n">
        <f aca="false">IF(A8="","",SUMIFS(Formulas!$K$2:$K$1501,Formulas!$B$2:$B$1501,A8))</f>
        <v>3</v>
      </c>
      <c r="E8" s="16" t="n">
        <f aca="false">IF(A8="","",COUNTIF(Formulas!$B$2:$B$1501,A8))</f>
        <v>3</v>
      </c>
      <c r="F8" s="17" t="n">
        <f aca="false">IF(A8="","",IF(COUNTA(Products!$A$2:$A$61)=0,0,D8/COUNTA(Products!$A$2:$A$61)))</f>
        <v>0.3</v>
      </c>
      <c r="G8" s="16" t="str">
        <f aca="false">IF(A8="","",IF(D8=0,"Not used",IF(D8=1,"Unique to 1 product",IF(D8=COUNTA(Products!$A$2:$A$61),"In all products","Shared"))))</f>
        <v>Shared</v>
      </c>
    </row>
    <row r="9" customFormat="false" ht="15" hidden="false" customHeight="false" outlineLevel="0" collapsed="false">
      <c r="A9" s="15" t="s">
        <v>69</v>
      </c>
      <c r="B9" s="15" t="s">
        <v>63</v>
      </c>
      <c r="C9" s="15" t="s">
        <v>70</v>
      </c>
      <c r="D9" s="16" t="n">
        <f aca="false">IF(A9="","",SUMIFS(Formulas!$K$2:$K$1501,Formulas!$B$2:$B$1501,A9))</f>
        <v>6</v>
      </c>
      <c r="E9" s="16" t="n">
        <f aca="false">IF(A9="","",COUNTIF(Formulas!$B$2:$B$1501,A9))</f>
        <v>6</v>
      </c>
      <c r="F9" s="17" t="n">
        <f aca="false">IF(A9="","",IF(COUNTA(Products!$A$2:$A$61)=0,0,D9/COUNTA(Products!$A$2:$A$61)))</f>
        <v>0.6</v>
      </c>
      <c r="G9" s="16" t="str">
        <f aca="false">IF(A9="","",IF(D9=0,"Not used",IF(D9=1,"Unique to 1 product",IF(D9=COUNTA(Products!$A$2:$A$61),"In all products","Shared"))))</f>
        <v>Shared</v>
      </c>
    </row>
    <row r="10" customFormat="false" ht="15" hidden="false" customHeight="false" outlineLevel="0" collapsed="false">
      <c r="A10" s="15" t="s">
        <v>71</v>
      </c>
      <c r="B10" s="15" t="s">
        <v>72</v>
      </c>
      <c r="C10" s="15"/>
      <c r="D10" s="16" t="n">
        <f aca="false">IF(A10="","",SUMIFS(Formulas!$K$2:$K$1501,Formulas!$B$2:$B$1501,A10))</f>
        <v>10</v>
      </c>
      <c r="E10" s="16" t="n">
        <f aca="false">IF(A10="","",COUNTIF(Formulas!$B$2:$B$1501,A10))</f>
        <v>10</v>
      </c>
      <c r="F10" s="17" t="n">
        <f aca="false">IF(A10="","",IF(COUNTA(Products!$A$2:$A$61)=0,0,D10/COUNTA(Products!$A$2:$A$61)))</f>
        <v>1</v>
      </c>
      <c r="G10" s="16" t="str">
        <f aca="false">IF(A10="","",IF(D10=0,"Not used",IF(D10=1,"Unique to 1 product",IF(D10=COUNTA(Products!$A$2:$A$61),"In all products","Shared"))))</f>
        <v>In all products</v>
      </c>
    </row>
    <row r="11" customFormat="false" ht="15" hidden="false" customHeight="false" outlineLevel="0" collapsed="false">
      <c r="A11" s="15" t="s">
        <v>73</v>
      </c>
      <c r="B11" s="15" t="s">
        <v>74</v>
      </c>
      <c r="C11" s="15"/>
      <c r="D11" s="16" t="n">
        <f aca="false">IF(A11="","",SUMIFS(Formulas!$K$2:$K$1501,Formulas!$B$2:$B$1501,A11))</f>
        <v>3</v>
      </c>
      <c r="E11" s="16" t="n">
        <f aca="false">IF(A11="","",COUNTIF(Formulas!$B$2:$B$1501,A11))</f>
        <v>3</v>
      </c>
      <c r="F11" s="17" t="n">
        <f aca="false">IF(A11="","",IF(COUNTA(Products!$A$2:$A$61)=0,0,D11/COUNTA(Products!$A$2:$A$61)))</f>
        <v>0.3</v>
      </c>
      <c r="G11" s="16" t="str">
        <f aca="false">IF(A11="","",IF(D11=0,"Not used",IF(D11=1,"Unique to 1 product",IF(D11=COUNTA(Products!$A$2:$A$61),"In all products","Shared"))))</f>
        <v>Shared</v>
      </c>
    </row>
    <row r="12" customFormat="false" ht="15" hidden="false" customHeight="false" outlineLevel="0" collapsed="false">
      <c r="A12" s="15" t="s">
        <v>75</v>
      </c>
      <c r="B12" s="15" t="s">
        <v>76</v>
      </c>
      <c r="C12" s="15" t="s">
        <v>77</v>
      </c>
      <c r="D12" s="16" t="n">
        <f aca="false">IF(A12="","",SUMIFS(Formulas!$K$2:$K$1501,Formulas!$B$2:$B$1501,A12))</f>
        <v>8</v>
      </c>
      <c r="E12" s="16" t="n">
        <f aca="false">IF(A12="","",COUNTIF(Formulas!$B$2:$B$1501,A12))</f>
        <v>10</v>
      </c>
      <c r="F12" s="17" t="n">
        <f aca="false">IF(A12="","",IF(COUNTA(Products!$A$2:$A$61)=0,0,D12/COUNTA(Products!$A$2:$A$61)))</f>
        <v>0.8</v>
      </c>
      <c r="G12" s="16" t="str">
        <f aca="false">IF(A12="","",IF(D12=0,"Not used",IF(D12=1,"Unique to 1 product",IF(D12=COUNTA(Products!$A$2:$A$61),"In all products","Shared"))))</f>
        <v>Shared</v>
      </c>
    </row>
    <row r="13" customFormat="false" ht="15" hidden="false" customHeight="false" outlineLevel="0" collapsed="false">
      <c r="A13" s="15" t="s">
        <v>78</v>
      </c>
      <c r="B13" s="15" t="s">
        <v>79</v>
      </c>
      <c r="C13" s="15" t="s">
        <v>80</v>
      </c>
      <c r="D13" s="16" t="n">
        <f aca="false">IF(A13="","",SUMIFS(Formulas!$K$2:$K$1501,Formulas!$B$2:$B$1501,A13))</f>
        <v>8</v>
      </c>
      <c r="E13" s="16" t="n">
        <f aca="false">IF(A13="","",COUNTIF(Formulas!$B$2:$B$1501,A13))</f>
        <v>8</v>
      </c>
      <c r="F13" s="17" t="n">
        <f aca="false">IF(A13="","",IF(COUNTA(Products!$A$2:$A$61)=0,0,D13/COUNTA(Products!$A$2:$A$61)))</f>
        <v>0.8</v>
      </c>
      <c r="G13" s="16" t="str">
        <f aca="false">IF(A13="","",IF(D13=0,"Not used",IF(D13=1,"Unique to 1 product",IF(D13=COUNTA(Products!$A$2:$A$61),"In all products","Shared"))))</f>
        <v>Shared</v>
      </c>
    </row>
    <row r="14" customFormat="false" ht="15" hidden="false" customHeight="false" outlineLevel="0" collapsed="false">
      <c r="A14" s="15" t="s">
        <v>81</v>
      </c>
      <c r="B14" s="15" t="s">
        <v>82</v>
      </c>
      <c r="C14" s="15"/>
      <c r="D14" s="16" t="n">
        <f aca="false">IF(A14="","",SUMIFS(Formulas!$K$2:$K$1501,Formulas!$B$2:$B$1501,A14))</f>
        <v>8</v>
      </c>
      <c r="E14" s="16" t="n">
        <f aca="false">IF(A14="","",COUNTIF(Formulas!$B$2:$B$1501,A14))</f>
        <v>8</v>
      </c>
      <c r="F14" s="17" t="n">
        <f aca="false">IF(A14="","",IF(COUNTA(Products!$A$2:$A$61)=0,0,D14/COUNTA(Products!$A$2:$A$61)))</f>
        <v>0.8</v>
      </c>
      <c r="G14" s="16" t="str">
        <f aca="false">IF(A14="","",IF(D14=0,"Not used",IF(D14=1,"Unique to 1 product",IF(D14=COUNTA(Products!$A$2:$A$61),"In all products","Shared"))))</f>
        <v>Shared</v>
      </c>
    </row>
    <row r="15" customFormat="false" ht="15" hidden="false" customHeight="false" outlineLevel="0" collapsed="false">
      <c r="A15" s="15" t="s">
        <v>83</v>
      </c>
      <c r="B15" s="15" t="s">
        <v>84</v>
      </c>
      <c r="C15" s="15"/>
      <c r="D15" s="16" t="n">
        <f aca="false">IF(A15="","",SUMIFS(Formulas!$K$2:$K$1501,Formulas!$B$2:$B$1501,A15))</f>
        <v>10</v>
      </c>
      <c r="E15" s="16" t="n">
        <f aca="false">IF(A15="","",COUNTIF(Formulas!$B$2:$B$1501,A15))</f>
        <v>10</v>
      </c>
      <c r="F15" s="17" t="n">
        <f aca="false">IF(A15="","",IF(COUNTA(Products!$A$2:$A$61)=0,0,D15/COUNTA(Products!$A$2:$A$61)))</f>
        <v>1</v>
      </c>
      <c r="G15" s="16" t="str">
        <f aca="false">IF(A15="","",IF(D15=0,"Not used",IF(D15=1,"Unique to 1 product",IF(D15=COUNTA(Products!$A$2:$A$61),"In all products","Shared"))))</f>
        <v>In all products</v>
      </c>
    </row>
    <row r="16" customFormat="false" ht="15" hidden="false" customHeight="false" outlineLevel="0" collapsed="false">
      <c r="A16" s="15" t="s">
        <v>85</v>
      </c>
      <c r="B16" s="15" t="s">
        <v>86</v>
      </c>
      <c r="C16" s="15"/>
      <c r="D16" s="16" t="n">
        <f aca="false">IF(A16="","",SUMIFS(Formulas!$K$2:$K$1501,Formulas!$B$2:$B$1501,A16))</f>
        <v>4</v>
      </c>
      <c r="E16" s="16" t="n">
        <f aca="false">IF(A16="","",COUNTIF(Formulas!$B$2:$B$1501,A16))</f>
        <v>4</v>
      </c>
      <c r="F16" s="17" t="n">
        <f aca="false">IF(A16="","",IF(COUNTA(Products!$A$2:$A$61)=0,0,D16/COUNTA(Products!$A$2:$A$61)))</f>
        <v>0.4</v>
      </c>
      <c r="G16" s="16" t="str">
        <f aca="false">IF(A16="","",IF(D16=0,"Not used",IF(D16=1,"Unique to 1 product",IF(D16=COUNTA(Products!$A$2:$A$61),"In all products","Shared"))))</f>
        <v>Shared</v>
      </c>
    </row>
    <row r="17" customFormat="false" ht="15" hidden="false" customHeight="false" outlineLevel="0" collapsed="false">
      <c r="A17" s="15" t="s">
        <v>87</v>
      </c>
      <c r="B17" s="15" t="s">
        <v>67</v>
      </c>
      <c r="C17" s="15"/>
      <c r="D17" s="16" t="n">
        <f aca="false">IF(A17="","",SUMIFS(Formulas!$K$2:$K$1501,Formulas!$B$2:$B$1501,A17))</f>
        <v>8</v>
      </c>
      <c r="E17" s="16" t="n">
        <f aca="false">IF(A17="","",COUNTIF(Formulas!$B$2:$B$1501,A17))</f>
        <v>13</v>
      </c>
      <c r="F17" s="17" t="n">
        <f aca="false">IF(A17="","",IF(COUNTA(Products!$A$2:$A$61)=0,0,D17/COUNTA(Products!$A$2:$A$61)))</f>
        <v>0.8</v>
      </c>
      <c r="G17" s="16" t="str">
        <f aca="false">IF(A17="","",IF(D17=0,"Not used",IF(D17=1,"Unique to 1 product",IF(D17=COUNTA(Products!$A$2:$A$61),"In all products","Shared"))))</f>
        <v>Shared</v>
      </c>
    </row>
    <row r="18" customFormat="false" ht="15" hidden="false" customHeight="false" outlineLevel="0" collapsed="false">
      <c r="A18" s="15" t="s">
        <v>88</v>
      </c>
      <c r="B18" s="15" t="s">
        <v>89</v>
      </c>
      <c r="C18" s="15"/>
      <c r="D18" s="16" t="n">
        <f aca="false">IF(A18="","",SUMIFS(Formulas!$K$2:$K$1501,Formulas!$B$2:$B$1501,A18))</f>
        <v>2</v>
      </c>
      <c r="E18" s="16" t="n">
        <f aca="false">IF(A18="","",COUNTIF(Formulas!$B$2:$B$1501,A18))</f>
        <v>2</v>
      </c>
      <c r="F18" s="17" t="n">
        <f aca="false">IF(A18="","",IF(COUNTA(Products!$A$2:$A$61)=0,0,D18/COUNTA(Products!$A$2:$A$61)))</f>
        <v>0.2</v>
      </c>
      <c r="G18" s="16" t="str">
        <f aca="false">IF(A18="","",IF(D18=0,"Not used",IF(D18=1,"Unique to 1 product",IF(D18=COUNTA(Products!$A$2:$A$61),"In all products","Shared"))))</f>
        <v>Shared</v>
      </c>
    </row>
    <row r="19" customFormat="false" ht="15" hidden="false" customHeight="false" outlineLevel="0" collapsed="false">
      <c r="A19" s="15" t="s">
        <v>90</v>
      </c>
      <c r="B19" s="15" t="s">
        <v>58</v>
      </c>
      <c r="C19" s="15"/>
      <c r="D19" s="16" t="n">
        <f aca="false">IF(A19="","",SUMIFS(Formulas!$K$2:$K$1501,Formulas!$B$2:$B$1501,A19))</f>
        <v>3</v>
      </c>
      <c r="E19" s="16" t="n">
        <f aca="false">IF(A19="","",COUNTIF(Formulas!$B$2:$B$1501,A19))</f>
        <v>3</v>
      </c>
      <c r="F19" s="17" t="n">
        <f aca="false">IF(A19="","",IF(COUNTA(Products!$A$2:$A$61)=0,0,D19/COUNTA(Products!$A$2:$A$61)))</f>
        <v>0.3</v>
      </c>
      <c r="G19" s="16" t="str">
        <f aca="false">IF(A19="","",IF(D19=0,"Not used",IF(D19=1,"Unique to 1 product",IF(D19=COUNTA(Products!$A$2:$A$61),"In all products","Shared"))))</f>
        <v>Shared</v>
      </c>
    </row>
    <row r="20" customFormat="false" ht="15" hidden="false" customHeight="false" outlineLevel="0" collapsed="false">
      <c r="A20" s="15" t="s">
        <v>91</v>
      </c>
      <c r="B20" s="15" t="s">
        <v>74</v>
      </c>
      <c r="C20" s="15"/>
      <c r="D20" s="16" t="n">
        <f aca="false">IF(A20="","",SUMIFS(Formulas!$K$2:$K$1501,Formulas!$B$2:$B$1501,A20))</f>
        <v>7</v>
      </c>
      <c r="E20" s="16" t="n">
        <f aca="false">IF(A20="","",COUNTIF(Formulas!$B$2:$B$1501,A20))</f>
        <v>7</v>
      </c>
      <c r="F20" s="17" t="n">
        <f aca="false">IF(A20="","",IF(COUNTA(Products!$A$2:$A$61)=0,0,D20/COUNTA(Products!$A$2:$A$61)))</f>
        <v>0.7</v>
      </c>
      <c r="G20" s="16" t="str">
        <f aca="false">IF(A20="","",IF(D20=0,"Not used",IF(D20=1,"Unique to 1 product",IF(D20=COUNTA(Products!$A$2:$A$61),"In all products","Shared"))))</f>
        <v>Shared</v>
      </c>
    </row>
    <row r="21" customFormat="false" ht="15" hidden="false" customHeight="false" outlineLevel="0" collapsed="false">
      <c r="A21" s="15" t="s">
        <v>92</v>
      </c>
      <c r="B21" s="15" t="s">
        <v>86</v>
      </c>
      <c r="C21" s="15"/>
      <c r="D21" s="16" t="n">
        <f aca="false">IF(A21="","",SUMIFS(Formulas!$K$2:$K$1501,Formulas!$B$2:$B$1501,A21))</f>
        <v>3</v>
      </c>
      <c r="E21" s="16" t="n">
        <f aca="false">IF(A21="","",COUNTIF(Formulas!$B$2:$B$1501,A21))</f>
        <v>3</v>
      </c>
      <c r="F21" s="17" t="n">
        <f aca="false">IF(A21="","",IF(COUNTA(Products!$A$2:$A$61)=0,0,D21/COUNTA(Products!$A$2:$A$61)))</f>
        <v>0.3</v>
      </c>
      <c r="G21" s="16" t="str">
        <f aca="false">IF(A21="","",IF(D21=0,"Not used",IF(D21=1,"Unique to 1 product",IF(D21=COUNTA(Products!$A$2:$A$61),"In all products","Shared"))))</f>
        <v>Shared</v>
      </c>
    </row>
    <row r="22" customFormat="false" ht="15" hidden="false" customHeight="false" outlineLevel="0" collapsed="false">
      <c r="A22" s="15" t="s">
        <v>93</v>
      </c>
      <c r="B22" s="15" t="s">
        <v>86</v>
      </c>
      <c r="C22" s="15"/>
      <c r="D22" s="16" t="n">
        <f aca="false">IF(A22="","",SUMIFS(Formulas!$K$2:$K$1501,Formulas!$B$2:$B$1501,A22))</f>
        <v>3</v>
      </c>
      <c r="E22" s="16" t="n">
        <f aca="false">IF(A22="","",COUNTIF(Formulas!$B$2:$B$1501,A22))</f>
        <v>3</v>
      </c>
      <c r="F22" s="17" t="n">
        <f aca="false">IF(A22="","",IF(COUNTA(Products!$A$2:$A$61)=0,0,D22/COUNTA(Products!$A$2:$A$61)))</f>
        <v>0.3</v>
      </c>
      <c r="G22" s="16" t="str">
        <f aca="false">IF(A22="","",IF(D22=0,"Not used",IF(D22=1,"Unique to 1 product",IF(D22=COUNTA(Products!$A$2:$A$61),"In all products","Shared"))))</f>
        <v>Shared</v>
      </c>
    </row>
    <row r="23" customFormat="false" ht="15" hidden="false" customHeight="false" outlineLevel="0" collapsed="false">
      <c r="A23" s="15" t="s">
        <v>94</v>
      </c>
      <c r="B23" s="15" t="s">
        <v>58</v>
      </c>
      <c r="C23" s="15"/>
      <c r="D23" s="16" t="n">
        <f aca="false">IF(A23="","",SUMIFS(Formulas!$K$2:$K$1501,Formulas!$B$2:$B$1501,A23))</f>
        <v>2</v>
      </c>
      <c r="E23" s="16" t="n">
        <f aca="false">IF(A23="","",COUNTIF(Formulas!$B$2:$B$1501,A23))</f>
        <v>2</v>
      </c>
      <c r="F23" s="17" t="n">
        <f aca="false">IF(A23="","",IF(COUNTA(Products!$A$2:$A$61)=0,0,D23/COUNTA(Products!$A$2:$A$61)))</f>
        <v>0.2</v>
      </c>
      <c r="G23" s="16" t="str">
        <f aca="false">IF(A23="","",IF(D23=0,"Not used",IF(D23=1,"Unique to 1 product",IF(D23=COUNTA(Products!$A$2:$A$61),"In all products","Shared"))))</f>
        <v>Shared</v>
      </c>
    </row>
    <row r="24" customFormat="false" ht="15" hidden="false" customHeight="false" outlineLevel="0" collapsed="false">
      <c r="A24" s="15" t="s">
        <v>95</v>
      </c>
      <c r="B24" s="15" t="s">
        <v>63</v>
      </c>
      <c r="C24" s="15"/>
      <c r="D24" s="16" t="n">
        <f aca="false">IF(A24="","",SUMIFS(Formulas!$K$2:$K$1501,Formulas!$B$2:$B$1501,A24))</f>
        <v>2</v>
      </c>
      <c r="E24" s="16" t="n">
        <f aca="false">IF(A24="","",COUNTIF(Formulas!$B$2:$B$1501,A24))</f>
        <v>2</v>
      </c>
      <c r="F24" s="17" t="n">
        <f aca="false">IF(A24="","",IF(COUNTA(Products!$A$2:$A$61)=0,0,D24/COUNTA(Products!$A$2:$A$61)))</f>
        <v>0.2</v>
      </c>
      <c r="G24" s="16" t="str">
        <f aca="false">IF(A24="","",IF(D24=0,"Not used",IF(D24=1,"Unique to 1 product",IF(D24=COUNTA(Products!$A$2:$A$61),"In all products","Shared"))))</f>
        <v>Shared</v>
      </c>
    </row>
    <row r="25" customFormat="false" ht="15" hidden="false" customHeight="false" outlineLevel="0" collapsed="false">
      <c r="A25" s="15" t="s">
        <v>96</v>
      </c>
      <c r="B25" s="15" t="s">
        <v>63</v>
      </c>
      <c r="C25" s="15" t="s">
        <v>97</v>
      </c>
      <c r="D25" s="16" t="n">
        <f aca="false">IF(A25="","",SUMIFS(Formulas!$K$2:$K$1501,Formulas!$B$2:$B$1501,A25))</f>
        <v>4</v>
      </c>
      <c r="E25" s="16" t="n">
        <f aca="false">IF(A25="","",COUNTIF(Formulas!$B$2:$B$1501,A25))</f>
        <v>4</v>
      </c>
      <c r="F25" s="17" t="n">
        <f aca="false">IF(A25="","",IF(COUNTA(Products!$A$2:$A$61)=0,0,D25/COUNTA(Products!$A$2:$A$61)))</f>
        <v>0.4</v>
      </c>
      <c r="G25" s="16" t="str">
        <f aca="false">IF(A25="","",IF(D25=0,"Not used",IF(D25=1,"Unique to 1 product",IF(D25=COUNTA(Products!$A$2:$A$61),"In all products","Shared"))))</f>
        <v>Shared</v>
      </c>
    </row>
    <row r="26" customFormat="false" ht="15" hidden="false" customHeight="false" outlineLevel="0" collapsed="false">
      <c r="A26" s="15" t="s">
        <v>98</v>
      </c>
      <c r="B26" s="15" t="s">
        <v>67</v>
      </c>
      <c r="C26" s="15" t="s">
        <v>99</v>
      </c>
      <c r="D26" s="16" t="n">
        <f aca="false">IF(A26="","",SUMIFS(Formulas!$K$2:$K$1501,Formulas!$B$2:$B$1501,A26))</f>
        <v>2</v>
      </c>
      <c r="E26" s="16" t="n">
        <f aca="false">IF(A26="","",COUNTIF(Formulas!$B$2:$B$1501,A26))</f>
        <v>2</v>
      </c>
      <c r="F26" s="17" t="n">
        <f aca="false">IF(A26="","",IF(COUNTA(Products!$A$2:$A$61)=0,0,D26/COUNTA(Products!$A$2:$A$61)))</f>
        <v>0.2</v>
      </c>
      <c r="G26" s="16" t="str">
        <f aca="false">IF(A26="","",IF(D26=0,"Not used",IF(D26=1,"Unique to 1 product",IF(D26=COUNTA(Products!$A$2:$A$61),"In all products","Shared"))))</f>
        <v>Shared</v>
      </c>
    </row>
    <row r="27" customFormat="false" ht="15" hidden="false" customHeight="false" outlineLevel="0" collapsed="false">
      <c r="A27" s="15" t="s">
        <v>100</v>
      </c>
      <c r="B27" s="15" t="s">
        <v>58</v>
      </c>
      <c r="C27" s="15"/>
      <c r="D27" s="16" t="n">
        <f aca="false">IF(A27="","",SUMIFS(Formulas!$K$2:$K$1501,Formulas!$B$2:$B$1501,A27))</f>
        <v>2</v>
      </c>
      <c r="E27" s="16" t="n">
        <f aca="false">IF(A27="","",COUNTIF(Formulas!$B$2:$B$1501,A27))</f>
        <v>2</v>
      </c>
      <c r="F27" s="17" t="n">
        <f aca="false">IF(A27="","",IF(COUNTA(Products!$A$2:$A$61)=0,0,D27/COUNTA(Products!$A$2:$A$61)))</f>
        <v>0.2</v>
      </c>
      <c r="G27" s="16" t="str">
        <f aca="false">IF(A27="","",IF(D27=0,"Not used",IF(D27=1,"Unique to 1 product",IF(D27=COUNTA(Products!$A$2:$A$61),"In all products","Shared"))))</f>
        <v>Shared</v>
      </c>
    </row>
    <row r="28" customFormat="false" ht="15" hidden="false" customHeight="false" outlineLevel="0" collapsed="false">
      <c r="A28" s="15" t="s">
        <v>101</v>
      </c>
      <c r="B28" s="15" t="s">
        <v>102</v>
      </c>
      <c r="C28" s="15"/>
      <c r="D28" s="16" t="n">
        <f aca="false">IF(A28="","",SUMIFS(Formulas!$K$2:$K$1501,Formulas!$B$2:$B$1501,A28))</f>
        <v>2</v>
      </c>
      <c r="E28" s="16" t="n">
        <f aca="false">IF(A28="","",COUNTIF(Formulas!$B$2:$B$1501,A28))</f>
        <v>2</v>
      </c>
      <c r="F28" s="17" t="n">
        <f aca="false">IF(A28="","",IF(COUNTA(Products!$A$2:$A$61)=0,0,D28/COUNTA(Products!$A$2:$A$61)))</f>
        <v>0.2</v>
      </c>
      <c r="G28" s="16" t="str">
        <f aca="false">IF(A28="","",IF(D28=0,"Not used",IF(D28=1,"Unique to 1 product",IF(D28=COUNTA(Products!$A$2:$A$61),"In all products","Shared"))))</f>
        <v>Shared</v>
      </c>
    </row>
    <row r="29" customFormat="false" ht="15" hidden="false" customHeight="false" outlineLevel="0" collapsed="false">
      <c r="A29" s="15" t="s">
        <v>103</v>
      </c>
      <c r="B29" s="15" t="s">
        <v>102</v>
      </c>
      <c r="C29" s="15"/>
      <c r="D29" s="16" t="n">
        <f aca="false">IF(A29="","",SUMIFS(Formulas!$K$2:$K$1501,Formulas!$B$2:$B$1501,A29))</f>
        <v>2</v>
      </c>
      <c r="E29" s="16" t="n">
        <f aca="false">IF(A29="","",COUNTIF(Formulas!$B$2:$B$1501,A29))</f>
        <v>2</v>
      </c>
      <c r="F29" s="17" t="n">
        <f aca="false">IF(A29="","",IF(COUNTA(Products!$A$2:$A$61)=0,0,D29/COUNTA(Products!$A$2:$A$61)))</f>
        <v>0.2</v>
      </c>
      <c r="G29" s="16" t="str">
        <f aca="false">IF(A29="","",IF(D29=0,"Not used",IF(D29=1,"Unique to 1 product",IF(D29=COUNTA(Products!$A$2:$A$61),"In all products","Shared"))))</f>
        <v>Shared</v>
      </c>
    </row>
    <row r="30" customFormat="false" ht="15" hidden="false" customHeight="false" outlineLevel="0" collapsed="false">
      <c r="A30" s="15" t="s">
        <v>104</v>
      </c>
      <c r="B30" s="15" t="s">
        <v>59</v>
      </c>
      <c r="C30" s="15"/>
      <c r="D30" s="16" t="n">
        <f aca="false">IF(A30="","",SUMIFS(Formulas!$K$2:$K$1501,Formulas!$B$2:$B$1501,A30))</f>
        <v>2</v>
      </c>
      <c r="E30" s="16" t="n">
        <f aca="false">IF(A30="","",COUNTIF(Formulas!$B$2:$B$1501,A30))</f>
        <v>2</v>
      </c>
      <c r="F30" s="17" t="n">
        <f aca="false">IF(A30="","",IF(COUNTA(Products!$A$2:$A$61)=0,0,D30/COUNTA(Products!$A$2:$A$61)))</f>
        <v>0.2</v>
      </c>
      <c r="G30" s="16" t="str">
        <f aca="false">IF(A30="","",IF(D30=0,"Not used",IF(D30=1,"Unique to 1 product",IF(D30=COUNTA(Products!$A$2:$A$61),"In all products","Shared"))))</f>
        <v>Shared</v>
      </c>
    </row>
    <row r="31" customFormat="false" ht="15" hidden="false" customHeight="false" outlineLevel="0" collapsed="false">
      <c r="A31" s="15" t="s">
        <v>105</v>
      </c>
      <c r="B31" s="15" t="s">
        <v>67</v>
      </c>
      <c r="C31" s="15" t="s">
        <v>106</v>
      </c>
      <c r="D31" s="16" t="n">
        <f aca="false">IF(A31="","",SUMIFS(Formulas!$K$2:$K$1501,Formulas!$B$2:$B$1501,A31))</f>
        <v>2</v>
      </c>
      <c r="E31" s="16" t="n">
        <f aca="false">IF(A31="","",COUNTIF(Formulas!$B$2:$B$1501,A31))</f>
        <v>2</v>
      </c>
      <c r="F31" s="17" t="n">
        <f aca="false">IF(A31="","",IF(COUNTA(Products!$A$2:$A$61)=0,0,D31/COUNTA(Products!$A$2:$A$61)))</f>
        <v>0.2</v>
      </c>
      <c r="G31" s="16" t="str">
        <f aca="false">IF(A31="","",IF(D31=0,"Not used",IF(D31=1,"Unique to 1 product",IF(D31=COUNTA(Products!$A$2:$A$61),"In all products","Shared"))))</f>
        <v>Shared</v>
      </c>
    </row>
    <row r="32" customFormat="false" ht="15" hidden="false" customHeight="false" outlineLevel="0" collapsed="false">
      <c r="A32" s="15"/>
      <c r="B32" s="15"/>
      <c r="C32" s="15"/>
      <c r="D32" s="16" t="str">
        <f aca="false">IF(A32="","",SUMIFS(Formulas!$K$2:$K$1501,Formulas!$B$2:$B$1501,A32))</f>
        <v/>
      </c>
      <c r="E32" s="16" t="str">
        <f aca="false">IF(A32="","",COUNTIF(Formulas!$B$2:$B$1501,A32))</f>
        <v/>
      </c>
      <c r="F32" s="17" t="str">
        <f aca="false">IF(A32="","",IF(COUNTA(Products!$A$2:$A$61)=0,0,D32/COUNTA(Products!$A$2:$A$61)))</f>
        <v/>
      </c>
      <c r="G32" s="16" t="str">
        <f aca="false">IF(A32="","",IF(D32=0,"Not used",IF(D32=1,"Unique to 1 product",IF(D32=COUNTA(Products!$A$2:$A$61),"In all products","Shared"))))</f>
        <v/>
      </c>
    </row>
    <row r="33" customFormat="false" ht="15" hidden="false" customHeight="false" outlineLevel="0" collapsed="false">
      <c r="A33" s="15"/>
      <c r="B33" s="15"/>
      <c r="C33" s="15"/>
      <c r="D33" s="16" t="str">
        <f aca="false">IF(A33="","",SUMIFS(Formulas!$K$2:$K$1501,Formulas!$B$2:$B$1501,A33))</f>
        <v/>
      </c>
      <c r="E33" s="16" t="str">
        <f aca="false">IF(A33="","",COUNTIF(Formulas!$B$2:$B$1501,A33))</f>
        <v/>
      </c>
      <c r="F33" s="17" t="str">
        <f aca="false">IF(A33="","",IF(COUNTA(Products!$A$2:$A$61)=0,0,D33/COUNTA(Products!$A$2:$A$61)))</f>
        <v/>
      </c>
      <c r="G33" s="16" t="str">
        <f aca="false">IF(A33="","",IF(D33=0,"Not used",IF(D33=1,"Unique to 1 product",IF(D33=COUNTA(Products!$A$2:$A$61),"In all products","Shared"))))</f>
        <v/>
      </c>
    </row>
    <row r="34" customFormat="false" ht="15" hidden="false" customHeight="false" outlineLevel="0" collapsed="false">
      <c r="A34" s="15"/>
      <c r="B34" s="15"/>
      <c r="C34" s="15"/>
      <c r="D34" s="16" t="str">
        <f aca="false">IF(A34="","",SUMIFS(Formulas!$K$2:$K$1501,Formulas!$B$2:$B$1501,A34))</f>
        <v/>
      </c>
      <c r="E34" s="16" t="str">
        <f aca="false">IF(A34="","",COUNTIF(Formulas!$B$2:$B$1501,A34))</f>
        <v/>
      </c>
      <c r="F34" s="17" t="str">
        <f aca="false">IF(A34="","",IF(COUNTA(Products!$A$2:$A$61)=0,0,D34/COUNTA(Products!$A$2:$A$61)))</f>
        <v/>
      </c>
      <c r="G34" s="16" t="str">
        <f aca="false">IF(A34="","",IF(D34=0,"Not used",IF(D34=1,"Unique to 1 product",IF(D34=COUNTA(Products!$A$2:$A$61),"In all products","Shared"))))</f>
        <v/>
      </c>
    </row>
    <row r="35" customFormat="false" ht="15" hidden="false" customHeight="false" outlineLevel="0" collapsed="false">
      <c r="A35" s="15"/>
      <c r="B35" s="15"/>
      <c r="C35" s="15"/>
      <c r="D35" s="16" t="str">
        <f aca="false">IF(A35="","",SUMIFS(Formulas!$K$2:$K$1501,Formulas!$B$2:$B$1501,A35))</f>
        <v/>
      </c>
      <c r="E35" s="16" t="str">
        <f aca="false">IF(A35="","",COUNTIF(Formulas!$B$2:$B$1501,A35))</f>
        <v/>
      </c>
      <c r="F35" s="17" t="str">
        <f aca="false">IF(A35="","",IF(COUNTA(Products!$A$2:$A$61)=0,0,D35/COUNTA(Products!$A$2:$A$61)))</f>
        <v/>
      </c>
      <c r="G35" s="16" t="str">
        <f aca="false">IF(A35="","",IF(D35=0,"Not used",IF(D35=1,"Unique to 1 product",IF(D35=COUNTA(Products!$A$2:$A$61),"In all products","Shared"))))</f>
        <v/>
      </c>
    </row>
    <row r="36" customFormat="false" ht="15" hidden="false" customHeight="false" outlineLevel="0" collapsed="false">
      <c r="A36" s="15"/>
      <c r="B36" s="15"/>
      <c r="C36" s="15"/>
      <c r="D36" s="16" t="str">
        <f aca="false">IF(A36="","",SUMIFS(Formulas!$K$2:$K$1501,Formulas!$B$2:$B$1501,A36))</f>
        <v/>
      </c>
      <c r="E36" s="16" t="str">
        <f aca="false">IF(A36="","",COUNTIF(Formulas!$B$2:$B$1501,A36))</f>
        <v/>
      </c>
      <c r="F36" s="17" t="str">
        <f aca="false">IF(A36="","",IF(COUNTA(Products!$A$2:$A$61)=0,0,D36/COUNTA(Products!$A$2:$A$61)))</f>
        <v/>
      </c>
      <c r="G36" s="16" t="str">
        <f aca="false">IF(A36="","",IF(D36=0,"Not used",IF(D36=1,"Unique to 1 product",IF(D36=COUNTA(Products!$A$2:$A$61),"In all products","Shared"))))</f>
        <v/>
      </c>
    </row>
    <row r="37" customFormat="false" ht="15" hidden="false" customHeight="false" outlineLevel="0" collapsed="false">
      <c r="A37" s="15"/>
      <c r="B37" s="15"/>
      <c r="C37" s="15"/>
      <c r="D37" s="16" t="str">
        <f aca="false">IF(A37="","",SUMIFS(Formulas!$K$2:$K$1501,Formulas!$B$2:$B$1501,A37))</f>
        <v/>
      </c>
      <c r="E37" s="16" t="str">
        <f aca="false">IF(A37="","",COUNTIF(Formulas!$B$2:$B$1501,A37))</f>
        <v/>
      </c>
      <c r="F37" s="17" t="str">
        <f aca="false">IF(A37="","",IF(COUNTA(Products!$A$2:$A$61)=0,0,D37/COUNTA(Products!$A$2:$A$61)))</f>
        <v/>
      </c>
      <c r="G37" s="16" t="str">
        <f aca="false">IF(A37="","",IF(D37=0,"Not used",IF(D37=1,"Unique to 1 product",IF(D37=COUNTA(Products!$A$2:$A$61),"In all products","Shared"))))</f>
        <v/>
      </c>
    </row>
    <row r="38" customFormat="false" ht="15" hidden="false" customHeight="false" outlineLevel="0" collapsed="false">
      <c r="A38" s="15"/>
      <c r="B38" s="15"/>
      <c r="C38" s="15"/>
      <c r="D38" s="16" t="str">
        <f aca="false">IF(A38="","",SUMIFS(Formulas!$K$2:$K$1501,Formulas!$B$2:$B$1501,A38))</f>
        <v/>
      </c>
      <c r="E38" s="16" t="str">
        <f aca="false">IF(A38="","",COUNTIF(Formulas!$B$2:$B$1501,A38))</f>
        <v/>
      </c>
      <c r="F38" s="17" t="str">
        <f aca="false">IF(A38="","",IF(COUNTA(Products!$A$2:$A$61)=0,0,D38/COUNTA(Products!$A$2:$A$61)))</f>
        <v/>
      </c>
      <c r="G38" s="16" t="str">
        <f aca="false">IF(A38="","",IF(D38=0,"Not used",IF(D38=1,"Unique to 1 product",IF(D38=COUNTA(Products!$A$2:$A$61),"In all products","Shared"))))</f>
        <v/>
      </c>
    </row>
    <row r="39" customFormat="false" ht="15" hidden="false" customHeight="false" outlineLevel="0" collapsed="false">
      <c r="A39" s="15"/>
      <c r="B39" s="15"/>
      <c r="C39" s="15"/>
      <c r="D39" s="16" t="str">
        <f aca="false">IF(A39="","",SUMIFS(Formulas!$K$2:$K$1501,Formulas!$B$2:$B$1501,A39))</f>
        <v/>
      </c>
      <c r="E39" s="16" t="str">
        <f aca="false">IF(A39="","",COUNTIF(Formulas!$B$2:$B$1501,A39))</f>
        <v/>
      </c>
      <c r="F39" s="17" t="str">
        <f aca="false">IF(A39="","",IF(COUNTA(Products!$A$2:$A$61)=0,0,D39/COUNTA(Products!$A$2:$A$61)))</f>
        <v/>
      </c>
      <c r="G39" s="16" t="str">
        <f aca="false">IF(A39="","",IF(D39=0,"Not used",IF(D39=1,"Unique to 1 product",IF(D39=COUNTA(Products!$A$2:$A$61),"In all products","Shared"))))</f>
        <v/>
      </c>
    </row>
    <row r="40" customFormat="false" ht="15" hidden="false" customHeight="false" outlineLevel="0" collapsed="false">
      <c r="A40" s="15"/>
      <c r="B40" s="15"/>
      <c r="C40" s="15"/>
      <c r="D40" s="16" t="str">
        <f aca="false">IF(A40="","",SUMIFS(Formulas!$K$2:$K$1501,Formulas!$B$2:$B$1501,A40))</f>
        <v/>
      </c>
      <c r="E40" s="16" t="str">
        <f aca="false">IF(A40="","",COUNTIF(Formulas!$B$2:$B$1501,A40))</f>
        <v/>
      </c>
      <c r="F40" s="17" t="str">
        <f aca="false">IF(A40="","",IF(COUNTA(Products!$A$2:$A$61)=0,0,D40/COUNTA(Products!$A$2:$A$61)))</f>
        <v/>
      </c>
      <c r="G40" s="16" t="str">
        <f aca="false">IF(A40="","",IF(D40=0,"Not used",IF(D40=1,"Unique to 1 product",IF(D40=COUNTA(Products!$A$2:$A$61),"In all products","Shared"))))</f>
        <v/>
      </c>
    </row>
    <row r="41" customFormat="false" ht="15" hidden="false" customHeight="false" outlineLevel="0" collapsed="false">
      <c r="A41" s="15"/>
      <c r="B41" s="15"/>
      <c r="C41" s="15"/>
      <c r="D41" s="16" t="str">
        <f aca="false">IF(A41="","",SUMIFS(Formulas!$K$2:$K$1501,Formulas!$B$2:$B$1501,A41))</f>
        <v/>
      </c>
      <c r="E41" s="16" t="str">
        <f aca="false">IF(A41="","",COUNTIF(Formulas!$B$2:$B$1501,A41))</f>
        <v/>
      </c>
      <c r="F41" s="17" t="str">
        <f aca="false">IF(A41="","",IF(COUNTA(Products!$A$2:$A$61)=0,0,D41/COUNTA(Products!$A$2:$A$61)))</f>
        <v/>
      </c>
      <c r="G41" s="16" t="str">
        <f aca="false">IF(A41="","",IF(D41=0,"Not used",IF(D41=1,"Unique to 1 product",IF(D41=COUNTA(Products!$A$2:$A$61),"In all products","Shared"))))</f>
        <v/>
      </c>
    </row>
    <row r="42" customFormat="false" ht="15" hidden="false" customHeight="false" outlineLevel="0" collapsed="false">
      <c r="A42" s="15"/>
      <c r="B42" s="15"/>
      <c r="C42" s="15"/>
      <c r="D42" s="16" t="str">
        <f aca="false">IF(A42="","",SUMIFS(Formulas!$K$2:$K$1501,Formulas!$B$2:$B$1501,A42))</f>
        <v/>
      </c>
      <c r="E42" s="16" t="str">
        <f aca="false">IF(A42="","",COUNTIF(Formulas!$B$2:$B$1501,A42))</f>
        <v/>
      </c>
      <c r="F42" s="17" t="str">
        <f aca="false">IF(A42="","",IF(COUNTA(Products!$A$2:$A$61)=0,0,D42/COUNTA(Products!$A$2:$A$61)))</f>
        <v/>
      </c>
      <c r="G42" s="16" t="str">
        <f aca="false">IF(A42="","",IF(D42=0,"Not used",IF(D42=1,"Unique to 1 product",IF(D42=COUNTA(Products!$A$2:$A$61),"In all products","Shared"))))</f>
        <v/>
      </c>
    </row>
    <row r="43" customFormat="false" ht="15" hidden="false" customHeight="false" outlineLevel="0" collapsed="false">
      <c r="A43" s="15"/>
      <c r="B43" s="15"/>
      <c r="C43" s="15"/>
      <c r="D43" s="16" t="str">
        <f aca="false">IF(A43="","",SUMIFS(Formulas!$K$2:$K$1501,Formulas!$B$2:$B$1501,A43))</f>
        <v/>
      </c>
      <c r="E43" s="16" t="str">
        <f aca="false">IF(A43="","",COUNTIF(Formulas!$B$2:$B$1501,A43))</f>
        <v/>
      </c>
      <c r="F43" s="17" t="str">
        <f aca="false">IF(A43="","",IF(COUNTA(Products!$A$2:$A$61)=0,0,D43/COUNTA(Products!$A$2:$A$61)))</f>
        <v/>
      </c>
      <c r="G43" s="16" t="str">
        <f aca="false">IF(A43="","",IF(D43=0,"Not used",IF(D43=1,"Unique to 1 product",IF(D43=COUNTA(Products!$A$2:$A$61),"In all products","Shared"))))</f>
        <v/>
      </c>
    </row>
    <row r="44" customFormat="false" ht="15" hidden="false" customHeight="false" outlineLevel="0" collapsed="false">
      <c r="A44" s="15"/>
      <c r="B44" s="15"/>
      <c r="C44" s="15"/>
      <c r="D44" s="16" t="str">
        <f aca="false">IF(A44="","",SUMIFS(Formulas!$K$2:$K$1501,Formulas!$B$2:$B$1501,A44))</f>
        <v/>
      </c>
      <c r="E44" s="16" t="str">
        <f aca="false">IF(A44="","",COUNTIF(Formulas!$B$2:$B$1501,A44))</f>
        <v/>
      </c>
      <c r="F44" s="17" t="str">
        <f aca="false">IF(A44="","",IF(COUNTA(Products!$A$2:$A$61)=0,0,D44/COUNTA(Products!$A$2:$A$61)))</f>
        <v/>
      </c>
      <c r="G44" s="16" t="str">
        <f aca="false">IF(A44="","",IF(D44=0,"Not used",IF(D44=1,"Unique to 1 product",IF(D44=COUNTA(Products!$A$2:$A$61),"In all products","Shared"))))</f>
        <v/>
      </c>
    </row>
    <row r="45" customFormat="false" ht="15" hidden="false" customHeight="false" outlineLevel="0" collapsed="false">
      <c r="A45" s="15"/>
      <c r="B45" s="15"/>
      <c r="C45" s="15"/>
      <c r="D45" s="16" t="str">
        <f aca="false">IF(A45="","",SUMIFS(Formulas!$K$2:$K$1501,Formulas!$B$2:$B$1501,A45))</f>
        <v/>
      </c>
      <c r="E45" s="16" t="str">
        <f aca="false">IF(A45="","",COUNTIF(Formulas!$B$2:$B$1501,A45))</f>
        <v/>
      </c>
      <c r="F45" s="17" t="str">
        <f aca="false">IF(A45="","",IF(COUNTA(Products!$A$2:$A$61)=0,0,D45/COUNTA(Products!$A$2:$A$61)))</f>
        <v/>
      </c>
      <c r="G45" s="16" t="str">
        <f aca="false">IF(A45="","",IF(D45=0,"Not used",IF(D45=1,"Unique to 1 product",IF(D45=COUNTA(Products!$A$2:$A$61),"In all products","Shared"))))</f>
        <v/>
      </c>
    </row>
    <row r="46" customFormat="false" ht="15" hidden="false" customHeight="false" outlineLevel="0" collapsed="false">
      <c r="A46" s="15"/>
      <c r="B46" s="15"/>
      <c r="C46" s="15"/>
      <c r="D46" s="16" t="str">
        <f aca="false">IF(A46="","",SUMIFS(Formulas!$K$2:$K$1501,Formulas!$B$2:$B$1501,A46))</f>
        <v/>
      </c>
      <c r="E46" s="16" t="str">
        <f aca="false">IF(A46="","",COUNTIF(Formulas!$B$2:$B$1501,A46))</f>
        <v/>
      </c>
      <c r="F46" s="17" t="str">
        <f aca="false">IF(A46="","",IF(COUNTA(Products!$A$2:$A$61)=0,0,D46/COUNTA(Products!$A$2:$A$61)))</f>
        <v/>
      </c>
      <c r="G46" s="16" t="str">
        <f aca="false">IF(A46="","",IF(D46=0,"Not used",IF(D46=1,"Unique to 1 product",IF(D46=COUNTA(Products!$A$2:$A$61),"In all products","Shared"))))</f>
        <v/>
      </c>
    </row>
    <row r="47" customFormat="false" ht="15" hidden="false" customHeight="false" outlineLevel="0" collapsed="false">
      <c r="A47" s="15"/>
      <c r="B47" s="15"/>
      <c r="C47" s="15"/>
      <c r="D47" s="16" t="str">
        <f aca="false">IF(A47="","",SUMIFS(Formulas!$K$2:$K$1501,Formulas!$B$2:$B$1501,A47))</f>
        <v/>
      </c>
      <c r="E47" s="16" t="str">
        <f aca="false">IF(A47="","",COUNTIF(Formulas!$B$2:$B$1501,A47))</f>
        <v/>
      </c>
      <c r="F47" s="17" t="str">
        <f aca="false">IF(A47="","",IF(COUNTA(Products!$A$2:$A$61)=0,0,D47/COUNTA(Products!$A$2:$A$61)))</f>
        <v/>
      </c>
      <c r="G47" s="16" t="str">
        <f aca="false">IF(A47="","",IF(D47=0,"Not used",IF(D47=1,"Unique to 1 product",IF(D47=COUNTA(Products!$A$2:$A$61),"In all products","Shared"))))</f>
        <v/>
      </c>
    </row>
    <row r="48" customFormat="false" ht="15" hidden="false" customHeight="false" outlineLevel="0" collapsed="false">
      <c r="A48" s="15"/>
      <c r="B48" s="15"/>
      <c r="C48" s="15"/>
      <c r="D48" s="16" t="str">
        <f aca="false">IF(A48="","",SUMIFS(Formulas!$K$2:$K$1501,Formulas!$B$2:$B$1501,A48))</f>
        <v/>
      </c>
      <c r="E48" s="16" t="str">
        <f aca="false">IF(A48="","",COUNTIF(Formulas!$B$2:$B$1501,A48))</f>
        <v/>
      </c>
      <c r="F48" s="17" t="str">
        <f aca="false">IF(A48="","",IF(COUNTA(Products!$A$2:$A$61)=0,0,D48/COUNTA(Products!$A$2:$A$61)))</f>
        <v/>
      </c>
      <c r="G48" s="16" t="str">
        <f aca="false">IF(A48="","",IF(D48=0,"Not used",IF(D48=1,"Unique to 1 product",IF(D48=COUNTA(Products!$A$2:$A$61),"In all products","Shared"))))</f>
        <v/>
      </c>
    </row>
    <row r="49" customFormat="false" ht="15" hidden="false" customHeight="false" outlineLevel="0" collapsed="false">
      <c r="A49" s="15"/>
      <c r="B49" s="15"/>
      <c r="C49" s="15"/>
      <c r="D49" s="16" t="str">
        <f aca="false">IF(A49="","",SUMIFS(Formulas!$K$2:$K$1501,Formulas!$B$2:$B$1501,A49))</f>
        <v/>
      </c>
      <c r="E49" s="16" t="str">
        <f aca="false">IF(A49="","",COUNTIF(Formulas!$B$2:$B$1501,A49))</f>
        <v/>
      </c>
      <c r="F49" s="17" t="str">
        <f aca="false">IF(A49="","",IF(COUNTA(Products!$A$2:$A$61)=0,0,D49/COUNTA(Products!$A$2:$A$61)))</f>
        <v/>
      </c>
      <c r="G49" s="16" t="str">
        <f aca="false">IF(A49="","",IF(D49=0,"Not used",IF(D49=1,"Unique to 1 product",IF(D49=COUNTA(Products!$A$2:$A$61),"In all products","Shared"))))</f>
        <v/>
      </c>
    </row>
    <row r="50" customFormat="false" ht="15" hidden="false" customHeight="false" outlineLevel="0" collapsed="false">
      <c r="A50" s="15"/>
      <c r="B50" s="15"/>
      <c r="C50" s="15"/>
      <c r="D50" s="16" t="str">
        <f aca="false">IF(A50="","",SUMIFS(Formulas!$K$2:$K$1501,Formulas!$B$2:$B$1501,A50))</f>
        <v/>
      </c>
      <c r="E50" s="16" t="str">
        <f aca="false">IF(A50="","",COUNTIF(Formulas!$B$2:$B$1501,A50))</f>
        <v/>
      </c>
      <c r="F50" s="17" t="str">
        <f aca="false">IF(A50="","",IF(COUNTA(Products!$A$2:$A$61)=0,0,D50/COUNTA(Products!$A$2:$A$61)))</f>
        <v/>
      </c>
      <c r="G50" s="16" t="str">
        <f aca="false">IF(A50="","",IF(D50=0,"Not used",IF(D50=1,"Unique to 1 product",IF(D50=COUNTA(Products!$A$2:$A$61),"In all products","Shared"))))</f>
        <v/>
      </c>
    </row>
    <row r="51" customFormat="false" ht="15" hidden="false" customHeight="false" outlineLevel="0" collapsed="false">
      <c r="A51" s="15"/>
      <c r="B51" s="15"/>
      <c r="C51" s="15"/>
      <c r="D51" s="16" t="str">
        <f aca="false">IF(A51="","",SUMIFS(Formulas!$K$2:$K$1501,Formulas!$B$2:$B$1501,A51))</f>
        <v/>
      </c>
      <c r="E51" s="16" t="str">
        <f aca="false">IF(A51="","",COUNTIF(Formulas!$B$2:$B$1501,A51))</f>
        <v/>
      </c>
      <c r="F51" s="17" t="str">
        <f aca="false">IF(A51="","",IF(COUNTA(Products!$A$2:$A$61)=0,0,D51/COUNTA(Products!$A$2:$A$61)))</f>
        <v/>
      </c>
      <c r="G51" s="16" t="str">
        <f aca="false">IF(A51="","",IF(D51=0,"Not used",IF(D51=1,"Unique to 1 product",IF(D51=COUNTA(Products!$A$2:$A$61),"In all products","Shared"))))</f>
        <v/>
      </c>
    </row>
    <row r="52" customFormat="false" ht="15" hidden="false" customHeight="false" outlineLevel="0" collapsed="false">
      <c r="A52" s="15"/>
      <c r="B52" s="15"/>
      <c r="C52" s="15"/>
      <c r="D52" s="16" t="str">
        <f aca="false">IF(A52="","",SUMIFS(Formulas!$K$2:$K$1501,Formulas!$B$2:$B$1501,A52))</f>
        <v/>
      </c>
      <c r="E52" s="16" t="str">
        <f aca="false">IF(A52="","",COUNTIF(Formulas!$B$2:$B$1501,A52))</f>
        <v/>
      </c>
      <c r="F52" s="17" t="str">
        <f aca="false">IF(A52="","",IF(COUNTA(Products!$A$2:$A$61)=0,0,D52/COUNTA(Products!$A$2:$A$61)))</f>
        <v/>
      </c>
      <c r="G52" s="16" t="str">
        <f aca="false">IF(A52="","",IF(D52=0,"Not used",IF(D52=1,"Unique to 1 product",IF(D52=COUNTA(Products!$A$2:$A$61),"In all products","Shared"))))</f>
        <v/>
      </c>
    </row>
    <row r="53" customFormat="false" ht="15" hidden="false" customHeight="false" outlineLevel="0" collapsed="false">
      <c r="A53" s="15"/>
      <c r="B53" s="15"/>
      <c r="C53" s="15"/>
      <c r="D53" s="16" t="str">
        <f aca="false">IF(A53="","",SUMIFS(Formulas!$K$2:$K$1501,Formulas!$B$2:$B$1501,A53))</f>
        <v/>
      </c>
      <c r="E53" s="16" t="str">
        <f aca="false">IF(A53="","",COUNTIF(Formulas!$B$2:$B$1501,A53))</f>
        <v/>
      </c>
      <c r="F53" s="17" t="str">
        <f aca="false">IF(A53="","",IF(COUNTA(Products!$A$2:$A$61)=0,0,D53/COUNTA(Products!$A$2:$A$61)))</f>
        <v/>
      </c>
      <c r="G53" s="16" t="str">
        <f aca="false">IF(A53="","",IF(D53=0,"Not used",IF(D53=1,"Unique to 1 product",IF(D53=COUNTA(Products!$A$2:$A$61),"In all products","Shared"))))</f>
        <v/>
      </c>
    </row>
    <row r="54" customFormat="false" ht="15" hidden="false" customHeight="false" outlineLevel="0" collapsed="false">
      <c r="A54" s="15"/>
      <c r="B54" s="15"/>
      <c r="C54" s="15"/>
      <c r="D54" s="16" t="str">
        <f aca="false">IF(A54="","",SUMIFS(Formulas!$K$2:$K$1501,Formulas!$B$2:$B$1501,A54))</f>
        <v/>
      </c>
      <c r="E54" s="16" t="str">
        <f aca="false">IF(A54="","",COUNTIF(Formulas!$B$2:$B$1501,A54))</f>
        <v/>
      </c>
      <c r="F54" s="17" t="str">
        <f aca="false">IF(A54="","",IF(COUNTA(Products!$A$2:$A$61)=0,0,D54/COUNTA(Products!$A$2:$A$61)))</f>
        <v/>
      </c>
      <c r="G54" s="16" t="str">
        <f aca="false">IF(A54="","",IF(D54=0,"Not used",IF(D54=1,"Unique to 1 product",IF(D54=COUNTA(Products!$A$2:$A$61),"In all products","Shared"))))</f>
        <v/>
      </c>
    </row>
    <row r="55" customFormat="false" ht="15" hidden="false" customHeight="false" outlineLevel="0" collapsed="false">
      <c r="A55" s="15"/>
      <c r="B55" s="15"/>
      <c r="C55" s="15"/>
      <c r="D55" s="16" t="str">
        <f aca="false">IF(A55="","",SUMIFS(Formulas!$K$2:$K$1501,Formulas!$B$2:$B$1501,A55))</f>
        <v/>
      </c>
      <c r="E55" s="16" t="str">
        <f aca="false">IF(A55="","",COUNTIF(Formulas!$B$2:$B$1501,A55))</f>
        <v/>
      </c>
      <c r="F55" s="17" t="str">
        <f aca="false">IF(A55="","",IF(COUNTA(Products!$A$2:$A$61)=0,0,D55/COUNTA(Products!$A$2:$A$61)))</f>
        <v/>
      </c>
      <c r="G55" s="16" t="str">
        <f aca="false">IF(A55="","",IF(D55=0,"Not used",IF(D55=1,"Unique to 1 product",IF(D55=COUNTA(Products!$A$2:$A$61),"In all products","Shared"))))</f>
        <v/>
      </c>
    </row>
    <row r="56" customFormat="false" ht="15" hidden="false" customHeight="false" outlineLevel="0" collapsed="false">
      <c r="A56" s="15"/>
      <c r="B56" s="15"/>
      <c r="C56" s="15"/>
      <c r="D56" s="16" t="str">
        <f aca="false">IF(A56="","",SUMIFS(Formulas!$K$2:$K$1501,Formulas!$B$2:$B$1501,A56))</f>
        <v/>
      </c>
      <c r="E56" s="16" t="str">
        <f aca="false">IF(A56="","",COUNTIF(Formulas!$B$2:$B$1501,A56))</f>
        <v/>
      </c>
      <c r="F56" s="17" t="str">
        <f aca="false">IF(A56="","",IF(COUNTA(Products!$A$2:$A$61)=0,0,D56/COUNTA(Products!$A$2:$A$61)))</f>
        <v/>
      </c>
      <c r="G56" s="16" t="str">
        <f aca="false">IF(A56="","",IF(D56=0,"Not used",IF(D56=1,"Unique to 1 product",IF(D56=COUNTA(Products!$A$2:$A$61),"In all products","Shared"))))</f>
        <v/>
      </c>
    </row>
    <row r="57" customFormat="false" ht="15" hidden="false" customHeight="false" outlineLevel="0" collapsed="false">
      <c r="A57" s="15"/>
      <c r="B57" s="15"/>
      <c r="C57" s="15"/>
      <c r="D57" s="16" t="str">
        <f aca="false">IF(A57="","",SUMIFS(Formulas!$K$2:$K$1501,Formulas!$B$2:$B$1501,A57))</f>
        <v/>
      </c>
      <c r="E57" s="16" t="str">
        <f aca="false">IF(A57="","",COUNTIF(Formulas!$B$2:$B$1501,A57))</f>
        <v/>
      </c>
      <c r="F57" s="17" t="str">
        <f aca="false">IF(A57="","",IF(COUNTA(Products!$A$2:$A$61)=0,0,D57/COUNTA(Products!$A$2:$A$61)))</f>
        <v/>
      </c>
      <c r="G57" s="16" t="str">
        <f aca="false">IF(A57="","",IF(D57=0,"Not used",IF(D57=1,"Unique to 1 product",IF(D57=COUNTA(Products!$A$2:$A$61),"In all products","Shared"))))</f>
        <v/>
      </c>
    </row>
    <row r="58" customFormat="false" ht="15" hidden="false" customHeight="false" outlineLevel="0" collapsed="false">
      <c r="A58" s="15"/>
      <c r="B58" s="15"/>
      <c r="C58" s="15"/>
      <c r="D58" s="16" t="str">
        <f aca="false">IF(A58="","",SUMIFS(Formulas!$K$2:$K$1501,Formulas!$B$2:$B$1501,A58))</f>
        <v/>
      </c>
      <c r="E58" s="16" t="str">
        <f aca="false">IF(A58="","",COUNTIF(Formulas!$B$2:$B$1501,A58))</f>
        <v/>
      </c>
      <c r="F58" s="17" t="str">
        <f aca="false">IF(A58="","",IF(COUNTA(Products!$A$2:$A$61)=0,0,D58/COUNTA(Products!$A$2:$A$61)))</f>
        <v/>
      </c>
      <c r="G58" s="16" t="str">
        <f aca="false">IF(A58="","",IF(D58=0,"Not used",IF(D58=1,"Unique to 1 product",IF(D58=COUNTA(Products!$A$2:$A$61),"In all products","Shared"))))</f>
        <v/>
      </c>
    </row>
    <row r="59" customFormat="false" ht="15" hidden="false" customHeight="false" outlineLevel="0" collapsed="false">
      <c r="A59" s="15"/>
      <c r="B59" s="15"/>
      <c r="C59" s="15"/>
      <c r="D59" s="16" t="str">
        <f aca="false">IF(A59="","",SUMIFS(Formulas!$K$2:$K$1501,Formulas!$B$2:$B$1501,A59))</f>
        <v/>
      </c>
      <c r="E59" s="16" t="str">
        <f aca="false">IF(A59="","",COUNTIF(Formulas!$B$2:$B$1501,A59))</f>
        <v/>
      </c>
      <c r="F59" s="17" t="str">
        <f aca="false">IF(A59="","",IF(COUNTA(Products!$A$2:$A$61)=0,0,D59/COUNTA(Products!$A$2:$A$61)))</f>
        <v/>
      </c>
      <c r="G59" s="16" t="str">
        <f aca="false">IF(A59="","",IF(D59=0,"Not used",IF(D59=1,"Unique to 1 product",IF(D59=COUNTA(Products!$A$2:$A$61),"In all products","Shared"))))</f>
        <v/>
      </c>
    </row>
    <row r="60" customFormat="false" ht="15" hidden="false" customHeight="false" outlineLevel="0" collapsed="false">
      <c r="A60" s="15"/>
      <c r="B60" s="15"/>
      <c r="C60" s="15"/>
      <c r="D60" s="16" t="str">
        <f aca="false">IF(A60="","",SUMIFS(Formulas!$K$2:$K$1501,Formulas!$B$2:$B$1501,A60))</f>
        <v/>
      </c>
      <c r="E60" s="16" t="str">
        <f aca="false">IF(A60="","",COUNTIF(Formulas!$B$2:$B$1501,A60))</f>
        <v/>
      </c>
      <c r="F60" s="17" t="str">
        <f aca="false">IF(A60="","",IF(COUNTA(Products!$A$2:$A$61)=0,0,D60/COUNTA(Products!$A$2:$A$61)))</f>
        <v/>
      </c>
      <c r="G60" s="16" t="str">
        <f aca="false">IF(A60="","",IF(D60=0,"Not used",IF(D60=1,"Unique to 1 product",IF(D60=COUNTA(Products!$A$2:$A$61),"In all products","Shared"))))</f>
        <v/>
      </c>
    </row>
    <row r="61" customFormat="false" ht="15" hidden="false" customHeight="false" outlineLevel="0" collapsed="false">
      <c r="A61" s="15"/>
      <c r="B61" s="15"/>
      <c r="C61" s="15"/>
      <c r="D61" s="16" t="str">
        <f aca="false">IF(A61="","",SUMIFS(Formulas!$K$2:$K$1501,Formulas!$B$2:$B$1501,A61))</f>
        <v/>
      </c>
      <c r="E61" s="16" t="str">
        <f aca="false">IF(A61="","",COUNTIF(Formulas!$B$2:$B$1501,A61))</f>
        <v/>
      </c>
      <c r="F61" s="17" t="str">
        <f aca="false">IF(A61="","",IF(COUNTA(Products!$A$2:$A$61)=0,0,D61/COUNTA(Products!$A$2:$A$61)))</f>
        <v/>
      </c>
      <c r="G61" s="16" t="str">
        <f aca="false">IF(A61="","",IF(D61=0,"Not used",IF(D61=1,"Unique to 1 product",IF(D61=COUNTA(Products!$A$2:$A$61),"In all products","Shared"))))</f>
        <v/>
      </c>
    </row>
    <row r="62" customFormat="false" ht="15" hidden="false" customHeight="false" outlineLevel="0" collapsed="false">
      <c r="A62" s="15"/>
      <c r="B62" s="15"/>
      <c r="C62" s="15"/>
      <c r="D62" s="16" t="str">
        <f aca="false">IF(A62="","",SUMIFS(Formulas!$K$2:$K$1501,Formulas!$B$2:$B$1501,A62))</f>
        <v/>
      </c>
      <c r="E62" s="16" t="str">
        <f aca="false">IF(A62="","",COUNTIF(Formulas!$B$2:$B$1501,A62))</f>
        <v/>
      </c>
      <c r="F62" s="17" t="str">
        <f aca="false">IF(A62="","",IF(COUNTA(Products!$A$2:$A$61)=0,0,D62/COUNTA(Products!$A$2:$A$61)))</f>
        <v/>
      </c>
      <c r="G62" s="16" t="str">
        <f aca="false">IF(A62="","",IF(D62=0,"Not used",IF(D62=1,"Unique to 1 product",IF(D62=COUNTA(Products!$A$2:$A$61),"In all products","Shared"))))</f>
        <v/>
      </c>
    </row>
    <row r="63" customFormat="false" ht="15" hidden="false" customHeight="false" outlineLevel="0" collapsed="false">
      <c r="A63" s="15"/>
      <c r="B63" s="15"/>
      <c r="C63" s="15"/>
      <c r="D63" s="16" t="str">
        <f aca="false">IF(A63="","",SUMIFS(Formulas!$K$2:$K$1501,Formulas!$B$2:$B$1501,A63))</f>
        <v/>
      </c>
      <c r="E63" s="16" t="str">
        <f aca="false">IF(A63="","",COUNTIF(Formulas!$B$2:$B$1501,A63))</f>
        <v/>
      </c>
      <c r="F63" s="17" t="str">
        <f aca="false">IF(A63="","",IF(COUNTA(Products!$A$2:$A$61)=0,0,D63/COUNTA(Products!$A$2:$A$61)))</f>
        <v/>
      </c>
      <c r="G63" s="16" t="str">
        <f aca="false">IF(A63="","",IF(D63=0,"Not used",IF(D63=1,"Unique to 1 product",IF(D63=COUNTA(Products!$A$2:$A$61),"In all products","Shared"))))</f>
        <v/>
      </c>
    </row>
    <row r="64" customFormat="false" ht="15" hidden="false" customHeight="false" outlineLevel="0" collapsed="false">
      <c r="A64" s="15"/>
      <c r="B64" s="15"/>
      <c r="C64" s="15"/>
      <c r="D64" s="16" t="str">
        <f aca="false">IF(A64="","",SUMIFS(Formulas!$K$2:$K$1501,Formulas!$B$2:$B$1501,A64))</f>
        <v/>
      </c>
      <c r="E64" s="16" t="str">
        <f aca="false">IF(A64="","",COUNTIF(Formulas!$B$2:$B$1501,A64))</f>
        <v/>
      </c>
      <c r="F64" s="17" t="str">
        <f aca="false">IF(A64="","",IF(COUNTA(Products!$A$2:$A$61)=0,0,D64/COUNTA(Products!$A$2:$A$61)))</f>
        <v/>
      </c>
      <c r="G64" s="16" t="str">
        <f aca="false">IF(A64="","",IF(D64=0,"Not used",IF(D64=1,"Unique to 1 product",IF(D64=COUNTA(Products!$A$2:$A$61),"In all products","Shared"))))</f>
        <v/>
      </c>
    </row>
    <row r="65" customFormat="false" ht="15" hidden="false" customHeight="false" outlineLevel="0" collapsed="false">
      <c r="A65" s="15"/>
      <c r="B65" s="15"/>
      <c r="C65" s="15"/>
      <c r="D65" s="16" t="str">
        <f aca="false">IF(A65="","",SUMIFS(Formulas!$K$2:$K$1501,Formulas!$B$2:$B$1501,A65))</f>
        <v/>
      </c>
      <c r="E65" s="16" t="str">
        <f aca="false">IF(A65="","",COUNTIF(Formulas!$B$2:$B$1501,A65))</f>
        <v/>
      </c>
      <c r="F65" s="17" t="str">
        <f aca="false">IF(A65="","",IF(COUNTA(Products!$A$2:$A$61)=0,0,D65/COUNTA(Products!$A$2:$A$61)))</f>
        <v/>
      </c>
      <c r="G65" s="16" t="str">
        <f aca="false">IF(A65="","",IF(D65=0,"Not used",IF(D65=1,"Unique to 1 product",IF(D65=COUNTA(Products!$A$2:$A$61),"In all products","Shared"))))</f>
        <v/>
      </c>
    </row>
    <row r="66" customFormat="false" ht="15" hidden="false" customHeight="false" outlineLevel="0" collapsed="false">
      <c r="A66" s="15"/>
      <c r="B66" s="15"/>
      <c r="C66" s="15"/>
      <c r="D66" s="16" t="str">
        <f aca="false">IF(A66="","",SUMIFS(Formulas!$K$2:$K$1501,Formulas!$B$2:$B$1501,A66))</f>
        <v/>
      </c>
      <c r="E66" s="16" t="str">
        <f aca="false">IF(A66="","",COUNTIF(Formulas!$B$2:$B$1501,A66))</f>
        <v/>
      </c>
      <c r="F66" s="17" t="str">
        <f aca="false">IF(A66="","",IF(COUNTA(Products!$A$2:$A$61)=0,0,D66/COUNTA(Products!$A$2:$A$61)))</f>
        <v/>
      </c>
      <c r="G66" s="16" t="str">
        <f aca="false">IF(A66="","",IF(D66=0,"Not used",IF(D66=1,"Unique to 1 product",IF(D66=COUNTA(Products!$A$2:$A$61),"In all products","Shared"))))</f>
        <v/>
      </c>
    </row>
    <row r="67" customFormat="false" ht="15" hidden="false" customHeight="false" outlineLevel="0" collapsed="false">
      <c r="A67" s="15"/>
      <c r="B67" s="15"/>
      <c r="C67" s="15"/>
      <c r="D67" s="16" t="str">
        <f aca="false">IF(A67="","",SUMIFS(Formulas!$K$2:$K$1501,Formulas!$B$2:$B$1501,A67))</f>
        <v/>
      </c>
      <c r="E67" s="16" t="str">
        <f aca="false">IF(A67="","",COUNTIF(Formulas!$B$2:$B$1501,A67))</f>
        <v/>
      </c>
      <c r="F67" s="17" t="str">
        <f aca="false">IF(A67="","",IF(COUNTA(Products!$A$2:$A$61)=0,0,D67/COUNTA(Products!$A$2:$A$61)))</f>
        <v/>
      </c>
      <c r="G67" s="16" t="str">
        <f aca="false">IF(A67="","",IF(D67=0,"Not used",IF(D67=1,"Unique to 1 product",IF(D67=COUNTA(Products!$A$2:$A$61),"In all products","Shared"))))</f>
        <v/>
      </c>
    </row>
    <row r="68" customFormat="false" ht="15" hidden="false" customHeight="false" outlineLevel="0" collapsed="false">
      <c r="A68" s="15"/>
      <c r="B68" s="15"/>
      <c r="C68" s="15"/>
      <c r="D68" s="16" t="str">
        <f aca="false">IF(A68="","",SUMIFS(Formulas!$K$2:$K$1501,Formulas!$B$2:$B$1501,A68))</f>
        <v/>
      </c>
      <c r="E68" s="16" t="str">
        <f aca="false">IF(A68="","",COUNTIF(Formulas!$B$2:$B$1501,A68))</f>
        <v/>
      </c>
      <c r="F68" s="17" t="str">
        <f aca="false">IF(A68="","",IF(COUNTA(Products!$A$2:$A$61)=0,0,D68/COUNTA(Products!$A$2:$A$61)))</f>
        <v/>
      </c>
      <c r="G68" s="16" t="str">
        <f aca="false">IF(A68="","",IF(D68=0,"Not used",IF(D68=1,"Unique to 1 product",IF(D68=COUNTA(Products!$A$2:$A$61),"In all products","Shared"))))</f>
        <v/>
      </c>
    </row>
    <row r="69" customFormat="false" ht="15" hidden="false" customHeight="false" outlineLevel="0" collapsed="false">
      <c r="A69" s="15"/>
      <c r="B69" s="15"/>
      <c r="C69" s="15"/>
      <c r="D69" s="16" t="str">
        <f aca="false">IF(A69="","",SUMIFS(Formulas!$K$2:$K$1501,Formulas!$B$2:$B$1501,A69))</f>
        <v/>
      </c>
      <c r="E69" s="16" t="str">
        <f aca="false">IF(A69="","",COUNTIF(Formulas!$B$2:$B$1501,A69))</f>
        <v/>
      </c>
      <c r="F69" s="17" t="str">
        <f aca="false">IF(A69="","",IF(COUNTA(Products!$A$2:$A$61)=0,0,D69/COUNTA(Products!$A$2:$A$61)))</f>
        <v/>
      </c>
      <c r="G69" s="16" t="str">
        <f aca="false">IF(A69="","",IF(D69=0,"Not used",IF(D69=1,"Unique to 1 product",IF(D69=COUNTA(Products!$A$2:$A$61),"In all products","Shared"))))</f>
        <v/>
      </c>
    </row>
    <row r="70" customFormat="false" ht="15" hidden="false" customHeight="false" outlineLevel="0" collapsed="false">
      <c r="A70" s="15"/>
      <c r="B70" s="15"/>
      <c r="C70" s="15"/>
      <c r="D70" s="16" t="str">
        <f aca="false">IF(A70="","",SUMIFS(Formulas!$K$2:$K$1501,Formulas!$B$2:$B$1501,A70))</f>
        <v/>
      </c>
      <c r="E70" s="16" t="str">
        <f aca="false">IF(A70="","",COUNTIF(Formulas!$B$2:$B$1501,A70))</f>
        <v/>
      </c>
      <c r="F70" s="17" t="str">
        <f aca="false">IF(A70="","",IF(COUNTA(Products!$A$2:$A$61)=0,0,D70/COUNTA(Products!$A$2:$A$61)))</f>
        <v/>
      </c>
      <c r="G70" s="16" t="str">
        <f aca="false">IF(A70="","",IF(D70=0,"Not used",IF(D70=1,"Unique to 1 product",IF(D70=COUNTA(Products!$A$2:$A$61),"In all products","Shared"))))</f>
        <v/>
      </c>
    </row>
    <row r="71" customFormat="false" ht="15" hidden="false" customHeight="false" outlineLevel="0" collapsed="false">
      <c r="A71" s="15"/>
      <c r="B71" s="15"/>
      <c r="C71" s="15"/>
      <c r="D71" s="16" t="str">
        <f aca="false">IF(A71="","",SUMIFS(Formulas!$K$2:$K$1501,Formulas!$B$2:$B$1501,A71))</f>
        <v/>
      </c>
      <c r="E71" s="16" t="str">
        <f aca="false">IF(A71="","",COUNTIF(Formulas!$B$2:$B$1501,A71))</f>
        <v/>
      </c>
      <c r="F71" s="17" t="str">
        <f aca="false">IF(A71="","",IF(COUNTA(Products!$A$2:$A$61)=0,0,D71/COUNTA(Products!$A$2:$A$61)))</f>
        <v/>
      </c>
      <c r="G71" s="16" t="str">
        <f aca="false">IF(A71="","",IF(D71=0,"Not used",IF(D71=1,"Unique to 1 product",IF(D71=COUNTA(Products!$A$2:$A$61),"In all products","Shared"))))</f>
        <v/>
      </c>
    </row>
    <row r="72" customFormat="false" ht="15" hidden="false" customHeight="false" outlineLevel="0" collapsed="false">
      <c r="A72" s="15"/>
      <c r="B72" s="15"/>
      <c r="C72" s="15"/>
      <c r="D72" s="16" t="str">
        <f aca="false">IF(A72="","",SUMIFS(Formulas!$K$2:$K$1501,Formulas!$B$2:$B$1501,A72))</f>
        <v/>
      </c>
      <c r="E72" s="16" t="str">
        <f aca="false">IF(A72="","",COUNTIF(Formulas!$B$2:$B$1501,A72))</f>
        <v/>
      </c>
      <c r="F72" s="17" t="str">
        <f aca="false">IF(A72="","",IF(COUNTA(Products!$A$2:$A$61)=0,0,D72/COUNTA(Products!$A$2:$A$61)))</f>
        <v/>
      </c>
      <c r="G72" s="16" t="str">
        <f aca="false">IF(A72="","",IF(D72=0,"Not used",IF(D72=1,"Unique to 1 product",IF(D72=COUNTA(Products!$A$2:$A$61),"In all products","Shared"))))</f>
        <v/>
      </c>
    </row>
    <row r="73" customFormat="false" ht="15" hidden="false" customHeight="false" outlineLevel="0" collapsed="false">
      <c r="A73" s="15"/>
      <c r="B73" s="15"/>
      <c r="C73" s="15"/>
      <c r="D73" s="16" t="str">
        <f aca="false">IF(A73="","",SUMIFS(Formulas!$K$2:$K$1501,Formulas!$B$2:$B$1501,A73))</f>
        <v/>
      </c>
      <c r="E73" s="16" t="str">
        <f aca="false">IF(A73="","",COUNTIF(Formulas!$B$2:$B$1501,A73))</f>
        <v/>
      </c>
      <c r="F73" s="17" t="str">
        <f aca="false">IF(A73="","",IF(COUNTA(Products!$A$2:$A$61)=0,0,D73/COUNTA(Products!$A$2:$A$61)))</f>
        <v/>
      </c>
      <c r="G73" s="16" t="str">
        <f aca="false">IF(A73="","",IF(D73=0,"Not used",IF(D73=1,"Unique to 1 product",IF(D73=COUNTA(Products!$A$2:$A$61),"In all products","Shared"))))</f>
        <v/>
      </c>
    </row>
    <row r="74" customFormat="false" ht="15" hidden="false" customHeight="false" outlineLevel="0" collapsed="false">
      <c r="A74" s="15"/>
      <c r="B74" s="15"/>
      <c r="C74" s="15"/>
      <c r="D74" s="16" t="str">
        <f aca="false">IF(A74="","",SUMIFS(Formulas!$K$2:$K$1501,Formulas!$B$2:$B$1501,A74))</f>
        <v/>
      </c>
      <c r="E74" s="16" t="str">
        <f aca="false">IF(A74="","",COUNTIF(Formulas!$B$2:$B$1501,A74))</f>
        <v/>
      </c>
      <c r="F74" s="17" t="str">
        <f aca="false">IF(A74="","",IF(COUNTA(Products!$A$2:$A$61)=0,0,D74/COUNTA(Products!$A$2:$A$61)))</f>
        <v/>
      </c>
      <c r="G74" s="16" t="str">
        <f aca="false">IF(A74="","",IF(D74=0,"Not used",IF(D74=1,"Unique to 1 product",IF(D74=COUNTA(Products!$A$2:$A$61),"In all products","Shared"))))</f>
        <v/>
      </c>
    </row>
    <row r="75" customFormat="false" ht="15" hidden="false" customHeight="false" outlineLevel="0" collapsed="false">
      <c r="A75" s="15"/>
      <c r="B75" s="15"/>
      <c r="C75" s="15"/>
      <c r="D75" s="16" t="str">
        <f aca="false">IF(A75="","",SUMIFS(Formulas!$K$2:$K$1501,Formulas!$B$2:$B$1501,A75))</f>
        <v/>
      </c>
      <c r="E75" s="16" t="str">
        <f aca="false">IF(A75="","",COUNTIF(Formulas!$B$2:$B$1501,A75))</f>
        <v/>
      </c>
      <c r="F75" s="17" t="str">
        <f aca="false">IF(A75="","",IF(COUNTA(Products!$A$2:$A$61)=0,0,D75/COUNTA(Products!$A$2:$A$61)))</f>
        <v/>
      </c>
      <c r="G75" s="16" t="str">
        <f aca="false">IF(A75="","",IF(D75=0,"Not used",IF(D75=1,"Unique to 1 product",IF(D75=COUNTA(Products!$A$2:$A$61),"In all products","Shared"))))</f>
        <v/>
      </c>
    </row>
    <row r="76" customFormat="false" ht="15" hidden="false" customHeight="false" outlineLevel="0" collapsed="false">
      <c r="A76" s="15"/>
      <c r="B76" s="15"/>
      <c r="C76" s="15"/>
      <c r="D76" s="16" t="str">
        <f aca="false">IF(A76="","",SUMIFS(Formulas!$K$2:$K$1501,Formulas!$B$2:$B$1501,A76))</f>
        <v/>
      </c>
      <c r="E76" s="16" t="str">
        <f aca="false">IF(A76="","",COUNTIF(Formulas!$B$2:$B$1501,A76))</f>
        <v/>
      </c>
      <c r="F76" s="17" t="str">
        <f aca="false">IF(A76="","",IF(COUNTA(Products!$A$2:$A$61)=0,0,D76/COUNTA(Products!$A$2:$A$61)))</f>
        <v/>
      </c>
      <c r="G76" s="16" t="str">
        <f aca="false">IF(A76="","",IF(D76=0,"Not used",IF(D76=1,"Unique to 1 product",IF(D76=COUNTA(Products!$A$2:$A$61),"In all products","Shared"))))</f>
        <v/>
      </c>
    </row>
    <row r="77" customFormat="false" ht="15" hidden="false" customHeight="false" outlineLevel="0" collapsed="false">
      <c r="A77" s="15"/>
      <c r="B77" s="15"/>
      <c r="C77" s="15"/>
      <c r="D77" s="16" t="str">
        <f aca="false">IF(A77="","",SUMIFS(Formulas!$K$2:$K$1501,Formulas!$B$2:$B$1501,A77))</f>
        <v/>
      </c>
      <c r="E77" s="16" t="str">
        <f aca="false">IF(A77="","",COUNTIF(Formulas!$B$2:$B$1501,A77))</f>
        <v/>
      </c>
      <c r="F77" s="17" t="str">
        <f aca="false">IF(A77="","",IF(COUNTA(Products!$A$2:$A$61)=0,0,D77/COUNTA(Products!$A$2:$A$61)))</f>
        <v/>
      </c>
      <c r="G77" s="16" t="str">
        <f aca="false">IF(A77="","",IF(D77=0,"Not used",IF(D77=1,"Unique to 1 product",IF(D77=COUNTA(Products!$A$2:$A$61),"In all products","Shared"))))</f>
        <v/>
      </c>
    </row>
    <row r="78" customFormat="false" ht="15" hidden="false" customHeight="false" outlineLevel="0" collapsed="false">
      <c r="A78" s="15"/>
      <c r="B78" s="15"/>
      <c r="C78" s="15"/>
      <c r="D78" s="16" t="str">
        <f aca="false">IF(A78="","",SUMIFS(Formulas!$K$2:$K$1501,Formulas!$B$2:$B$1501,A78))</f>
        <v/>
      </c>
      <c r="E78" s="16" t="str">
        <f aca="false">IF(A78="","",COUNTIF(Formulas!$B$2:$B$1501,A78))</f>
        <v/>
      </c>
      <c r="F78" s="17" t="str">
        <f aca="false">IF(A78="","",IF(COUNTA(Products!$A$2:$A$61)=0,0,D78/COUNTA(Products!$A$2:$A$61)))</f>
        <v/>
      </c>
      <c r="G78" s="16" t="str">
        <f aca="false">IF(A78="","",IF(D78=0,"Not used",IF(D78=1,"Unique to 1 product",IF(D78=COUNTA(Products!$A$2:$A$61),"In all products","Shared"))))</f>
        <v/>
      </c>
    </row>
    <row r="79" customFormat="false" ht="15" hidden="false" customHeight="false" outlineLevel="0" collapsed="false">
      <c r="A79" s="15"/>
      <c r="B79" s="15"/>
      <c r="C79" s="15"/>
      <c r="D79" s="16" t="str">
        <f aca="false">IF(A79="","",SUMIFS(Formulas!$K$2:$K$1501,Formulas!$B$2:$B$1501,A79))</f>
        <v/>
      </c>
      <c r="E79" s="16" t="str">
        <f aca="false">IF(A79="","",COUNTIF(Formulas!$B$2:$B$1501,A79))</f>
        <v/>
      </c>
      <c r="F79" s="17" t="str">
        <f aca="false">IF(A79="","",IF(COUNTA(Products!$A$2:$A$61)=0,0,D79/COUNTA(Products!$A$2:$A$61)))</f>
        <v/>
      </c>
      <c r="G79" s="16" t="str">
        <f aca="false">IF(A79="","",IF(D79=0,"Not used",IF(D79=1,"Unique to 1 product",IF(D79=COUNTA(Products!$A$2:$A$61),"In all products","Shared"))))</f>
        <v/>
      </c>
    </row>
    <row r="80" customFormat="false" ht="15" hidden="false" customHeight="false" outlineLevel="0" collapsed="false">
      <c r="A80" s="15"/>
      <c r="B80" s="15"/>
      <c r="C80" s="15"/>
      <c r="D80" s="16" t="str">
        <f aca="false">IF(A80="","",SUMIFS(Formulas!$K$2:$K$1501,Formulas!$B$2:$B$1501,A80))</f>
        <v/>
      </c>
      <c r="E80" s="16" t="str">
        <f aca="false">IF(A80="","",COUNTIF(Formulas!$B$2:$B$1501,A80))</f>
        <v/>
      </c>
      <c r="F80" s="17" t="str">
        <f aca="false">IF(A80="","",IF(COUNTA(Products!$A$2:$A$61)=0,0,D80/COUNTA(Products!$A$2:$A$61)))</f>
        <v/>
      </c>
      <c r="G80" s="16" t="str">
        <f aca="false">IF(A80="","",IF(D80=0,"Not used",IF(D80=1,"Unique to 1 product",IF(D80=COUNTA(Products!$A$2:$A$61),"In all products","Shared"))))</f>
        <v/>
      </c>
    </row>
    <row r="81" customFormat="false" ht="15" hidden="false" customHeight="false" outlineLevel="0" collapsed="false">
      <c r="A81" s="15"/>
      <c r="B81" s="15"/>
      <c r="C81" s="15"/>
      <c r="D81" s="16" t="str">
        <f aca="false">IF(A81="","",SUMIFS(Formulas!$K$2:$K$1501,Formulas!$B$2:$B$1501,A81))</f>
        <v/>
      </c>
      <c r="E81" s="16" t="str">
        <f aca="false">IF(A81="","",COUNTIF(Formulas!$B$2:$B$1501,A81))</f>
        <v/>
      </c>
      <c r="F81" s="17" t="str">
        <f aca="false">IF(A81="","",IF(COUNTA(Products!$A$2:$A$61)=0,0,D81/COUNTA(Products!$A$2:$A$61)))</f>
        <v/>
      </c>
      <c r="G81" s="16" t="str">
        <f aca="false">IF(A81="","",IF(D81=0,"Not used",IF(D81=1,"Unique to 1 product",IF(D81=COUNTA(Products!$A$2:$A$61),"In all products","Shared"))))</f>
        <v/>
      </c>
    </row>
    <row r="82" customFormat="false" ht="15" hidden="false" customHeight="false" outlineLevel="0" collapsed="false">
      <c r="A82" s="15"/>
      <c r="B82" s="15"/>
      <c r="C82" s="15"/>
      <c r="D82" s="16" t="str">
        <f aca="false">IF(A82="","",SUMIFS(Formulas!$K$2:$K$1501,Formulas!$B$2:$B$1501,A82))</f>
        <v/>
      </c>
      <c r="E82" s="16" t="str">
        <f aca="false">IF(A82="","",COUNTIF(Formulas!$B$2:$B$1501,A82))</f>
        <v/>
      </c>
      <c r="F82" s="17" t="str">
        <f aca="false">IF(A82="","",IF(COUNTA(Products!$A$2:$A$61)=0,0,D82/COUNTA(Products!$A$2:$A$61)))</f>
        <v/>
      </c>
      <c r="G82" s="16" t="str">
        <f aca="false">IF(A82="","",IF(D82=0,"Not used",IF(D82=1,"Unique to 1 product",IF(D82=COUNTA(Products!$A$2:$A$61),"In all products","Shared"))))</f>
        <v/>
      </c>
    </row>
    <row r="83" customFormat="false" ht="15" hidden="false" customHeight="false" outlineLevel="0" collapsed="false">
      <c r="A83" s="15"/>
      <c r="B83" s="15"/>
      <c r="C83" s="15"/>
      <c r="D83" s="16" t="str">
        <f aca="false">IF(A83="","",SUMIFS(Formulas!$K$2:$K$1501,Formulas!$B$2:$B$1501,A83))</f>
        <v/>
      </c>
      <c r="E83" s="16" t="str">
        <f aca="false">IF(A83="","",COUNTIF(Formulas!$B$2:$B$1501,A83))</f>
        <v/>
      </c>
      <c r="F83" s="17" t="str">
        <f aca="false">IF(A83="","",IF(COUNTA(Products!$A$2:$A$61)=0,0,D83/COUNTA(Products!$A$2:$A$61)))</f>
        <v/>
      </c>
      <c r="G83" s="16" t="str">
        <f aca="false">IF(A83="","",IF(D83=0,"Not used",IF(D83=1,"Unique to 1 product",IF(D83=COUNTA(Products!$A$2:$A$61),"In all products","Shared"))))</f>
        <v/>
      </c>
    </row>
    <row r="84" customFormat="false" ht="15" hidden="false" customHeight="false" outlineLevel="0" collapsed="false">
      <c r="A84" s="15"/>
      <c r="B84" s="15"/>
      <c r="C84" s="15"/>
      <c r="D84" s="16" t="str">
        <f aca="false">IF(A84="","",SUMIFS(Formulas!$K$2:$K$1501,Formulas!$B$2:$B$1501,A84))</f>
        <v/>
      </c>
      <c r="E84" s="16" t="str">
        <f aca="false">IF(A84="","",COUNTIF(Formulas!$B$2:$B$1501,A84))</f>
        <v/>
      </c>
      <c r="F84" s="17" t="str">
        <f aca="false">IF(A84="","",IF(COUNTA(Products!$A$2:$A$61)=0,0,D84/COUNTA(Products!$A$2:$A$61)))</f>
        <v/>
      </c>
      <c r="G84" s="16" t="str">
        <f aca="false">IF(A84="","",IF(D84=0,"Not used",IF(D84=1,"Unique to 1 product",IF(D84=COUNTA(Products!$A$2:$A$61),"In all products","Shared"))))</f>
        <v/>
      </c>
    </row>
    <row r="85" customFormat="false" ht="15" hidden="false" customHeight="false" outlineLevel="0" collapsed="false">
      <c r="A85" s="15"/>
      <c r="B85" s="15"/>
      <c r="C85" s="15"/>
      <c r="D85" s="16" t="str">
        <f aca="false">IF(A85="","",SUMIFS(Formulas!$K$2:$K$1501,Formulas!$B$2:$B$1501,A85))</f>
        <v/>
      </c>
      <c r="E85" s="16" t="str">
        <f aca="false">IF(A85="","",COUNTIF(Formulas!$B$2:$B$1501,A85))</f>
        <v/>
      </c>
      <c r="F85" s="17" t="str">
        <f aca="false">IF(A85="","",IF(COUNTA(Products!$A$2:$A$61)=0,0,D85/COUNTA(Products!$A$2:$A$61)))</f>
        <v/>
      </c>
      <c r="G85" s="16" t="str">
        <f aca="false">IF(A85="","",IF(D85=0,"Not used",IF(D85=1,"Unique to 1 product",IF(D85=COUNTA(Products!$A$2:$A$61),"In all products","Shared"))))</f>
        <v/>
      </c>
    </row>
    <row r="86" customFormat="false" ht="15" hidden="false" customHeight="false" outlineLevel="0" collapsed="false">
      <c r="A86" s="15"/>
      <c r="B86" s="15"/>
      <c r="C86" s="15"/>
      <c r="D86" s="16" t="str">
        <f aca="false">IF(A86="","",SUMIFS(Formulas!$K$2:$K$1501,Formulas!$B$2:$B$1501,A86))</f>
        <v/>
      </c>
      <c r="E86" s="16" t="str">
        <f aca="false">IF(A86="","",COUNTIF(Formulas!$B$2:$B$1501,A86))</f>
        <v/>
      </c>
      <c r="F86" s="17" t="str">
        <f aca="false">IF(A86="","",IF(COUNTA(Products!$A$2:$A$61)=0,0,D86/COUNTA(Products!$A$2:$A$61)))</f>
        <v/>
      </c>
      <c r="G86" s="16" t="str">
        <f aca="false">IF(A86="","",IF(D86=0,"Not used",IF(D86=1,"Unique to 1 product",IF(D86=COUNTA(Products!$A$2:$A$61),"In all products","Shared"))))</f>
        <v/>
      </c>
    </row>
    <row r="87" customFormat="false" ht="15" hidden="false" customHeight="false" outlineLevel="0" collapsed="false">
      <c r="A87" s="15"/>
      <c r="B87" s="15"/>
      <c r="C87" s="15"/>
      <c r="D87" s="16" t="str">
        <f aca="false">IF(A87="","",SUMIFS(Formulas!$K$2:$K$1501,Formulas!$B$2:$B$1501,A87))</f>
        <v/>
      </c>
      <c r="E87" s="16" t="str">
        <f aca="false">IF(A87="","",COUNTIF(Formulas!$B$2:$B$1501,A87))</f>
        <v/>
      </c>
      <c r="F87" s="17" t="str">
        <f aca="false">IF(A87="","",IF(COUNTA(Products!$A$2:$A$61)=0,0,D87/COUNTA(Products!$A$2:$A$61)))</f>
        <v/>
      </c>
      <c r="G87" s="16" t="str">
        <f aca="false">IF(A87="","",IF(D87=0,"Not used",IF(D87=1,"Unique to 1 product",IF(D87=COUNTA(Products!$A$2:$A$61),"In all products","Shared"))))</f>
        <v/>
      </c>
    </row>
    <row r="88" customFormat="false" ht="15" hidden="false" customHeight="false" outlineLevel="0" collapsed="false">
      <c r="A88" s="15"/>
      <c r="B88" s="15"/>
      <c r="C88" s="15"/>
      <c r="D88" s="16" t="str">
        <f aca="false">IF(A88="","",SUMIFS(Formulas!$K$2:$K$1501,Formulas!$B$2:$B$1501,A88))</f>
        <v/>
      </c>
      <c r="E88" s="16" t="str">
        <f aca="false">IF(A88="","",COUNTIF(Formulas!$B$2:$B$1501,A88))</f>
        <v/>
      </c>
      <c r="F88" s="17" t="str">
        <f aca="false">IF(A88="","",IF(COUNTA(Products!$A$2:$A$61)=0,0,D88/COUNTA(Products!$A$2:$A$61)))</f>
        <v/>
      </c>
      <c r="G88" s="16" t="str">
        <f aca="false">IF(A88="","",IF(D88=0,"Not used",IF(D88=1,"Unique to 1 product",IF(D88=COUNTA(Products!$A$2:$A$61),"In all products","Shared"))))</f>
        <v/>
      </c>
    </row>
    <row r="89" customFormat="false" ht="15" hidden="false" customHeight="false" outlineLevel="0" collapsed="false">
      <c r="A89" s="15"/>
      <c r="B89" s="15"/>
      <c r="C89" s="15"/>
      <c r="D89" s="16" t="str">
        <f aca="false">IF(A89="","",SUMIFS(Formulas!$K$2:$K$1501,Formulas!$B$2:$B$1501,A89))</f>
        <v/>
      </c>
      <c r="E89" s="16" t="str">
        <f aca="false">IF(A89="","",COUNTIF(Formulas!$B$2:$B$1501,A89))</f>
        <v/>
      </c>
      <c r="F89" s="17" t="str">
        <f aca="false">IF(A89="","",IF(COUNTA(Products!$A$2:$A$61)=0,0,D89/COUNTA(Products!$A$2:$A$61)))</f>
        <v/>
      </c>
      <c r="G89" s="16" t="str">
        <f aca="false">IF(A89="","",IF(D89=0,"Not used",IF(D89=1,"Unique to 1 product",IF(D89=COUNTA(Products!$A$2:$A$61),"In all products","Shared"))))</f>
        <v/>
      </c>
    </row>
    <row r="90" customFormat="false" ht="15" hidden="false" customHeight="false" outlineLevel="0" collapsed="false">
      <c r="A90" s="15"/>
      <c r="B90" s="15"/>
      <c r="C90" s="15"/>
      <c r="D90" s="16" t="str">
        <f aca="false">IF(A90="","",SUMIFS(Formulas!$K$2:$K$1501,Formulas!$B$2:$B$1501,A90))</f>
        <v/>
      </c>
      <c r="E90" s="16" t="str">
        <f aca="false">IF(A90="","",COUNTIF(Formulas!$B$2:$B$1501,A90))</f>
        <v/>
      </c>
      <c r="F90" s="17" t="str">
        <f aca="false">IF(A90="","",IF(COUNTA(Products!$A$2:$A$61)=0,0,D90/COUNTA(Products!$A$2:$A$61)))</f>
        <v/>
      </c>
      <c r="G90" s="16" t="str">
        <f aca="false">IF(A90="","",IF(D90=0,"Not used",IF(D90=1,"Unique to 1 product",IF(D90=COUNTA(Products!$A$2:$A$61),"In all products","Shared"))))</f>
        <v/>
      </c>
    </row>
    <row r="91" customFormat="false" ht="15" hidden="false" customHeight="false" outlineLevel="0" collapsed="false">
      <c r="A91" s="15"/>
      <c r="B91" s="15"/>
      <c r="C91" s="15"/>
      <c r="D91" s="16" t="str">
        <f aca="false">IF(A91="","",SUMIFS(Formulas!$K$2:$K$1501,Formulas!$B$2:$B$1501,A91))</f>
        <v/>
      </c>
      <c r="E91" s="16" t="str">
        <f aca="false">IF(A91="","",COUNTIF(Formulas!$B$2:$B$1501,A91))</f>
        <v/>
      </c>
      <c r="F91" s="17" t="str">
        <f aca="false">IF(A91="","",IF(COUNTA(Products!$A$2:$A$61)=0,0,D91/COUNTA(Products!$A$2:$A$61)))</f>
        <v/>
      </c>
      <c r="G91" s="16" t="str">
        <f aca="false">IF(A91="","",IF(D91=0,"Not used",IF(D91=1,"Unique to 1 product",IF(D91=COUNTA(Products!$A$2:$A$61),"In all products","Shared"))))</f>
        <v/>
      </c>
    </row>
    <row r="92" customFormat="false" ht="15" hidden="false" customHeight="false" outlineLevel="0" collapsed="false">
      <c r="A92" s="15"/>
      <c r="B92" s="15"/>
      <c r="C92" s="15"/>
      <c r="D92" s="16" t="str">
        <f aca="false">IF(A92="","",SUMIFS(Formulas!$K$2:$K$1501,Formulas!$B$2:$B$1501,A92))</f>
        <v/>
      </c>
      <c r="E92" s="16" t="str">
        <f aca="false">IF(A92="","",COUNTIF(Formulas!$B$2:$B$1501,A92))</f>
        <v/>
      </c>
      <c r="F92" s="17" t="str">
        <f aca="false">IF(A92="","",IF(COUNTA(Products!$A$2:$A$61)=0,0,D92/COUNTA(Products!$A$2:$A$61)))</f>
        <v/>
      </c>
      <c r="G92" s="16" t="str">
        <f aca="false">IF(A92="","",IF(D92=0,"Not used",IF(D92=1,"Unique to 1 product",IF(D92=COUNTA(Products!$A$2:$A$61),"In all products","Shared"))))</f>
        <v/>
      </c>
    </row>
    <row r="93" customFormat="false" ht="15" hidden="false" customHeight="false" outlineLevel="0" collapsed="false">
      <c r="A93" s="15"/>
      <c r="B93" s="15"/>
      <c r="C93" s="15"/>
      <c r="D93" s="16" t="str">
        <f aca="false">IF(A93="","",SUMIFS(Formulas!$K$2:$K$1501,Formulas!$B$2:$B$1501,A93))</f>
        <v/>
      </c>
      <c r="E93" s="16" t="str">
        <f aca="false">IF(A93="","",COUNTIF(Formulas!$B$2:$B$1501,A93))</f>
        <v/>
      </c>
      <c r="F93" s="17" t="str">
        <f aca="false">IF(A93="","",IF(COUNTA(Products!$A$2:$A$61)=0,0,D93/COUNTA(Products!$A$2:$A$61)))</f>
        <v/>
      </c>
      <c r="G93" s="16" t="str">
        <f aca="false">IF(A93="","",IF(D93=0,"Not used",IF(D93=1,"Unique to 1 product",IF(D93=COUNTA(Products!$A$2:$A$61),"In all products","Shared"))))</f>
        <v/>
      </c>
    </row>
    <row r="94" customFormat="false" ht="15" hidden="false" customHeight="false" outlineLevel="0" collapsed="false">
      <c r="A94" s="15"/>
      <c r="B94" s="15"/>
      <c r="C94" s="15"/>
      <c r="D94" s="16" t="str">
        <f aca="false">IF(A94="","",SUMIFS(Formulas!$K$2:$K$1501,Formulas!$B$2:$B$1501,A94))</f>
        <v/>
      </c>
      <c r="E94" s="16" t="str">
        <f aca="false">IF(A94="","",COUNTIF(Formulas!$B$2:$B$1501,A94))</f>
        <v/>
      </c>
      <c r="F94" s="17" t="str">
        <f aca="false">IF(A94="","",IF(COUNTA(Products!$A$2:$A$61)=0,0,D94/COUNTA(Products!$A$2:$A$61)))</f>
        <v/>
      </c>
      <c r="G94" s="16" t="str">
        <f aca="false">IF(A94="","",IF(D94=0,"Not used",IF(D94=1,"Unique to 1 product",IF(D94=COUNTA(Products!$A$2:$A$61),"In all products","Shared"))))</f>
        <v/>
      </c>
    </row>
    <row r="95" customFormat="false" ht="15" hidden="false" customHeight="false" outlineLevel="0" collapsed="false">
      <c r="A95" s="15"/>
      <c r="B95" s="15"/>
      <c r="C95" s="15"/>
      <c r="D95" s="16" t="str">
        <f aca="false">IF(A95="","",SUMIFS(Formulas!$K$2:$K$1501,Formulas!$B$2:$B$1501,A95))</f>
        <v/>
      </c>
      <c r="E95" s="16" t="str">
        <f aca="false">IF(A95="","",COUNTIF(Formulas!$B$2:$B$1501,A95))</f>
        <v/>
      </c>
      <c r="F95" s="17" t="str">
        <f aca="false">IF(A95="","",IF(COUNTA(Products!$A$2:$A$61)=0,0,D95/COUNTA(Products!$A$2:$A$61)))</f>
        <v/>
      </c>
      <c r="G95" s="16" t="str">
        <f aca="false">IF(A95="","",IF(D95=0,"Not used",IF(D95=1,"Unique to 1 product",IF(D95=COUNTA(Products!$A$2:$A$61),"In all products","Shared"))))</f>
        <v/>
      </c>
    </row>
    <row r="96" customFormat="false" ht="15" hidden="false" customHeight="false" outlineLevel="0" collapsed="false">
      <c r="A96" s="15"/>
      <c r="B96" s="15"/>
      <c r="C96" s="15"/>
      <c r="D96" s="16" t="str">
        <f aca="false">IF(A96="","",SUMIFS(Formulas!$K$2:$K$1501,Formulas!$B$2:$B$1501,A96))</f>
        <v/>
      </c>
      <c r="E96" s="16" t="str">
        <f aca="false">IF(A96="","",COUNTIF(Formulas!$B$2:$B$1501,A96))</f>
        <v/>
      </c>
      <c r="F96" s="17" t="str">
        <f aca="false">IF(A96="","",IF(COUNTA(Products!$A$2:$A$61)=0,0,D96/COUNTA(Products!$A$2:$A$61)))</f>
        <v/>
      </c>
      <c r="G96" s="16" t="str">
        <f aca="false">IF(A96="","",IF(D96=0,"Not used",IF(D96=1,"Unique to 1 product",IF(D96=COUNTA(Products!$A$2:$A$61),"In all products","Shared"))))</f>
        <v/>
      </c>
    </row>
    <row r="97" customFormat="false" ht="15" hidden="false" customHeight="false" outlineLevel="0" collapsed="false">
      <c r="A97" s="15"/>
      <c r="B97" s="15"/>
      <c r="C97" s="15"/>
      <c r="D97" s="16" t="str">
        <f aca="false">IF(A97="","",SUMIFS(Formulas!$K$2:$K$1501,Formulas!$B$2:$B$1501,A97))</f>
        <v/>
      </c>
      <c r="E97" s="16" t="str">
        <f aca="false">IF(A97="","",COUNTIF(Formulas!$B$2:$B$1501,A97))</f>
        <v/>
      </c>
      <c r="F97" s="17" t="str">
        <f aca="false">IF(A97="","",IF(COUNTA(Products!$A$2:$A$61)=0,0,D97/COUNTA(Products!$A$2:$A$61)))</f>
        <v/>
      </c>
      <c r="G97" s="16" t="str">
        <f aca="false">IF(A97="","",IF(D97=0,"Not used",IF(D97=1,"Unique to 1 product",IF(D97=COUNTA(Products!$A$2:$A$61),"In all products","Shared"))))</f>
        <v/>
      </c>
    </row>
    <row r="98" customFormat="false" ht="15" hidden="false" customHeight="false" outlineLevel="0" collapsed="false">
      <c r="A98" s="15"/>
      <c r="B98" s="15"/>
      <c r="C98" s="15"/>
      <c r="D98" s="16" t="str">
        <f aca="false">IF(A98="","",SUMIFS(Formulas!$K$2:$K$1501,Formulas!$B$2:$B$1501,A98))</f>
        <v/>
      </c>
      <c r="E98" s="16" t="str">
        <f aca="false">IF(A98="","",COUNTIF(Formulas!$B$2:$B$1501,A98))</f>
        <v/>
      </c>
      <c r="F98" s="17" t="str">
        <f aca="false">IF(A98="","",IF(COUNTA(Products!$A$2:$A$61)=0,0,D98/COUNTA(Products!$A$2:$A$61)))</f>
        <v/>
      </c>
      <c r="G98" s="16" t="str">
        <f aca="false">IF(A98="","",IF(D98=0,"Not used",IF(D98=1,"Unique to 1 product",IF(D98=COUNTA(Products!$A$2:$A$61),"In all products","Shared"))))</f>
        <v/>
      </c>
    </row>
    <row r="99" customFormat="false" ht="15" hidden="false" customHeight="false" outlineLevel="0" collapsed="false">
      <c r="A99" s="15"/>
      <c r="B99" s="15"/>
      <c r="C99" s="15"/>
      <c r="D99" s="16" t="str">
        <f aca="false">IF(A99="","",SUMIFS(Formulas!$K$2:$K$1501,Formulas!$B$2:$B$1501,A99))</f>
        <v/>
      </c>
      <c r="E99" s="16" t="str">
        <f aca="false">IF(A99="","",COUNTIF(Formulas!$B$2:$B$1501,A99))</f>
        <v/>
      </c>
      <c r="F99" s="17" t="str">
        <f aca="false">IF(A99="","",IF(COUNTA(Products!$A$2:$A$61)=0,0,D99/COUNTA(Products!$A$2:$A$61)))</f>
        <v/>
      </c>
      <c r="G99" s="16" t="str">
        <f aca="false">IF(A99="","",IF(D99=0,"Not used",IF(D99=1,"Unique to 1 product",IF(D99=COUNTA(Products!$A$2:$A$61),"In all products","Shared"))))</f>
        <v/>
      </c>
    </row>
    <row r="100" customFormat="false" ht="15" hidden="false" customHeight="false" outlineLevel="0" collapsed="false">
      <c r="A100" s="15"/>
      <c r="B100" s="15"/>
      <c r="C100" s="15"/>
      <c r="D100" s="16" t="str">
        <f aca="false">IF(A100="","",SUMIFS(Formulas!$K$2:$K$1501,Formulas!$B$2:$B$1501,A100))</f>
        <v/>
      </c>
      <c r="E100" s="16" t="str">
        <f aca="false">IF(A100="","",COUNTIF(Formulas!$B$2:$B$1501,A100))</f>
        <v/>
      </c>
      <c r="F100" s="17" t="str">
        <f aca="false">IF(A100="","",IF(COUNTA(Products!$A$2:$A$61)=0,0,D100/COUNTA(Products!$A$2:$A$61)))</f>
        <v/>
      </c>
      <c r="G100" s="16" t="str">
        <f aca="false">IF(A100="","",IF(D100=0,"Not used",IF(D100=1,"Unique to 1 product",IF(D100=COUNTA(Products!$A$2:$A$61),"In all products","Shared"))))</f>
        <v/>
      </c>
    </row>
    <row r="101" customFormat="false" ht="15" hidden="false" customHeight="false" outlineLevel="0" collapsed="false">
      <c r="A101" s="15"/>
      <c r="B101" s="15"/>
      <c r="C101" s="15"/>
      <c r="D101" s="16" t="str">
        <f aca="false">IF(A101="","",SUMIFS(Formulas!$K$2:$K$1501,Formulas!$B$2:$B$1501,A101))</f>
        <v/>
      </c>
      <c r="E101" s="16" t="str">
        <f aca="false">IF(A101="","",COUNTIF(Formulas!$B$2:$B$1501,A101))</f>
        <v/>
      </c>
      <c r="F101" s="17" t="str">
        <f aca="false">IF(A101="","",IF(COUNTA(Products!$A$2:$A$61)=0,0,D101/COUNTA(Products!$A$2:$A$61)))</f>
        <v/>
      </c>
      <c r="G101" s="16" t="str">
        <f aca="false">IF(A101="","",IF(D101=0,"Not used",IF(D101=1,"Unique to 1 product",IF(D101=COUNTA(Products!$A$2:$A$61),"In all products","Shared"))))</f>
        <v/>
      </c>
    </row>
    <row r="102" customFormat="false" ht="15" hidden="false" customHeight="false" outlineLevel="0" collapsed="false">
      <c r="A102" s="15"/>
      <c r="B102" s="15"/>
      <c r="C102" s="15"/>
      <c r="D102" s="16" t="str">
        <f aca="false">IF(A102="","",SUMIFS(Formulas!$K$2:$K$1501,Formulas!$B$2:$B$1501,A102))</f>
        <v/>
      </c>
      <c r="E102" s="16" t="str">
        <f aca="false">IF(A102="","",COUNTIF(Formulas!$B$2:$B$1501,A102))</f>
        <v/>
      </c>
      <c r="F102" s="17" t="str">
        <f aca="false">IF(A102="","",IF(COUNTA(Products!$A$2:$A$61)=0,0,D102/COUNTA(Products!$A$2:$A$61)))</f>
        <v/>
      </c>
      <c r="G102" s="16" t="str">
        <f aca="false">IF(A102="","",IF(D102=0,"Not used",IF(D102=1,"Unique to 1 product",IF(D102=COUNTA(Products!$A$2:$A$61),"In all products","Shared"))))</f>
        <v/>
      </c>
    </row>
    <row r="103" customFormat="false" ht="15" hidden="false" customHeight="false" outlineLevel="0" collapsed="false">
      <c r="A103" s="15"/>
      <c r="B103" s="15"/>
      <c r="C103" s="15"/>
      <c r="D103" s="16" t="str">
        <f aca="false">IF(A103="","",SUMIFS(Formulas!$K$2:$K$1501,Formulas!$B$2:$B$1501,A103))</f>
        <v/>
      </c>
      <c r="E103" s="16" t="str">
        <f aca="false">IF(A103="","",COUNTIF(Formulas!$B$2:$B$1501,A103))</f>
        <v/>
      </c>
      <c r="F103" s="17" t="str">
        <f aca="false">IF(A103="","",IF(COUNTA(Products!$A$2:$A$61)=0,0,D103/COUNTA(Products!$A$2:$A$61)))</f>
        <v/>
      </c>
      <c r="G103" s="16" t="str">
        <f aca="false">IF(A103="","",IF(D103=0,"Not used",IF(D103=1,"Unique to 1 product",IF(D103=COUNTA(Products!$A$2:$A$61),"In all products","Shared"))))</f>
        <v/>
      </c>
    </row>
    <row r="104" customFormat="false" ht="15" hidden="false" customHeight="false" outlineLevel="0" collapsed="false">
      <c r="A104" s="15"/>
      <c r="B104" s="15"/>
      <c r="C104" s="15"/>
      <c r="D104" s="16" t="str">
        <f aca="false">IF(A104="","",SUMIFS(Formulas!$K$2:$K$1501,Formulas!$B$2:$B$1501,A104))</f>
        <v/>
      </c>
      <c r="E104" s="16" t="str">
        <f aca="false">IF(A104="","",COUNTIF(Formulas!$B$2:$B$1501,A104))</f>
        <v/>
      </c>
      <c r="F104" s="17" t="str">
        <f aca="false">IF(A104="","",IF(COUNTA(Products!$A$2:$A$61)=0,0,D104/COUNTA(Products!$A$2:$A$61)))</f>
        <v/>
      </c>
      <c r="G104" s="16" t="str">
        <f aca="false">IF(A104="","",IF(D104=0,"Not used",IF(D104=1,"Unique to 1 product",IF(D104=COUNTA(Products!$A$2:$A$61),"In all products","Shared"))))</f>
        <v/>
      </c>
    </row>
    <row r="105" customFormat="false" ht="15" hidden="false" customHeight="false" outlineLevel="0" collapsed="false">
      <c r="A105" s="15"/>
      <c r="B105" s="15"/>
      <c r="C105" s="15"/>
      <c r="D105" s="16" t="str">
        <f aca="false">IF(A105="","",SUMIFS(Formulas!$K$2:$K$1501,Formulas!$B$2:$B$1501,A105))</f>
        <v/>
      </c>
      <c r="E105" s="16" t="str">
        <f aca="false">IF(A105="","",COUNTIF(Formulas!$B$2:$B$1501,A105))</f>
        <v/>
      </c>
      <c r="F105" s="17" t="str">
        <f aca="false">IF(A105="","",IF(COUNTA(Products!$A$2:$A$61)=0,0,D105/COUNTA(Products!$A$2:$A$61)))</f>
        <v/>
      </c>
      <c r="G105" s="16" t="str">
        <f aca="false">IF(A105="","",IF(D105=0,"Not used",IF(D105=1,"Unique to 1 product",IF(D105=COUNTA(Products!$A$2:$A$61),"In all products","Shared"))))</f>
        <v/>
      </c>
    </row>
    <row r="106" customFormat="false" ht="15" hidden="false" customHeight="false" outlineLevel="0" collapsed="false">
      <c r="A106" s="15"/>
      <c r="B106" s="15"/>
      <c r="C106" s="15"/>
      <c r="D106" s="16" t="str">
        <f aca="false">IF(A106="","",SUMIFS(Formulas!$K$2:$K$1501,Formulas!$B$2:$B$1501,A106))</f>
        <v/>
      </c>
      <c r="E106" s="16" t="str">
        <f aca="false">IF(A106="","",COUNTIF(Formulas!$B$2:$B$1501,A106))</f>
        <v/>
      </c>
      <c r="F106" s="17" t="str">
        <f aca="false">IF(A106="","",IF(COUNTA(Products!$A$2:$A$61)=0,0,D106/COUNTA(Products!$A$2:$A$61)))</f>
        <v/>
      </c>
      <c r="G106" s="16" t="str">
        <f aca="false">IF(A106="","",IF(D106=0,"Not used",IF(D106=1,"Unique to 1 product",IF(D106=COUNTA(Products!$A$2:$A$61),"In all products","Shared"))))</f>
        <v/>
      </c>
    </row>
    <row r="107" customFormat="false" ht="15" hidden="false" customHeight="false" outlineLevel="0" collapsed="false">
      <c r="A107" s="15"/>
      <c r="B107" s="15"/>
      <c r="C107" s="15"/>
      <c r="D107" s="16" t="str">
        <f aca="false">IF(A107="","",SUMIFS(Formulas!$K$2:$K$1501,Formulas!$B$2:$B$1501,A107))</f>
        <v/>
      </c>
      <c r="E107" s="16" t="str">
        <f aca="false">IF(A107="","",COUNTIF(Formulas!$B$2:$B$1501,A107))</f>
        <v/>
      </c>
      <c r="F107" s="17" t="str">
        <f aca="false">IF(A107="","",IF(COUNTA(Products!$A$2:$A$61)=0,0,D107/COUNTA(Products!$A$2:$A$61)))</f>
        <v/>
      </c>
      <c r="G107" s="16" t="str">
        <f aca="false">IF(A107="","",IF(D107=0,"Not used",IF(D107=1,"Unique to 1 product",IF(D107=COUNTA(Products!$A$2:$A$61),"In all products","Shared"))))</f>
        <v/>
      </c>
    </row>
    <row r="108" customFormat="false" ht="15" hidden="false" customHeight="false" outlineLevel="0" collapsed="false">
      <c r="A108" s="15"/>
      <c r="B108" s="15"/>
      <c r="C108" s="15"/>
      <c r="D108" s="16" t="str">
        <f aca="false">IF(A108="","",SUMIFS(Formulas!$K$2:$K$1501,Formulas!$B$2:$B$1501,A108))</f>
        <v/>
      </c>
      <c r="E108" s="16" t="str">
        <f aca="false">IF(A108="","",COUNTIF(Formulas!$B$2:$B$1501,A108))</f>
        <v/>
      </c>
      <c r="F108" s="17" t="str">
        <f aca="false">IF(A108="","",IF(COUNTA(Products!$A$2:$A$61)=0,0,D108/COUNTA(Products!$A$2:$A$61)))</f>
        <v/>
      </c>
      <c r="G108" s="16" t="str">
        <f aca="false">IF(A108="","",IF(D108=0,"Not used",IF(D108=1,"Unique to 1 product",IF(D108=COUNTA(Products!$A$2:$A$61),"In all products","Shared"))))</f>
        <v/>
      </c>
    </row>
    <row r="109" customFormat="false" ht="15" hidden="false" customHeight="false" outlineLevel="0" collapsed="false">
      <c r="A109" s="15"/>
      <c r="B109" s="15"/>
      <c r="C109" s="15"/>
      <c r="D109" s="16" t="str">
        <f aca="false">IF(A109="","",SUMIFS(Formulas!$K$2:$K$1501,Formulas!$B$2:$B$1501,A109))</f>
        <v/>
      </c>
      <c r="E109" s="16" t="str">
        <f aca="false">IF(A109="","",COUNTIF(Formulas!$B$2:$B$1501,A109))</f>
        <v/>
      </c>
      <c r="F109" s="17" t="str">
        <f aca="false">IF(A109="","",IF(COUNTA(Products!$A$2:$A$61)=0,0,D109/COUNTA(Products!$A$2:$A$61)))</f>
        <v/>
      </c>
      <c r="G109" s="16" t="str">
        <f aca="false">IF(A109="","",IF(D109=0,"Not used",IF(D109=1,"Unique to 1 product",IF(D109=COUNTA(Products!$A$2:$A$61),"In all products","Shared"))))</f>
        <v/>
      </c>
    </row>
    <row r="110" customFormat="false" ht="15" hidden="false" customHeight="false" outlineLevel="0" collapsed="false">
      <c r="A110" s="15"/>
      <c r="B110" s="15"/>
      <c r="C110" s="15"/>
      <c r="D110" s="16" t="str">
        <f aca="false">IF(A110="","",SUMIFS(Formulas!$K$2:$K$1501,Formulas!$B$2:$B$1501,A110))</f>
        <v/>
      </c>
      <c r="E110" s="16" t="str">
        <f aca="false">IF(A110="","",COUNTIF(Formulas!$B$2:$B$1501,A110))</f>
        <v/>
      </c>
      <c r="F110" s="17" t="str">
        <f aca="false">IF(A110="","",IF(COUNTA(Products!$A$2:$A$61)=0,0,D110/COUNTA(Products!$A$2:$A$61)))</f>
        <v/>
      </c>
      <c r="G110" s="16" t="str">
        <f aca="false">IF(A110="","",IF(D110=0,"Not used",IF(D110=1,"Unique to 1 product",IF(D110=COUNTA(Products!$A$2:$A$61),"In all products","Shared"))))</f>
        <v/>
      </c>
    </row>
    <row r="111" customFormat="false" ht="15" hidden="false" customHeight="false" outlineLevel="0" collapsed="false">
      <c r="A111" s="15"/>
      <c r="B111" s="15"/>
      <c r="C111" s="15"/>
      <c r="D111" s="16" t="str">
        <f aca="false">IF(A111="","",SUMIFS(Formulas!$K$2:$K$1501,Formulas!$B$2:$B$1501,A111))</f>
        <v/>
      </c>
      <c r="E111" s="16" t="str">
        <f aca="false">IF(A111="","",COUNTIF(Formulas!$B$2:$B$1501,A111))</f>
        <v/>
      </c>
      <c r="F111" s="17" t="str">
        <f aca="false">IF(A111="","",IF(COUNTA(Products!$A$2:$A$61)=0,0,D111/COUNTA(Products!$A$2:$A$61)))</f>
        <v/>
      </c>
      <c r="G111" s="16" t="str">
        <f aca="false">IF(A111="","",IF(D111=0,"Not used",IF(D111=1,"Unique to 1 product",IF(D111=COUNTA(Products!$A$2:$A$61),"In all products","Shared"))))</f>
        <v/>
      </c>
    </row>
    <row r="112" customFormat="false" ht="15" hidden="false" customHeight="false" outlineLevel="0" collapsed="false">
      <c r="A112" s="15"/>
      <c r="B112" s="15"/>
      <c r="C112" s="15"/>
      <c r="D112" s="16" t="str">
        <f aca="false">IF(A112="","",SUMIFS(Formulas!$K$2:$K$1501,Formulas!$B$2:$B$1501,A112))</f>
        <v/>
      </c>
      <c r="E112" s="16" t="str">
        <f aca="false">IF(A112="","",COUNTIF(Formulas!$B$2:$B$1501,A112))</f>
        <v/>
      </c>
      <c r="F112" s="17" t="str">
        <f aca="false">IF(A112="","",IF(COUNTA(Products!$A$2:$A$61)=0,0,D112/COUNTA(Products!$A$2:$A$61)))</f>
        <v/>
      </c>
      <c r="G112" s="16" t="str">
        <f aca="false">IF(A112="","",IF(D112=0,"Not used",IF(D112=1,"Unique to 1 product",IF(D112=COUNTA(Products!$A$2:$A$61),"In all products","Shared"))))</f>
        <v/>
      </c>
    </row>
    <row r="113" customFormat="false" ht="15" hidden="false" customHeight="false" outlineLevel="0" collapsed="false">
      <c r="A113" s="15"/>
      <c r="B113" s="15"/>
      <c r="C113" s="15"/>
      <c r="D113" s="16" t="str">
        <f aca="false">IF(A113="","",SUMIFS(Formulas!$K$2:$K$1501,Formulas!$B$2:$B$1501,A113))</f>
        <v/>
      </c>
      <c r="E113" s="16" t="str">
        <f aca="false">IF(A113="","",COUNTIF(Formulas!$B$2:$B$1501,A113))</f>
        <v/>
      </c>
      <c r="F113" s="17" t="str">
        <f aca="false">IF(A113="","",IF(COUNTA(Products!$A$2:$A$61)=0,0,D113/COUNTA(Products!$A$2:$A$61)))</f>
        <v/>
      </c>
      <c r="G113" s="16" t="str">
        <f aca="false">IF(A113="","",IF(D113=0,"Not used",IF(D113=1,"Unique to 1 product",IF(D113=COUNTA(Products!$A$2:$A$61),"In all products","Shared"))))</f>
        <v/>
      </c>
    </row>
    <row r="114" customFormat="false" ht="15" hidden="false" customHeight="false" outlineLevel="0" collapsed="false">
      <c r="A114" s="15"/>
      <c r="B114" s="15"/>
      <c r="C114" s="15"/>
      <c r="D114" s="16" t="str">
        <f aca="false">IF(A114="","",SUMIFS(Formulas!$K$2:$K$1501,Formulas!$B$2:$B$1501,A114))</f>
        <v/>
      </c>
      <c r="E114" s="16" t="str">
        <f aca="false">IF(A114="","",COUNTIF(Formulas!$B$2:$B$1501,A114))</f>
        <v/>
      </c>
      <c r="F114" s="17" t="str">
        <f aca="false">IF(A114="","",IF(COUNTA(Products!$A$2:$A$61)=0,0,D114/COUNTA(Products!$A$2:$A$61)))</f>
        <v/>
      </c>
      <c r="G114" s="16" t="str">
        <f aca="false">IF(A114="","",IF(D114=0,"Not used",IF(D114=1,"Unique to 1 product",IF(D114=COUNTA(Products!$A$2:$A$61),"In all products","Shared"))))</f>
        <v/>
      </c>
    </row>
    <row r="115" customFormat="false" ht="15" hidden="false" customHeight="false" outlineLevel="0" collapsed="false">
      <c r="A115" s="15"/>
      <c r="B115" s="15"/>
      <c r="C115" s="15"/>
      <c r="D115" s="16" t="str">
        <f aca="false">IF(A115="","",SUMIFS(Formulas!$K$2:$K$1501,Formulas!$B$2:$B$1501,A115))</f>
        <v/>
      </c>
      <c r="E115" s="16" t="str">
        <f aca="false">IF(A115="","",COUNTIF(Formulas!$B$2:$B$1501,A115))</f>
        <v/>
      </c>
      <c r="F115" s="17" t="str">
        <f aca="false">IF(A115="","",IF(COUNTA(Products!$A$2:$A$61)=0,0,D115/COUNTA(Products!$A$2:$A$61)))</f>
        <v/>
      </c>
      <c r="G115" s="16" t="str">
        <f aca="false">IF(A115="","",IF(D115=0,"Not used",IF(D115=1,"Unique to 1 product",IF(D115=COUNTA(Products!$A$2:$A$61),"In all products","Shared"))))</f>
        <v/>
      </c>
    </row>
    <row r="116" customFormat="false" ht="15" hidden="false" customHeight="false" outlineLevel="0" collapsed="false">
      <c r="A116" s="15"/>
      <c r="B116" s="15"/>
      <c r="C116" s="15"/>
      <c r="D116" s="16" t="str">
        <f aca="false">IF(A116="","",SUMIFS(Formulas!$K$2:$K$1501,Formulas!$B$2:$B$1501,A116))</f>
        <v/>
      </c>
      <c r="E116" s="16" t="str">
        <f aca="false">IF(A116="","",COUNTIF(Formulas!$B$2:$B$1501,A116))</f>
        <v/>
      </c>
      <c r="F116" s="17" t="str">
        <f aca="false">IF(A116="","",IF(COUNTA(Products!$A$2:$A$61)=0,0,D116/COUNTA(Products!$A$2:$A$61)))</f>
        <v/>
      </c>
      <c r="G116" s="16" t="str">
        <f aca="false">IF(A116="","",IF(D116=0,"Not used",IF(D116=1,"Unique to 1 product",IF(D116=COUNTA(Products!$A$2:$A$61),"In all products","Shared"))))</f>
        <v/>
      </c>
    </row>
    <row r="117" customFormat="false" ht="15" hidden="false" customHeight="false" outlineLevel="0" collapsed="false">
      <c r="A117" s="15"/>
      <c r="B117" s="15"/>
      <c r="C117" s="15"/>
      <c r="D117" s="16" t="str">
        <f aca="false">IF(A117="","",SUMIFS(Formulas!$K$2:$K$1501,Formulas!$B$2:$B$1501,A117))</f>
        <v/>
      </c>
      <c r="E117" s="16" t="str">
        <f aca="false">IF(A117="","",COUNTIF(Formulas!$B$2:$B$1501,A117))</f>
        <v/>
      </c>
      <c r="F117" s="17" t="str">
        <f aca="false">IF(A117="","",IF(COUNTA(Products!$A$2:$A$61)=0,0,D117/COUNTA(Products!$A$2:$A$61)))</f>
        <v/>
      </c>
      <c r="G117" s="16" t="str">
        <f aca="false">IF(A117="","",IF(D117=0,"Not used",IF(D117=1,"Unique to 1 product",IF(D117=COUNTA(Products!$A$2:$A$61),"In all products","Shared"))))</f>
        <v/>
      </c>
    </row>
    <row r="118" customFormat="false" ht="15" hidden="false" customHeight="false" outlineLevel="0" collapsed="false">
      <c r="A118" s="15"/>
      <c r="B118" s="15"/>
      <c r="C118" s="15"/>
      <c r="D118" s="16" t="str">
        <f aca="false">IF(A118="","",SUMIFS(Formulas!$K$2:$K$1501,Formulas!$B$2:$B$1501,A118))</f>
        <v/>
      </c>
      <c r="E118" s="16" t="str">
        <f aca="false">IF(A118="","",COUNTIF(Formulas!$B$2:$B$1501,A118))</f>
        <v/>
      </c>
      <c r="F118" s="17" t="str">
        <f aca="false">IF(A118="","",IF(COUNTA(Products!$A$2:$A$61)=0,0,D118/COUNTA(Products!$A$2:$A$61)))</f>
        <v/>
      </c>
      <c r="G118" s="16" t="str">
        <f aca="false">IF(A118="","",IF(D118=0,"Not used",IF(D118=1,"Unique to 1 product",IF(D118=COUNTA(Products!$A$2:$A$61),"In all products","Shared"))))</f>
        <v/>
      </c>
    </row>
    <row r="119" customFormat="false" ht="15" hidden="false" customHeight="false" outlineLevel="0" collapsed="false">
      <c r="A119" s="15"/>
      <c r="B119" s="15"/>
      <c r="C119" s="15"/>
      <c r="D119" s="16" t="str">
        <f aca="false">IF(A119="","",SUMIFS(Formulas!$K$2:$K$1501,Formulas!$B$2:$B$1501,A119))</f>
        <v/>
      </c>
      <c r="E119" s="16" t="str">
        <f aca="false">IF(A119="","",COUNTIF(Formulas!$B$2:$B$1501,A119))</f>
        <v/>
      </c>
      <c r="F119" s="17" t="str">
        <f aca="false">IF(A119="","",IF(COUNTA(Products!$A$2:$A$61)=0,0,D119/COUNTA(Products!$A$2:$A$61)))</f>
        <v/>
      </c>
      <c r="G119" s="16" t="str">
        <f aca="false">IF(A119="","",IF(D119=0,"Not used",IF(D119=1,"Unique to 1 product",IF(D119=COUNTA(Products!$A$2:$A$61),"In all products","Shared"))))</f>
        <v/>
      </c>
    </row>
    <row r="120" customFormat="false" ht="15" hidden="false" customHeight="false" outlineLevel="0" collapsed="false">
      <c r="A120" s="15"/>
      <c r="B120" s="15"/>
      <c r="C120" s="15"/>
      <c r="D120" s="16" t="str">
        <f aca="false">IF(A120="","",SUMIFS(Formulas!$K$2:$K$1501,Formulas!$B$2:$B$1501,A120))</f>
        <v/>
      </c>
      <c r="E120" s="16" t="str">
        <f aca="false">IF(A120="","",COUNTIF(Formulas!$B$2:$B$1501,A120))</f>
        <v/>
      </c>
      <c r="F120" s="17" t="str">
        <f aca="false">IF(A120="","",IF(COUNTA(Products!$A$2:$A$61)=0,0,D120/COUNTA(Products!$A$2:$A$61)))</f>
        <v/>
      </c>
      <c r="G120" s="16" t="str">
        <f aca="false">IF(A120="","",IF(D120=0,"Not used",IF(D120=1,"Unique to 1 product",IF(D120=COUNTA(Products!$A$2:$A$61),"In all products","Shared"))))</f>
        <v/>
      </c>
    </row>
    <row r="121" customFormat="false" ht="15" hidden="false" customHeight="false" outlineLevel="0" collapsed="false">
      <c r="A121" s="15"/>
      <c r="B121" s="15"/>
      <c r="C121" s="15"/>
      <c r="D121" s="16" t="str">
        <f aca="false">IF(A121="","",SUMIFS(Formulas!$K$2:$K$1501,Formulas!$B$2:$B$1501,A121))</f>
        <v/>
      </c>
      <c r="E121" s="16" t="str">
        <f aca="false">IF(A121="","",COUNTIF(Formulas!$B$2:$B$1501,A121))</f>
        <v/>
      </c>
      <c r="F121" s="17" t="str">
        <f aca="false">IF(A121="","",IF(COUNTA(Products!$A$2:$A$61)=0,0,D121/COUNTA(Products!$A$2:$A$61)))</f>
        <v/>
      </c>
      <c r="G121" s="16" t="str">
        <f aca="false">IF(A121="","",IF(D121=0,"Not used",IF(D121=1,"Unique to 1 product",IF(D121=COUNTA(Products!$A$2:$A$61),"In all products","Shared"))))</f>
        <v/>
      </c>
    </row>
    <row r="122" customFormat="false" ht="15" hidden="false" customHeight="false" outlineLevel="0" collapsed="false">
      <c r="A122" s="15"/>
      <c r="B122" s="15"/>
      <c r="C122" s="15"/>
      <c r="D122" s="16" t="str">
        <f aca="false">IF(A122="","",SUMIFS(Formulas!$K$2:$K$1501,Formulas!$B$2:$B$1501,A122))</f>
        <v/>
      </c>
      <c r="E122" s="16" t="str">
        <f aca="false">IF(A122="","",COUNTIF(Formulas!$B$2:$B$1501,A122))</f>
        <v/>
      </c>
      <c r="F122" s="17" t="str">
        <f aca="false">IF(A122="","",IF(COUNTA(Products!$A$2:$A$61)=0,0,D122/COUNTA(Products!$A$2:$A$61)))</f>
        <v/>
      </c>
      <c r="G122" s="16" t="str">
        <f aca="false">IF(A122="","",IF(D122=0,"Not used",IF(D122=1,"Unique to 1 product",IF(D122=COUNTA(Products!$A$2:$A$61),"In all products","Shared"))))</f>
        <v/>
      </c>
    </row>
    <row r="123" customFormat="false" ht="15" hidden="false" customHeight="false" outlineLevel="0" collapsed="false">
      <c r="A123" s="15"/>
      <c r="B123" s="15"/>
      <c r="C123" s="15"/>
      <c r="D123" s="16" t="str">
        <f aca="false">IF(A123="","",SUMIFS(Formulas!$K$2:$K$1501,Formulas!$B$2:$B$1501,A123))</f>
        <v/>
      </c>
      <c r="E123" s="16" t="str">
        <f aca="false">IF(A123="","",COUNTIF(Formulas!$B$2:$B$1501,A123))</f>
        <v/>
      </c>
      <c r="F123" s="17" t="str">
        <f aca="false">IF(A123="","",IF(COUNTA(Products!$A$2:$A$61)=0,0,D123/COUNTA(Products!$A$2:$A$61)))</f>
        <v/>
      </c>
      <c r="G123" s="16" t="str">
        <f aca="false">IF(A123="","",IF(D123=0,"Not used",IF(D123=1,"Unique to 1 product",IF(D123=COUNTA(Products!$A$2:$A$61),"In all products","Shared"))))</f>
        <v/>
      </c>
    </row>
    <row r="124" customFormat="false" ht="15" hidden="false" customHeight="false" outlineLevel="0" collapsed="false">
      <c r="A124" s="15"/>
      <c r="B124" s="15"/>
      <c r="C124" s="15"/>
      <c r="D124" s="16" t="str">
        <f aca="false">IF(A124="","",SUMIFS(Formulas!$K$2:$K$1501,Formulas!$B$2:$B$1501,A124))</f>
        <v/>
      </c>
      <c r="E124" s="16" t="str">
        <f aca="false">IF(A124="","",COUNTIF(Formulas!$B$2:$B$1501,A124))</f>
        <v/>
      </c>
      <c r="F124" s="17" t="str">
        <f aca="false">IF(A124="","",IF(COUNTA(Products!$A$2:$A$61)=0,0,D124/COUNTA(Products!$A$2:$A$61)))</f>
        <v/>
      </c>
      <c r="G124" s="16" t="str">
        <f aca="false">IF(A124="","",IF(D124=0,"Not used",IF(D124=1,"Unique to 1 product",IF(D124=COUNTA(Products!$A$2:$A$61),"In all products","Shared"))))</f>
        <v/>
      </c>
    </row>
    <row r="125" customFormat="false" ht="15" hidden="false" customHeight="false" outlineLevel="0" collapsed="false">
      <c r="A125" s="15"/>
      <c r="B125" s="15"/>
      <c r="C125" s="15"/>
      <c r="D125" s="16" t="str">
        <f aca="false">IF(A125="","",SUMIFS(Formulas!$K$2:$K$1501,Formulas!$B$2:$B$1501,A125))</f>
        <v/>
      </c>
      <c r="E125" s="16" t="str">
        <f aca="false">IF(A125="","",COUNTIF(Formulas!$B$2:$B$1501,A125))</f>
        <v/>
      </c>
      <c r="F125" s="17" t="str">
        <f aca="false">IF(A125="","",IF(COUNTA(Products!$A$2:$A$61)=0,0,D125/COUNTA(Products!$A$2:$A$61)))</f>
        <v/>
      </c>
      <c r="G125" s="16" t="str">
        <f aca="false">IF(A125="","",IF(D125=0,"Not used",IF(D125=1,"Unique to 1 product",IF(D125=COUNTA(Products!$A$2:$A$61),"In all products","Shared"))))</f>
        <v/>
      </c>
    </row>
    <row r="126" customFormat="false" ht="15" hidden="false" customHeight="false" outlineLevel="0" collapsed="false">
      <c r="A126" s="15"/>
      <c r="B126" s="15"/>
      <c r="C126" s="15"/>
      <c r="D126" s="16" t="str">
        <f aca="false">IF(A126="","",SUMIFS(Formulas!$K$2:$K$1501,Formulas!$B$2:$B$1501,A126))</f>
        <v/>
      </c>
      <c r="E126" s="16" t="str">
        <f aca="false">IF(A126="","",COUNTIF(Formulas!$B$2:$B$1501,A126))</f>
        <v/>
      </c>
      <c r="F126" s="17" t="str">
        <f aca="false">IF(A126="","",IF(COUNTA(Products!$A$2:$A$61)=0,0,D126/COUNTA(Products!$A$2:$A$61)))</f>
        <v/>
      </c>
      <c r="G126" s="16" t="str">
        <f aca="false">IF(A126="","",IF(D126=0,"Not used",IF(D126=1,"Unique to 1 product",IF(D126=COUNTA(Products!$A$2:$A$61),"In all products","Shared"))))</f>
        <v/>
      </c>
    </row>
    <row r="127" customFormat="false" ht="15" hidden="false" customHeight="false" outlineLevel="0" collapsed="false">
      <c r="A127" s="15"/>
      <c r="B127" s="15"/>
      <c r="C127" s="15"/>
      <c r="D127" s="16" t="str">
        <f aca="false">IF(A127="","",SUMIFS(Formulas!$K$2:$K$1501,Formulas!$B$2:$B$1501,A127))</f>
        <v/>
      </c>
      <c r="E127" s="16" t="str">
        <f aca="false">IF(A127="","",COUNTIF(Formulas!$B$2:$B$1501,A127))</f>
        <v/>
      </c>
      <c r="F127" s="17" t="str">
        <f aca="false">IF(A127="","",IF(COUNTA(Products!$A$2:$A$61)=0,0,D127/COUNTA(Products!$A$2:$A$61)))</f>
        <v/>
      </c>
      <c r="G127" s="16" t="str">
        <f aca="false">IF(A127="","",IF(D127=0,"Not used",IF(D127=1,"Unique to 1 product",IF(D127=COUNTA(Products!$A$2:$A$61),"In all products","Shared"))))</f>
        <v/>
      </c>
    </row>
    <row r="128" customFormat="false" ht="15" hidden="false" customHeight="false" outlineLevel="0" collapsed="false">
      <c r="A128" s="15"/>
      <c r="B128" s="15"/>
      <c r="C128" s="15"/>
      <c r="D128" s="16" t="str">
        <f aca="false">IF(A128="","",SUMIFS(Formulas!$K$2:$K$1501,Formulas!$B$2:$B$1501,A128))</f>
        <v/>
      </c>
      <c r="E128" s="16" t="str">
        <f aca="false">IF(A128="","",COUNTIF(Formulas!$B$2:$B$1501,A128))</f>
        <v/>
      </c>
      <c r="F128" s="17" t="str">
        <f aca="false">IF(A128="","",IF(COUNTA(Products!$A$2:$A$61)=0,0,D128/COUNTA(Products!$A$2:$A$61)))</f>
        <v/>
      </c>
      <c r="G128" s="16" t="str">
        <f aca="false">IF(A128="","",IF(D128=0,"Not used",IF(D128=1,"Unique to 1 product",IF(D128=COUNTA(Products!$A$2:$A$61),"In all products","Shared"))))</f>
        <v/>
      </c>
    </row>
    <row r="129" customFormat="false" ht="15" hidden="false" customHeight="false" outlineLevel="0" collapsed="false">
      <c r="A129" s="15"/>
      <c r="B129" s="15"/>
      <c r="C129" s="15"/>
      <c r="D129" s="16" t="str">
        <f aca="false">IF(A129="","",SUMIFS(Formulas!$K$2:$K$1501,Formulas!$B$2:$B$1501,A129))</f>
        <v/>
      </c>
      <c r="E129" s="16" t="str">
        <f aca="false">IF(A129="","",COUNTIF(Formulas!$B$2:$B$1501,A129))</f>
        <v/>
      </c>
      <c r="F129" s="17" t="str">
        <f aca="false">IF(A129="","",IF(COUNTA(Products!$A$2:$A$61)=0,0,D129/COUNTA(Products!$A$2:$A$61)))</f>
        <v/>
      </c>
      <c r="G129" s="16" t="str">
        <f aca="false">IF(A129="","",IF(D129=0,"Not used",IF(D129=1,"Unique to 1 product",IF(D129=COUNTA(Products!$A$2:$A$61),"In all products","Shared"))))</f>
        <v/>
      </c>
    </row>
    <row r="130" customFormat="false" ht="15" hidden="false" customHeight="false" outlineLevel="0" collapsed="false">
      <c r="A130" s="15"/>
      <c r="B130" s="15"/>
      <c r="C130" s="15"/>
      <c r="D130" s="16" t="str">
        <f aca="false">IF(A130="","",SUMIFS(Formulas!$K$2:$K$1501,Formulas!$B$2:$B$1501,A130))</f>
        <v/>
      </c>
      <c r="E130" s="16" t="str">
        <f aca="false">IF(A130="","",COUNTIF(Formulas!$B$2:$B$1501,A130))</f>
        <v/>
      </c>
      <c r="F130" s="17" t="str">
        <f aca="false">IF(A130="","",IF(COUNTA(Products!$A$2:$A$61)=0,0,D130/COUNTA(Products!$A$2:$A$61)))</f>
        <v/>
      </c>
      <c r="G130" s="16" t="str">
        <f aca="false">IF(A130="","",IF(D130=0,"Not used",IF(D130=1,"Unique to 1 product",IF(D130=COUNTA(Products!$A$2:$A$61),"In all products","Shared"))))</f>
        <v/>
      </c>
    </row>
    <row r="131" customFormat="false" ht="15" hidden="false" customHeight="false" outlineLevel="0" collapsed="false">
      <c r="A131" s="15"/>
      <c r="B131" s="15"/>
      <c r="C131" s="15"/>
      <c r="D131" s="16" t="str">
        <f aca="false">IF(A131="","",SUMIFS(Formulas!$K$2:$K$1501,Formulas!$B$2:$B$1501,A131))</f>
        <v/>
      </c>
      <c r="E131" s="16" t="str">
        <f aca="false">IF(A131="","",COUNTIF(Formulas!$B$2:$B$1501,A131))</f>
        <v/>
      </c>
      <c r="F131" s="17" t="str">
        <f aca="false">IF(A131="","",IF(COUNTA(Products!$A$2:$A$61)=0,0,D131/COUNTA(Products!$A$2:$A$61)))</f>
        <v/>
      </c>
      <c r="G131" s="16" t="str">
        <f aca="false">IF(A131="","",IF(D131=0,"Not used",IF(D131=1,"Unique to 1 product",IF(D131=COUNTA(Products!$A$2:$A$61),"In all products","Shared"))))</f>
        <v/>
      </c>
    </row>
    <row r="132" customFormat="false" ht="15" hidden="false" customHeight="false" outlineLevel="0" collapsed="false">
      <c r="A132" s="15"/>
      <c r="B132" s="15"/>
      <c r="C132" s="15"/>
      <c r="D132" s="16" t="str">
        <f aca="false">IF(A132="","",SUMIFS(Formulas!$K$2:$K$1501,Formulas!$B$2:$B$1501,A132))</f>
        <v/>
      </c>
      <c r="E132" s="16" t="str">
        <f aca="false">IF(A132="","",COUNTIF(Formulas!$B$2:$B$1501,A132))</f>
        <v/>
      </c>
      <c r="F132" s="17" t="str">
        <f aca="false">IF(A132="","",IF(COUNTA(Products!$A$2:$A$61)=0,0,D132/COUNTA(Products!$A$2:$A$61)))</f>
        <v/>
      </c>
      <c r="G132" s="16" t="str">
        <f aca="false">IF(A132="","",IF(D132=0,"Not used",IF(D132=1,"Unique to 1 product",IF(D132=COUNTA(Products!$A$2:$A$61),"In all products","Shared"))))</f>
        <v/>
      </c>
    </row>
    <row r="133" customFormat="false" ht="15" hidden="false" customHeight="false" outlineLevel="0" collapsed="false">
      <c r="A133" s="15"/>
      <c r="B133" s="15"/>
      <c r="C133" s="15"/>
      <c r="D133" s="16" t="str">
        <f aca="false">IF(A133="","",SUMIFS(Formulas!$K$2:$K$1501,Formulas!$B$2:$B$1501,A133))</f>
        <v/>
      </c>
      <c r="E133" s="16" t="str">
        <f aca="false">IF(A133="","",COUNTIF(Formulas!$B$2:$B$1501,A133))</f>
        <v/>
      </c>
      <c r="F133" s="17" t="str">
        <f aca="false">IF(A133="","",IF(COUNTA(Products!$A$2:$A$61)=0,0,D133/COUNTA(Products!$A$2:$A$61)))</f>
        <v/>
      </c>
      <c r="G133" s="16" t="str">
        <f aca="false">IF(A133="","",IF(D133=0,"Not used",IF(D133=1,"Unique to 1 product",IF(D133=COUNTA(Products!$A$2:$A$61),"In all products","Shared"))))</f>
        <v/>
      </c>
    </row>
    <row r="134" customFormat="false" ht="15" hidden="false" customHeight="false" outlineLevel="0" collapsed="false">
      <c r="A134" s="15"/>
      <c r="B134" s="15"/>
      <c r="C134" s="15"/>
      <c r="D134" s="16" t="str">
        <f aca="false">IF(A134="","",SUMIFS(Formulas!$K$2:$K$1501,Formulas!$B$2:$B$1501,A134))</f>
        <v/>
      </c>
      <c r="E134" s="16" t="str">
        <f aca="false">IF(A134="","",COUNTIF(Formulas!$B$2:$B$1501,A134))</f>
        <v/>
      </c>
      <c r="F134" s="17" t="str">
        <f aca="false">IF(A134="","",IF(COUNTA(Products!$A$2:$A$61)=0,0,D134/COUNTA(Products!$A$2:$A$61)))</f>
        <v/>
      </c>
      <c r="G134" s="16" t="str">
        <f aca="false">IF(A134="","",IF(D134=0,"Not used",IF(D134=1,"Unique to 1 product",IF(D134=COUNTA(Products!$A$2:$A$61),"In all products","Shared"))))</f>
        <v/>
      </c>
    </row>
    <row r="135" customFormat="false" ht="15" hidden="false" customHeight="false" outlineLevel="0" collapsed="false">
      <c r="A135" s="15"/>
      <c r="B135" s="15"/>
      <c r="C135" s="15"/>
      <c r="D135" s="16" t="str">
        <f aca="false">IF(A135="","",SUMIFS(Formulas!$K$2:$K$1501,Formulas!$B$2:$B$1501,A135))</f>
        <v/>
      </c>
      <c r="E135" s="16" t="str">
        <f aca="false">IF(A135="","",COUNTIF(Formulas!$B$2:$B$1501,A135))</f>
        <v/>
      </c>
      <c r="F135" s="17" t="str">
        <f aca="false">IF(A135="","",IF(COUNTA(Products!$A$2:$A$61)=0,0,D135/COUNTA(Products!$A$2:$A$61)))</f>
        <v/>
      </c>
      <c r="G135" s="16" t="str">
        <f aca="false">IF(A135="","",IF(D135=0,"Not used",IF(D135=1,"Unique to 1 product",IF(D135=COUNTA(Products!$A$2:$A$61),"In all products","Shared"))))</f>
        <v/>
      </c>
    </row>
    <row r="136" customFormat="false" ht="15" hidden="false" customHeight="false" outlineLevel="0" collapsed="false">
      <c r="A136" s="15"/>
      <c r="B136" s="15"/>
      <c r="C136" s="15"/>
      <c r="D136" s="16" t="str">
        <f aca="false">IF(A136="","",SUMIFS(Formulas!$K$2:$K$1501,Formulas!$B$2:$B$1501,A136))</f>
        <v/>
      </c>
      <c r="E136" s="16" t="str">
        <f aca="false">IF(A136="","",COUNTIF(Formulas!$B$2:$B$1501,A136))</f>
        <v/>
      </c>
      <c r="F136" s="17" t="str">
        <f aca="false">IF(A136="","",IF(COUNTA(Products!$A$2:$A$61)=0,0,D136/COUNTA(Products!$A$2:$A$61)))</f>
        <v/>
      </c>
      <c r="G136" s="16" t="str">
        <f aca="false">IF(A136="","",IF(D136=0,"Not used",IF(D136=1,"Unique to 1 product",IF(D136=COUNTA(Products!$A$2:$A$61),"In all products","Shared"))))</f>
        <v/>
      </c>
    </row>
    <row r="137" customFormat="false" ht="15" hidden="false" customHeight="false" outlineLevel="0" collapsed="false">
      <c r="A137" s="15"/>
      <c r="B137" s="15"/>
      <c r="C137" s="15"/>
      <c r="D137" s="16" t="str">
        <f aca="false">IF(A137="","",SUMIFS(Formulas!$K$2:$K$1501,Formulas!$B$2:$B$1501,A137))</f>
        <v/>
      </c>
      <c r="E137" s="16" t="str">
        <f aca="false">IF(A137="","",COUNTIF(Formulas!$B$2:$B$1501,A137))</f>
        <v/>
      </c>
      <c r="F137" s="17" t="str">
        <f aca="false">IF(A137="","",IF(COUNTA(Products!$A$2:$A$61)=0,0,D137/COUNTA(Products!$A$2:$A$61)))</f>
        <v/>
      </c>
      <c r="G137" s="16" t="str">
        <f aca="false">IF(A137="","",IF(D137=0,"Not used",IF(D137=1,"Unique to 1 product",IF(D137=COUNTA(Products!$A$2:$A$61),"In all products","Shared"))))</f>
        <v/>
      </c>
    </row>
    <row r="138" customFormat="false" ht="15" hidden="false" customHeight="false" outlineLevel="0" collapsed="false">
      <c r="A138" s="15"/>
      <c r="B138" s="15"/>
      <c r="C138" s="15"/>
      <c r="D138" s="16" t="str">
        <f aca="false">IF(A138="","",SUMIFS(Formulas!$K$2:$K$1501,Formulas!$B$2:$B$1501,A138))</f>
        <v/>
      </c>
      <c r="E138" s="16" t="str">
        <f aca="false">IF(A138="","",COUNTIF(Formulas!$B$2:$B$1501,A138))</f>
        <v/>
      </c>
      <c r="F138" s="17" t="str">
        <f aca="false">IF(A138="","",IF(COUNTA(Products!$A$2:$A$61)=0,0,D138/COUNTA(Products!$A$2:$A$61)))</f>
        <v/>
      </c>
      <c r="G138" s="16" t="str">
        <f aca="false">IF(A138="","",IF(D138=0,"Not used",IF(D138=1,"Unique to 1 product",IF(D138=COUNTA(Products!$A$2:$A$61),"In all products","Shared"))))</f>
        <v/>
      </c>
    </row>
    <row r="139" customFormat="false" ht="15" hidden="false" customHeight="false" outlineLevel="0" collapsed="false">
      <c r="A139" s="15"/>
      <c r="B139" s="15"/>
      <c r="C139" s="15"/>
      <c r="D139" s="16" t="str">
        <f aca="false">IF(A139="","",SUMIFS(Formulas!$K$2:$K$1501,Formulas!$B$2:$B$1501,A139))</f>
        <v/>
      </c>
      <c r="E139" s="16" t="str">
        <f aca="false">IF(A139="","",COUNTIF(Formulas!$B$2:$B$1501,A139))</f>
        <v/>
      </c>
      <c r="F139" s="17" t="str">
        <f aca="false">IF(A139="","",IF(COUNTA(Products!$A$2:$A$61)=0,0,D139/COUNTA(Products!$A$2:$A$61)))</f>
        <v/>
      </c>
      <c r="G139" s="16" t="str">
        <f aca="false">IF(A139="","",IF(D139=0,"Not used",IF(D139=1,"Unique to 1 product",IF(D139=COUNTA(Products!$A$2:$A$61),"In all products","Shared"))))</f>
        <v/>
      </c>
    </row>
    <row r="140" customFormat="false" ht="15" hidden="false" customHeight="false" outlineLevel="0" collapsed="false">
      <c r="A140" s="15"/>
      <c r="B140" s="15"/>
      <c r="C140" s="15"/>
      <c r="D140" s="16" t="str">
        <f aca="false">IF(A140="","",SUMIFS(Formulas!$K$2:$K$1501,Formulas!$B$2:$B$1501,A140))</f>
        <v/>
      </c>
      <c r="E140" s="16" t="str">
        <f aca="false">IF(A140="","",COUNTIF(Formulas!$B$2:$B$1501,A140))</f>
        <v/>
      </c>
      <c r="F140" s="17" t="str">
        <f aca="false">IF(A140="","",IF(COUNTA(Products!$A$2:$A$61)=0,0,D140/COUNTA(Products!$A$2:$A$61)))</f>
        <v/>
      </c>
      <c r="G140" s="16" t="str">
        <f aca="false">IF(A140="","",IF(D140=0,"Not used",IF(D140=1,"Unique to 1 product",IF(D140=COUNTA(Products!$A$2:$A$61),"In all products","Shared"))))</f>
        <v/>
      </c>
    </row>
    <row r="141" customFormat="false" ht="15" hidden="false" customHeight="false" outlineLevel="0" collapsed="false">
      <c r="A141" s="15"/>
      <c r="B141" s="15"/>
      <c r="C141" s="15"/>
      <c r="D141" s="16" t="str">
        <f aca="false">IF(A141="","",SUMIFS(Formulas!$K$2:$K$1501,Formulas!$B$2:$B$1501,A141))</f>
        <v/>
      </c>
      <c r="E141" s="16" t="str">
        <f aca="false">IF(A141="","",COUNTIF(Formulas!$B$2:$B$1501,A141))</f>
        <v/>
      </c>
      <c r="F141" s="17" t="str">
        <f aca="false">IF(A141="","",IF(COUNTA(Products!$A$2:$A$61)=0,0,D141/COUNTA(Products!$A$2:$A$61)))</f>
        <v/>
      </c>
      <c r="G141" s="16" t="str">
        <f aca="false">IF(A141="","",IF(D141=0,"Not used",IF(D141=1,"Unique to 1 product",IF(D141=COUNTA(Products!$A$2:$A$61),"In all products","Shared"))))</f>
        <v/>
      </c>
    </row>
    <row r="142" customFormat="false" ht="15" hidden="false" customHeight="false" outlineLevel="0" collapsed="false">
      <c r="A142" s="15"/>
      <c r="B142" s="15"/>
      <c r="C142" s="15"/>
      <c r="D142" s="16" t="str">
        <f aca="false">IF(A142="","",SUMIFS(Formulas!$K$2:$K$1501,Formulas!$B$2:$B$1501,A142))</f>
        <v/>
      </c>
      <c r="E142" s="16" t="str">
        <f aca="false">IF(A142="","",COUNTIF(Formulas!$B$2:$B$1501,A142))</f>
        <v/>
      </c>
      <c r="F142" s="17" t="str">
        <f aca="false">IF(A142="","",IF(COUNTA(Products!$A$2:$A$61)=0,0,D142/COUNTA(Products!$A$2:$A$61)))</f>
        <v/>
      </c>
      <c r="G142" s="16" t="str">
        <f aca="false">IF(A142="","",IF(D142=0,"Not used",IF(D142=1,"Unique to 1 product",IF(D142=COUNTA(Products!$A$2:$A$61),"In all products","Shared"))))</f>
        <v/>
      </c>
    </row>
    <row r="143" customFormat="false" ht="15" hidden="false" customHeight="false" outlineLevel="0" collapsed="false">
      <c r="A143" s="15"/>
      <c r="B143" s="15"/>
      <c r="C143" s="15"/>
      <c r="D143" s="16" t="str">
        <f aca="false">IF(A143="","",SUMIFS(Formulas!$K$2:$K$1501,Formulas!$B$2:$B$1501,A143))</f>
        <v/>
      </c>
      <c r="E143" s="16" t="str">
        <f aca="false">IF(A143="","",COUNTIF(Formulas!$B$2:$B$1501,A143))</f>
        <v/>
      </c>
      <c r="F143" s="17" t="str">
        <f aca="false">IF(A143="","",IF(COUNTA(Products!$A$2:$A$61)=0,0,D143/COUNTA(Products!$A$2:$A$61)))</f>
        <v/>
      </c>
      <c r="G143" s="16" t="str">
        <f aca="false">IF(A143="","",IF(D143=0,"Not used",IF(D143=1,"Unique to 1 product",IF(D143=COUNTA(Products!$A$2:$A$61),"In all products","Shared"))))</f>
        <v/>
      </c>
    </row>
    <row r="144" customFormat="false" ht="15" hidden="false" customHeight="false" outlineLevel="0" collapsed="false">
      <c r="A144" s="15"/>
      <c r="B144" s="15"/>
      <c r="C144" s="15"/>
      <c r="D144" s="16" t="str">
        <f aca="false">IF(A144="","",SUMIFS(Formulas!$K$2:$K$1501,Formulas!$B$2:$B$1501,A144))</f>
        <v/>
      </c>
      <c r="E144" s="16" t="str">
        <f aca="false">IF(A144="","",COUNTIF(Formulas!$B$2:$B$1501,A144))</f>
        <v/>
      </c>
      <c r="F144" s="17" t="str">
        <f aca="false">IF(A144="","",IF(COUNTA(Products!$A$2:$A$61)=0,0,D144/COUNTA(Products!$A$2:$A$61)))</f>
        <v/>
      </c>
      <c r="G144" s="16" t="str">
        <f aca="false">IF(A144="","",IF(D144=0,"Not used",IF(D144=1,"Unique to 1 product",IF(D144=COUNTA(Products!$A$2:$A$61),"In all products","Shared"))))</f>
        <v/>
      </c>
    </row>
    <row r="145" customFormat="false" ht="15" hidden="false" customHeight="false" outlineLevel="0" collapsed="false">
      <c r="A145" s="15"/>
      <c r="B145" s="15"/>
      <c r="C145" s="15"/>
      <c r="D145" s="16" t="str">
        <f aca="false">IF(A145="","",SUMIFS(Formulas!$K$2:$K$1501,Formulas!$B$2:$B$1501,A145))</f>
        <v/>
      </c>
      <c r="E145" s="16" t="str">
        <f aca="false">IF(A145="","",COUNTIF(Formulas!$B$2:$B$1501,A145))</f>
        <v/>
      </c>
      <c r="F145" s="17" t="str">
        <f aca="false">IF(A145="","",IF(COUNTA(Products!$A$2:$A$61)=0,0,D145/COUNTA(Products!$A$2:$A$61)))</f>
        <v/>
      </c>
      <c r="G145" s="16" t="str">
        <f aca="false">IF(A145="","",IF(D145=0,"Not used",IF(D145=1,"Unique to 1 product",IF(D145=COUNTA(Products!$A$2:$A$61),"In all products","Shared"))))</f>
        <v/>
      </c>
    </row>
    <row r="146" customFormat="false" ht="15" hidden="false" customHeight="false" outlineLevel="0" collapsed="false">
      <c r="A146" s="15"/>
      <c r="B146" s="15"/>
      <c r="C146" s="15"/>
      <c r="D146" s="16" t="str">
        <f aca="false">IF(A146="","",SUMIFS(Formulas!$K$2:$K$1501,Formulas!$B$2:$B$1501,A146))</f>
        <v/>
      </c>
      <c r="E146" s="16" t="str">
        <f aca="false">IF(A146="","",COUNTIF(Formulas!$B$2:$B$1501,A146))</f>
        <v/>
      </c>
      <c r="F146" s="17" t="str">
        <f aca="false">IF(A146="","",IF(COUNTA(Products!$A$2:$A$61)=0,0,D146/COUNTA(Products!$A$2:$A$61)))</f>
        <v/>
      </c>
      <c r="G146" s="16" t="str">
        <f aca="false">IF(A146="","",IF(D146=0,"Not used",IF(D146=1,"Unique to 1 product",IF(D146=COUNTA(Products!$A$2:$A$61),"In all products","Shared"))))</f>
        <v/>
      </c>
    </row>
    <row r="147" customFormat="false" ht="15" hidden="false" customHeight="false" outlineLevel="0" collapsed="false">
      <c r="A147" s="15"/>
      <c r="B147" s="15"/>
      <c r="C147" s="15"/>
      <c r="D147" s="16" t="str">
        <f aca="false">IF(A147="","",SUMIFS(Formulas!$K$2:$K$1501,Formulas!$B$2:$B$1501,A147))</f>
        <v/>
      </c>
      <c r="E147" s="16" t="str">
        <f aca="false">IF(A147="","",COUNTIF(Formulas!$B$2:$B$1501,A147))</f>
        <v/>
      </c>
      <c r="F147" s="17" t="str">
        <f aca="false">IF(A147="","",IF(COUNTA(Products!$A$2:$A$61)=0,0,D147/COUNTA(Products!$A$2:$A$61)))</f>
        <v/>
      </c>
      <c r="G147" s="16" t="str">
        <f aca="false">IF(A147="","",IF(D147=0,"Not used",IF(D147=1,"Unique to 1 product",IF(D147=COUNTA(Products!$A$2:$A$61),"In all products","Shared"))))</f>
        <v/>
      </c>
    </row>
    <row r="148" customFormat="false" ht="15" hidden="false" customHeight="false" outlineLevel="0" collapsed="false">
      <c r="A148" s="15"/>
      <c r="B148" s="15"/>
      <c r="C148" s="15"/>
      <c r="D148" s="16" t="str">
        <f aca="false">IF(A148="","",SUMIFS(Formulas!$K$2:$K$1501,Formulas!$B$2:$B$1501,A148))</f>
        <v/>
      </c>
      <c r="E148" s="16" t="str">
        <f aca="false">IF(A148="","",COUNTIF(Formulas!$B$2:$B$1501,A148))</f>
        <v/>
      </c>
      <c r="F148" s="17" t="str">
        <f aca="false">IF(A148="","",IF(COUNTA(Products!$A$2:$A$61)=0,0,D148/COUNTA(Products!$A$2:$A$61)))</f>
        <v/>
      </c>
      <c r="G148" s="16" t="str">
        <f aca="false">IF(A148="","",IF(D148=0,"Not used",IF(D148=1,"Unique to 1 product",IF(D148=COUNTA(Products!$A$2:$A$61),"In all products","Shared"))))</f>
        <v/>
      </c>
    </row>
    <row r="149" customFormat="false" ht="15" hidden="false" customHeight="false" outlineLevel="0" collapsed="false">
      <c r="A149" s="15"/>
      <c r="B149" s="15"/>
      <c r="C149" s="15"/>
      <c r="D149" s="16" t="str">
        <f aca="false">IF(A149="","",SUMIFS(Formulas!$K$2:$K$1501,Formulas!$B$2:$B$1501,A149))</f>
        <v/>
      </c>
      <c r="E149" s="16" t="str">
        <f aca="false">IF(A149="","",COUNTIF(Formulas!$B$2:$B$1501,A149))</f>
        <v/>
      </c>
      <c r="F149" s="17" t="str">
        <f aca="false">IF(A149="","",IF(COUNTA(Products!$A$2:$A$61)=0,0,D149/COUNTA(Products!$A$2:$A$61)))</f>
        <v/>
      </c>
      <c r="G149" s="16" t="str">
        <f aca="false">IF(A149="","",IF(D149=0,"Not used",IF(D149=1,"Unique to 1 product",IF(D149=COUNTA(Products!$A$2:$A$61),"In all products","Shared"))))</f>
        <v/>
      </c>
    </row>
    <row r="150" customFormat="false" ht="15" hidden="false" customHeight="false" outlineLevel="0" collapsed="false">
      <c r="A150" s="15"/>
      <c r="B150" s="15"/>
      <c r="C150" s="15"/>
      <c r="D150" s="16" t="str">
        <f aca="false">IF(A150="","",SUMIFS(Formulas!$K$2:$K$1501,Formulas!$B$2:$B$1501,A150))</f>
        <v/>
      </c>
      <c r="E150" s="16" t="str">
        <f aca="false">IF(A150="","",COUNTIF(Formulas!$B$2:$B$1501,A150))</f>
        <v/>
      </c>
      <c r="F150" s="17" t="str">
        <f aca="false">IF(A150="","",IF(COUNTA(Products!$A$2:$A$61)=0,0,D150/COUNTA(Products!$A$2:$A$61)))</f>
        <v/>
      </c>
      <c r="G150" s="16" t="str">
        <f aca="false">IF(A150="","",IF(D150=0,"Not used",IF(D150=1,"Unique to 1 product",IF(D150=COUNTA(Products!$A$2:$A$61),"In all products","Shared"))))</f>
        <v/>
      </c>
    </row>
    <row r="151" customFormat="false" ht="15" hidden="false" customHeight="false" outlineLevel="0" collapsed="false">
      <c r="A151" s="15"/>
      <c r="B151" s="15"/>
      <c r="C151" s="15"/>
      <c r="D151" s="16" t="str">
        <f aca="false">IF(A151="","",SUMIFS(Formulas!$K$2:$K$1501,Formulas!$B$2:$B$1501,A151))</f>
        <v/>
      </c>
      <c r="E151" s="16" t="str">
        <f aca="false">IF(A151="","",COUNTIF(Formulas!$B$2:$B$1501,A151))</f>
        <v/>
      </c>
      <c r="F151" s="17" t="str">
        <f aca="false">IF(A151="","",IF(COUNTA(Products!$A$2:$A$61)=0,0,D151/COUNTA(Products!$A$2:$A$61)))</f>
        <v/>
      </c>
      <c r="G151" s="16" t="str">
        <f aca="false">IF(A151="","",IF(D151=0,"Not used",IF(D151=1,"Unique to 1 product",IF(D151=COUNTA(Products!$A$2:$A$61),"In all products","Shared"))))</f>
        <v/>
      </c>
    </row>
    <row r="152" customFormat="false" ht="15" hidden="false" customHeight="false" outlineLevel="0" collapsed="false">
      <c r="A152" s="15"/>
      <c r="B152" s="15"/>
      <c r="C152" s="15"/>
      <c r="D152" s="16" t="str">
        <f aca="false">IF(A152="","",SUMIFS(Formulas!$K$2:$K$1501,Formulas!$B$2:$B$1501,A152))</f>
        <v/>
      </c>
      <c r="E152" s="16" t="str">
        <f aca="false">IF(A152="","",COUNTIF(Formulas!$B$2:$B$1501,A152))</f>
        <v/>
      </c>
      <c r="F152" s="17" t="str">
        <f aca="false">IF(A152="","",IF(COUNTA(Products!$A$2:$A$61)=0,0,D152/COUNTA(Products!$A$2:$A$61)))</f>
        <v/>
      </c>
      <c r="G152" s="16" t="str">
        <f aca="false">IF(A152="","",IF(D152=0,"Not used",IF(D152=1,"Unique to 1 product",IF(D152=COUNTA(Products!$A$2:$A$61),"In all products","Shared"))))</f>
        <v/>
      </c>
    </row>
    <row r="153" customFormat="false" ht="15" hidden="false" customHeight="false" outlineLevel="0" collapsed="false">
      <c r="A153" s="15"/>
      <c r="B153" s="15"/>
      <c r="C153" s="15"/>
      <c r="D153" s="16" t="str">
        <f aca="false">IF(A153="","",SUMIFS(Formulas!$K$2:$K$1501,Formulas!$B$2:$B$1501,A153))</f>
        <v/>
      </c>
      <c r="E153" s="16" t="str">
        <f aca="false">IF(A153="","",COUNTIF(Formulas!$B$2:$B$1501,A153))</f>
        <v/>
      </c>
      <c r="F153" s="17" t="str">
        <f aca="false">IF(A153="","",IF(COUNTA(Products!$A$2:$A$61)=0,0,D153/COUNTA(Products!$A$2:$A$61)))</f>
        <v/>
      </c>
      <c r="G153" s="16" t="str">
        <f aca="false">IF(A153="","",IF(D153=0,"Not used",IF(D153=1,"Unique to 1 product",IF(D153=COUNTA(Products!$A$2:$A$61),"In all products","Shared"))))</f>
        <v/>
      </c>
    </row>
    <row r="154" customFormat="false" ht="15" hidden="false" customHeight="false" outlineLevel="0" collapsed="false">
      <c r="A154" s="15"/>
      <c r="B154" s="15"/>
      <c r="C154" s="15"/>
      <c r="D154" s="16" t="str">
        <f aca="false">IF(A154="","",SUMIFS(Formulas!$K$2:$K$1501,Formulas!$B$2:$B$1501,A154))</f>
        <v/>
      </c>
      <c r="E154" s="16" t="str">
        <f aca="false">IF(A154="","",COUNTIF(Formulas!$B$2:$B$1501,A154))</f>
        <v/>
      </c>
      <c r="F154" s="17" t="str">
        <f aca="false">IF(A154="","",IF(COUNTA(Products!$A$2:$A$61)=0,0,D154/COUNTA(Products!$A$2:$A$61)))</f>
        <v/>
      </c>
      <c r="G154" s="16" t="str">
        <f aca="false">IF(A154="","",IF(D154=0,"Not used",IF(D154=1,"Unique to 1 product",IF(D154=COUNTA(Products!$A$2:$A$61),"In all products","Shared"))))</f>
        <v/>
      </c>
    </row>
    <row r="155" customFormat="false" ht="15" hidden="false" customHeight="false" outlineLevel="0" collapsed="false">
      <c r="A155" s="15"/>
      <c r="B155" s="15"/>
      <c r="C155" s="15"/>
      <c r="D155" s="16" t="str">
        <f aca="false">IF(A155="","",SUMIFS(Formulas!$K$2:$K$1501,Formulas!$B$2:$B$1501,A155))</f>
        <v/>
      </c>
      <c r="E155" s="16" t="str">
        <f aca="false">IF(A155="","",COUNTIF(Formulas!$B$2:$B$1501,A155))</f>
        <v/>
      </c>
      <c r="F155" s="17" t="str">
        <f aca="false">IF(A155="","",IF(COUNTA(Products!$A$2:$A$61)=0,0,D155/COUNTA(Products!$A$2:$A$61)))</f>
        <v/>
      </c>
      <c r="G155" s="16" t="str">
        <f aca="false">IF(A155="","",IF(D155=0,"Not used",IF(D155=1,"Unique to 1 product",IF(D155=COUNTA(Products!$A$2:$A$61),"In all products","Shared"))))</f>
        <v/>
      </c>
    </row>
    <row r="156" customFormat="false" ht="15" hidden="false" customHeight="false" outlineLevel="0" collapsed="false">
      <c r="A156" s="15"/>
      <c r="B156" s="15"/>
      <c r="C156" s="15"/>
      <c r="D156" s="16" t="str">
        <f aca="false">IF(A156="","",SUMIFS(Formulas!$K$2:$K$1501,Formulas!$B$2:$B$1501,A156))</f>
        <v/>
      </c>
      <c r="E156" s="16" t="str">
        <f aca="false">IF(A156="","",COUNTIF(Formulas!$B$2:$B$1501,A156))</f>
        <v/>
      </c>
      <c r="F156" s="17" t="str">
        <f aca="false">IF(A156="","",IF(COUNTA(Products!$A$2:$A$61)=0,0,D156/COUNTA(Products!$A$2:$A$61)))</f>
        <v/>
      </c>
      <c r="G156" s="16" t="str">
        <f aca="false">IF(A156="","",IF(D156=0,"Not used",IF(D156=1,"Unique to 1 product",IF(D156=COUNTA(Products!$A$2:$A$61),"In all products","Shared"))))</f>
        <v/>
      </c>
    </row>
    <row r="157" customFormat="false" ht="15" hidden="false" customHeight="false" outlineLevel="0" collapsed="false">
      <c r="A157" s="15"/>
      <c r="B157" s="15"/>
      <c r="C157" s="15"/>
      <c r="D157" s="16" t="str">
        <f aca="false">IF(A157="","",SUMIFS(Formulas!$K$2:$K$1501,Formulas!$B$2:$B$1501,A157))</f>
        <v/>
      </c>
      <c r="E157" s="16" t="str">
        <f aca="false">IF(A157="","",COUNTIF(Formulas!$B$2:$B$1501,A157))</f>
        <v/>
      </c>
      <c r="F157" s="17" t="str">
        <f aca="false">IF(A157="","",IF(COUNTA(Products!$A$2:$A$61)=0,0,D157/COUNTA(Products!$A$2:$A$61)))</f>
        <v/>
      </c>
      <c r="G157" s="16" t="str">
        <f aca="false">IF(A157="","",IF(D157=0,"Not used",IF(D157=1,"Unique to 1 product",IF(D157=COUNTA(Products!$A$2:$A$61),"In all products","Shared"))))</f>
        <v/>
      </c>
    </row>
    <row r="158" customFormat="false" ht="15" hidden="false" customHeight="false" outlineLevel="0" collapsed="false">
      <c r="A158" s="15"/>
      <c r="B158" s="15"/>
      <c r="C158" s="15"/>
      <c r="D158" s="16" t="str">
        <f aca="false">IF(A158="","",SUMIFS(Formulas!$K$2:$K$1501,Formulas!$B$2:$B$1501,A158))</f>
        <v/>
      </c>
      <c r="E158" s="16" t="str">
        <f aca="false">IF(A158="","",COUNTIF(Formulas!$B$2:$B$1501,A158))</f>
        <v/>
      </c>
      <c r="F158" s="17" t="str">
        <f aca="false">IF(A158="","",IF(COUNTA(Products!$A$2:$A$61)=0,0,D158/COUNTA(Products!$A$2:$A$61)))</f>
        <v/>
      </c>
      <c r="G158" s="16" t="str">
        <f aca="false">IF(A158="","",IF(D158=0,"Not used",IF(D158=1,"Unique to 1 product",IF(D158=COUNTA(Products!$A$2:$A$61),"In all products","Shared"))))</f>
        <v/>
      </c>
    </row>
    <row r="159" customFormat="false" ht="15" hidden="false" customHeight="false" outlineLevel="0" collapsed="false">
      <c r="A159" s="15"/>
      <c r="B159" s="15"/>
      <c r="C159" s="15"/>
      <c r="D159" s="16" t="str">
        <f aca="false">IF(A159="","",SUMIFS(Formulas!$K$2:$K$1501,Formulas!$B$2:$B$1501,A159))</f>
        <v/>
      </c>
      <c r="E159" s="16" t="str">
        <f aca="false">IF(A159="","",COUNTIF(Formulas!$B$2:$B$1501,A159))</f>
        <v/>
      </c>
      <c r="F159" s="17" t="str">
        <f aca="false">IF(A159="","",IF(COUNTA(Products!$A$2:$A$61)=0,0,D159/COUNTA(Products!$A$2:$A$61)))</f>
        <v/>
      </c>
      <c r="G159" s="16" t="str">
        <f aca="false">IF(A159="","",IF(D159=0,"Not used",IF(D159=1,"Unique to 1 product",IF(D159=COUNTA(Products!$A$2:$A$61),"In all products","Shared"))))</f>
        <v/>
      </c>
    </row>
    <row r="160" customFormat="false" ht="15" hidden="false" customHeight="false" outlineLevel="0" collapsed="false">
      <c r="A160" s="15"/>
      <c r="B160" s="15"/>
      <c r="C160" s="15"/>
      <c r="D160" s="16" t="str">
        <f aca="false">IF(A160="","",SUMIFS(Formulas!$K$2:$K$1501,Formulas!$B$2:$B$1501,A160))</f>
        <v/>
      </c>
      <c r="E160" s="16" t="str">
        <f aca="false">IF(A160="","",COUNTIF(Formulas!$B$2:$B$1501,A160))</f>
        <v/>
      </c>
      <c r="F160" s="17" t="str">
        <f aca="false">IF(A160="","",IF(COUNTA(Products!$A$2:$A$61)=0,0,D160/COUNTA(Products!$A$2:$A$61)))</f>
        <v/>
      </c>
      <c r="G160" s="16" t="str">
        <f aca="false">IF(A160="","",IF(D160=0,"Not used",IF(D160=1,"Unique to 1 product",IF(D160=COUNTA(Products!$A$2:$A$61),"In all products","Shared"))))</f>
        <v/>
      </c>
    </row>
    <row r="161" customFormat="false" ht="15" hidden="false" customHeight="false" outlineLevel="0" collapsed="false">
      <c r="A161" s="15"/>
      <c r="B161" s="15"/>
      <c r="C161" s="15"/>
      <c r="D161" s="16" t="str">
        <f aca="false">IF(A161="","",SUMIFS(Formulas!$K$2:$K$1501,Formulas!$B$2:$B$1501,A161))</f>
        <v/>
      </c>
      <c r="E161" s="16" t="str">
        <f aca="false">IF(A161="","",COUNTIF(Formulas!$B$2:$B$1501,A161))</f>
        <v/>
      </c>
      <c r="F161" s="17" t="str">
        <f aca="false">IF(A161="","",IF(COUNTA(Products!$A$2:$A$61)=0,0,D161/COUNTA(Products!$A$2:$A$61)))</f>
        <v/>
      </c>
      <c r="G161" s="16" t="str">
        <f aca="false">IF(A161="","",IF(D161=0,"Not used",IF(D161=1,"Unique to 1 product",IF(D161=COUNTA(Products!$A$2:$A$61),"In all products","Shared"))))</f>
        <v/>
      </c>
    </row>
    <row r="162" customFormat="false" ht="15" hidden="false" customHeight="false" outlineLevel="0" collapsed="false">
      <c r="A162" s="15"/>
      <c r="B162" s="15"/>
      <c r="C162" s="15"/>
      <c r="D162" s="16" t="str">
        <f aca="false">IF(A162="","",SUMIFS(Formulas!$K$2:$K$1501,Formulas!$B$2:$B$1501,A162))</f>
        <v/>
      </c>
      <c r="E162" s="16" t="str">
        <f aca="false">IF(A162="","",COUNTIF(Formulas!$B$2:$B$1501,A162))</f>
        <v/>
      </c>
      <c r="F162" s="17" t="str">
        <f aca="false">IF(A162="","",IF(COUNTA(Products!$A$2:$A$61)=0,0,D162/COUNTA(Products!$A$2:$A$61)))</f>
        <v/>
      </c>
      <c r="G162" s="16" t="str">
        <f aca="false">IF(A162="","",IF(D162=0,"Not used",IF(D162=1,"Unique to 1 product",IF(D162=COUNTA(Products!$A$2:$A$61),"In all products","Shared"))))</f>
        <v/>
      </c>
    </row>
    <row r="163" customFormat="false" ht="15" hidden="false" customHeight="false" outlineLevel="0" collapsed="false">
      <c r="A163" s="15"/>
      <c r="B163" s="15"/>
      <c r="C163" s="15"/>
      <c r="D163" s="16" t="str">
        <f aca="false">IF(A163="","",SUMIFS(Formulas!$K$2:$K$1501,Formulas!$B$2:$B$1501,A163))</f>
        <v/>
      </c>
      <c r="E163" s="16" t="str">
        <f aca="false">IF(A163="","",COUNTIF(Formulas!$B$2:$B$1501,A163))</f>
        <v/>
      </c>
      <c r="F163" s="17" t="str">
        <f aca="false">IF(A163="","",IF(COUNTA(Products!$A$2:$A$61)=0,0,D163/COUNTA(Products!$A$2:$A$61)))</f>
        <v/>
      </c>
      <c r="G163" s="16" t="str">
        <f aca="false">IF(A163="","",IF(D163=0,"Not used",IF(D163=1,"Unique to 1 product",IF(D163=COUNTA(Products!$A$2:$A$61),"In all products","Shared"))))</f>
        <v/>
      </c>
    </row>
    <row r="164" customFormat="false" ht="15" hidden="false" customHeight="false" outlineLevel="0" collapsed="false">
      <c r="A164" s="15"/>
      <c r="B164" s="15"/>
      <c r="C164" s="15"/>
      <c r="D164" s="16" t="str">
        <f aca="false">IF(A164="","",SUMIFS(Formulas!$K$2:$K$1501,Formulas!$B$2:$B$1501,A164))</f>
        <v/>
      </c>
      <c r="E164" s="16" t="str">
        <f aca="false">IF(A164="","",COUNTIF(Formulas!$B$2:$B$1501,A164))</f>
        <v/>
      </c>
      <c r="F164" s="17" t="str">
        <f aca="false">IF(A164="","",IF(COUNTA(Products!$A$2:$A$61)=0,0,D164/COUNTA(Products!$A$2:$A$61)))</f>
        <v/>
      </c>
      <c r="G164" s="16" t="str">
        <f aca="false">IF(A164="","",IF(D164=0,"Not used",IF(D164=1,"Unique to 1 product",IF(D164=COUNTA(Products!$A$2:$A$61),"In all products","Shared"))))</f>
        <v/>
      </c>
    </row>
    <row r="165" customFormat="false" ht="15" hidden="false" customHeight="false" outlineLevel="0" collapsed="false">
      <c r="A165" s="15"/>
      <c r="B165" s="15"/>
      <c r="C165" s="15"/>
      <c r="D165" s="16" t="str">
        <f aca="false">IF(A165="","",SUMIFS(Formulas!$K$2:$K$1501,Formulas!$B$2:$B$1501,A165))</f>
        <v/>
      </c>
      <c r="E165" s="16" t="str">
        <f aca="false">IF(A165="","",COUNTIF(Formulas!$B$2:$B$1501,A165))</f>
        <v/>
      </c>
      <c r="F165" s="17" t="str">
        <f aca="false">IF(A165="","",IF(COUNTA(Products!$A$2:$A$61)=0,0,D165/COUNTA(Products!$A$2:$A$61)))</f>
        <v/>
      </c>
      <c r="G165" s="16" t="str">
        <f aca="false">IF(A165="","",IF(D165=0,"Not used",IF(D165=1,"Unique to 1 product",IF(D165=COUNTA(Products!$A$2:$A$61),"In all products","Shared"))))</f>
        <v/>
      </c>
    </row>
    <row r="166" customFormat="false" ht="15" hidden="false" customHeight="false" outlineLevel="0" collapsed="false">
      <c r="A166" s="15"/>
      <c r="B166" s="15"/>
      <c r="C166" s="15"/>
      <c r="D166" s="16" t="str">
        <f aca="false">IF(A166="","",SUMIFS(Formulas!$K$2:$K$1501,Formulas!$B$2:$B$1501,A166))</f>
        <v/>
      </c>
      <c r="E166" s="16" t="str">
        <f aca="false">IF(A166="","",COUNTIF(Formulas!$B$2:$B$1501,A166))</f>
        <v/>
      </c>
      <c r="F166" s="17" t="str">
        <f aca="false">IF(A166="","",IF(COUNTA(Products!$A$2:$A$61)=0,0,D166/COUNTA(Products!$A$2:$A$61)))</f>
        <v/>
      </c>
      <c r="G166" s="16" t="str">
        <f aca="false">IF(A166="","",IF(D166=0,"Not used",IF(D166=1,"Unique to 1 product",IF(D166=COUNTA(Products!$A$2:$A$61),"In all products","Shared"))))</f>
        <v/>
      </c>
    </row>
    <row r="167" customFormat="false" ht="15" hidden="false" customHeight="false" outlineLevel="0" collapsed="false">
      <c r="A167" s="15"/>
      <c r="B167" s="15"/>
      <c r="C167" s="15"/>
      <c r="D167" s="16" t="str">
        <f aca="false">IF(A167="","",SUMIFS(Formulas!$K$2:$K$1501,Formulas!$B$2:$B$1501,A167))</f>
        <v/>
      </c>
      <c r="E167" s="16" t="str">
        <f aca="false">IF(A167="","",COUNTIF(Formulas!$B$2:$B$1501,A167))</f>
        <v/>
      </c>
      <c r="F167" s="17" t="str">
        <f aca="false">IF(A167="","",IF(COUNTA(Products!$A$2:$A$61)=0,0,D167/COUNTA(Products!$A$2:$A$61)))</f>
        <v/>
      </c>
      <c r="G167" s="16" t="str">
        <f aca="false">IF(A167="","",IF(D167=0,"Not used",IF(D167=1,"Unique to 1 product",IF(D167=COUNTA(Products!$A$2:$A$61),"In all products","Shared"))))</f>
        <v/>
      </c>
    </row>
    <row r="168" customFormat="false" ht="15" hidden="false" customHeight="false" outlineLevel="0" collapsed="false">
      <c r="A168" s="15"/>
      <c r="B168" s="15"/>
      <c r="C168" s="15"/>
      <c r="D168" s="16" t="str">
        <f aca="false">IF(A168="","",SUMIFS(Formulas!$K$2:$K$1501,Formulas!$B$2:$B$1501,A168))</f>
        <v/>
      </c>
      <c r="E168" s="16" t="str">
        <f aca="false">IF(A168="","",COUNTIF(Formulas!$B$2:$B$1501,A168))</f>
        <v/>
      </c>
      <c r="F168" s="17" t="str">
        <f aca="false">IF(A168="","",IF(COUNTA(Products!$A$2:$A$61)=0,0,D168/COUNTA(Products!$A$2:$A$61)))</f>
        <v/>
      </c>
      <c r="G168" s="16" t="str">
        <f aca="false">IF(A168="","",IF(D168=0,"Not used",IF(D168=1,"Unique to 1 product",IF(D168=COUNTA(Products!$A$2:$A$61),"In all products","Shared"))))</f>
        <v/>
      </c>
    </row>
    <row r="169" customFormat="false" ht="15" hidden="false" customHeight="false" outlineLevel="0" collapsed="false">
      <c r="A169" s="15"/>
      <c r="B169" s="15"/>
      <c r="C169" s="15"/>
      <c r="D169" s="16" t="str">
        <f aca="false">IF(A169="","",SUMIFS(Formulas!$K$2:$K$1501,Formulas!$B$2:$B$1501,A169))</f>
        <v/>
      </c>
      <c r="E169" s="16" t="str">
        <f aca="false">IF(A169="","",COUNTIF(Formulas!$B$2:$B$1501,A169))</f>
        <v/>
      </c>
      <c r="F169" s="17" t="str">
        <f aca="false">IF(A169="","",IF(COUNTA(Products!$A$2:$A$61)=0,0,D169/COUNTA(Products!$A$2:$A$61)))</f>
        <v/>
      </c>
      <c r="G169" s="16" t="str">
        <f aca="false">IF(A169="","",IF(D169=0,"Not used",IF(D169=1,"Unique to 1 product",IF(D169=COUNTA(Products!$A$2:$A$61),"In all products","Shared"))))</f>
        <v/>
      </c>
    </row>
    <row r="170" customFormat="false" ht="15" hidden="false" customHeight="false" outlineLevel="0" collapsed="false">
      <c r="A170" s="15"/>
      <c r="B170" s="15"/>
      <c r="C170" s="15"/>
      <c r="D170" s="16" t="str">
        <f aca="false">IF(A170="","",SUMIFS(Formulas!$K$2:$K$1501,Formulas!$B$2:$B$1501,A170))</f>
        <v/>
      </c>
      <c r="E170" s="16" t="str">
        <f aca="false">IF(A170="","",COUNTIF(Formulas!$B$2:$B$1501,A170))</f>
        <v/>
      </c>
      <c r="F170" s="17" t="str">
        <f aca="false">IF(A170="","",IF(COUNTA(Products!$A$2:$A$61)=0,0,D170/COUNTA(Products!$A$2:$A$61)))</f>
        <v/>
      </c>
      <c r="G170" s="16" t="str">
        <f aca="false">IF(A170="","",IF(D170=0,"Not used",IF(D170=1,"Unique to 1 product",IF(D170=COUNTA(Products!$A$2:$A$61),"In all products","Shared"))))</f>
        <v/>
      </c>
    </row>
    <row r="171" customFormat="false" ht="15" hidden="false" customHeight="false" outlineLevel="0" collapsed="false">
      <c r="A171" s="15"/>
      <c r="B171" s="15"/>
      <c r="C171" s="15"/>
      <c r="D171" s="16" t="str">
        <f aca="false">IF(A171="","",SUMIFS(Formulas!$K$2:$K$1501,Formulas!$B$2:$B$1501,A171))</f>
        <v/>
      </c>
      <c r="E171" s="16" t="str">
        <f aca="false">IF(A171="","",COUNTIF(Formulas!$B$2:$B$1501,A171))</f>
        <v/>
      </c>
      <c r="F171" s="17" t="str">
        <f aca="false">IF(A171="","",IF(COUNTA(Products!$A$2:$A$61)=0,0,D171/COUNTA(Products!$A$2:$A$61)))</f>
        <v/>
      </c>
      <c r="G171" s="16" t="str">
        <f aca="false">IF(A171="","",IF(D171=0,"Not used",IF(D171=1,"Unique to 1 product",IF(D171=COUNTA(Products!$A$2:$A$61),"In all products","Shared"))))</f>
        <v/>
      </c>
    </row>
    <row r="172" customFormat="false" ht="15" hidden="false" customHeight="false" outlineLevel="0" collapsed="false">
      <c r="A172" s="15"/>
      <c r="B172" s="15"/>
      <c r="C172" s="15"/>
      <c r="D172" s="16" t="str">
        <f aca="false">IF(A172="","",SUMIFS(Formulas!$K$2:$K$1501,Formulas!$B$2:$B$1501,A172))</f>
        <v/>
      </c>
      <c r="E172" s="16" t="str">
        <f aca="false">IF(A172="","",COUNTIF(Formulas!$B$2:$B$1501,A172))</f>
        <v/>
      </c>
      <c r="F172" s="17" t="str">
        <f aca="false">IF(A172="","",IF(COUNTA(Products!$A$2:$A$61)=0,0,D172/COUNTA(Products!$A$2:$A$61)))</f>
        <v/>
      </c>
      <c r="G172" s="16" t="str">
        <f aca="false">IF(A172="","",IF(D172=0,"Not used",IF(D172=1,"Unique to 1 product",IF(D172=COUNTA(Products!$A$2:$A$61),"In all products","Shared"))))</f>
        <v/>
      </c>
    </row>
    <row r="173" customFormat="false" ht="15" hidden="false" customHeight="false" outlineLevel="0" collapsed="false">
      <c r="A173" s="15"/>
      <c r="B173" s="15"/>
      <c r="C173" s="15"/>
      <c r="D173" s="16" t="str">
        <f aca="false">IF(A173="","",SUMIFS(Formulas!$K$2:$K$1501,Formulas!$B$2:$B$1501,A173))</f>
        <v/>
      </c>
      <c r="E173" s="16" t="str">
        <f aca="false">IF(A173="","",COUNTIF(Formulas!$B$2:$B$1501,A173))</f>
        <v/>
      </c>
      <c r="F173" s="17" t="str">
        <f aca="false">IF(A173="","",IF(COUNTA(Products!$A$2:$A$61)=0,0,D173/COUNTA(Products!$A$2:$A$61)))</f>
        <v/>
      </c>
      <c r="G173" s="16" t="str">
        <f aca="false">IF(A173="","",IF(D173=0,"Not used",IF(D173=1,"Unique to 1 product",IF(D173=COUNTA(Products!$A$2:$A$61),"In all products","Shared"))))</f>
        <v/>
      </c>
    </row>
    <row r="174" customFormat="false" ht="15" hidden="false" customHeight="false" outlineLevel="0" collapsed="false">
      <c r="A174" s="15"/>
      <c r="B174" s="15"/>
      <c r="C174" s="15"/>
      <c r="D174" s="16" t="str">
        <f aca="false">IF(A174="","",SUMIFS(Formulas!$K$2:$K$1501,Formulas!$B$2:$B$1501,A174))</f>
        <v/>
      </c>
      <c r="E174" s="16" t="str">
        <f aca="false">IF(A174="","",COUNTIF(Formulas!$B$2:$B$1501,A174))</f>
        <v/>
      </c>
      <c r="F174" s="17" t="str">
        <f aca="false">IF(A174="","",IF(COUNTA(Products!$A$2:$A$61)=0,0,D174/COUNTA(Products!$A$2:$A$61)))</f>
        <v/>
      </c>
      <c r="G174" s="16" t="str">
        <f aca="false">IF(A174="","",IF(D174=0,"Not used",IF(D174=1,"Unique to 1 product",IF(D174=COUNTA(Products!$A$2:$A$61),"In all products","Shared"))))</f>
        <v/>
      </c>
    </row>
    <row r="175" customFormat="false" ht="15" hidden="false" customHeight="false" outlineLevel="0" collapsed="false">
      <c r="A175" s="15"/>
      <c r="B175" s="15"/>
      <c r="C175" s="15"/>
      <c r="D175" s="16" t="str">
        <f aca="false">IF(A175="","",SUMIFS(Formulas!$K$2:$K$1501,Formulas!$B$2:$B$1501,A175))</f>
        <v/>
      </c>
      <c r="E175" s="16" t="str">
        <f aca="false">IF(A175="","",COUNTIF(Formulas!$B$2:$B$1501,A175))</f>
        <v/>
      </c>
      <c r="F175" s="17" t="str">
        <f aca="false">IF(A175="","",IF(COUNTA(Products!$A$2:$A$61)=0,0,D175/COUNTA(Products!$A$2:$A$61)))</f>
        <v/>
      </c>
      <c r="G175" s="16" t="str">
        <f aca="false">IF(A175="","",IF(D175=0,"Not used",IF(D175=1,"Unique to 1 product",IF(D175=COUNTA(Products!$A$2:$A$61),"In all products","Shared"))))</f>
        <v/>
      </c>
    </row>
    <row r="176" customFormat="false" ht="15" hidden="false" customHeight="false" outlineLevel="0" collapsed="false">
      <c r="A176" s="15"/>
      <c r="B176" s="15"/>
      <c r="C176" s="15"/>
      <c r="D176" s="16" t="str">
        <f aca="false">IF(A176="","",SUMIFS(Formulas!$K$2:$K$1501,Formulas!$B$2:$B$1501,A176))</f>
        <v/>
      </c>
      <c r="E176" s="16" t="str">
        <f aca="false">IF(A176="","",COUNTIF(Formulas!$B$2:$B$1501,A176))</f>
        <v/>
      </c>
      <c r="F176" s="17" t="str">
        <f aca="false">IF(A176="","",IF(COUNTA(Products!$A$2:$A$61)=0,0,D176/COUNTA(Products!$A$2:$A$61)))</f>
        <v/>
      </c>
      <c r="G176" s="16" t="str">
        <f aca="false">IF(A176="","",IF(D176=0,"Not used",IF(D176=1,"Unique to 1 product",IF(D176=COUNTA(Products!$A$2:$A$61),"In all products","Shared"))))</f>
        <v/>
      </c>
    </row>
    <row r="177" customFormat="false" ht="15" hidden="false" customHeight="false" outlineLevel="0" collapsed="false">
      <c r="A177" s="15"/>
      <c r="B177" s="15"/>
      <c r="C177" s="15"/>
      <c r="D177" s="16" t="str">
        <f aca="false">IF(A177="","",SUMIFS(Formulas!$K$2:$K$1501,Formulas!$B$2:$B$1501,A177))</f>
        <v/>
      </c>
      <c r="E177" s="16" t="str">
        <f aca="false">IF(A177="","",COUNTIF(Formulas!$B$2:$B$1501,A177))</f>
        <v/>
      </c>
      <c r="F177" s="17" t="str">
        <f aca="false">IF(A177="","",IF(COUNTA(Products!$A$2:$A$61)=0,0,D177/COUNTA(Products!$A$2:$A$61)))</f>
        <v/>
      </c>
      <c r="G177" s="16" t="str">
        <f aca="false">IF(A177="","",IF(D177=0,"Not used",IF(D177=1,"Unique to 1 product",IF(D177=COUNTA(Products!$A$2:$A$61),"In all products","Shared"))))</f>
        <v/>
      </c>
    </row>
    <row r="178" customFormat="false" ht="15" hidden="false" customHeight="false" outlineLevel="0" collapsed="false">
      <c r="A178" s="15"/>
      <c r="B178" s="15"/>
      <c r="C178" s="15"/>
      <c r="D178" s="16" t="str">
        <f aca="false">IF(A178="","",SUMIFS(Formulas!$K$2:$K$1501,Formulas!$B$2:$B$1501,A178))</f>
        <v/>
      </c>
      <c r="E178" s="16" t="str">
        <f aca="false">IF(A178="","",COUNTIF(Formulas!$B$2:$B$1501,A178))</f>
        <v/>
      </c>
      <c r="F178" s="17" t="str">
        <f aca="false">IF(A178="","",IF(COUNTA(Products!$A$2:$A$61)=0,0,D178/COUNTA(Products!$A$2:$A$61)))</f>
        <v/>
      </c>
      <c r="G178" s="16" t="str">
        <f aca="false">IF(A178="","",IF(D178=0,"Not used",IF(D178=1,"Unique to 1 product",IF(D178=COUNTA(Products!$A$2:$A$61),"In all products","Shared"))))</f>
        <v/>
      </c>
    </row>
    <row r="179" customFormat="false" ht="15" hidden="false" customHeight="false" outlineLevel="0" collapsed="false">
      <c r="A179" s="15"/>
      <c r="B179" s="15"/>
      <c r="C179" s="15"/>
      <c r="D179" s="16" t="str">
        <f aca="false">IF(A179="","",SUMIFS(Formulas!$K$2:$K$1501,Formulas!$B$2:$B$1501,A179))</f>
        <v/>
      </c>
      <c r="E179" s="16" t="str">
        <f aca="false">IF(A179="","",COUNTIF(Formulas!$B$2:$B$1501,A179))</f>
        <v/>
      </c>
      <c r="F179" s="17" t="str">
        <f aca="false">IF(A179="","",IF(COUNTA(Products!$A$2:$A$61)=0,0,D179/COUNTA(Products!$A$2:$A$61)))</f>
        <v/>
      </c>
      <c r="G179" s="16" t="str">
        <f aca="false">IF(A179="","",IF(D179=0,"Not used",IF(D179=1,"Unique to 1 product",IF(D179=COUNTA(Products!$A$2:$A$61),"In all products","Shared"))))</f>
        <v/>
      </c>
    </row>
    <row r="180" customFormat="false" ht="15" hidden="false" customHeight="false" outlineLevel="0" collapsed="false">
      <c r="A180" s="15"/>
      <c r="B180" s="15"/>
      <c r="C180" s="15"/>
      <c r="D180" s="16" t="str">
        <f aca="false">IF(A180="","",SUMIFS(Formulas!$K$2:$K$1501,Formulas!$B$2:$B$1501,A180))</f>
        <v/>
      </c>
      <c r="E180" s="16" t="str">
        <f aca="false">IF(A180="","",COUNTIF(Formulas!$B$2:$B$1501,A180))</f>
        <v/>
      </c>
      <c r="F180" s="17" t="str">
        <f aca="false">IF(A180="","",IF(COUNTA(Products!$A$2:$A$61)=0,0,D180/COUNTA(Products!$A$2:$A$61)))</f>
        <v/>
      </c>
      <c r="G180" s="16" t="str">
        <f aca="false">IF(A180="","",IF(D180=0,"Not used",IF(D180=1,"Unique to 1 product",IF(D180=COUNTA(Products!$A$2:$A$61),"In all products","Shared"))))</f>
        <v/>
      </c>
    </row>
    <row r="181" customFormat="false" ht="15" hidden="false" customHeight="false" outlineLevel="0" collapsed="false">
      <c r="A181" s="15"/>
      <c r="B181" s="15"/>
      <c r="C181" s="15"/>
      <c r="D181" s="16" t="str">
        <f aca="false">IF(A181="","",SUMIFS(Formulas!$K$2:$K$1501,Formulas!$B$2:$B$1501,A181))</f>
        <v/>
      </c>
      <c r="E181" s="16" t="str">
        <f aca="false">IF(A181="","",COUNTIF(Formulas!$B$2:$B$1501,A181))</f>
        <v/>
      </c>
      <c r="F181" s="17" t="str">
        <f aca="false">IF(A181="","",IF(COUNTA(Products!$A$2:$A$61)=0,0,D181/COUNTA(Products!$A$2:$A$61)))</f>
        <v/>
      </c>
      <c r="G181" s="16" t="str">
        <f aca="false">IF(A181="","",IF(D181=0,"Not used",IF(D181=1,"Unique to 1 product",IF(D181=COUNTA(Products!$A$2:$A$61),"In all products","Shared"))))</f>
        <v/>
      </c>
    </row>
    <row r="182" customFormat="false" ht="15" hidden="false" customHeight="false" outlineLevel="0" collapsed="false">
      <c r="A182" s="15"/>
      <c r="B182" s="15"/>
      <c r="C182" s="15"/>
      <c r="D182" s="16" t="str">
        <f aca="false">IF(A182="","",SUMIFS(Formulas!$K$2:$K$1501,Formulas!$B$2:$B$1501,A182))</f>
        <v/>
      </c>
      <c r="E182" s="16" t="str">
        <f aca="false">IF(A182="","",COUNTIF(Formulas!$B$2:$B$1501,A182))</f>
        <v/>
      </c>
      <c r="F182" s="17" t="str">
        <f aca="false">IF(A182="","",IF(COUNTA(Products!$A$2:$A$61)=0,0,D182/COUNTA(Products!$A$2:$A$61)))</f>
        <v/>
      </c>
      <c r="G182" s="16" t="str">
        <f aca="false">IF(A182="","",IF(D182=0,"Not used",IF(D182=1,"Unique to 1 product",IF(D182=COUNTA(Products!$A$2:$A$61),"In all products","Shared"))))</f>
        <v/>
      </c>
    </row>
    <row r="183" customFormat="false" ht="15" hidden="false" customHeight="false" outlineLevel="0" collapsed="false">
      <c r="A183" s="15"/>
      <c r="B183" s="15"/>
      <c r="C183" s="15"/>
      <c r="D183" s="16" t="str">
        <f aca="false">IF(A183="","",SUMIFS(Formulas!$K$2:$K$1501,Formulas!$B$2:$B$1501,A183))</f>
        <v/>
      </c>
      <c r="E183" s="16" t="str">
        <f aca="false">IF(A183="","",COUNTIF(Formulas!$B$2:$B$1501,A183))</f>
        <v/>
      </c>
      <c r="F183" s="17" t="str">
        <f aca="false">IF(A183="","",IF(COUNTA(Products!$A$2:$A$61)=0,0,D183/COUNTA(Products!$A$2:$A$61)))</f>
        <v/>
      </c>
      <c r="G183" s="16" t="str">
        <f aca="false">IF(A183="","",IF(D183=0,"Not used",IF(D183=1,"Unique to 1 product",IF(D183=COUNTA(Products!$A$2:$A$61),"In all products","Shared"))))</f>
        <v/>
      </c>
    </row>
    <row r="184" customFormat="false" ht="15" hidden="false" customHeight="false" outlineLevel="0" collapsed="false">
      <c r="A184" s="15"/>
      <c r="B184" s="15"/>
      <c r="C184" s="15"/>
      <c r="D184" s="16" t="str">
        <f aca="false">IF(A184="","",SUMIFS(Formulas!$K$2:$K$1501,Formulas!$B$2:$B$1501,A184))</f>
        <v/>
      </c>
      <c r="E184" s="16" t="str">
        <f aca="false">IF(A184="","",COUNTIF(Formulas!$B$2:$B$1501,A184))</f>
        <v/>
      </c>
      <c r="F184" s="17" t="str">
        <f aca="false">IF(A184="","",IF(COUNTA(Products!$A$2:$A$61)=0,0,D184/COUNTA(Products!$A$2:$A$61)))</f>
        <v/>
      </c>
      <c r="G184" s="16" t="str">
        <f aca="false">IF(A184="","",IF(D184=0,"Not used",IF(D184=1,"Unique to 1 product",IF(D184=COUNTA(Products!$A$2:$A$61),"In all products","Shared"))))</f>
        <v/>
      </c>
    </row>
    <row r="185" customFormat="false" ht="15" hidden="false" customHeight="false" outlineLevel="0" collapsed="false">
      <c r="A185" s="15"/>
      <c r="B185" s="15"/>
      <c r="C185" s="15"/>
      <c r="D185" s="16" t="str">
        <f aca="false">IF(A185="","",SUMIFS(Formulas!$K$2:$K$1501,Formulas!$B$2:$B$1501,A185))</f>
        <v/>
      </c>
      <c r="E185" s="16" t="str">
        <f aca="false">IF(A185="","",COUNTIF(Formulas!$B$2:$B$1501,A185))</f>
        <v/>
      </c>
      <c r="F185" s="17" t="str">
        <f aca="false">IF(A185="","",IF(COUNTA(Products!$A$2:$A$61)=0,0,D185/COUNTA(Products!$A$2:$A$61)))</f>
        <v/>
      </c>
      <c r="G185" s="16" t="str">
        <f aca="false">IF(A185="","",IF(D185=0,"Not used",IF(D185=1,"Unique to 1 product",IF(D185=COUNTA(Products!$A$2:$A$61),"In all products","Shared"))))</f>
        <v/>
      </c>
    </row>
    <row r="186" customFormat="false" ht="15" hidden="false" customHeight="false" outlineLevel="0" collapsed="false">
      <c r="A186" s="15"/>
      <c r="B186" s="15"/>
      <c r="C186" s="15"/>
      <c r="D186" s="16" t="str">
        <f aca="false">IF(A186="","",SUMIFS(Formulas!$K$2:$K$1501,Formulas!$B$2:$B$1501,A186))</f>
        <v/>
      </c>
      <c r="E186" s="16" t="str">
        <f aca="false">IF(A186="","",COUNTIF(Formulas!$B$2:$B$1501,A186))</f>
        <v/>
      </c>
      <c r="F186" s="17" t="str">
        <f aca="false">IF(A186="","",IF(COUNTA(Products!$A$2:$A$61)=0,0,D186/COUNTA(Products!$A$2:$A$61)))</f>
        <v/>
      </c>
      <c r="G186" s="16" t="str">
        <f aca="false">IF(A186="","",IF(D186=0,"Not used",IF(D186=1,"Unique to 1 product",IF(D186=COUNTA(Products!$A$2:$A$61),"In all products","Shared"))))</f>
        <v/>
      </c>
    </row>
    <row r="187" customFormat="false" ht="15" hidden="false" customHeight="false" outlineLevel="0" collapsed="false">
      <c r="A187" s="15"/>
      <c r="B187" s="15"/>
      <c r="C187" s="15"/>
      <c r="D187" s="16" t="str">
        <f aca="false">IF(A187="","",SUMIFS(Formulas!$K$2:$K$1501,Formulas!$B$2:$B$1501,A187))</f>
        <v/>
      </c>
      <c r="E187" s="16" t="str">
        <f aca="false">IF(A187="","",COUNTIF(Formulas!$B$2:$B$1501,A187))</f>
        <v/>
      </c>
      <c r="F187" s="17" t="str">
        <f aca="false">IF(A187="","",IF(COUNTA(Products!$A$2:$A$61)=0,0,D187/COUNTA(Products!$A$2:$A$61)))</f>
        <v/>
      </c>
      <c r="G187" s="16" t="str">
        <f aca="false">IF(A187="","",IF(D187=0,"Not used",IF(D187=1,"Unique to 1 product",IF(D187=COUNTA(Products!$A$2:$A$61),"In all products","Shared"))))</f>
        <v/>
      </c>
    </row>
    <row r="188" customFormat="false" ht="15" hidden="false" customHeight="false" outlineLevel="0" collapsed="false">
      <c r="A188" s="15"/>
      <c r="B188" s="15"/>
      <c r="C188" s="15"/>
      <c r="D188" s="16" t="str">
        <f aca="false">IF(A188="","",SUMIFS(Formulas!$K$2:$K$1501,Formulas!$B$2:$B$1501,A188))</f>
        <v/>
      </c>
      <c r="E188" s="16" t="str">
        <f aca="false">IF(A188="","",COUNTIF(Formulas!$B$2:$B$1501,A188))</f>
        <v/>
      </c>
      <c r="F188" s="17" t="str">
        <f aca="false">IF(A188="","",IF(COUNTA(Products!$A$2:$A$61)=0,0,D188/COUNTA(Products!$A$2:$A$61)))</f>
        <v/>
      </c>
      <c r="G188" s="16" t="str">
        <f aca="false">IF(A188="","",IF(D188=0,"Not used",IF(D188=1,"Unique to 1 product",IF(D188=COUNTA(Products!$A$2:$A$61),"In all products","Shared"))))</f>
        <v/>
      </c>
    </row>
    <row r="189" customFormat="false" ht="15" hidden="false" customHeight="false" outlineLevel="0" collapsed="false">
      <c r="A189" s="15"/>
      <c r="B189" s="15"/>
      <c r="C189" s="15"/>
      <c r="D189" s="16" t="str">
        <f aca="false">IF(A189="","",SUMIFS(Formulas!$K$2:$K$1501,Formulas!$B$2:$B$1501,A189))</f>
        <v/>
      </c>
      <c r="E189" s="16" t="str">
        <f aca="false">IF(A189="","",COUNTIF(Formulas!$B$2:$B$1501,A189))</f>
        <v/>
      </c>
      <c r="F189" s="17" t="str">
        <f aca="false">IF(A189="","",IF(COUNTA(Products!$A$2:$A$61)=0,0,D189/COUNTA(Products!$A$2:$A$61)))</f>
        <v/>
      </c>
      <c r="G189" s="16" t="str">
        <f aca="false">IF(A189="","",IF(D189=0,"Not used",IF(D189=1,"Unique to 1 product",IF(D189=COUNTA(Products!$A$2:$A$61),"In all products","Shared"))))</f>
        <v/>
      </c>
    </row>
    <row r="190" customFormat="false" ht="15" hidden="false" customHeight="false" outlineLevel="0" collapsed="false">
      <c r="A190" s="15"/>
      <c r="B190" s="15"/>
      <c r="C190" s="15"/>
      <c r="D190" s="16" t="str">
        <f aca="false">IF(A190="","",SUMIFS(Formulas!$K$2:$K$1501,Formulas!$B$2:$B$1501,A190))</f>
        <v/>
      </c>
      <c r="E190" s="16" t="str">
        <f aca="false">IF(A190="","",COUNTIF(Formulas!$B$2:$B$1501,A190))</f>
        <v/>
      </c>
      <c r="F190" s="17" t="str">
        <f aca="false">IF(A190="","",IF(COUNTA(Products!$A$2:$A$61)=0,0,D190/COUNTA(Products!$A$2:$A$61)))</f>
        <v/>
      </c>
      <c r="G190" s="16" t="str">
        <f aca="false">IF(A190="","",IF(D190=0,"Not used",IF(D190=1,"Unique to 1 product",IF(D190=COUNTA(Products!$A$2:$A$61),"In all products","Shared"))))</f>
        <v/>
      </c>
    </row>
    <row r="191" customFormat="false" ht="15" hidden="false" customHeight="false" outlineLevel="0" collapsed="false">
      <c r="A191" s="15"/>
      <c r="B191" s="15"/>
      <c r="C191" s="15"/>
      <c r="D191" s="16" t="str">
        <f aca="false">IF(A191="","",SUMIFS(Formulas!$K$2:$K$1501,Formulas!$B$2:$B$1501,A191))</f>
        <v/>
      </c>
      <c r="E191" s="16" t="str">
        <f aca="false">IF(A191="","",COUNTIF(Formulas!$B$2:$B$1501,A191))</f>
        <v/>
      </c>
      <c r="F191" s="17" t="str">
        <f aca="false">IF(A191="","",IF(COUNTA(Products!$A$2:$A$61)=0,0,D191/COUNTA(Products!$A$2:$A$61)))</f>
        <v/>
      </c>
      <c r="G191" s="16" t="str">
        <f aca="false">IF(A191="","",IF(D191=0,"Not used",IF(D191=1,"Unique to 1 product",IF(D191=COUNTA(Products!$A$2:$A$61),"In all products","Shared"))))</f>
        <v/>
      </c>
    </row>
    <row r="192" customFormat="false" ht="15" hidden="false" customHeight="false" outlineLevel="0" collapsed="false">
      <c r="A192" s="15"/>
      <c r="B192" s="15"/>
      <c r="C192" s="15"/>
      <c r="D192" s="16" t="str">
        <f aca="false">IF(A192="","",SUMIFS(Formulas!$K$2:$K$1501,Formulas!$B$2:$B$1501,A192))</f>
        <v/>
      </c>
      <c r="E192" s="16" t="str">
        <f aca="false">IF(A192="","",COUNTIF(Formulas!$B$2:$B$1501,A192))</f>
        <v/>
      </c>
      <c r="F192" s="17" t="str">
        <f aca="false">IF(A192="","",IF(COUNTA(Products!$A$2:$A$61)=0,0,D192/COUNTA(Products!$A$2:$A$61)))</f>
        <v/>
      </c>
      <c r="G192" s="16" t="str">
        <f aca="false">IF(A192="","",IF(D192=0,"Not used",IF(D192=1,"Unique to 1 product",IF(D192=COUNTA(Products!$A$2:$A$61),"In all products","Shared"))))</f>
        <v/>
      </c>
    </row>
    <row r="193" customFormat="false" ht="15" hidden="false" customHeight="false" outlineLevel="0" collapsed="false">
      <c r="A193" s="15"/>
      <c r="B193" s="15"/>
      <c r="C193" s="15"/>
      <c r="D193" s="16" t="str">
        <f aca="false">IF(A193="","",SUMIFS(Formulas!$K$2:$K$1501,Formulas!$B$2:$B$1501,A193))</f>
        <v/>
      </c>
      <c r="E193" s="16" t="str">
        <f aca="false">IF(A193="","",COUNTIF(Formulas!$B$2:$B$1501,A193))</f>
        <v/>
      </c>
      <c r="F193" s="17" t="str">
        <f aca="false">IF(A193="","",IF(COUNTA(Products!$A$2:$A$61)=0,0,D193/COUNTA(Products!$A$2:$A$61)))</f>
        <v/>
      </c>
      <c r="G193" s="16" t="str">
        <f aca="false">IF(A193="","",IF(D193=0,"Not used",IF(D193=1,"Unique to 1 product",IF(D193=COUNTA(Products!$A$2:$A$61),"In all products","Shared"))))</f>
        <v/>
      </c>
    </row>
    <row r="194" customFormat="false" ht="15" hidden="false" customHeight="false" outlineLevel="0" collapsed="false">
      <c r="A194" s="15"/>
      <c r="B194" s="15"/>
      <c r="C194" s="15"/>
      <c r="D194" s="16" t="str">
        <f aca="false">IF(A194="","",SUMIFS(Formulas!$K$2:$K$1501,Formulas!$B$2:$B$1501,A194))</f>
        <v/>
      </c>
      <c r="E194" s="16" t="str">
        <f aca="false">IF(A194="","",COUNTIF(Formulas!$B$2:$B$1501,A194))</f>
        <v/>
      </c>
      <c r="F194" s="17" t="str">
        <f aca="false">IF(A194="","",IF(COUNTA(Products!$A$2:$A$61)=0,0,D194/COUNTA(Products!$A$2:$A$61)))</f>
        <v/>
      </c>
      <c r="G194" s="16" t="str">
        <f aca="false">IF(A194="","",IF(D194=0,"Not used",IF(D194=1,"Unique to 1 product",IF(D194=COUNTA(Products!$A$2:$A$61),"In all products","Shared"))))</f>
        <v/>
      </c>
    </row>
    <row r="195" customFormat="false" ht="15" hidden="false" customHeight="false" outlineLevel="0" collapsed="false">
      <c r="A195" s="15"/>
      <c r="B195" s="15"/>
      <c r="C195" s="15"/>
      <c r="D195" s="16" t="str">
        <f aca="false">IF(A195="","",SUMIFS(Formulas!$K$2:$K$1501,Formulas!$B$2:$B$1501,A195))</f>
        <v/>
      </c>
      <c r="E195" s="16" t="str">
        <f aca="false">IF(A195="","",COUNTIF(Formulas!$B$2:$B$1501,A195))</f>
        <v/>
      </c>
      <c r="F195" s="17" t="str">
        <f aca="false">IF(A195="","",IF(COUNTA(Products!$A$2:$A$61)=0,0,D195/COUNTA(Products!$A$2:$A$61)))</f>
        <v/>
      </c>
      <c r="G195" s="16" t="str">
        <f aca="false">IF(A195="","",IF(D195=0,"Not used",IF(D195=1,"Unique to 1 product",IF(D195=COUNTA(Products!$A$2:$A$61),"In all products","Shared"))))</f>
        <v/>
      </c>
    </row>
    <row r="196" customFormat="false" ht="15" hidden="false" customHeight="false" outlineLevel="0" collapsed="false">
      <c r="A196" s="15"/>
      <c r="B196" s="15"/>
      <c r="C196" s="15"/>
      <c r="D196" s="16" t="str">
        <f aca="false">IF(A196="","",SUMIFS(Formulas!$K$2:$K$1501,Formulas!$B$2:$B$1501,A196))</f>
        <v/>
      </c>
      <c r="E196" s="16" t="str">
        <f aca="false">IF(A196="","",COUNTIF(Formulas!$B$2:$B$1501,A196))</f>
        <v/>
      </c>
      <c r="F196" s="17" t="str">
        <f aca="false">IF(A196="","",IF(COUNTA(Products!$A$2:$A$61)=0,0,D196/COUNTA(Products!$A$2:$A$61)))</f>
        <v/>
      </c>
      <c r="G196" s="16" t="str">
        <f aca="false">IF(A196="","",IF(D196=0,"Not used",IF(D196=1,"Unique to 1 product",IF(D196=COUNTA(Products!$A$2:$A$61),"In all products","Shared"))))</f>
        <v/>
      </c>
    </row>
    <row r="197" customFormat="false" ht="15" hidden="false" customHeight="false" outlineLevel="0" collapsed="false">
      <c r="A197" s="15"/>
      <c r="B197" s="15"/>
      <c r="C197" s="15"/>
      <c r="D197" s="16" t="str">
        <f aca="false">IF(A197="","",SUMIFS(Formulas!$K$2:$K$1501,Formulas!$B$2:$B$1501,A197))</f>
        <v/>
      </c>
      <c r="E197" s="16" t="str">
        <f aca="false">IF(A197="","",COUNTIF(Formulas!$B$2:$B$1501,A197))</f>
        <v/>
      </c>
      <c r="F197" s="17" t="str">
        <f aca="false">IF(A197="","",IF(COUNTA(Products!$A$2:$A$61)=0,0,D197/COUNTA(Products!$A$2:$A$61)))</f>
        <v/>
      </c>
      <c r="G197" s="16" t="str">
        <f aca="false">IF(A197="","",IF(D197=0,"Not used",IF(D197=1,"Unique to 1 product",IF(D197=COUNTA(Products!$A$2:$A$61),"In all products","Shared"))))</f>
        <v/>
      </c>
    </row>
    <row r="198" customFormat="false" ht="15" hidden="false" customHeight="false" outlineLevel="0" collapsed="false">
      <c r="A198" s="15"/>
      <c r="B198" s="15"/>
      <c r="C198" s="15"/>
      <c r="D198" s="16" t="str">
        <f aca="false">IF(A198="","",SUMIFS(Formulas!$K$2:$K$1501,Formulas!$B$2:$B$1501,A198))</f>
        <v/>
      </c>
      <c r="E198" s="16" t="str">
        <f aca="false">IF(A198="","",COUNTIF(Formulas!$B$2:$B$1501,A198))</f>
        <v/>
      </c>
      <c r="F198" s="17" t="str">
        <f aca="false">IF(A198="","",IF(COUNTA(Products!$A$2:$A$61)=0,0,D198/COUNTA(Products!$A$2:$A$61)))</f>
        <v/>
      </c>
      <c r="G198" s="16" t="str">
        <f aca="false">IF(A198="","",IF(D198=0,"Not used",IF(D198=1,"Unique to 1 product",IF(D198=COUNTA(Products!$A$2:$A$61),"In all products","Shared"))))</f>
        <v/>
      </c>
    </row>
    <row r="199" customFormat="false" ht="15" hidden="false" customHeight="false" outlineLevel="0" collapsed="false">
      <c r="A199" s="15"/>
      <c r="B199" s="15"/>
      <c r="C199" s="15"/>
      <c r="D199" s="16" t="str">
        <f aca="false">IF(A199="","",SUMIFS(Formulas!$K$2:$K$1501,Formulas!$B$2:$B$1501,A199))</f>
        <v/>
      </c>
      <c r="E199" s="16" t="str">
        <f aca="false">IF(A199="","",COUNTIF(Formulas!$B$2:$B$1501,A199))</f>
        <v/>
      </c>
      <c r="F199" s="17" t="str">
        <f aca="false">IF(A199="","",IF(COUNTA(Products!$A$2:$A$61)=0,0,D199/COUNTA(Products!$A$2:$A$61)))</f>
        <v/>
      </c>
      <c r="G199" s="16" t="str">
        <f aca="false">IF(A199="","",IF(D199=0,"Not used",IF(D199=1,"Unique to 1 product",IF(D199=COUNTA(Products!$A$2:$A$61),"In all products","Shared"))))</f>
        <v/>
      </c>
    </row>
    <row r="200" customFormat="false" ht="15" hidden="false" customHeight="false" outlineLevel="0" collapsed="false">
      <c r="A200" s="15"/>
      <c r="B200" s="15"/>
      <c r="C200" s="15"/>
      <c r="D200" s="16" t="str">
        <f aca="false">IF(A200="","",SUMIFS(Formulas!$K$2:$K$1501,Formulas!$B$2:$B$1501,A200))</f>
        <v/>
      </c>
      <c r="E200" s="16" t="str">
        <f aca="false">IF(A200="","",COUNTIF(Formulas!$B$2:$B$1501,A200))</f>
        <v/>
      </c>
      <c r="F200" s="17" t="str">
        <f aca="false">IF(A200="","",IF(COUNTA(Products!$A$2:$A$61)=0,0,D200/COUNTA(Products!$A$2:$A$61)))</f>
        <v/>
      </c>
      <c r="G200" s="16" t="str">
        <f aca="false">IF(A200="","",IF(D200=0,"Not used",IF(D200=1,"Unique to 1 product",IF(D200=COUNTA(Products!$A$2:$A$61),"In all products","Shared"))))</f>
        <v/>
      </c>
    </row>
    <row r="201" customFormat="false" ht="15" hidden="false" customHeight="false" outlineLevel="0" collapsed="false">
      <c r="A201" s="15"/>
      <c r="B201" s="15"/>
      <c r="C201" s="15"/>
      <c r="D201" s="16" t="str">
        <f aca="false">IF(A201="","",SUMIFS(Formulas!$K$2:$K$1501,Formulas!$B$2:$B$1501,A201))</f>
        <v/>
      </c>
      <c r="E201" s="16" t="str">
        <f aca="false">IF(A201="","",COUNTIF(Formulas!$B$2:$B$1501,A201))</f>
        <v/>
      </c>
      <c r="F201" s="17" t="str">
        <f aca="false">IF(A201="","",IF(COUNTA(Products!$A$2:$A$61)=0,0,D201/COUNTA(Products!$A$2:$A$61)))</f>
        <v/>
      </c>
      <c r="G201" s="16" t="str">
        <f aca="false">IF(A201="","",IF(D201=0,"Not used",IF(D201=1,"Unique to 1 product",IF(D201=COUNTA(Products!$A$2:$A$61),"In all products","Shared"))))</f>
        <v/>
      </c>
    </row>
  </sheetData>
  <autoFilter ref="A1:G201"/>
  <dataValidations count="1">
    <dataValidation allowBlank="true" errorStyle="stop" operator="between" showDropDown="false" showErrorMessage="false" showInputMessage="false" sqref="B2:B201" type="list">
      <formula1>CategoryList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G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4" min="3" style="0" width="24"/>
    <col collapsed="false" customWidth="true" hidden="false" outlineLevel="0" max="5" min="5" style="0" width="36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30" hidden="false" customHeight="true" outlineLevel="0" collapsed="false">
      <c r="A1" s="10" t="s">
        <v>39</v>
      </c>
      <c r="B1" s="10" t="s">
        <v>107</v>
      </c>
      <c r="C1" s="11" t="s">
        <v>108</v>
      </c>
      <c r="D1" s="11" t="s">
        <v>109</v>
      </c>
      <c r="E1" s="11" t="s">
        <v>110</v>
      </c>
      <c r="F1" s="11" t="s">
        <v>54</v>
      </c>
      <c r="G1" s="11" t="s">
        <v>111</v>
      </c>
    </row>
    <row r="2" customFormat="false" ht="15" hidden="false" customHeight="false" outlineLevel="0" collapsed="false">
      <c r="A2" s="15" t="s">
        <v>47</v>
      </c>
      <c r="B2" s="15"/>
      <c r="C2" s="16" t="str">
        <f aca="false">IF(A2="","",IFERROR(INDEX(Formulas!$B$2:$B$1501,MATCH(A2&amp;"|1",Formulas!$H$2:$H$1501,0)),""))</f>
        <v>Ezetimibe</v>
      </c>
      <c r="D2" s="16" t="str">
        <f aca="false">IF(A2="","",IFERROR(INDEX(Formulas!$B$2:$B$1501,MATCH(A2&amp;"|2",Formulas!$H$2:$H$1501,0)),""))</f>
        <v>Rosuvastatin Calcium</v>
      </c>
      <c r="E2" s="16" t="str">
        <f aca="false">IF(A2="","",C2&amp;IF(D2="","",", "&amp;D2))</f>
        <v>Ezetimibe, Rosuvastatin Calcium</v>
      </c>
      <c r="F2" s="16" t="n">
        <f aca="false">IF(A2="","",COUNTIF(Formulas!$A$2:$A$1501,A2))</f>
        <v>19</v>
      </c>
      <c r="G2" s="16" t="n">
        <f aca="false">IF(A2="","",SUMIFS(Formulas!$K$2:$K$1501,Formulas!$A$2:$A$1501,A2))</f>
        <v>16</v>
      </c>
    </row>
    <row r="3" customFormat="false" ht="15" hidden="false" customHeight="false" outlineLevel="0" collapsed="false">
      <c r="A3" s="15" t="s">
        <v>112</v>
      </c>
      <c r="B3" s="15"/>
      <c r="C3" s="16" t="str">
        <f aca="false">IF(A3="","",IFERROR(INDEX(Formulas!$B$2:$B$1501,MATCH(A3&amp;"|1",Formulas!$H$2:$H$1501,0)),""))</f>
        <v>Ezetimibe</v>
      </c>
      <c r="D3" s="16" t="str">
        <f aca="false">IF(A3="","",IFERROR(INDEX(Formulas!$B$2:$B$1501,MATCH(A3&amp;"|2",Formulas!$H$2:$H$1501,0)),""))</f>
        <v>Rosuvastatin Calcium</v>
      </c>
      <c r="E3" s="16" t="str">
        <f aca="false">IF(A3="","",C3&amp;IF(D3="","",", "&amp;D3))</f>
        <v>Ezetimibe, Rosuvastatin Calcium</v>
      </c>
      <c r="F3" s="16" t="n">
        <f aca="false">IF(A3="","",COUNTIF(Formulas!$A$2:$A$1501,A3))</f>
        <v>20</v>
      </c>
      <c r="G3" s="16" t="n">
        <f aca="false">IF(A3="","",SUMIFS(Formulas!$K$2:$K$1501,Formulas!$A$2:$A$1501,A3))</f>
        <v>17</v>
      </c>
    </row>
    <row r="4" customFormat="false" ht="15" hidden="false" customHeight="false" outlineLevel="0" collapsed="false">
      <c r="A4" s="15" t="s">
        <v>113</v>
      </c>
      <c r="B4" s="15"/>
      <c r="C4" s="16" t="str">
        <f aca="false">IF(A4="","",IFERROR(INDEX(Formulas!$B$2:$B$1501,MATCH(A4&amp;"|1",Formulas!$H$2:$H$1501,0)),""))</f>
        <v>Ezetimibe</v>
      </c>
      <c r="D4" s="16" t="str">
        <f aca="false">IF(A4="","",IFERROR(INDEX(Formulas!$B$2:$B$1501,MATCH(A4&amp;"|2",Formulas!$H$2:$H$1501,0)),""))</f>
        <v>Rosuvastatin Calcium</v>
      </c>
      <c r="E4" s="16" t="str">
        <f aca="false">IF(A4="","",C4&amp;IF(D4="","",", "&amp;D4))</f>
        <v>Ezetimibe, Rosuvastatin Calcium</v>
      </c>
      <c r="F4" s="16" t="n">
        <f aca="false">IF(A4="","",COUNTIF(Formulas!$A$2:$A$1501,A4))</f>
        <v>19</v>
      </c>
      <c r="G4" s="16" t="n">
        <f aca="false">IF(A4="","",SUMIFS(Formulas!$K$2:$K$1501,Formulas!$A$2:$A$1501,A4))</f>
        <v>16</v>
      </c>
    </row>
    <row r="5" customFormat="false" ht="15" hidden="false" customHeight="false" outlineLevel="0" collapsed="false">
      <c r="A5" s="15" t="s">
        <v>114</v>
      </c>
      <c r="B5" s="15"/>
      <c r="C5" s="16" t="str">
        <f aca="false">IF(A5="","",IFERROR(INDEX(Formulas!$B$2:$B$1501,MATCH(A5&amp;"|1",Formulas!$H$2:$H$1501,0)),""))</f>
        <v>Resmetirom</v>
      </c>
      <c r="D5" s="16" t="str">
        <f aca="false">IF(A5="","",IFERROR(INDEX(Formulas!$B$2:$B$1501,MATCH(A5&amp;"|2",Formulas!$H$2:$H$1501,0)),""))</f>
        <v/>
      </c>
      <c r="E5" s="16" t="str">
        <f aca="false">IF(A5="","",C5&amp;IF(D5="","",", "&amp;D5))</f>
        <v>Resmetirom</v>
      </c>
      <c r="F5" s="16" t="n">
        <f aca="false">IF(A5="","",COUNTIF(Formulas!$A$2:$A$1501,A5))</f>
        <v>17</v>
      </c>
      <c r="G5" s="16" t="n">
        <f aca="false">IF(A5="","",SUMIFS(Formulas!$K$2:$K$1501,Formulas!$A$2:$A$1501,A5))</f>
        <v>15</v>
      </c>
    </row>
    <row r="6" customFormat="false" ht="15" hidden="false" customHeight="false" outlineLevel="0" collapsed="false">
      <c r="A6" s="15" t="s">
        <v>115</v>
      </c>
      <c r="B6" s="15"/>
      <c r="C6" s="16" t="str">
        <f aca="false">IF(A6="","",IFERROR(INDEX(Formulas!$B$2:$B$1501,MATCH(A6&amp;"|1",Formulas!$H$2:$H$1501,0)),""))</f>
        <v>Resmetirom</v>
      </c>
      <c r="D6" s="16" t="str">
        <f aca="false">IF(A6="","",IFERROR(INDEX(Formulas!$B$2:$B$1501,MATCH(A6&amp;"|2",Formulas!$H$2:$H$1501,0)),""))</f>
        <v/>
      </c>
      <c r="E6" s="16" t="str">
        <f aca="false">IF(A6="","",C6&amp;IF(D6="","",", "&amp;D6))</f>
        <v>Resmetirom</v>
      </c>
      <c r="F6" s="16" t="n">
        <f aca="false">IF(A6="","",COUNTIF(Formulas!$A$2:$A$1501,A6))</f>
        <v>17</v>
      </c>
      <c r="G6" s="16" t="n">
        <f aca="false">IF(A6="","",SUMIFS(Formulas!$K$2:$K$1501,Formulas!$A$2:$A$1501,A6))</f>
        <v>15</v>
      </c>
    </row>
    <row r="7" customFormat="false" ht="15" hidden="false" customHeight="false" outlineLevel="0" collapsed="false">
      <c r="A7" s="15" t="s">
        <v>116</v>
      </c>
      <c r="B7" s="15"/>
      <c r="C7" s="16" t="str">
        <f aca="false">IF(A7="","",IFERROR(INDEX(Formulas!$B$2:$B$1501,MATCH(A7&amp;"|1",Formulas!$H$2:$H$1501,0)),""))</f>
        <v>Resmetirom</v>
      </c>
      <c r="D7" s="16" t="str">
        <f aca="false">IF(A7="","",IFERROR(INDEX(Formulas!$B$2:$B$1501,MATCH(A7&amp;"|2",Formulas!$H$2:$H$1501,0)),""))</f>
        <v/>
      </c>
      <c r="E7" s="16" t="str">
        <f aca="false">IF(A7="","",C7&amp;IF(D7="","",", "&amp;D7))</f>
        <v>Resmetirom</v>
      </c>
      <c r="F7" s="16" t="n">
        <f aca="false">IF(A7="","",COUNTIF(Formulas!$A$2:$A$1501,A7))</f>
        <v>17</v>
      </c>
      <c r="G7" s="16" t="n">
        <f aca="false">IF(A7="","",SUMIFS(Formulas!$K$2:$K$1501,Formulas!$A$2:$A$1501,A7))</f>
        <v>15</v>
      </c>
    </row>
    <row r="8" customFormat="false" ht="15" hidden="false" customHeight="false" outlineLevel="0" collapsed="false">
      <c r="A8" s="15" t="s">
        <v>117</v>
      </c>
      <c r="B8" s="15"/>
      <c r="C8" s="16" t="str">
        <f aca="false">IF(A8="","",IFERROR(INDEX(Formulas!$B$2:$B$1501,MATCH(A8&amp;"|1",Formulas!$H$2:$H$1501,0)),""))</f>
        <v>Finerenone</v>
      </c>
      <c r="D8" s="16" t="str">
        <f aca="false">IF(A8="","",IFERROR(INDEX(Formulas!$B$2:$B$1501,MATCH(A8&amp;"|2",Formulas!$H$2:$H$1501,0)),""))</f>
        <v/>
      </c>
      <c r="E8" s="16" t="str">
        <f aca="false">IF(A8="","",C8&amp;IF(D8="","",", "&amp;D8))</f>
        <v>Finerenone</v>
      </c>
      <c r="F8" s="16" t="n">
        <f aca="false">IF(A8="","",COUNTIF(Formulas!$A$2:$A$1501,A8))</f>
        <v>16</v>
      </c>
      <c r="G8" s="16" t="n">
        <f aca="false">IF(A8="","",SUMIFS(Formulas!$K$2:$K$1501,Formulas!$A$2:$A$1501,A8))</f>
        <v>14</v>
      </c>
    </row>
    <row r="9" customFormat="false" ht="15" hidden="false" customHeight="false" outlineLevel="0" collapsed="false">
      <c r="A9" s="15" t="s">
        <v>118</v>
      </c>
      <c r="B9" s="15"/>
      <c r="C9" s="16" t="str">
        <f aca="false">IF(A9="","",IFERROR(INDEX(Formulas!$B$2:$B$1501,MATCH(A9&amp;"|1",Formulas!$H$2:$H$1501,0)),""))</f>
        <v>Finerenone</v>
      </c>
      <c r="D9" s="16" t="str">
        <f aca="false">IF(A9="","",IFERROR(INDEX(Formulas!$B$2:$B$1501,MATCH(A9&amp;"|2",Formulas!$H$2:$H$1501,0)),""))</f>
        <v/>
      </c>
      <c r="E9" s="16" t="str">
        <f aca="false">IF(A9="","",C9&amp;IF(D9="","",", "&amp;D9))</f>
        <v>Finerenone</v>
      </c>
      <c r="F9" s="16" t="n">
        <f aca="false">IF(A9="","",COUNTIF(Formulas!$A$2:$A$1501,A9))</f>
        <v>16</v>
      </c>
      <c r="G9" s="16" t="n">
        <f aca="false">IF(A9="","",SUMIFS(Formulas!$K$2:$K$1501,Formulas!$A$2:$A$1501,A9))</f>
        <v>14</v>
      </c>
    </row>
    <row r="10" customFormat="false" ht="15" hidden="false" customHeight="false" outlineLevel="0" collapsed="false">
      <c r="A10" s="15" t="s">
        <v>119</v>
      </c>
      <c r="B10" s="15"/>
      <c r="C10" s="16" t="str">
        <f aca="false">IF(A10="","",IFERROR(INDEX(Formulas!$B$2:$B$1501,MATCH(A10&amp;"|1",Formulas!$H$2:$H$1501,0)),""))</f>
        <v>Telmisartan</v>
      </c>
      <c r="D10" s="16" t="str">
        <f aca="false">IF(A10="","",IFERROR(INDEX(Formulas!$B$2:$B$1501,MATCH(A10&amp;"|2",Formulas!$H$2:$H$1501,0)),""))</f>
        <v/>
      </c>
      <c r="E10" s="16" t="str">
        <f aca="false">IF(A10="","",C10&amp;IF(D10="","",", "&amp;D10))</f>
        <v>Telmisartan</v>
      </c>
      <c r="F10" s="16" t="n">
        <f aca="false">IF(A10="","",COUNTIF(Formulas!$A$2:$A$1501,A10))</f>
        <v>13</v>
      </c>
      <c r="G10" s="16" t="n">
        <f aca="false">IF(A10="","",SUMIFS(Formulas!$K$2:$K$1501,Formulas!$A$2:$A$1501,A10))</f>
        <v>13</v>
      </c>
    </row>
    <row r="11" customFormat="false" ht="15" hidden="false" customHeight="false" outlineLevel="0" collapsed="false">
      <c r="A11" s="15" t="s">
        <v>120</v>
      </c>
      <c r="B11" s="15"/>
      <c r="C11" s="16" t="str">
        <f aca="false">IF(A11="","",IFERROR(INDEX(Formulas!$B$2:$B$1501,MATCH(A11&amp;"|1",Formulas!$H$2:$H$1501,0)),""))</f>
        <v>Telmisartan</v>
      </c>
      <c r="D11" s="16" t="str">
        <f aca="false">IF(A11="","",IFERROR(INDEX(Formulas!$B$2:$B$1501,MATCH(A11&amp;"|2",Formulas!$H$2:$H$1501,0)),""))</f>
        <v/>
      </c>
      <c r="E11" s="16" t="str">
        <f aca="false">IF(A11="","",C11&amp;IF(D11="","",", "&amp;D11))</f>
        <v>Telmisartan</v>
      </c>
      <c r="F11" s="16" t="n">
        <f aca="false">IF(A11="","",COUNTIF(Formulas!$A$2:$A$1501,A11))</f>
        <v>13</v>
      </c>
      <c r="G11" s="16" t="n">
        <f aca="false">IF(A11="","",SUMIFS(Formulas!$K$2:$K$1501,Formulas!$A$2:$A$1501,A11))</f>
        <v>13</v>
      </c>
    </row>
    <row r="12" customFormat="false" ht="15" hidden="false" customHeight="false" outlineLevel="0" collapsed="false">
      <c r="A12" s="15"/>
      <c r="B12" s="15"/>
      <c r="C12" s="16" t="str">
        <f aca="false">IF(A12="","",IFERROR(INDEX(Formulas!$B$2:$B$1501,MATCH(A12&amp;"|1",Formulas!$H$2:$H$1501,0)),""))</f>
        <v/>
      </c>
      <c r="D12" s="16" t="str">
        <f aca="false">IF(A12="","",IFERROR(INDEX(Formulas!$B$2:$B$1501,MATCH(A12&amp;"|2",Formulas!$H$2:$H$1501,0)),""))</f>
        <v/>
      </c>
      <c r="E12" s="16" t="str">
        <f aca="false">IF(A12="","",C12&amp;IF(D12="","",", "&amp;D12))</f>
        <v/>
      </c>
      <c r="F12" s="16" t="str">
        <f aca="false">IF(A12="","",COUNTIF(Formulas!$A$2:$A$1501,A12))</f>
        <v/>
      </c>
      <c r="G12" s="16" t="str">
        <f aca="false">IF(A12="","",SUMIFS(Formulas!$K$2:$K$1501,Formulas!$A$2:$A$1501,A12))</f>
        <v/>
      </c>
    </row>
    <row r="13" customFormat="false" ht="15" hidden="false" customHeight="false" outlineLevel="0" collapsed="false">
      <c r="A13" s="15"/>
      <c r="B13" s="15"/>
      <c r="C13" s="16" t="str">
        <f aca="false">IF(A13="","",IFERROR(INDEX(Formulas!$B$2:$B$1501,MATCH(A13&amp;"|1",Formulas!$H$2:$H$1501,0)),""))</f>
        <v/>
      </c>
      <c r="D13" s="16" t="str">
        <f aca="false">IF(A13="","",IFERROR(INDEX(Formulas!$B$2:$B$1501,MATCH(A13&amp;"|2",Formulas!$H$2:$H$1501,0)),""))</f>
        <v/>
      </c>
      <c r="E13" s="16" t="str">
        <f aca="false">IF(A13="","",C13&amp;IF(D13="","",", "&amp;D13))</f>
        <v/>
      </c>
      <c r="F13" s="16" t="str">
        <f aca="false">IF(A13="","",COUNTIF(Formulas!$A$2:$A$1501,A13))</f>
        <v/>
      </c>
      <c r="G13" s="16" t="str">
        <f aca="false">IF(A13="","",SUMIFS(Formulas!$K$2:$K$1501,Formulas!$A$2:$A$1501,A13))</f>
        <v/>
      </c>
    </row>
    <row r="14" customFormat="false" ht="15" hidden="false" customHeight="false" outlineLevel="0" collapsed="false">
      <c r="A14" s="15"/>
      <c r="B14" s="15"/>
      <c r="C14" s="16" t="str">
        <f aca="false">IF(A14="","",IFERROR(INDEX(Formulas!$B$2:$B$1501,MATCH(A14&amp;"|1",Formulas!$H$2:$H$1501,0)),""))</f>
        <v/>
      </c>
      <c r="D14" s="16" t="str">
        <f aca="false">IF(A14="","",IFERROR(INDEX(Formulas!$B$2:$B$1501,MATCH(A14&amp;"|2",Formulas!$H$2:$H$1501,0)),""))</f>
        <v/>
      </c>
      <c r="E14" s="16" t="str">
        <f aca="false">IF(A14="","",C14&amp;IF(D14="","",", "&amp;D14))</f>
        <v/>
      </c>
      <c r="F14" s="16" t="str">
        <f aca="false">IF(A14="","",COUNTIF(Formulas!$A$2:$A$1501,A14))</f>
        <v/>
      </c>
      <c r="G14" s="16" t="str">
        <f aca="false">IF(A14="","",SUMIFS(Formulas!$K$2:$K$1501,Formulas!$A$2:$A$1501,A14))</f>
        <v/>
      </c>
    </row>
    <row r="15" customFormat="false" ht="15" hidden="false" customHeight="false" outlineLevel="0" collapsed="false">
      <c r="A15" s="15"/>
      <c r="B15" s="15"/>
      <c r="C15" s="16" t="str">
        <f aca="false">IF(A15="","",IFERROR(INDEX(Formulas!$B$2:$B$1501,MATCH(A15&amp;"|1",Formulas!$H$2:$H$1501,0)),""))</f>
        <v/>
      </c>
      <c r="D15" s="16" t="str">
        <f aca="false">IF(A15="","",IFERROR(INDEX(Formulas!$B$2:$B$1501,MATCH(A15&amp;"|2",Formulas!$H$2:$H$1501,0)),""))</f>
        <v/>
      </c>
      <c r="E15" s="16" t="str">
        <f aca="false">IF(A15="","",C15&amp;IF(D15="","",", "&amp;D15))</f>
        <v/>
      </c>
      <c r="F15" s="16" t="str">
        <f aca="false">IF(A15="","",COUNTIF(Formulas!$A$2:$A$1501,A15))</f>
        <v/>
      </c>
      <c r="G15" s="16" t="str">
        <f aca="false">IF(A15="","",SUMIFS(Formulas!$K$2:$K$1501,Formulas!$A$2:$A$1501,A15))</f>
        <v/>
      </c>
    </row>
    <row r="16" customFormat="false" ht="15" hidden="false" customHeight="false" outlineLevel="0" collapsed="false">
      <c r="A16" s="15"/>
      <c r="B16" s="15"/>
      <c r="C16" s="16" t="str">
        <f aca="false">IF(A16="","",IFERROR(INDEX(Formulas!$B$2:$B$1501,MATCH(A16&amp;"|1",Formulas!$H$2:$H$1501,0)),""))</f>
        <v/>
      </c>
      <c r="D16" s="16" t="str">
        <f aca="false">IF(A16="","",IFERROR(INDEX(Formulas!$B$2:$B$1501,MATCH(A16&amp;"|2",Formulas!$H$2:$H$1501,0)),""))</f>
        <v/>
      </c>
      <c r="E16" s="16" t="str">
        <f aca="false">IF(A16="","",C16&amp;IF(D16="","",", "&amp;D16))</f>
        <v/>
      </c>
      <c r="F16" s="16" t="str">
        <f aca="false">IF(A16="","",COUNTIF(Formulas!$A$2:$A$1501,A16))</f>
        <v/>
      </c>
      <c r="G16" s="16" t="str">
        <f aca="false">IF(A16="","",SUMIFS(Formulas!$K$2:$K$1501,Formulas!$A$2:$A$1501,A16))</f>
        <v/>
      </c>
    </row>
    <row r="17" customFormat="false" ht="15" hidden="false" customHeight="false" outlineLevel="0" collapsed="false">
      <c r="A17" s="15"/>
      <c r="B17" s="15"/>
      <c r="C17" s="16" t="str">
        <f aca="false">IF(A17="","",IFERROR(INDEX(Formulas!$B$2:$B$1501,MATCH(A17&amp;"|1",Formulas!$H$2:$H$1501,0)),""))</f>
        <v/>
      </c>
      <c r="D17" s="16" t="str">
        <f aca="false">IF(A17="","",IFERROR(INDEX(Formulas!$B$2:$B$1501,MATCH(A17&amp;"|2",Formulas!$H$2:$H$1501,0)),""))</f>
        <v/>
      </c>
      <c r="E17" s="16" t="str">
        <f aca="false">IF(A17="","",C17&amp;IF(D17="","",", "&amp;D17))</f>
        <v/>
      </c>
      <c r="F17" s="16" t="str">
        <f aca="false">IF(A17="","",COUNTIF(Formulas!$A$2:$A$1501,A17))</f>
        <v/>
      </c>
      <c r="G17" s="16" t="str">
        <f aca="false">IF(A17="","",SUMIFS(Formulas!$K$2:$K$1501,Formulas!$A$2:$A$1501,A17))</f>
        <v/>
      </c>
    </row>
    <row r="18" customFormat="false" ht="15" hidden="false" customHeight="false" outlineLevel="0" collapsed="false">
      <c r="A18" s="15"/>
      <c r="B18" s="15"/>
      <c r="C18" s="16" t="str">
        <f aca="false">IF(A18="","",IFERROR(INDEX(Formulas!$B$2:$B$1501,MATCH(A18&amp;"|1",Formulas!$H$2:$H$1501,0)),""))</f>
        <v/>
      </c>
      <c r="D18" s="16" t="str">
        <f aca="false">IF(A18="","",IFERROR(INDEX(Formulas!$B$2:$B$1501,MATCH(A18&amp;"|2",Formulas!$H$2:$H$1501,0)),""))</f>
        <v/>
      </c>
      <c r="E18" s="16" t="str">
        <f aca="false">IF(A18="","",C18&amp;IF(D18="","",", "&amp;D18))</f>
        <v/>
      </c>
      <c r="F18" s="16" t="str">
        <f aca="false">IF(A18="","",COUNTIF(Formulas!$A$2:$A$1501,A18))</f>
        <v/>
      </c>
      <c r="G18" s="16" t="str">
        <f aca="false">IF(A18="","",SUMIFS(Formulas!$K$2:$K$1501,Formulas!$A$2:$A$1501,A18))</f>
        <v/>
      </c>
    </row>
    <row r="19" customFormat="false" ht="15" hidden="false" customHeight="false" outlineLevel="0" collapsed="false">
      <c r="A19" s="15"/>
      <c r="B19" s="15"/>
      <c r="C19" s="16" t="str">
        <f aca="false">IF(A19="","",IFERROR(INDEX(Formulas!$B$2:$B$1501,MATCH(A19&amp;"|1",Formulas!$H$2:$H$1501,0)),""))</f>
        <v/>
      </c>
      <c r="D19" s="16" t="str">
        <f aca="false">IF(A19="","",IFERROR(INDEX(Formulas!$B$2:$B$1501,MATCH(A19&amp;"|2",Formulas!$H$2:$H$1501,0)),""))</f>
        <v/>
      </c>
      <c r="E19" s="16" t="str">
        <f aca="false">IF(A19="","",C19&amp;IF(D19="","",", "&amp;D19))</f>
        <v/>
      </c>
      <c r="F19" s="16" t="str">
        <f aca="false">IF(A19="","",COUNTIF(Formulas!$A$2:$A$1501,A19))</f>
        <v/>
      </c>
      <c r="G19" s="16" t="str">
        <f aca="false">IF(A19="","",SUMIFS(Formulas!$K$2:$K$1501,Formulas!$A$2:$A$1501,A19))</f>
        <v/>
      </c>
    </row>
    <row r="20" customFormat="false" ht="15" hidden="false" customHeight="false" outlineLevel="0" collapsed="false">
      <c r="A20" s="15"/>
      <c r="B20" s="15"/>
      <c r="C20" s="16" t="str">
        <f aca="false">IF(A20="","",IFERROR(INDEX(Formulas!$B$2:$B$1501,MATCH(A20&amp;"|1",Formulas!$H$2:$H$1501,0)),""))</f>
        <v/>
      </c>
      <c r="D20" s="16" t="str">
        <f aca="false">IF(A20="","",IFERROR(INDEX(Formulas!$B$2:$B$1501,MATCH(A20&amp;"|2",Formulas!$H$2:$H$1501,0)),""))</f>
        <v/>
      </c>
      <c r="E20" s="16" t="str">
        <f aca="false">IF(A20="","",C20&amp;IF(D20="","",", "&amp;D20))</f>
        <v/>
      </c>
      <c r="F20" s="16" t="str">
        <f aca="false">IF(A20="","",COUNTIF(Formulas!$A$2:$A$1501,A20))</f>
        <v/>
      </c>
      <c r="G20" s="16" t="str">
        <f aca="false">IF(A20="","",SUMIFS(Formulas!$K$2:$K$1501,Formulas!$A$2:$A$1501,A20))</f>
        <v/>
      </c>
    </row>
    <row r="21" customFormat="false" ht="15" hidden="false" customHeight="false" outlineLevel="0" collapsed="false">
      <c r="A21" s="15"/>
      <c r="B21" s="15"/>
      <c r="C21" s="16" t="str">
        <f aca="false">IF(A21="","",IFERROR(INDEX(Formulas!$B$2:$B$1501,MATCH(A21&amp;"|1",Formulas!$H$2:$H$1501,0)),""))</f>
        <v/>
      </c>
      <c r="D21" s="16" t="str">
        <f aca="false">IF(A21="","",IFERROR(INDEX(Formulas!$B$2:$B$1501,MATCH(A21&amp;"|2",Formulas!$H$2:$H$1501,0)),""))</f>
        <v/>
      </c>
      <c r="E21" s="16" t="str">
        <f aca="false">IF(A21="","",C21&amp;IF(D21="","",", "&amp;D21))</f>
        <v/>
      </c>
      <c r="F21" s="16" t="str">
        <f aca="false">IF(A21="","",COUNTIF(Formulas!$A$2:$A$1501,A21))</f>
        <v/>
      </c>
      <c r="G21" s="16" t="str">
        <f aca="false">IF(A21="","",SUMIFS(Formulas!$K$2:$K$1501,Formulas!$A$2:$A$1501,A21))</f>
        <v/>
      </c>
    </row>
    <row r="22" customFormat="false" ht="15" hidden="false" customHeight="false" outlineLevel="0" collapsed="false">
      <c r="A22" s="15"/>
      <c r="B22" s="15"/>
      <c r="C22" s="16" t="str">
        <f aca="false">IF(A22="","",IFERROR(INDEX(Formulas!$B$2:$B$1501,MATCH(A22&amp;"|1",Formulas!$H$2:$H$1501,0)),""))</f>
        <v/>
      </c>
      <c r="D22" s="16" t="str">
        <f aca="false">IF(A22="","",IFERROR(INDEX(Formulas!$B$2:$B$1501,MATCH(A22&amp;"|2",Formulas!$H$2:$H$1501,0)),""))</f>
        <v/>
      </c>
      <c r="E22" s="16" t="str">
        <f aca="false">IF(A22="","",C22&amp;IF(D22="","",", "&amp;D22))</f>
        <v/>
      </c>
      <c r="F22" s="16" t="str">
        <f aca="false">IF(A22="","",COUNTIF(Formulas!$A$2:$A$1501,A22))</f>
        <v/>
      </c>
      <c r="G22" s="16" t="str">
        <f aca="false">IF(A22="","",SUMIFS(Formulas!$K$2:$K$1501,Formulas!$A$2:$A$1501,A22))</f>
        <v/>
      </c>
    </row>
    <row r="23" customFormat="false" ht="15" hidden="false" customHeight="false" outlineLevel="0" collapsed="false">
      <c r="A23" s="15"/>
      <c r="B23" s="15"/>
      <c r="C23" s="16" t="str">
        <f aca="false">IF(A23="","",IFERROR(INDEX(Formulas!$B$2:$B$1501,MATCH(A23&amp;"|1",Formulas!$H$2:$H$1501,0)),""))</f>
        <v/>
      </c>
      <c r="D23" s="16" t="str">
        <f aca="false">IF(A23="","",IFERROR(INDEX(Formulas!$B$2:$B$1501,MATCH(A23&amp;"|2",Formulas!$H$2:$H$1501,0)),""))</f>
        <v/>
      </c>
      <c r="E23" s="16" t="str">
        <f aca="false">IF(A23="","",C23&amp;IF(D23="","",", "&amp;D23))</f>
        <v/>
      </c>
      <c r="F23" s="16" t="str">
        <f aca="false">IF(A23="","",COUNTIF(Formulas!$A$2:$A$1501,A23))</f>
        <v/>
      </c>
      <c r="G23" s="16" t="str">
        <f aca="false">IF(A23="","",SUMIFS(Formulas!$K$2:$K$1501,Formulas!$A$2:$A$1501,A23))</f>
        <v/>
      </c>
    </row>
    <row r="24" customFormat="false" ht="15" hidden="false" customHeight="false" outlineLevel="0" collapsed="false">
      <c r="A24" s="15"/>
      <c r="B24" s="15"/>
      <c r="C24" s="16" t="str">
        <f aca="false">IF(A24="","",IFERROR(INDEX(Formulas!$B$2:$B$1501,MATCH(A24&amp;"|1",Formulas!$H$2:$H$1501,0)),""))</f>
        <v/>
      </c>
      <c r="D24" s="16" t="str">
        <f aca="false">IF(A24="","",IFERROR(INDEX(Formulas!$B$2:$B$1501,MATCH(A24&amp;"|2",Formulas!$H$2:$H$1501,0)),""))</f>
        <v/>
      </c>
      <c r="E24" s="16" t="str">
        <f aca="false">IF(A24="","",C24&amp;IF(D24="","",", "&amp;D24))</f>
        <v/>
      </c>
      <c r="F24" s="16" t="str">
        <f aca="false">IF(A24="","",COUNTIF(Formulas!$A$2:$A$1501,A24))</f>
        <v/>
      </c>
      <c r="G24" s="16" t="str">
        <f aca="false">IF(A24="","",SUMIFS(Formulas!$K$2:$K$1501,Formulas!$A$2:$A$1501,A24))</f>
        <v/>
      </c>
    </row>
    <row r="25" customFormat="false" ht="15" hidden="false" customHeight="false" outlineLevel="0" collapsed="false">
      <c r="A25" s="15"/>
      <c r="B25" s="15"/>
      <c r="C25" s="16" t="str">
        <f aca="false">IF(A25="","",IFERROR(INDEX(Formulas!$B$2:$B$1501,MATCH(A25&amp;"|1",Formulas!$H$2:$H$1501,0)),""))</f>
        <v/>
      </c>
      <c r="D25" s="16" t="str">
        <f aca="false">IF(A25="","",IFERROR(INDEX(Formulas!$B$2:$B$1501,MATCH(A25&amp;"|2",Formulas!$H$2:$H$1501,0)),""))</f>
        <v/>
      </c>
      <c r="E25" s="16" t="str">
        <f aca="false">IF(A25="","",C25&amp;IF(D25="","",", "&amp;D25))</f>
        <v/>
      </c>
      <c r="F25" s="16" t="str">
        <f aca="false">IF(A25="","",COUNTIF(Formulas!$A$2:$A$1501,A25))</f>
        <v/>
      </c>
      <c r="G25" s="16" t="str">
        <f aca="false">IF(A25="","",SUMIFS(Formulas!$K$2:$K$1501,Formulas!$A$2:$A$1501,A25))</f>
        <v/>
      </c>
    </row>
    <row r="26" customFormat="false" ht="15" hidden="false" customHeight="false" outlineLevel="0" collapsed="false">
      <c r="A26" s="15"/>
      <c r="B26" s="15"/>
      <c r="C26" s="16" t="str">
        <f aca="false">IF(A26="","",IFERROR(INDEX(Formulas!$B$2:$B$1501,MATCH(A26&amp;"|1",Formulas!$H$2:$H$1501,0)),""))</f>
        <v/>
      </c>
      <c r="D26" s="16" t="str">
        <f aca="false">IF(A26="","",IFERROR(INDEX(Formulas!$B$2:$B$1501,MATCH(A26&amp;"|2",Formulas!$H$2:$H$1501,0)),""))</f>
        <v/>
      </c>
      <c r="E26" s="16" t="str">
        <f aca="false">IF(A26="","",C26&amp;IF(D26="","",", "&amp;D26))</f>
        <v/>
      </c>
      <c r="F26" s="16" t="str">
        <f aca="false">IF(A26="","",COUNTIF(Formulas!$A$2:$A$1501,A26))</f>
        <v/>
      </c>
      <c r="G26" s="16" t="str">
        <f aca="false">IF(A26="","",SUMIFS(Formulas!$K$2:$K$1501,Formulas!$A$2:$A$1501,A26))</f>
        <v/>
      </c>
    </row>
    <row r="27" customFormat="false" ht="15" hidden="false" customHeight="false" outlineLevel="0" collapsed="false">
      <c r="A27" s="15"/>
      <c r="B27" s="15"/>
      <c r="C27" s="16" t="str">
        <f aca="false">IF(A27="","",IFERROR(INDEX(Formulas!$B$2:$B$1501,MATCH(A27&amp;"|1",Formulas!$H$2:$H$1501,0)),""))</f>
        <v/>
      </c>
      <c r="D27" s="16" t="str">
        <f aca="false">IF(A27="","",IFERROR(INDEX(Formulas!$B$2:$B$1501,MATCH(A27&amp;"|2",Formulas!$H$2:$H$1501,0)),""))</f>
        <v/>
      </c>
      <c r="E27" s="16" t="str">
        <f aca="false">IF(A27="","",C27&amp;IF(D27="","",", "&amp;D27))</f>
        <v/>
      </c>
      <c r="F27" s="16" t="str">
        <f aca="false">IF(A27="","",COUNTIF(Formulas!$A$2:$A$1501,A27))</f>
        <v/>
      </c>
      <c r="G27" s="16" t="str">
        <f aca="false">IF(A27="","",SUMIFS(Formulas!$K$2:$K$1501,Formulas!$A$2:$A$1501,A27))</f>
        <v/>
      </c>
    </row>
    <row r="28" customFormat="false" ht="15" hidden="false" customHeight="false" outlineLevel="0" collapsed="false">
      <c r="A28" s="15"/>
      <c r="B28" s="15"/>
      <c r="C28" s="16" t="str">
        <f aca="false">IF(A28="","",IFERROR(INDEX(Formulas!$B$2:$B$1501,MATCH(A28&amp;"|1",Formulas!$H$2:$H$1501,0)),""))</f>
        <v/>
      </c>
      <c r="D28" s="16" t="str">
        <f aca="false">IF(A28="","",IFERROR(INDEX(Formulas!$B$2:$B$1501,MATCH(A28&amp;"|2",Formulas!$H$2:$H$1501,0)),""))</f>
        <v/>
      </c>
      <c r="E28" s="16" t="str">
        <f aca="false">IF(A28="","",C28&amp;IF(D28="","",", "&amp;D28))</f>
        <v/>
      </c>
      <c r="F28" s="16" t="str">
        <f aca="false">IF(A28="","",COUNTIF(Formulas!$A$2:$A$1501,A28))</f>
        <v/>
      </c>
      <c r="G28" s="16" t="str">
        <f aca="false">IF(A28="","",SUMIFS(Formulas!$K$2:$K$1501,Formulas!$A$2:$A$1501,A28))</f>
        <v/>
      </c>
    </row>
    <row r="29" customFormat="false" ht="15" hidden="false" customHeight="false" outlineLevel="0" collapsed="false">
      <c r="A29" s="15"/>
      <c r="B29" s="15"/>
      <c r="C29" s="16" t="str">
        <f aca="false">IF(A29="","",IFERROR(INDEX(Formulas!$B$2:$B$1501,MATCH(A29&amp;"|1",Formulas!$H$2:$H$1501,0)),""))</f>
        <v/>
      </c>
      <c r="D29" s="16" t="str">
        <f aca="false">IF(A29="","",IFERROR(INDEX(Formulas!$B$2:$B$1501,MATCH(A29&amp;"|2",Formulas!$H$2:$H$1501,0)),""))</f>
        <v/>
      </c>
      <c r="E29" s="16" t="str">
        <f aca="false">IF(A29="","",C29&amp;IF(D29="","",", "&amp;D29))</f>
        <v/>
      </c>
      <c r="F29" s="16" t="str">
        <f aca="false">IF(A29="","",COUNTIF(Formulas!$A$2:$A$1501,A29))</f>
        <v/>
      </c>
      <c r="G29" s="16" t="str">
        <f aca="false">IF(A29="","",SUMIFS(Formulas!$K$2:$K$1501,Formulas!$A$2:$A$1501,A29))</f>
        <v/>
      </c>
    </row>
    <row r="30" customFormat="false" ht="15" hidden="false" customHeight="false" outlineLevel="0" collapsed="false">
      <c r="A30" s="15"/>
      <c r="B30" s="15"/>
      <c r="C30" s="16" t="str">
        <f aca="false">IF(A30="","",IFERROR(INDEX(Formulas!$B$2:$B$1501,MATCH(A30&amp;"|1",Formulas!$H$2:$H$1501,0)),""))</f>
        <v/>
      </c>
      <c r="D30" s="16" t="str">
        <f aca="false">IF(A30="","",IFERROR(INDEX(Formulas!$B$2:$B$1501,MATCH(A30&amp;"|2",Formulas!$H$2:$H$1501,0)),""))</f>
        <v/>
      </c>
      <c r="E30" s="16" t="str">
        <f aca="false">IF(A30="","",C30&amp;IF(D30="","",", "&amp;D30))</f>
        <v/>
      </c>
      <c r="F30" s="16" t="str">
        <f aca="false">IF(A30="","",COUNTIF(Formulas!$A$2:$A$1501,A30))</f>
        <v/>
      </c>
      <c r="G30" s="16" t="str">
        <f aca="false">IF(A30="","",SUMIFS(Formulas!$K$2:$K$1501,Formulas!$A$2:$A$1501,A30))</f>
        <v/>
      </c>
    </row>
    <row r="31" customFormat="false" ht="15" hidden="false" customHeight="false" outlineLevel="0" collapsed="false">
      <c r="A31" s="15"/>
      <c r="B31" s="15"/>
      <c r="C31" s="16" t="str">
        <f aca="false">IF(A31="","",IFERROR(INDEX(Formulas!$B$2:$B$1501,MATCH(A31&amp;"|1",Formulas!$H$2:$H$1501,0)),""))</f>
        <v/>
      </c>
      <c r="D31" s="16" t="str">
        <f aca="false">IF(A31="","",IFERROR(INDEX(Formulas!$B$2:$B$1501,MATCH(A31&amp;"|2",Formulas!$H$2:$H$1501,0)),""))</f>
        <v/>
      </c>
      <c r="E31" s="16" t="str">
        <f aca="false">IF(A31="","",C31&amp;IF(D31="","",", "&amp;D31))</f>
        <v/>
      </c>
      <c r="F31" s="16" t="str">
        <f aca="false">IF(A31="","",COUNTIF(Formulas!$A$2:$A$1501,A31))</f>
        <v/>
      </c>
      <c r="G31" s="16" t="str">
        <f aca="false">IF(A31="","",SUMIFS(Formulas!$K$2:$K$1501,Formulas!$A$2:$A$1501,A31))</f>
        <v/>
      </c>
    </row>
    <row r="32" customFormat="false" ht="15" hidden="false" customHeight="false" outlineLevel="0" collapsed="false">
      <c r="A32" s="15"/>
      <c r="B32" s="15"/>
      <c r="C32" s="16" t="str">
        <f aca="false">IF(A32="","",IFERROR(INDEX(Formulas!$B$2:$B$1501,MATCH(A32&amp;"|1",Formulas!$H$2:$H$1501,0)),""))</f>
        <v/>
      </c>
      <c r="D32" s="16" t="str">
        <f aca="false">IF(A32="","",IFERROR(INDEX(Formulas!$B$2:$B$1501,MATCH(A32&amp;"|2",Formulas!$H$2:$H$1501,0)),""))</f>
        <v/>
      </c>
      <c r="E32" s="16" t="str">
        <f aca="false">IF(A32="","",C32&amp;IF(D32="","",", "&amp;D32))</f>
        <v/>
      </c>
      <c r="F32" s="16" t="str">
        <f aca="false">IF(A32="","",COUNTIF(Formulas!$A$2:$A$1501,A32))</f>
        <v/>
      </c>
      <c r="G32" s="16" t="str">
        <f aca="false">IF(A32="","",SUMIFS(Formulas!$K$2:$K$1501,Formulas!$A$2:$A$1501,A32))</f>
        <v/>
      </c>
    </row>
    <row r="33" customFormat="false" ht="15" hidden="false" customHeight="false" outlineLevel="0" collapsed="false">
      <c r="A33" s="15"/>
      <c r="B33" s="15"/>
      <c r="C33" s="16" t="str">
        <f aca="false">IF(A33="","",IFERROR(INDEX(Formulas!$B$2:$B$1501,MATCH(A33&amp;"|1",Formulas!$H$2:$H$1501,0)),""))</f>
        <v/>
      </c>
      <c r="D33" s="16" t="str">
        <f aca="false">IF(A33="","",IFERROR(INDEX(Formulas!$B$2:$B$1501,MATCH(A33&amp;"|2",Formulas!$H$2:$H$1501,0)),""))</f>
        <v/>
      </c>
      <c r="E33" s="16" t="str">
        <f aca="false">IF(A33="","",C33&amp;IF(D33="","",", "&amp;D33))</f>
        <v/>
      </c>
      <c r="F33" s="16" t="str">
        <f aca="false">IF(A33="","",COUNTIF(Formulas!$A$2:$A$1501,A33))</f>
        <v/>
      </c>
      <c r="G33" s="16" t="str">
        <f aca="false">IF(A33="","",SUMIFS(Formulas!$K$2:$K$1501,Formulas!$A$2:$A$1501,A33))</f>
        <v/>
      </c>
    </row>
    <row r="34" customFormat="false" ht="15" hidden="false" customHeight="false" outlineLevel="0" collapsed="false">
      <c r="A34" s="15"/>
      <c r="B34" s="15"/>
      <c r="C34" s="16" t="str">
        <f aca="false">IF(A34="","",IFERROR(INDEX(Formulas!$B$2:$B$1501,MATCH(A34&amp;"|1",Formulas!$H$2:$H$1501,0)),""))</f>
        <v/>
      </c>
      <c r="D34" s="16" t="str">
        <f aca="false">IF(A34="","",IFERROR(INDEX(Formulas!$B$2:$B$1501,MATCH(A34&amp;"|2",Formulas!$H$2:$H$1501,0)),""))</f>
        <v/>
      </c>
      <c r="E34" s="16" t="str">
        <f aca="false">IF(A34="","",C34&amp;IF(D34="","",", "&amp;D34))</f>
        <v/>
      </c>
      <c r="F34" s="16" t="str">
        <f aca="false">IF(A34="","",COUNTIF(Formulas!$A$2:$A$1501,A34))</f>
        <v/>
      </c>
      <c r="G34" s="16" t="str">
        <f aca="false">IF(A34="","",SUMIFS(Formulas!$K$2:$K$1501,Formulas!$A$2:$A$1501,A34))</f>
        <v/>
      </c>
    </row>
    <row r="35" customFormat="false" ht="15" hidden="false" customHeight="false" outlineLevel="0" collapsed="false">
      <c r="A35" s="15"/>
      <c r="B35" s="15"/>
      <c r="C35" s="16" t="str">
        <f aca="false">IF(A35="","",IFERROR(INDEX(Formulas!$B$2:$B$1501,MATCH(A35&amp;"|1",Formulas!$H$2:$H$1501,0)),""))</f>
        <v/>
      </c>
      <c r="D35" s="16" t="str">
        <f aca="false">IF(A35="","",IFERROR(INDEX(Formulas!$B$2:$B$1501,MATCH(A35&amp;"|2",Formulas!$H$2:$H$1501,0)),""))</f>
        <v/>
      </c>
      <c r="E35" s="16" t="str">
        <f aca="false">IF(A35="","",C35&amp;IF(D35="","",", "&amp;D35))</f>
        <v/>
      </c>
      <c r="F35" s="16" t="str">
        <f aca="false">IF(A35="","",COUNTIF(Formulas!$A$2:$A$1501,A35))</f>
        <v/>
      </c>
      <c r="G35" s="16" t="str">
        <f aca="false">IF(A35="","",SUMIFS(Formulas!$K$2:$K$1501,Formulas!$A$2:$A$1501,A35))</f>
        <v/>
      </c>
    </row>
    <row r="36" customFormat="false" ht="15" hidden="false" customHeight="false" outlineLevel="0" collapsed="false">
      <c r="A36" s="15"/>
      <c r="B36" s="15"/>
      <c r="C36" s="16" t="str">
        <f aca="false">IF(A36="","",IFERROR(INDEX(Formulas!$B$2:$B$1501,MATCH(A36&amp;"|1",Formulas!$H$2:$H$1501,0)),""))</f>
        <v/>
      </c>
      <c r="D36" s="16" t="str">
        <f aca="false">IF(A36="","",IFERROR(INDEX(Formulas!$B$2:$B$1501,MATCH(A36&amp;"|2",Formulas!$H$2:$H$1501,0)),""))</f>
        <v/>
      </c>
      <c r="E36" s="16" t="str">
        <f aca="false">IF(A36="","",C36&amp;IF(D36="","",", "&amp;D36))</f>
        <v/>
      </c>
      <c r="F36" s="16" t="str">
        <f aca="false">IF(A36="","",COUNTIF(Formulas!$A$2:$A$1501,A36))</f>
        <v/>
      </c>
      <c r="G36" s="16" t="str">
        <f aca="false">IF(A36="","",SUMIFS(Formulas!$K$2:$K$1501,Formulas!$A$2:$A$1501,A36))</f>
        <v/>
      </c>
    </row>
    <row r="37" customFormat="false" ht="15" hidden="false" customHeight="false" outlineLevel="0" collapsed="false">
      <c r="A37" s="15"/>
      <c r="B37" s="15"/>
      <c r="C37" s="16" t="str">
        <f aca="false">IF(A37="","",IFERROR(INDEX(Formulas!$B$2:$B$1501,MATCH(A37&amp;"|1",Formulas!$H$2:$H$1501,0)),""))</f>
        <v/>
      </c>
      <c r="D37" s="16" t="str">
        <f aca="false">IF(A37="","",IFERROR(INDEX(Formulas!$B$2:$B$1501,MATCH(A37&amp;"|2",Formulas!$H$2:$H$1501,0)),""))</f>
        <v/>
      </c>
      <c r="E37" s="16" t="str">
        <f aca="false">IF(A37="","",C37&amp;IF(D37="","",", "&amp;D37))</f>
        <v/>
      </c>
      <c r="F37" s="16" t="str">
        <f aca="false">IF(A37="","",COUNTIF(Formulas!$A$2:$A$1501,A37))</f>
        <v/>
      </c>
      <c r="G37" s="16" t="str">
        <f aca="false">IF(A37="","",SUMIFS(Formulas!$K$2:$K$1501,Formulas!$A$2:$A$1501,A37))</f>
        <v/>
      </c>
    </row>
    <row r="38" customFormat="false" ht="15" hidden="false" customHeight="false" outlineLevel="0" collapsed="false">
      <c r="A38" s="15"/>
      <c r="B38" s="15"/>
      <c r="C38" s="16" t="str">
        <f aca="false">IF(A38="","",IFERROR(INDEX(Formulas!$B$2:$B$1501,MATCH(A38&amp;"|1",Formulas!$H$2:$H$1501,0)),""))</f>
        <v/>
      </c>
      <c r="D38" s="16" t="str">
        <f aca="false">IF(A38="","",IFERROR(INDEX(Formulas!$B$2:$B$1501,MATCH(A38&amp;"|2",Formulas!$H$2:$H$1501,0)),""))</f>
        <v/>
      </c>
      <c r="E38" s="16" t="str">
        <f aca="false">IF(A38="","",C38&amp;IF(D38="","",", "&amp;D38))</f>
        <v/>
      </c>
      <c r="F38" s="16" t="str">
        <f aca="false">IF(A38="","",COUNTIF(Formulas!$A$2:$A$1501,A38))</f>
        <v/>
      </c>
      <c r="G38" s="16" t="str">
        <f aca="false">IF(A38="","",SUMIFS(Formulas!$K$2:$K$1501,Formulas!$A$2:$A$1501,A38))</f>
        <v/>
      </c>
    </row>
    <row r="39" customFormat="false" ht="15" hidden="false" customHeight="false" outlineLevel="0" collapsed="false">
      <c r="A39" s="15"/>
      <c r="B39" s="15"/>
      <c r="C39" s="16" t="str">
        <f aca="false">IF(A39="","",IFERROR(INDEX(Formulas!$B$2:$B$1501,MATCH(A39&amp;"|1",Formulas!$H$2:$H$1501,0)),""))</f>
        <v/>
      </c>
      <c r="D39" s="16" t="str">
        <f aca="false">IF(A39="","",IFERROR(INDEX(Formulas!$B$2:$B$1501,MATCH(A39&amp;"|2",Formulas!$H$2:$H$1501,0)),""))</f>
        <v/>
      </c>
      <c r="E39" s="16" t="str">
        <f aca="false">IF(A39="","",C39&amp;IF(D39="","",", "&amp;D39))</f>
        <v/>
      </c>
      <c r="F39" s="16" t="str">
        <f aca="false">IF(A39="","",COUNTIF(Formulas!$A$2:$A$1501,A39))</f>
        <v/>
      </c>
      <c r="G39" s="16" t="str">
        <f aca="false">IF(A39="","",SUMIFS(Formulas!$K$2:$K$1501,Formulas!$A$2:$A$1501,A39))</f>
        <v/>
      </c>
    </row>
    <row r="40" customFormat="false" ht="15" hidden="false" customHeight="false" outlineLevel="0" collapsed="false">
      <c r="A40" s="15"/>
      <c r="B40" s="15"/>
      <c r="C40" s="16" t="str">
        <f aca="false">IF(A40="","",IFERROR(INDEX(Formulas!$B$2:$B$1501,MATCH(A40&amp;"|1",Formulas!$H$2:$H$1501,0)),""))</f>
        <v/>
      </c>
      <c r="D40" s="16" t="str">
        <f aca="false">IF(A40="","",IFERROR(INDEX(Formulas!$B$2:$B$1501,MATCH(A40&amp;"|2",Formulas!$H$2:$H$1501,0)),""))</f>
        <v/>
      </c>
      <c r="E40" s="16" t="str">
        <f aca="false">IF(A40="","",C40&amp;IF(D40="","",", "&amp;D40))</f>
        <v/>
      </c>
      <c r="F40" s="16" t="str">
        <f aca="false">IF(A40="","",COUNTIF(Formulas!$A$2:$A$1501,A40))</f>
        <v/>
      </c>
      <c r="G40" s="16" t="str">
        <f aca="false">IF(A40="","",SUMIFS(Formulas!$K$2:$K$1501,Formulas!$A$2:$A$1501,A40))</f>
        <v/>
      </c>
    </row>
    <row r="41" customFormat="false" ht="15" hidden="false" customHeight="false" outlineLevel="0" collapsed="false">
      <c r="A41" s="15"/>
      <c r="B41" s="15"/>
      <c r="C41" s="16" t="str">
        <f aca="false">IF(A41="","",IFERROR(INDEX(Formulas!$B$2:$B$1501,MATCH(A41&amp;"|1",Formulas!$H$2:$H$1501,0)),""))</f>
        <v/>
      </c>
      <c r="D41" s="16" t="str">
        <f aca="false">IF(A41="","",IFERROR(INDEX(Formulas!$B$2:$B$1501,MATCH(A41&amp;"|2",Formulas!$H$2:$H$1501,0)),""))</f>
        <v/>
      </c>
      <c r="E41" s="16" t="str">
        <f aca="false">IF(A41="","",C41&amp;IF(D41="","",", "&amp;D41))</f>
        <v/>
      </c>
      <c r="F41" s="16" t="str">
        <f aca="false">IF(A41="","",COUNTIF(Formulas!$A$2:$A$1501,A41))</f>
        <v/>
      </c>
      <c r="G41" s="16" t="str">
        <f aca="false">IF(A41="","",SUMIFS(Formulas!$K$2:$K$1501,Formulas!$A$2:$A$1501,A41))</f>
        <v/>
      </c>
    </row>
    <row r="42" customFormat="false" ht="15" hidden="false" customHeight="false" outlineLevel="0" collapsed="false">
      <c r="A42" s="15"/>
      <c r="B42" s="15"/>
      <c r="C42" s="16" t="str">
        <f aca="false">IF(A42="","",IFERROR(INDEX(Formulas!$B$2:$B$1501,MATCH(A42&amp;"|1",Formulas!$H$2:$H$1501,0)),""))</f>
        <v/>
      </c>
      <c r="D42" s="16" t="str">
        <f aca="false">IF(A42="","",IFERROR(INDEX(Formulas!$B$2:$B$1501,MATCH(A42&amp;"|2",Formulas!$H$2:$H$1501,0)),""))</f>
        <v/>
      </c>
      <c r="E42" s="16" t="str">
        <f aca="false">IF(A42="","",C42&amp;IF(D42="","",", "&amp;D42))</f>
        <v/>
      </c>
      <c r="F42" s="16" t="str">
        <f aca="false">IF(A42="","",COUNTIF(Formulas!$A$2:$A$1501,A42))</f>
        <v/>
      </c>
      <c r="G42" s="16" t="str">
        <f aca="false">IF(A42="","",SUMIFS(Formulas!$K$2:$K$1501,Formulas!$A$2:$A$1501,A42))</f>
        <v/>
      </c>
    </row>
    <row r="43" customFormat="false" ht="15" hidden="false" customHeight="false" outlineLevel="0" collapsed="false">
      <c r="A43" s="15"/>
      <c r="B43" s="15"/>
      <c r="C43" s="16" t="str">
        <f aca="false">IF(A43="","",IFERROR(INDEX(Formulas!$B$2:$B$1501,MATCH(A43&amp;"|1",Formulas!$H$2:$H$1501,0)),""))</f>
        <v/>
      </c>
      <c r="D43" s="16" t="str">
        <f aca="false">IF(A43="","",IFERROR(INDEX(Formulas!$B$2:$B$1501,MATCH(A43&amp;"|2",Formulas!$H$2:$H$1501,0)),""))</f>
        <v/>
      </c>
      <c r="E43" s="16" t="str">
        <f aca="false">IF(A43="","",C43&amp;IF(D43="","",", "&amp;D43))</f>
        <v/>
      </c>
      <c r="F43" s="16" t="str">
        <f aca="false">IF(A43="","",COUNTIF(Formulas!$A$2:$A$1501,A43))</f>
        <v/>
      </c>
      <c r="G43" s="16" t="str">
        <f aca="false">IF(A43="","",SUMIFS(Formulas!$K$2:$K$1501,Formulas!$A$2:$A$1501,A43))</f>
        <v/>
      </c>
    </row>
    <row r="44" customFormat="false" ht="15" hidden="false" customHeight="false" outlineLevel="0" collapsed="false">
      <c r="A44" s="15"/>
      <c r="B44" s="15"/>
      <c r="C44" s="16" t="str">
        <f aca="false">IF(A44="","",IFERROR(INDEX(Formulas!$B$2:$B$1501,MATCH(A44&amp;"|1",Formulas!$H$2:$H$1501,0)),""))</f>
        <v/>
      </c>
      <c r="D44" s="16" t="str">
        <f aca="false">IF(A44="","",IFERROR(INDEX(Formulas!$B$2:$B$1501,MATCH(A44&amp;"|2",Formulas!$H$2:$H$1501,0)),""))</f>
        <v/>
      </c>
      <c r="E44" s="16" t="str">
        <f aca="false">IF(A44="","",C44&amp;IF(D44="","",", "&amp;D44))</f>
        <v/>
      </c>
      <c r="F44" s="16" t="str">
        <f aca="false">IF(A44="","",COUNTIF(Formulas!$A$2:$A$1501,A44))</f>
        <v/>
      </c>
      <c r="G44" s="16" t="str">
        <f aca="false">IF(A44="","",SUMIFS(Formulas!$K$2:$K$1501,Formulas!$A$2:$A$1501,A44))</f>
        <v/>
      </c>
    </row>
    <row r="45" customFormat="false" ht="15" hidden="false" customHeight="false" outlineLevel="0" collapsed="false">
      <c r="A45" s="15"/>
      <c r="B45" s="15"/>
      <c r="C45" s="16" t="str">
        <f aca="false">IF(A45="","",IFERROR(INDEX(Formulas!$B$2:$B$1501,MATCH(A45&amp;"|1",Formulas!$H$2:$H$1501,0)),""))</f>
        <v/>
      </c>
      <c r="D45" s="16" t="str">
        <f aca="false">IF(A45="","",IFERROR(INDEX(Formulas!$B$2:$B$1501,MATCH(A45&amp;"|2",Formulas!$H$2:$H$1501,0)),""))</f>
        <v/>
      </c>
      <c r="E45" s="16" t="str">
        <f aca="false">IF(A45="","",C45&amp;IF(D45="","",", "&amp;D45))</f>
        <v/>
      </c>
      <c r="F45" s="16" t="str">
        <f aca="false">IF(A45="","",COUNTIF(Formulas!$A$2:$A$1501,A45))</f>
        <v/>
      </c>
      <c r="G45" s="16" t="str">
        <f aca="false">IF(A45="","",SUMIFS(Formulas!$K$2:$K$1501,Formulas!$A$2:$A$1501,A45))</f>
        <v/>
      </c>
    </row>
    <row r="46" customFormat="false" ht="15" hidden="false" customHeight="false" outlineLevel="0" collapsed="false">
      <c r="A46" s="15"/>
      <c r="B46" s="15"/>
      <c r="C46" s="16" t="str">
        <f aca="false">IF(A46="","",IFERROR(INDEX(Formulas!$B$2:$B$1501,MATCH(A46&amp;"|1",Formulas!$H$2:$H$1501,0)),""))</f>
        <v/>
      </c>
      <c r="D46" s="16" t="str">
        <f aca="false">IF(A46="","",IFERROR(INDEX(Formulas!$B$2:$B$1501,MATCH(A46&amp;"|2",Formulas!$H$2:$H$1501,0)),""))</f>
        <v/>
      </c>
      <c r="E46" s="16" t="str">
        <f aca="false">IF(A46="","",C46&amp;IF(D46="","",", "&amp;D46))</f>
        <v/>
      </c>
      <c r="F46" s="16" t="str">
        <f aca="false">IF(A46="","",COUNTIF(Formulas!$A$2:$A$1501,A46))</f>
        <v/>
      </c>
      <c r="G46" s="16" t="str">
        <f aca="false">IF(A46="","",SUMIFS(Formulas!$K$2:$K$1501,Formulas!$A$2:$A$1501,A46))</f>
        <v/>
      </c>
    </row>
    <row r="47" customFormat="false" ht="15" hidden="false" customHeight="false" outlineLevel="0" collapsed="false">
      <c r="A47" s="15"/>
      <c r="B47" s="15"/>
      <c r="C47" s="16" t="str">
        <f aca="false">IF(A47="","",IFERROR(INDEX(Formulas!$B$2:$B$1501,MATCH(A47&amp;"|1",Formulas!$H$2:$H$1501,0)),""))</f>
        <v/>
      </c>
      <c r="D47" s="16" t="str">
        <f aca="false">IF(A47="","",IFERROR(INDEX(Formulas!$B$2:$B$1501,MATCH(A47&amp;"|2",Formulas!$H$2:$H$1501,0)),""))</f>
        <v/>
      </c>
      <c r="E47" s="16" t="str">
        <f aca="false">IF(A47="","",C47&amp;IF(D47="","",", "&amp;D47))</f>
        <v/>
      </c>
      <c r="F47" s="16" t="str">
        <f aca="false">IF(A47="","",COUNTIF(Formulas!$A$2:$A$1501,A47))</f>
        <v/>
      </c>
      <c r="G47" s="16" t="str">
        <f aca="false">IF(A47="","",SUMIFS(Formulas!$K$2:$K$1501,Formulas!$A$2:$A$1501,A47))</f>
        <v/>
      </c>
    </row>
    <row r="48" customFormat="false" ht="15" hidden="false" customHeight="false" outlineLevel="0" collapsed="false">
      <c r="A48" s="15"/>
      <c r="B48" s="15"/>
      <c r="C48" s="16" t="str">
        <f aca="false">IF(A48="","",IFERROR(INDEX(Formulas!$B$2:$B$1501,MATCH(A48&amp;"|1",Formulas!$H$2:$H$1501,0)),""))</f>
        <v/>
      </c>
      <c r="D48" s="16" t="str">
        <f aca="false">IF(A48="","",IFERROR(INDEX(Formulas!$B$2:$B$1501,MATCH(A48&amp;"|2",Formulas!$H$2:$H$1501,0)),""))</f>
        <v/>
      </c>
      <c r="E48" s="16" t="str">
        <f aca="false">IF(A48="","",C48&amp;IF(D48="","",", "&amp;D48))</f>
        <v/>
      </c>
      <c r="F48" s="16" t="str">
        <f aca="false">IF(A48="","",COUNTIF(Formulas!$A$2:$A$1501,A48))</f>
        <v/>
      </c>
      <c r="G48" s="16" t="str">
        <f aca="false">IF(A48="","",SUMIFS(Formulas!$K$2:$K$1501,Formulas!$A$2:$A$1501,A48))</f>
        <v/>
      </c>
    </row>
    <row r="49" customFormat="false" ht="15" hidden="false" customHeight="false" outlineLevel="0" collapsed="false">
      <c r="A49" s="15"/>
      <c r="B49" s="15"/>
      <c r="C49" s="16" t="str">
        <f aca="false">IF(A49="","",IFERROR(INDEX(Formulas!$B$2:$B$1501,MATCH(A49&amp;"|1",Formulas!$H$2:$H$1501,0)),""))</f>
        <v/>
      </c>
      <c r="D49" s="16" t="str">
        <f aca="false">IF(A49="","",IFERROR(INDEX(Formulas!$B$2:$B$1501,MATCH(A49&amp;"|2",Formulas!$H$2:$H$1501,0)),""))</f>
        <v/>
      </c>
      <c r="E49" s="16" t="str">
        <f aca="false">IF(A49="","",C49&amp;IF(D49="","",", "&amp;D49))</f>
        <v/>
      </c>
      <c r="F49" s="16" t="str">
        <f aca="false">IF(A49="","",COUNTIF(Formulas!$A$2:$A$1501,A49))</f>
        <v/>
      </c>
      <c r="G49" s="16" t="str">
        <f aca="false">IF(A49="","",SUMIFS(Formulas!$K$2:$K$1501,Formulas!$A$2:$A$1501,A49))</f>
        <v/>
      </c>
    </row>
    <row r="50" customFormat="false" ht="15" hidden="false" customHeight="false" outlineLevel="0" collapsed="false">
      <c r="A50" s="15"/>
      <c r="B50" s="15"/>
      <c r="C50" s="16" t="str">
        <f aca="false">IF(A50="","",IFERROR(INDEX(Formulas!$B$2:$B$1501,MATCH(A50&amp;"|1",Formulas!$H$2:$H$1501,0)),""))</f>
        <v/>
      </c>
      <c r="D50" s="16" t="str">
        <f aca="false">IF(A50="","",IFERROR(INDEX(Formulas!$B$2:$B$1501,MATCH(A50&amp;"|2",Formulas!$H$2:$H$1501,0)),""))</f>
        <v/>
      </c>
      <c r="E50" s="16" t="str">
        <f aca="false">IF(A50="","",C50&amp;IF(D50="","",", "&amp;D50))</f>
        <v/>
      </c>
      <c r="F50" s="16" t="str">
        <f aca="false">IF(A50="","",COUNTIF(Formulas!$A$2:$A$1501,A50))</f>
        <v/>
      </c>
      <c r="G50" s="16" t="str">
        <f aca="false">IF(A50="","",SUMIFS(Formulas!$K$2:$K$1501,Formulas!$A$2:$A$1501,A50))</f>
        <v/>
      </c>
    </row>
    <row r="51" customFormat="false" ht="15" hidden="false" customHeight="false" outlineLevel="0" collapsed="false">
      <c r="A51" s="15"/>
      <c r="B51" s="15"/>
      <c r="C51" s="16" t="str">
        <f aca="false">IF(A51="","",IFERROR(INDEX(Formulas!$B$2:$B$1501,MATCH(A51&amp;"|1",Formulas!$H$2:$H$1501,0)),""))</f>
        <v/>
      </c>
      <c r="D51" s="16" t="str">
        <f aca="false">IF(A51="","",IFERROR(INDEX(Formulas!$B$2:$B$1501,MATCH(A51&amp;"|2",Formulas!$H$2:$H$1501,0)),""))</f>
        <v/>
      </c>
      <c r="E51" s="16" t="str">
        <f aca="false">IF(A51="","",C51&amp;IF(D51="","",", "&amp;D51))</f>
        <v/>
      </c>
      <c r="F51" s="16" t="str">
        <f aca="false">IF(A51="","",COUNTIF(Formulas!$A$2:$A$1501,A51))</f>
        <v/>
      </c>
      <c r="G51" s="16" t="str">
        <f aca="false">IF(A51="","",SUMIFS(Formulas!$K$2:$K$1501,Formulas!$A$2:$A$1501,A51))</f>
        <v/>
      </c>
    </row>
    <row r="52" customFormat="false" ht="15" hidden="false" customHeight="false" outlineLevel="0" collapsed="false">
      <c r="A52" s="15"/>
      <c r="B52" s="15"/>
      <c r="C52" s="16" t="str">
        <f aca="false">IF(A52="","",IFERROR(INDEX(Formulas!$B$2:$B$1501,MATCH(A52&amp;"|1",Formulas!$H$2:$H$1501,0)),""))</f>
        <v/>
      </c>
      <c r="D52" s="16" t="str">
        <f aca="false">IF(A52="","",IFERROR(INDEX(Formulas!$B$2:$B$1501,MATCH(A52&amp;"|2",Formulas!$H$2:$H$1501,0)),""))</f>
        <v/>
      </c>
      <c r="E52" s="16" t="str">
        <f aca="false">IF(A52="","",C52&amp;IF(D52="","",", "&amp;D52))</f>
        <v/>
      </c>
      <c r="F52" s="16" t="str">
        <f aca="false">IF(A52="","",COUNTIF(Formulas!$A$2:$A$1501,A52))</f>
        <v/>
      </c>
      <c r="G52" s="16" t="str">
        <f aca="false">IF(A52="","",SUMIFS(Formulas!$K$2:$K$1501,Formulas!$A$2:$A$1501,A52))</f>
        <v/>
      </c>
    </row>
    <row r="53" customFormat="false" ht="15" hidden="false" customHeight="false" outlineLevel="0" collapsed="false">
      <c r="A53" s="15"/>
      <c r="B53" s="15"/>
      <c r="C53" s="16" t="str">
        <f aca="false">IF(A53="","",IFERROR(INDEX(Formulas!$B$2:$B$1501,MATCH(A53&amp;"|1",Formulas!$H$2:$H$1501,0)),""))</f>
        <v/>
      </c>
      <c r="D53" s="16" t="str">
        <f aca="false">IF(A53="","",IFERROR(INDEX(Formulas!$B$2:$B$1501,MATCH(A53&amp;"|2",Formulas!$H$2:$H$1501,0)),""))</f>
        <v/>
      </c>
      <c r="E53" s="16" t="str">
        <f aca="false">IF(A53="","",C53&amp;IF(D53="","",", "&amp;D53))</f>
        <v/>
      </c>
      <c r="F53" s="16" t="str">
        <f aca="false">IF(A53="","",COUNTIF(Formulas!$A$2:$A$1501,A53))</f>
        <v/>
      </c>
      <c r="G53" s="16" t="str">
        <f aca="false">IF(A53="","",SUMIFS(Formulas!$K$2:$K$1501,Formulas!$A$2:$A$1501,A53))</f>
        <v/>
      </c>
    </row>
    <row r="54" customFormat="false" ht="15" hidden="false" customHeight="false" outlineLevel="0" collapsed="false">
      <c r="A54" s="15"/>
      <c r="B54" s="15"/>
      <c r="C54" s="16" t="str">
        <f aca="false">IF(A54="","",IFERROR(INDEX(Formulas!$B$2:$B$1501,MATCH(A54&amp;"|1",Formulas!$H$2:$H$1501,0)),""))</f>
        <v/>
      </c>
      <c r="D54" s="16" t="str">
        <f aca="false">IF(A54="","",IFERROR(INDEX(Formulas!$B$2:$B$1501,MATCH(A54&amp;"|2",Formulas!$H$2:$H$1501,0)),""))</f>
        <v/>
      </c>
      <c r="E54" s="16" t="str">
        <f aca="false">IF(A54="","",C54&amp;IF(D54="","",", "&amp;D54))</f>
        <v/>
      </c>
      <c r="F54" s="16" t="str">
        <f aca="false">IF(A54="","",COUNTIF(Formulas!$A$2:$A$1501,A54))</f>
        <v/>
      </c>
      <c r="G54" s="16" t="str">
        <f aca="false">IF(A54="","",SUMIFS(Formulas!$K$2:$K$1501,Formulas!$A$2:$A$1501,A54))</f>
        <v/>
      </c>
    </row>
    <row r="55" customFormat="false" ht="15" hidden="false" customHeight="false" outlineLevel="0" collapsed="false">
      <c r="A55" s="15"/>
      <c r="B55" s="15"/>
      <c r="C55" s="16" t="str">
        <f aca="false">IF(A55="","",IFERROR(INDEX(Formulas!$B$2:$B$1501,MATCH(A55&amp;"|1",Formulas!$H$2:$H$1501,0)),""))</f>
        <v/>
      </c>
      <c r="D55" s="16" t="str">
        <f aca="false">IF(A55="","",IFERROR(INDEX(Formulas!$B$2:$B$1501,MATCH(A55&amp;"|2",Formulas!$H$2:$H$1501,0)),""))</f>
        <v/>
      </c>
      <c r="E55" s="16" t="str">
        <f aca="false">IF(A55="","",C55&amp;IF(D55="","",", "&amp;D55))</f>
        <v/>
      </c>
      <c r="F55" s="16" t="str">
        <f aca="false">IF(A55="","",COUNTIF(Formulas!$A$2:$A$1501,A55))</f>
        <v/>
      </c>
      <c r="G55" s="16" t="str">
        <f aca="false">IF(A55="","",SUMIFS(Formulas!$K$2:$K$1501,Formulas!$A$2:$A$1501,A55))</f>
        <v/>
      </c>
    </row>
    <row r="56" customFormat="false" ht="15" hidden="false" customHeight="false" outlineLevel="0" collapsed="false">
      <c r="A56" s="15"/>
      <c r="B56" s="15"/>
      <c r="C56" s="16" t="str">
        <f aca="false">IF(A56="","",IFERROR(INDEX(Formulas!$B$2:$B$1501,MATCH(A56&amp;"|1",Formulas!$H$2:$H$1501,0)),""))</f>
        <v/>
      </c>
      <c r="D56" s="16" t="str">
        <f aca="false">IF(A56="","",IFERROR(INDEX(Formulas!$B$2:$B$1501,MATCH(A56&amp;"|2",Formulas!$H$2:$H$1501,0)),""))</f>
        <v/>
      </c>
      <c r="E56" s="16" t="str">
        <f aca="false">IF(A56="","",C56&amp;IF(D56="","",", "&amp;D56))</f>
        <v/>
      </c>
      <c r="F56" s="16" t="str">
        <f aca="false">IF(A56="","",COUNTIF(Formulas!$A$2:$A$1501,A56))</f>
        <v/>
      </c>
      <c r="G56" s="16" t="str">
        <f aca="false">IF(A56="","",SUMIFS(Formulas!$K$2:$K$1501,Formulas!$A$2:$A$1501,A56))</f>
        <v/>
      </c>
    </row>
    <row r="57" customFormat="false" ht="15" hidden="false" customHeight="false" outlineLevel="0" collapsed="false">
      <c r="A57" s="15"/>
      <c r="B57" s="15"/>
      <c r="C57" s="16" t="str">
        <f aca="false">IF(A57="","",IFERROR(INDEX(Formulas!$B$2:$B$1501,MATCH(A57&amp;"|1",Formulas!$H$2:$H$1501,0)),""))</f>
        <v/>
      </c>
      <c r="D57" s="16" t="str">
        <f aca="false">IF(A57="","",IFERROR(INDEX(Formulas!$B$2:$B$1501,MATCH(A57&amp;"|2",Formulas!$H$2:$H$1501,0)),""))</f>
        <v/>
      </c>
      <c r="E57" s="16" t="str">
        <f aca="false">IF(A57="","",C57&amp;IF(D57="","",", "&amp;D57))</f>
        <v/>
      </c>
      <c r="F57" s="16" t="str">
        <f aca="false">IF(A57="","",COUNTIF(Formulas!$A$2:$A$1501,A57))</f>
        <v/>
      </c>
      <c r="G57" s="16" t="str">
        <f aca="false">IF(A57="","",SUMIFS(Formulas!$K$2:$K$1501,Formulas!$A$2:$A$1501,A57))</f>
        <v/>
      </c>
    </row>
    <row r="58" customFormat="false" ht="15" hidden="false" customHeight="false" outlineLevel="0" collapsed="false">
      <c r="A58" s="15"/>
      <c r="B58" s="15"/>
      <c r="C58" s="16" t="str">
        <f aca="false">IF(A58="","",IFERROR(INDEX(Formulas!$B$2:$B$1501,MATCH(A58&amp;"|1",Formulas!$H$2:$H$1501,0)),""))</f>
        <v/>
      </c>
      <c r="D58" s="16" t="str">
        <f aca="false">IF(A58="","",IFERROR(INDEX(Formulas!$B$2:$B$1501,MATCH(A58&amp;"|2",Formulas!$H$2:$H$1501,0)),""))</f>
        <v/>
      </c>
      <c r="E58" s="16" t="str">
        <f aca="false">IF(A58="","",C58&amp;IF(D58="","",", "&amp;D58))</f>
        <v/>
      </c>
      <c r="F58" s="16" t="str">
        <f aca="false">IF(A58="","",COUNTIF(Formulas!$A$2:$A$1501,A58))</f>
        <v/>
      </c>
      <c r="G58" s="16" t="str">
        <f aca="false">IF(A58="","",SUMIFS(Formulas!$K$2:$K$1501,Formulas!$A$2:$A$1501,A58))</f>
        <v/>
      </c>
    </row>
    <row r="59" customFormat="false" ht="15" hidden="false" customHeight="false" outlineLevel="0" collapsed="false">
      <c r="A59" s="15"/>
      <c r="B59" s="15"/>
      <c r="C59" s="16" t="str">
        <f aca="false">IF(A59="","",IFERROR(INDEX(Formulas!$B$2:$B$1501,MATCH(A59&amp;"|1",Formulas!$H$2:$H$1501,0)),""))</f>
        <v/>
      </c>
      <c r="D59" s="16" t="str">
        <f aca="false">IF(A59="","",IFERROR(INDEX(Formulas!$B$2:$B$1501,MATCH(A59&amp;"|2",Formulas!$H$2:$H$1501,0)),""))</f>
        <v/>
      </c>
      <c r="E59" s="16" t="str">
        <f aca="false">IF(A59="","",C59&amp;IF(D59="","",", "&amp;D59))</f>
        <v/>
      </c>
      <c r="F59" s="16" t="str">
        <f aca="false">IF(A59="","",COUNTIF(Formulas!$A$2:$A$1501,A59))</f>
        <v/>
      </c>
      <c r="G59" s="16" t="str">
        <f aca="false">IF(A59="","",SUMIFS(Formulas!$K$2:$K$1501,Formulas!$A$2:$A$1501,A59))</f>
        <v/>
      </c>
    </row>
    <row r="60" customFormat="false" ht="15" hidden="false" customHeight="false" outlineLevel="0" collapsed="false">
      <c r="A60" s="15"/>
      <c r="B60" s="15"/>
      <c r="C60" s="16" t="str">
        <f aca="false">IF(A60="","",IFERROR(INDEX(Formulas!$B$2:$B$1501,MATCH(A60&amp;"|1",Formulas!$H$2:$H$1501,0)),""))</f>
        <v/>
      </c>
      <c r="D60" s="16" t="str">
        <f aca="false">IF(A60="","",IFERROR(INDEX(Formulas!$B$2:$B$1501,MATCH(A60&amp;"|2",Formulas!$H$2:$H$1501,0)),""))</f>
        <v/>
      </c>
      <c r="E60" s="16" t="str">
        <f aca="false">IF(A60="","",C60&amp;IF(D60="","",", "&amp;D60))</f>
        <v/>
      </c>
      <c r="F60" s="16" t="str">
        <f aca="false">IF(A60="","",COUNTIF(Formulas!$A$2:$A$1501,A60))</f>
        <v/>
      </c>
      <c r="G60" s="16" t="str">
        <f aca="false">IF(A60="","",SUMIFS(Formulas!$K$2:$K$1501,Formulas!$A$2:$A$1501,A60))</f>
        <v/>
      </c>
    </row>
    <row r="61" customFormat="false" ht="15" hidden="false" customHeight="false" outlineLevel="0" collapsed="false">
      <c r="A61" s="15"/>
      <c r="B61" s="15"/>
      <c r="C61" s="16" t="str">
        <f aca="false">IF(A61="","",IFERROR(INDEX(Formulas!$B$2:$B$1501,MATCH(A61&amp;"|1",Formulas!$H$2:$H$1501,0)),""))</f>
        <v/>
      </c>
      <c r="D61" s="16" t="str">
        <f aca="false">IF(A61="","",IFERROR(INDEX(Formulas!$B$2:$B$1501,MATCH(A61&amp;"|2",Formulas!$H$2:$H$1501,0)),""))</f>
        <v/>
      </c>
      <c r="E61" s="16" t="str">
        <f aca="false">IF(A61="","",C61&amp;IF(D61="","",", "&amp;D61))</f>
        <v/>
      </c>
      <c r="F61" s="16" t="str">
        <f aca="false">IF(A61="","",COUNTIF(Formulas!$A$2:$A$1501,A61))</f>
        <v/>
      </c>
      <c r="G61" s="16" t="str">
        <f aca="false">IF(A61="","",SUMIFS(Formulas!$K$2:$K$1501,Formulas!$A$2:$A$1501,A61))</f>
        <v/>
      </c>
    </row>
  </sheetData>
  <autoFilter ref="A1:G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K1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3"/>
    <col collapsed="false" customWidth="true" hidden="false" outlineLevel="0" max="6" min="6" style="0" width="24"/>
    <col collapsed="false" customWidth="true" hidden="false" outlineLevel="0" max="7" min="7" style="0" width="28"/>
    <col collapsed="false" customWidth="true" hidden="false" outlineLevel="0" max="8" min="8" style="0" width="18"/>
    <col collapsed="false" customWidth="true" hidden="false" outlineLevel="0" max="9" min="9" style="0" width="30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30" hidden="false" customHeight="true" outlineLevel="0" collapsed="false">
      <c r="A1" s="10" t="s">
        <v>39</v>
      </c>
      <c r="B1" s="10" t="s">
        <v>49</v>
      </c>
      <c r="C1" s="10" t="s">
        <v>42</v>
      </c>
      <c r="D1" s="10" t="s">
        <v>121</v>
      </c>
      <c r="F1" s="11" t="s">
        <v>122</v>
      </c>
      <c r="G1" s="11" t="s">
        <v>123</v>
      </c>
      <c r="H1" s="11" t="s">
        <v>124</v>
      </c>
      <c r="I1" s="11" t="s">
        <v>125</v>
      </c>
      <c r="J1" s="11" t="s">
        <v>126</v>
      </c>
      <c r="K1" s="11" t="s">
        <v>127</v>
      </c>
    </row>
    <row r="2" customFormat="false" ht="15" hidden="false" customHeight="false" outlineLevel="0" collapsed="false">
      <c r="A2" s="15" t="s">
        <v>47</v>
      </c>
      <c r="B2" s="15" t="s">
        <v>57</v>
      </c>
      <c r="C2" s="15"/>
      <c r="D2" s="15"/>
      <c r="F2" s="18" t="str">
        <f aca="false">IF(B2="","",IFERROR(INDEX(Materials!$B$2:$B$201,MATCH(B2,Materials!$A$2:$A$201,0)),""))</f>
        <v>Active</v>
      </c>
      <c r="G2" s="18" t="str">
        <f aca="true">IF(AND(A2="",B2=""),"",IF(A2="","Missing product",IF(B2="","Missing material",IF(COUNTIF(ProductList,A2)=0,"Product not in Products list",IF(COUNTIF(MaterialList,B2)=0,"Material not in Materials list","OK")))))</f>
        <v>OK</v>
      </c>
      <c r="H2" s="18" t="str">
        <f aca="false">IF(F2="Active",A2&amp;"|"&amp;COUNTIFS(A$2:A2,A2,F$2:F2,"Active"),"")</f>
        <v>Product 1|1</v>
      </c>
      <c r="I2" s="18" t="str">
        <f aca="false">IF(B2="","",IF(SUMPRODUCT(MAX((A$1:A1=A2)*(B$1:B1=B2)*ROW(A$1:A1)))=0,C2&amp;"",IF(C2="",INDEX(I$1:I1,SUMPRODUCT(MAX((A$1:A1=A2)*(B$1:B1=B2)*ROW(A$1:A1)))),IF(INDEX(I$1:I1,SUMPRODUCT(MAX((A$1:A1=A2)*(B$1:B1=B2)*ROW(A$1:A1))))="",C2&amp;"",INDEX(I$1:I1,SUMPRODUCT(MAX((A$1:A1=A2)*(B$1:B1=B2)*ROW(A$1:A1))))&amp;"; "&amp;C2))))</f>
        <v/>
      </c>
      <c r="J2" s="18" t="str">
        <f aca="false">IF(A2="","",A2&amp;"|"&amp;COUNTIF(A$2:A2,A2))</f>
        <v>Product 1|1</v>
      </c>
      <c r="K2" s="18" t="n">
        <f aca="false">IF(OR(A2="",B2=""),0,IF(COUNTIFS(A$2:A2,A2,B$2:B2,B2)=1,1,0))</f>
        <v>1</v>
      </c>
    </row>
    <row r="3" customFormat="false" ht="15" hidden="false" customHeight="false" outlineLevel="0" collapsed="false">
      <c r="A3" s="15" t="s">
        <v>47</v>
      </c>
      <c r="B3" s="15" t="s">
        <v>34</v>
      </c>
      <c r="C3" s="15" t="s">
        <v>128</v>
      </c>
      <c r="D3" s="15"/>
      <c r="F3" s="18" t="str">
        <f aca="false">IF(B3="","",IFERROR(INDEX(Materials!$B$2:$B$201,MATCH(B3,Materials!$A$2:$A$201,0)),""))</f>
        <v>Disintegrant</v>
      </c>
      <c r="G3" s="18" t="str">
        <f aca="true">IF(AND(A3="",B3=""),"",IF(A3="","Missing product",IF(B3="","Missing material",IF(COUNTIF(ProductList,A3)=0,"Product not in Products list",IF(COUNTIF(MaterialList,B3)=0,"Material not in Materials list","OK")))))</f>
        <v>OK</v>
      </c>
      <c r="H3" s="18" t="str">
        <f aca="false">IF(F3="Active",A3&amp;"|"&amp;COUNTIFS(A$2:A3,A3,F$2:F3,"Active"),"")</f>
        <v/>
      </c>
      <c r="I3" s="18" t="str">
        <f aca="false">IF(B3="","",IF(SUMPRODUCT(MAX((A$1:A2=A3)*(B$1:B2=B3)*ROW(A$1:A2)))=0,C3&amp;"",IF(C3="",INDEX(I$1:I2,SUMPRODUCT(MAX((A$1:A2=A3)*(B$1:B2=B3)*ROW(A$1:A2)))),IF(INDEX(I$1:I2,SUMPRODUCT(MAX((A$1:A2=A3)*(B$1:B2=B3)*ROW(A$1:A2))))="",C3&amp;"",INDEX(I$1:I2,SUMPRODUCT(MAX((A$1:A2=A3)*(B$1:B2=B3)*ROW(A$1:A2))))&amp;"; "&amp;C3))))</f>
        <v>Intra-granular</v>
      </c>
      <c r="J3" s="18" t="str">
        <f aca="false">IF(A3="","",A3&amp;"|"&amp;COUNTIF(A$2:A3,A3))</f>
        <v>Product 1|2</v>
      </c>
      <c r="K3" s="18" t="n">
        <f aca="false">IF(OR(A3="",B3=""),0,IF(COUNTIFS(A$2:A3,A3,B$2:B3,B3)=1,1,0))</f>
        <v>1</v>
      </c>
    </row>
    <row r="4" customFormat="false" ht="15" hidden="false" customHeight="false" outlineLevel="0" collapsed="false">
      <c r="A4" s="15" t="s">
        <v>47</v>
      </c>
      <c r="B4" s="15" t="s">
        <v>60</v>
      </c>
      <c r="C4" s="15"/>
      <c r="D4" s="15"/>
      <c r="F4" s="18" t="str">
        <f aca="false">IF(B4="","",IFERROR(INDEX(Materials!$B$2:$B$201,MATCH(B4,Materials!$A$2:$A$201,0)),""))</f>
        <v>Surfactant</v>
      </c>
      <c r="G4" s="18" t="str">
        <f aca="true">IF(AND(A4="",B4=""),"",IF(A4="","Missing product",IF(B4="","Missing material",IF(COUNTIF(ProductList,A4)=0,"Product not in Products list",IF(COUNTIF(MaterialList,B4)=0,"Material not in Materials list","OK")))))</f>
        <v>OK</v>
      </c>
      <c r="H4" s="18" t="str">
        <f aca="false">IF(F4="Active",A4&amp;"|"&amp;COUNTIFS(A$2:A4,A4,F$2:F4,"Active"),"")</f>
        <v/>
      </c>
      <c r="I4" s="18" t="str">
        <f aca="false">IF(B4="","",IF(SUMPRODUCT(MAX((A$1:A3=A4)*(B$1:B3=B4)*ROW(A$1:A3)))=0,C4&amp;"",IF(C4="",INDEX(I$1:I3,SUMPRODUCT(MAX((A$1:A3=A4)*(B$1:B3=B4)*ROW(A$1:A3)))),IF(INDEX(I$1:I3,SUMPRODUCT(MAX((A$1:A3=A4)*(B$1:B3=B4)*ROW(A$1:A3))))="",C4&amp;"",INDEX(I$1:I3,SUMPRODUCT(MAX((A$1:A3=A4)*(B$1:B3=B4)*ROW(A$1:A3))))&amp;"; "&amp;C4))))</f>
        <v/>
      </c>
      <c r="J4" s="18" t="str">
        <f aca="false">IF(A4="","",A4&amp;"|"&amp;COUNTIF(A$2:A4,A4))</f>
        <v>Product 1|3</v>
      </c>
      <c r="K4" s="18" t="n">
        <f aca="false">IF(OR(A4="",B4=""),0,IF(COUNTIFS(A$2:A4,A4,B$2:B4,B4)=1,1,0))</f>
        <v>1</v>
      </c>
    </row>
    <row r="5" customFormat="false" ht="15" hidden="false" customHeight="false" outlineLevel="0" collapsed="false">
      <c r="A5" s="15" t="s">
        <v>47</v>
      </c>
      <c r="B5" s="15" t="s">
        <v>62</v>
      </c>
      <c r="C5" s="15"/>
      <c r="D5" s="15"/>
      <c r="F5" s="18" t="str">
        <f aca="false">IF(B5="","",IFERROR(INDEX(Materials!$B$2:$B$201,MATCH(B5,Materials!$A$2:$A$201,0)),""))</f>
        <v>Filler / Diluent</v>
      </c>
      <c r="G5" s="18" t="str">
        <f aca="true">IF(AND(A5="",B5=""),"",IF(A5="","Missing product",IF(B5="","Missing material",IF(COUNTIF(ProductList,A5)=0,"Product not in Products list",IF(COUNTIF(MaterialList,B5)=0,"Material not in Materials list","OK")))))</f>
        <v>OK</v>
      </c>
      <c r="H5" s="18" t="str">
        <f aca="false">IF(F5="Active",A5&amp;"|"&amp;COUNTIFS(A$2:A5,A5,F$2:F5,"Active"),"")</f>
        <v/>
      </c>
      <c r="I5" s="18" t="str">
        <f aca="false">IF(B5="","",IF(SUMPRODUCT(MAX((A$1:A4=A5)*(B$1:B4=B5)*ROW(A$1:A4)))=0,C5&amp;"",IF(C5="",INDEX(I$1:I4,SUMPRODUCT(MAX((A$1:A4=A5)*(B$1:B4=B5)*ROW(A$1:A4)))),IF(INDEX(I$1:I4,SUMPRODUCT(MAX((A$1:A4=A5)*(B$1:B4=B5)*ROW(A$1:A4))))="",C5&amp;"",INDEX(I$1:I4,SUMPRODUCT(MAX((A$1:A4=A5)*(B$1:B4=B5)*ROW(A$1:A4))))&amp;"; "&amp;C5))))</f>
        <v/>
      </c>
      <c r="J5" s="18" t="str">
        <f aca="false">IF(A5="","",A5&amp;"|"&amp;COUNTIF(A$2:A5,A5))</f>
        <v>Product 1|4</v>
      </c>
      <c r="K5" s="18" t="n">
        <f aca="false">IF(OR(A5="",B5=""),0,IF(COUNTIFS(A$2:A5,A5,B$2:B5,B5)=1,1,0))</f>
        <v>1</v>
      </c>
    </row>
    <row r="6" customFormat="false" ht="15" hidden="false" customHeight="false" outlineLevel="0" collapsed="false">
      <c r="A6" s="15" t="s">
        <v>47</v>
      </c>
      <c r="B6" s="15" t="s">
        <v>64</v>
      </c>
      <c r="C6" s="15" t="s">
        <v>129</v>
      </c>
      <c r="D6" s="15"/>
      <c r="F6" s="18" t="str">
        <f aca="false">IF(B6="","",IFERROR(INDEX(Materials!$B$2:$B$201,MATCH(B6,Materials!$A$2:$A$201,0)),""))</f>
        <v>Binder</v>
      </c>
      <c r="G6" s="18" t="str">
        <f aca="true">IF(AND(A6="",B6=""),"",IF(A6="","Missing product",IF(B6="","Missing material",IF(COUNTIF(ProductList,A6)=0,"Product not in Products list",IF(COUNTIF(MaterialList,B6)=0,"Material not in Materials list","OK")))))</f>
        <v>OK</v>
      </c>
      <c r="H6" s="18" t="str">
        <f aca="false">IF(F6="Active",A6&amp;"|"&amp;COUNTIFS(A$2:A6,A6,F$2:F6,"Active"),"")</f>
        <v/>
      </c>
      <c r="I6" s="18" t="str">
        <f aca="false">IF(B6="","",IF(SUMPRODUCT(MAX((A$1:A5=A6)*(B$1:B5=B6)*ROW(A$1:A5)))=0,C6&amp;"",IF(C6="",INDEX(I$1:I5,SUMPRODUCT(MAX((A$1:A5=A6)*(B$1:B5=B6)*ROW(A$1:A5)))),IF(INDEX(I$1:I5,SUMPRODUCT(MAX((A$1:A5=A6)*(B$1:B5=B6)*ROW(A$1:A5))))="",C6&amp;"",INDEX(I$1:I5,SUMPRODUCT(MAX((A$1:A5=A6)*(B$1:B5=B6)*ROW(A$1:A5))))&amp;"; "&amp;C6))))</f>
        <v>Binder Solution</v>
      </c>
      <c r="J6" s="18" t="str">
        <f aca="false">IF(A6="","",A6&amp;"|"&amp;COUNTIF(A$2:A6,A6))</f>
        <v>Product 1|5</v>
      </c>
      <c r="K6" s="18" t="n">
        <f aca="false">IF(OR(A6="",B6=""),0,IF(COUNTIFS(A$2:A6,A6,B$2:B6,B6)=1,1,0))</f>
        <v>1</v>
      </c>
    </row>
    <row r="7" customFormat="false" ht="15" hidden="false" customHeight="false" outlineLevel="0" collapsed="false">
      <c r="A7" s="15" t="s">
        <v>47</v>
      </c>
      <c r="B7" s="15" t="s">
        <v>66</v>
      </c>
      <c r="C7" s="15" t="s">
        <v>130</v>
      </c>
      <c r="D7" s="15"/>
      <c r="F7" s="18" t="str">
        <f aca="false">IF(B7="","",IFERROR(INDEX(Materials!$B$2:$B$201,MATCH(B7,Materials!$A$2:$A$201,0)),""))</f>
        <v>Solvent</v>
      </c>
      <c r="G7" s="18" t="str">
        <f aca="true">IF(AND(A7="",B7=""),"",IF(A7="","Missing product",IF(B7="","Missing material",IF(COUNTIF(ProductList,A7)=0,"Product not in Products list",IF(COUNTIF(MaterialList,B7)=0,"Material not in Materials list","OK")))))</f>
        <v>OK</v>
      </c>
      <c r="H7" s="18" t="str">
        <f aca="false">IF(F7="Active",A7&amp;"|"&amp;COUNTIFS(A$2:A7,A7,F$2:F7,"Active"),"")</f>
        <v/>
      </c>
      <c r="I7" s="18" t="str">
        <f aca="false">IF(B7="","",IF(SUMPRODUCT(MAX((A$1:A6=A7)*(B$1:B6=B7)*ROW(A$1:A6)))=0,C7&amp;"",IF(C7="",INDEX(I$1:I6,SUMPRODUCT(MAX((A$1:A6=A7)*(B$1:B6=B7)*ROW(A$1:A6)))),IF(INDEX(I$1:I6,SUMPRODUCT(MAX((A$1:A6=A7)*(B$1:B6=B7)*ROW(A$1:A6))))="",C7&amp;"",INDEX(I$1:I6,SUMPRODUCT(MAX((A$1:A6=A7)*(B$1:B6=B7)*ROW(A$1:A6))))&amp;"; "&amp;C7))))</f>
        <v>Binder Solvent</v>
      </c>
      <c r="J7" s="18" t="str">
        <f aca="false">IF(A7="","",A7&amp;"|"&amp;COUNTIF(A$2:A7,A7))</f>
        <v>Product 1|6</v>
      </c>
      <c r="K7" s="18" t="n">
        <f aca="false">IF(OR(A7="",B7=""),0,IF(COUNTIFS(A$2:A7,A7,B$2:B7,B7)=1,1,0))</f>
        <v>1</v>
      </c>
    </row>
    <row r="8" customFormat="false" ht="15" hidden="false" customHeight="false" outlineLevel="0" collapsed="false">
      <c r="A8" s="15" t="s">
        <v>47</v>
      </c>
      <c r="B8" s="15" t="s">
        <v>68</v>
      </c>
      <c r="C8" s="15"/>
      <c r="D8" s="15"/>
      <c r="F8" s="18" t="str">
        <f aca="false">IF(B8="","",IFERROR(INDEX(Materials!$B$2:$B$201,MATCH(B8,Materials!$A$2:$A$201,0)),""))</f>
        <v>Active</v>
      </c>
      <c r="G8" s="18" t="str">
        <f aca="true">IF(AND(A8="",B8=""),"",IF(A8="","Missing product",IF(B8="","Missing material",IF(COUNTIF(ProductList,A8)=0,"Product not in Products list",IF(COUNTIF(MaterialList,B8)=0,"Material not in Materials list","OK")))))</f>
        <v>OK</v>
      </c>
      <c r="H8" s="18" t="str">
        <f aca="false">IF(F8="Active",A8&amp;"|"&amp;COUNTIFS(A$2:A8,A8,F$2:F8,"Active"),"")</f>
        <v>Product 1|2</v>
      </c>
      <c r="I8" s="18" t="str">
        <f aca="false">IF(B8="","",IF(SUMPRODUCT(MAX((A$1:A7=A8)*(B$1:B7=B8)*ROW(A$1:A7)))=0,C8&amp;"",IF(C8="",INDEX(I$1:I7,SUMPRODUCT(MAX((A$1:A7=A8)*(B$1:B7=B8)*ROW(A$1:A7)))),IF(INDEX(I$1:I7,SUMPRODUCT(MAX((A$1:A7=A8)*(B$1:B7=B8)*ROW(A$1:A7))))="",C8&amp;"",INDEX(I$1:I7,SUMPRODUCT(MAX((A$1:A7=A8)*(B$1:B7=B8)*ROW(A$1:A7))))&amp;"; "&amp;C8))))</f>
        <v/>
      </c>
      <c r="J8" s="18" t="str">
        <f aca="false">IF(A8="","",A8&amp;"|"&amp;COUNTIF(A$2:A8,A8))</f>
        <v>Product 1|7</v>
      </c>
      <c r="K8" s="18" t="n">
        <f aca="false">IF(OR(A8="",B8=""),0,IF(COUNTIFS(A$2:A8,A8,B$2:B8,B8)=1,1,0))</f>
        <v>1</v>
      </c>
    </row>
    <row r="9" customFormat="false" ht="15" hidden="false" customHeight="false" outlineLevel="0" collapsed="false">
      <c r="A9" s="15" t="s">
        <v>47</v>
      </c>
      <c r="B9" s="15" t="s">
        <v>34</v>
      </c>
      <c r="C9" s="15" t="s">
        <v>131</v>
      </c>
      <c r="D9" s="15"/>
      <c r="F9" s="18" t="str">
        <f aca="false">IF(B9="","",IFERROR(INDEX(Materials!$B$2:$B$201,MATCH(B9,Materials!$A$2:$A$201,0)),""))</f>
        <v>Disintegrant</v>
      </c>
      <c r="G9" s="18" t="str">
        <f aca="true">IF(AND(A9="",B9=""),"",IF(A9="","Missing product",IF(B9="","Missing material",IF(COUNTIF(ProductList,A9)=0,"Product not in Products list",IF(COUNTIF(MaterialList,B9)=0,"Material not in Materials list","OK")))))</f>
        <v>OK</v>
      </c>
      <c r="H9" s="18" t="str">
        <f aca="false">IF(F9="Active",A9&amp;"|"&amp;COUNTIFS(A$2:A9,A9,F$2:F9,"Active"),"")</f>
        <v/>
      </c>
      <c r="I9" s="18" t="str">
        <f aca="false">IF(B9="","",IF(SUMPRODUCT(MAX((A$1:A8=A9)*(B$1:B8=B9)*ROW(A$1:A8)))=0,C9&amp;"",IF(C9="",INDEX(I$1:I8,SUMPRODUCT(MAX((A$1:A8=A9)*(B$1:B8=B9)*ROW(A$1:A8)))),IF(INDEX(I$1:I8,SUMPRODUCT(MAX((A$1:A8=A9)*(B$1:B8=B9)*ROW(A$1:A8))))="",C9&amp;"",INDEX(I$1:I8,SUMPRODUCT(MAX((A$1:A8=A9)*(B$1:B8=B9)*ROW(A$1:A8))))&amp;"; "&amp;C9))))</f>
        <v>Intra-granular; Extra-granular</v>
      </c>
      <c r="J9" s="18" t="str">
        <f aca="false">IF(A9="","",A9&amp;"|"&amp;COUNTIF(A$2:A9,A9))</f>
        <v>Product 1|8</v>
      </c>
      <c r="K9" s="18" t="n">
        <f aca="false">IF(OR(A9="",B9=""),0,IF(COUNTIFS(A$2:A9,A9,B$2:B9,B9)=1,1,0))</f>
        <v>0</v>
      </c>
    </row>
    <row r="10" customFormat="false" ht="15" hidden="false" customHeight="false" outlineLevel="0" collapsed="false">
      <c r="A10" s="15" t="s">
        <v>47</v>
      </c>
      <c r="B10" s="15" t="s">
        <v>69</v>
      </c>
      <c r="C10" s="15"/>
      <c r="D10" s="15"/>
      <c r="F10" s="18" t="str">
        <f aca="false">IF(B10="","",IFERROR(INDEX(Materials!$B$2:$B$201,MATCH(B10,Materials!$A$2:$A$201,0)),""))</f>
        <v>Filler / Diluent</v>
      </c>
      <c r="G10" s="18" t="str">
        <f aca="true">IF(AND(A10="",B10=""),"",IF(A10="","Missing product",IF(B10="","Missing material",IF(COUNTIF(ProductList,A10)=0,"Product not in Products list",IF(COUNTIF(MaterialList,B10)=0,"Material not in Materials list","OK")))))</f>
        <v>OK</v>
      </c>
      <c r="H10" s="18" t="str">
        <f aca="false">IF(F10="Active",A10&amp;"|"&amp;COUNTIFS(A$2:A10,A10,F$2:F10,"Active"),"")</f>
        <v/>
      </c>
      <c r="I10" s="18" t="str">
        <f aca="false">IF(B10="","",IF(SUMPRODUCT(MAX((A$1:A9=A10)*(B$1:B9=B10)*ROW(A$1:A9)))=0,C10&amp;"",IF(C10="",INDEX(I$1:I9,SUMPRODUCT(MAX((A$1:A9=A10)*(B$1:B9=B10)*ROW(A$1:A9)))),IF(INDEX(I$1:I9,SUMPRODUCT(MAX((A$1:A9=A10)*(B$1:B9=B10)*ROW(A$1:A9))))="",C10&amp;"",INDEX(I$1:I9,SUMPRODUCT(MAX((A$1:A9=A10)*(B$1:B9=B10)*ROW(A$1:A9))))&amp;"; "&amp;C10))))</f>
        <v/>
      </c>
      <c r="J10" s="18" t="str">
        <f aca="false">IF(A10="","",A10&amp;"|"&amp;COUNTIF(A$2:A10,A10))</f>
        <v>Product 1|9</v>
      </c>
      <c r="K10" s="18" t="n">
        <f aca="false">IF(OR(A10="",B10=""),0,IF(COUNTIFS(A$2:A10,A10,B$2:B10,B10)=1,1,0))</f>
        <v>1</v>
      </c>
    </row>
    <row r="11" customFormat="false" ht="15" hidden="false" customHeight="false" outlineLevel="0" collapsed="false">
      <c r="A11" s="15" t="s">
        <v>47</v>
      </c>
      <c r="B11" s="15" t="s">
        <v>64</v>
      </c>
      <c r="C11" s="15" t="s">
        <v>132</v>
      </c>
      <c r="D11" s="15"/>
      <c r="F11" s="18" t="str">
        <f aca="false">IF(B11="","",IFERROR(INDEX(Materials!$B$2:$B$201,MATCH(B11,Materials!$A$2:$A$201,0)),""))</f>
        <v>Binder</v>
      </c>
      <c r="G11" s="18" t="str">
        <f aca="true">IF(AND(A11="",B11=""),"",IF(A11="","Missing product",IF(B11="","Missing material",IF(COUNTIF(ProductList,A11)=0,"Product not in Products list",IF(COUNTIF(MaterialList,B11)=0,"Material not in Materials list","OK")))))</f>
        <v>OK</v>
      </c>
      <c r="H11" s="18" t="str">
        <f aca="false">IF(F11="Active",A11&amp;"|"&amp;COUNTIFS(A$2:A11,A11,F$2:F11,"Active"),"")</f>
        <v/>
      </c>
      <c r="I11" s="18" t="str">
        <f aca="false">IF(B11="","",IF(SUMPRODUCT(MAX((A$1:A10=A11)*(B$1:B10=B11)*ROW(A$1:A10)))=0,C11&amp;"",IF(C11="",INDEX(I$1:I10,SUMPRODUCT(MAX((A$1:A10=A11)*(B$1:B10=B11)*ROW(A$1:A10)))),IF(INDEX(I$1:I10,SUMPRODUCT(MAX((A$1:A10=A11)*(B$1:B10=B11)*ROW(A$1:A10))))="",C11&amp;"",INDEX(I$1:I10,SUMPRODUCT(MAX((A$1:A10=A11)*(B$1:B10=B11)*ROW(A$1:A10))))&amp;"; "&amp;C11))))</f>
        <v>Binder Solution; Dry Binder</v>
      </c>
      <c r="J11" s="18" t="str">
        <f aca="false">IF(A11="","",A11&amp;"|"&amp;COUNTIF(A$2:A11,A11))</f>
        <v>Product 1|10</v>
      </c>
      <c r="K11" s="18" t="n">
        <f aca="false">IF(OR(A11="",B11=""),0,IF(COUNTIFS(A$2:A11,A11,B$2:B11,B11)=1,1,0))</f>
        <v>0</v>
      </c>
    </row>
    <row r="12" customFormat="false" ht="15" hidden="false" customHeight="false" outlineLevel="0" collapsed="false">
      <c r="A12" s="15" t="s">
        <v>47</v>
      </c>
      <c r="B12" s="15" t="s">
        <v>71</v>
      </c>
      <c r="C12" s="15"/>
      <c r="D12" s="15"/>
      <c r="F12" s="18" t="str">
        <f aca="false">IF(B12="","",IFERROR(INDEX(Materials!$B$2:$B$201,MATCH(B12,Materials!$A$2:$A$201,0)),""))</f>
        <v>Glidant</v>
      </c>
      <c r="G12" s="18" t="str">
        <f aca="true">IF(AND(A12="",B12=""),"",IF(A12="","Missing product",IF(B12="","Missing material",IF(COUNTIF(ProductList,A12)=0,"Product not in Products list",IF(COUNTIF(MaterialList,B12)=0,"Material not in Materials list","OK")))))</f>
        <v>OK</v>
      </c>
      <c r="H12" s="18" t="str">
        <f aca="false">IF(F12="Active",A12&amp;"|"&amp;COUNTIFS(A$2:A12,A12,F$2:F12,"Active"),"")</f>
        <v/>
      </c>
      <c r="I12" s="18" t="str">
        <f aca="false">IF(B12="","",IF(SUMPRODUCT(MAX((A$1:A11=A12)*(B$1:B11=B12)*ROW(A$1:A11)))=0,C12&amp;"",IF(C12="",INDEX(I$1:I11,SUMPRODUCT(MAX((A$1:A11=A12)*(B$1:B11=B12)*ROW(A$1:A11)))),IF(INDEX(I$1:I11,SUMPRODUCT(MAX((A$1:A11=A12)*(B$1:B11=B12)*ROW(A$1:A11))))="",C12&amp;"",INDEX(I$1:I11,SUMPRODUCT(MAX((A$1:A11=A12)*(B$1:B11=B12)*ROW(A$1:A11))))&amp;"; "&amp;C12))))</f>
        <v/>
      </c>
      <c r="J12" s="18" t="str">
        <f aca="false">IF(A12="","",A12&amp;"|"&amp;COUNTIF(A$2:A12,A12))</f>
        <v>Product 1|11</v>
      </c>
      <c r="K12" s="18" t="n">
        <f aca="false">IF(OR(A12="",B12=""),0,IF(COUNTIFS(A$2:A12,A12,B$2:B12,B12)=1,1,0))</f>
        <v>1</v>
      </c>
    </row>
    <row r="13" customFormat="false" ht="15" hidden="false" customHeight="false" outlineLevel="0" collapsed="false">
      <c r="A13" s="15" t="s">
        <v>47</v>
      </c>
      <c r="B13" s="15" t="s">
        <v>73</v>
      </c>
      <c r="C13" s="15"/>
      <c r="D13" s="15"/>
      <c r="F13" s="18" t="str">
        <f aca="false">IF(B13="","",IFERROR(INDEX(Materials!$B$2:$B$201,MATCH(B13,Materials!$A$2:$A$201,0)),""))</f>
        <v>Lubricant</v>
      </c>
      <c r="G13" s="18" t="str">
        <f aca="true">IF(AND(A13="",B13=""),"",IF(A13="","Missing product",IF(B13="","Missing material",IF(COUNTIF(ProductList,A13)=0,"Product not in Products list",IF(COUNTIF(MaterialList,B13)=0,"Material not in Materials list","OK")))))</f>
        <v>OK</v>
      </c>
      <c r="H13" s="18" t="str">
        <f aca="false">IF(F13="Active",A13&amp;"|"&amp;COUNTIFS(A$2:A13,A13,F$2:F13,"Active"),"")</f>
        <v/>
      </c>
      <c r="I13" s="18" t="str">
        <f aca="false">IF(B13="","",IF(SUMPRODUCT(MAX((A$1:A12=A13)*(B$1:B12=B13)*ROW(A$1:A12)))=0,C13&amp;"",IF(C13="",INDEX(I$1:I12,SUMPRODUCT(MAX((A$1:A12=A13)*(B$1:B12=B13)*ROW(A$1:A12)))),IF(INDEX(I$1:I12,SUMPRODUCT(MAX((A$1:A12=A13)*(B$1:B12=B13)*ROW(A$1:A12))))="",C13&amp;"",INDEX(I$1:I12,SUMPRODUCT(MAX((A$1:A12=A13)*(B$1:B12=B13)*ROW(A$1:A12))))&amp;"; "&amp;C13))))</f>
        <v/>
      </c>
      <c r="J13" s="18" t="str">
        <f aca="false">IF(A13="","",A13&amp;"|"&amp;COUNTIF(A$2:A13,A13))</f>
        <v>Product 1|12</v>
      </c>
      <c r="K13" s="18" t="n">
        <f aca="false">IF(OR(A13="",B13=""),0,IF(COUNTIFS(A$2:A13,A13,B$2:B13,B13)=1,1,0))</f>
        <v>1</v>
      </c>
    </row>
    <row r="14" customFormat="false" ht="15" hidden="false" customHeight="false" outlineLevel="0" collapsed="false">
      <c r="A14" s="15" t="s">
        <v>47</v>
      </c>
      <c r="B14" s="15" t="s">
        <v>75</v>
      </c>
      <c r="C14" s="15"/>
      <c r="D14" s="15"/>
      <c r="F14" s="18" t="str">
        <f aca="false">IF(B14="","",IFERROR(INDEX(Materials!$B$2:$B$201,MATCH(B14,Materials!$A$2:$A$201,0)),""))</f>
        <v>Binder / Coating Polymer</v>
      </c>
      <c r="G14" s="18" t="str">
        <f aca="true">IF(AND(A14="",B14=""),"",IF(A14="","Missing product",IF(B14="","Missing material",IF(COUNTIF(ProductList,A14)=0,"Product not in Products list",IF(COUNTIF(MaterialList,B14)=0,"Material not in Materials list","OK")))))</f>
        <v>OK</v>
      </c>
      <c r="H14" s="18" t="str">
        <f aca="false">IF(F14="Active",A14&amp;"|"&amp;COUNTIFS(A$2:A14,A14,F$2:F14,"Active"),"")</f>
        <v/>
      </c>
      <c r="I14" s="18" t="str">
        <f aca="false">IF(B14="","",IF(SUMPRODUCT(MAX((A$1:A13=A14)*(B$1:B13=B14)*ROW(A$1:A13)))=0,C14&amp;"",IF(C14="",INDEX(I$1:I13,SUMPRODUCT(MAX((A$1:A13=A14)*(B$1:B13=B14)*ROW(A$1:A13)))),IF(INDEX(I$1:I13,SUMPRODUCT(MAX((A$1:A13=A14)*(B$1:B13=B14)*ROW(A$1:A13))))="",C14&amp;"",INDEX(I$1:I13,SUMPRODUCT(MAX((A$1:A13=A14)*(B$1:B13=B14)*ROW(A$1:A13))))&amp;"; "&amp;C14))))</f>
        <v/>
      </c>
      <c r="J14" s="18" t="str">
        <f aca="false">IF(A14="","",A14&amp;"|"&amp;COUNTIF(A$2:A14,A14))</f>
        <v>Product 1|13</v>
      </c>
      <c r="K14" s="18" t="n">
        <f aca="false">IF(OR(A14="",B14=""),0,IF(COUNTIFS(A$2:A14,A14,B$2:B14,B14)=1,1,0))</f>
        <v>1</v>
      </c>
    </row>
    <row r="15" customFormat="false" ht="15" hidden="false" customHeight="false" outlineLevel="0" collapsed="false">
      <c r="A15" s="15" t="s">
        <v>47</v>
      </c>
      <c r="B15" s="15" t="s">
        <v>78</v>
      </c>
      <c r="C15" s="15"/>
      <c r="D15" s="15"/>
      <c r="F15" s="18" t="str">
        <f aca="false">IF(B15="","",IFERROR(INDEX(Materials!$B$2:$B$201,MATCH(B15,Materials!$A$2:$A$201,0)),""))</f>
        <v>Plasticizer</v>
      </c>
      <c r="G15" s="18" t="str">
        <f aca="true">IF(AND(A15="",B15=""),"",IF(A15="","Missing product",IF(B15="","Missing material",IF(COUNTIF(ProductList,A15)=0,"Product not in Products list",IF(COUNTIF(MaterialList,B15)=0,"Material not in Materials list","OK")))))</f>
        <v>OK</v>
      </c>
      <c r="H15" s="18" t="str">
        <f aca="false">IF(F15="Active",A15&amp;"|"&amp;COUNTIFS(A$2:A15,A15,F$2:F15,"Active"),"")</f>
        <v/>
      </c>
      <c r="I15" s="18" t="str">
        <f aca="false">IF(B15="","",IF(SUMPRODUCT(MAX((A$1:A14=A15)*(B$1:B14=B15)*ROW(A$1:A14)))=0,C15&amp;"",IF(C15="",INDEX(I$1:I14,SUMPRODUCT(MAX((A$1:A14=A15)*(B$1:B14=B15)*ROW(A$1:A14)))),IF(INDEX(I$1:I14,SUMPRODUCT(MAX((A$1:A14=A15)*(B$1:B14=B15)*ROW(A$1:A14))))="",C15&amp;"",INDEX(I$1:I14,SUMPRODUCT(MAX((A$1:A14=A15)*(B$1:B14=B15)*ROW(A$1:A14))))&amp;"; "&amp;C15))))</f>
        <v/>
      </c>
      <c r="J15" s="18" t="str">
        <f aca="false">IF(A15="","",A15&amp;"|"&amp;COUNTIF(A$2:A15,A15))</f>
        <v>Product 1|14</v>
      </c>
      <c r="K15" s="18" t="n">
        <f aca="false">IF(OR(A15="",B15=""),0,IF(COUNTIFS(A$2:A15,A15,B$2:B15,B15)=1,1,0))</f>
        <v>1</v>
      </c>
    </row>
    <row r="16" customFormat="false" ht="15" hidden="false" customHeight="false" outlineLevel="0" collapsed="false">
      <c r="A16" s="15" t="s">
        <v>47</v>
      </c>
      <c r="B16" s="15" t="s">
        <v>81</v>
      </c>
      <c r="C16" s="15"/>
      <c r="D16" s="15"/>
      <c r="F16" s="18" t="str">
        <f aca="false">IF(B16="","",IFERROR(INDEX(Materials!$B$2:$B$201,MATCH(B16,Materials!$A$2:$A$201,0)),""))</f>
        <v>Opacifier</v>
      </c>
      <c r="G16" s="18" t="str">
        <f aca="true">IF(AND(A16="",B16=""),"",IF(A16="","Missing product",IF(B16="","Missing material",IF(COUNTIF(ProductList,A16)=0,"Product not in Products list",IF(COUNTIF(MaterialList,B16)=0,"Material not in Materials list","OK")))))</f>
        <v>OK</v>
      </c>
      <c r="H16" s="18" t="str">
        <f aca="false">IF(F16="Active",A16&amp;"|"&amp;COUNTIFS(A$2:A16,A16,F$2:F16,"Active"),"")</f>
        <v/>
      </c>
      <c r="I16" s="18" t="str">
        <f aca="false">IF(B16="","",IF(SUMPRODUCT(MAX((A$1:A15=A16)*(B$1:B15=B16)*ROW(A$1:A15)))=0,C16&amp;"",IF(C16="",INDEX(I$1:I15,SUMPRODUCT(MAX((A$1:A15=A16)*(B$1:B15=B16)*ROW(A$1:A15)))),IF(INDEX(I$1:I15,SUMPRODUCT(MAX((A$1:A15=A16)*(B$1:B15=B16)*ROW(A$1:A15))))="",C16&amp;"",INDEX(I$1:I15,SUMPRODUCT(MAX((A$1:A15=A16)*(B$1:B15=B16)*ROW(A$1:A15))))&amp;"; "&amp;C16))))</f>
        <v/>
      </c>
      <c r="J16" s="18" t="str">
        <f aca="false">IF(A16="","",A16&amp;"|"&amp;COUNTIF(A$2:A16,A16))</f>
        <v>Product 1|15</v>
      </c>
      <c r="K16" s="18" t="n">
        <f aca="false">IF(OR(A16="",B16=""),0,IF(COUNTIFS(A$2:A16,A16,B$2:B16,B16)=1,1,0))</f>
        <v>1</v>
      </c>
    </row>
    <row r="17" customFormat="false" ht="15" hidden="false" customHeight="false" outlineLevel="0" collapsed="false">
      <c r="A17" s="15" t="s">
        <v>47</v>
      </c>
      <c r="B17" s="15" t="s">
        <v>83</v>
      </c>
      <c r="C17" s="15"/>
      <c r="D17" s="15"/>
      <c r="F17" s="18" t="str">
        <f aca="false">IF(B17="","",IFERROR(INDEX(Materials!$B$2:$B$201,MATCH(B17,Materials!$A$2:$A$201,0)),""))</f>
        <v>Glidant / Anti-tacking</v>
      </c>
      <c r="G17" s="18" t="str">
        <f aca="true">IF(AND(A17="",B17=""),"",IF(A17="","Missing product",IF(B17="","Missing material",IF(COUNTIF(ProductList,A17)=0,"Product not in Products list",IF(COUNTIF(MaterialList,B17)=0,"Material not in Materials list","OK")))))</f>
        <v>OK</v>
      </c>
      <c r="H17" s="18" t="str">
        <f aca="false">IF(F17="Active",A17&amp;"|"&amp;COUNTIFS(A$2:A17,A17,F$2:F17,"Active"),"")</f>
        <v/>
      </c>
      <c r="I17" s="18" t="str">
        <f aca="false">IF(B17="","",IF(SUMPRODUCT(MAX((A$1:A16=A17)*(B$1:B16=B17)*ROW(A$1:A16)))=0,C17&amp;"",IF(C17="",INDEX(I$1:I16,SUMPRODUCT(MAX((A$1:A16=A17)*(B$1:B16=B17)*ROW(A$1:A16)))),IF(INDEX(I$1:I16,SUMPRODUCT(MAX((A$1:A16=A17)*(B$1:B16=B17)*ROW(A$1:A16))))="",C17&amp;"",INDEX(I$1:I16,SUMPRODUCT(MAX((A$1:A16=A17)*(B$1:B16=B17)*ROW(A$1:A16))))&amp;"; "&amp;C17))))</f>
        <v/>
      </c>
      <c r="J17" s="18" t="str">
        <f aca="false">IF(A17="","",A17&amp;"|"&amp;COUNTIF(A$2:A17,A17))</f>
        <v>Product 1|16</v>
      </c>
      <c r="K17" s="18" t="n">
        <f aca="false">IF(OR(A17="",B17=""),0,IF(COUNTIFS(A$2:A17,A17,B$2:B17,B17)=1,1,0))</f>
        <v>1</v>
      </c>
    </row>
    <row r="18" customFormat="false" ht="15" hidden="false" customHeight="false" outlineLevel="0" collapsed="false">
      <c r="A18" s="15" t="s">
        <v>47</v>
      </c>
      <c r="B18" s="15" t="s">
        <v>85</v>
      </c>
      <c r="C18" s="15"/>
      <c r="D18" s="15"/>
      <c r="F18" s="18" t="str">
        <f aca="false">IF(B18="","",IFERROR(INDEX(Materials!$B$2:$B$201,MATCH(B18,Materials!$A$2:$A$201,0)),""))</f>
        <v>Colorant</v>
      </c>
      <c r="G18" s="18" t="str">
        <f aca="true">IF(AND(A18="",B18=""),"",IF(A18="","Missing product",IF(B18="","Missing material",IF(COUNTIF(ProductList,A18)=0,"Product not in Products list",IF(COUNTIF(MaterialList,B18)=0,"Material not in Materials list","OK")))))</f>
        <v>OK</v>
      </c>
      <c r="H18" s="18" t="str">
        <f aca="false">IF(F18="Active",A18&amp;"|"&amp;COUNTIFS(A$2:A18,A18,F$2:F18,"Active"),"")</f>
        <v/>
      </c>
      <c r="I18" s="18" t="str">
        <f aca="false">IF(B18="","",IF(SUMPRODUCT(MAX((A$1:A17=A18)*(B$1:B17=B18)*ROW(A$1:A17)))=0,C18&amp;"",IF(C18="",INDEX(I$1:I17,SUMPRODUCT(MAX((A$1:A17=A18)*(B$1:B17=B18)*ROW(A$1:A17)))),IF(INDEX(I$1:I17,SUMPRODUCT(MAX((A$1:A17=A18)*(B$1:B17=B18)*ROW(A$1:A17))))="",C18&amp;"",INDEX(I$1:I17,SUMPRODUCT(MAX((A$1:A17=A18)*(B$1:B17=B18)*ROW(A$1:A17))))&amp;"; "&amp;C18))))</f>
        <v/>
      </c>
      <c r="J18" s="18" t="str">
        <f aca="false">IF(A18="","",A18&amp;"|"&amp;COUNTIF(A$2:A18,A18))</f>
        <v>Product 1|17</v>
      </c>
      <c r="K18" s="18" t="n">
        <f aca="false">IF(OR(A18="",B18=""),0,IF(COUNTIFS(A$2:A18,A18,B$2:B18,B18)=1,1,0))</f>
        <v>1</v>
      </c>
    </row>
    <row r="19" customFormat="false" ht="15" hidden="false" customHeight="false" outlineLevel="0" collapsed="false">
      <c r="A19" s="15" t="s">
        <v>47</v>
      </c>
      <c r="B19" s="15" t="s">
        <v>66</v>
      </c>
      <c r="C19" s="15" t="s">
        <v>133</v>
      </c>
      <c r="D19" s="15"/>
      <c r="F19" s="18" t="str">
        <f aca="false">IF(B19="","",IFERROR(INDEX(Materials!$B$2:$B$201,MATCH(B19,Materials!$A$2:$A$201,0)),""))</f>
        <v>Solvent</v>
      </c>
      <c r="G19" s="18" t="str">
        <f aca="true">IF(AND(A19="",B19=""),"",IF(A19="","Missing product",IF(B19="","Missing material",IF(COUNTIF(ProductList,A19)=0,"Product not in Products list",IF(COUNTIF(MaterialList,B19)=0,"Material not in Materials list","OK")))))</f>
        <v>OK</v>
      </c>
      <c r="H19" s="18" t="str">
        <f aca="false">IF(F19="Active",A19&amp;"|"&amp;COUNTIFS(A$2:A19,A19,F$2:F19,"Active"),"")</f>
        <v/>
      </c>
      <c r="I19" s="18" t="str">
        <f aca="false">IF(B19="","",IF(SUMPRODUCT(MAX((A$1:A18=A19)*(B$1:B18=B19)*ROW(A$1:A18)))=0,C19&amp;"",IF(C19="",INDEX(I$1:I18,SUMPRODUCT(MAX((A$1:A18=A19)*(B$1:B18=B19)*ROW(A$1:A18)))),IF(INDEX(I$1:I18,SUMPRODUCT(MAX((A$1:A18=A19)*(B$1:B18=B19)*ROW(A$1:A18))))="",C19&amp;"",INDEX(I$1:I18,SUMPRODUCT(MAX((A$1:A18=A19)*(B$1:B18=B19)*ROW(A$1:A18))))&amp;"; "&amp;C19))))</f>
        <v>Binder Solvent; Coating Solvent</v>
      </c>
      <c r="J19" s="18" t="str">
        <f aca="false">IF(A19="","",A19&amp;"|"&amp;COUNTIF(A$2:A19,A19))</f>
        <v>Product 1|18</v>
      </c>
      <c r="K19" s="18" t="n">
        <f aca="false">IF(OR(A19="",B19=""),0,IF(COUNTIFS(A$2:A19,A19,B$2:B19,B19)=1,1,0))</f>
        <v>0</v>
      </c>
    </row>
    <row r="20" customFormat="false" ht="15" hidden="false" customHeight="false" outlineLevel="0" collapsed="false">
      <c r="A20" s="15" t="s">
        <v>47</v>
      </c>
      <c r="B20" s="15" t="s">
        <v>87</v>
      </c>
      <c r="C20" s="15"/>
      <c r="D20" s="15"/>
      <c r="F20" s="18" t="str">
        <f aca="false">IF(B20="","",IFERROR(INDEX(Materials!$B$2:$B$201,MATCH(B20,Materials!$A$2:$A$201,0)),""))</f>
        <v>Solvent</v>
      </c>
      <c r="G20" s="18" t="str">
        <f aca="true">IF(AND(A20="",B20=""),"",IF(A20="","Missing product",IF(B20="","Missing material",IF(COUNTIF(ProductList,A20)=0,"Product not in Products list",IF(COUNTIF(MaterialList,B20)=0,"Material not in Materials list","OK")))))</f>
        <v>OK</v>
      </c>
      <c r="H20" s="18" t="str">
        <f aca="false">IF(F20="Active",A20&amp;"|"&amp;COUNTIFS(A$2:A20,A20,F$2:F20,"Active"),"")</f>
        <v/>
      </c>
      <c r="I20" s="18" t="str">
        <f aca="false">IF(B20="","",IF(SUMPRODUCT(MAX((A$1:A19=A20)*(B$1:B19=B20)*ROW(A$1:A19)))=0,C20&amp;"",IF(C20="",INDEX(I$1:I19,SUMPRODUCT(MAX((A$1:A19=A20)*(B$1:B19=B20)*ROW(A$1:A19)))),IF(INDEX(I$1:I19,SUMPRODUCT(MAX((A$1:A19=A20)*(B$1:B19=B20)*ROW(A$1:A19))))="",C20&amp;"",INDEX(I$1:I19,SUMPRODUCT(MAX((A$1:A19=A20)*(B$1:B19=B20)*ROW(A$1:A19))))&amp;"; "&amp;C20))))</f>
        <v/>
      </c>
      <c r="J20" s="18" t="str">
        <f aca="false">IF(A20="","",A20&amp;"|"&amp;COUNTIF(A$2:A20,A20))</f>
        <v>Product 1|19</v>
      </c>
      <c r="K20" s="18" t="n">
        <f aca="false">IF(OR(A20="",B20=""),0,IF(COUNTIFS(A$2:A20,A20,B$2:B20,B20)=1,1,0))</f>
        <v>1</v>
      </c>
    </row>
    <row r="21" customFormat="false" ht="15" hidden="false" customHeight="false" outlineLevel="0" collapsed="false">
      <c r="A21" s="15" t="s">
        <v>112</v>
      </c>
      <c r="B21" s="15" t="s">
        <v>57</v>
      </c>
      <c r="C21" s="15"/>
      <c r="D21" s="15"/>
      <c r="F21" s="18" t="str">
        <f aca="false">IF(B21="","",IFERROR(INDEX(Materials!$B$2:$B$201,MATCH(B21,Materials!$A$2:$A$201,0)),""))</f>
        <v>Active</v>
      </c>
      <c r="G21" s="18" t="str">
        <f aca="true">IF(AND(A21="",B21=""),"",IF(A21="","Missing product",IF(B21="","Missing material",IF(COUNTIF(ProductList,A21)=0,"Product not in Products list",IF(COUNTIF(MaterialList,B21)=0,"Material not in Materials list","OK")))))</f>
        <v>OK</v>
      </c>
      <c r="H21" s="18" t="str">
        <f aca="false">IF(F21="Active",A21&amp;"|"&amp;COUNTIFS(A$2:A21,A21,F$2:F21,"Active"),"")</f>
        <v>Product 2|1</v>
      </c>
      <c r="I21" s="18" t="str">
        <f aca="false">IF(B21="","",IF(SUMPRODUCT(MAX((A$1:A20=A21)*(B$1:B20=B21)*ROW(A$1:A20)))=0,C21&amp;"",IF(C21="",INDEX(I$1:I20,SUMPRODUCT(MAX((A$1:A20=A21)*(B$1:B20=B21)*ROW(A$1:A20)))),IF(INDEX(I$1:I20,SUMPRODUCT(MAX((A$1:A20=A21)*(B$1:B20=B21)*ROW(A$1:A20))))="",C21&amp;"",INDEX(I$1:I20,SUMPRODUCT(MAX((A$1:A20=A21)*(B$1:B20=B21)*ROW(A$1:A20))))&amp;"; "&amp;C21))))</f>
        <v/>
      </c>
      <c r="J21" s="18" t="str">
        <f aca="false">IF(A21="","",A21&amp;"|"&amp;COUNTIF(A$2:A21,A21))</f>
        <v>Product 2|1</v>
      </c>
      <c r="K21" s="18" t="n">
        <f aca="false">IF(OR(A21="",B21=""),0,IF(COUNTIFS(A$2:A21,A21,B$2:B21,B21)=1,1,0))</f>
        <v>1</v>
      </c>
    </row>
    <row r="22" customFormat="false" ht="15" hidden="false" customHeight="false" outlineLevel="0" collapsed="false">
      <c r="A22" s="15" t="s">
        <v>112</v>
      </c>
      <c r="B22" s="15" t="s">
        <v>34</v>
      </c>
      <c r="C22" s="15" t="s">
        <v>128</v>
      </c>
      <c r="D22" s="15"/>
      <c r="F22" s="18" t="str">
        <f aca="false">IF(B22="","",IFERROR(INDEX(Materials!$B$2:$B$201,MATCH(B22,Materials!$A$2:$A$201,0)),""))</f>
        <v>Disintegrant</v>
      </c>
      <c r="G22" s="18" t="str">
        <f aca="true">IF(AND(A22="",B22=""),"",IF(A22="","Missing product",IF(B22="","Missing material",IF(COUNTIF(ProductList,A22)=0,"Product not in Products list",IF(COUNTIF(MaterialList,B22)=0,"Material not in Materials list","OK")))))</f>
        <v>OK</v>
      </c>
      <c r="H22" s="18" t="str">
        <f aca="false">IF(F22="Active",A22&amp;"|"&amp;COUNTIFS(A$2:A22,A22,F$2:F22,"Active"),"")</f>
        <v/>
      </c>
      <c r="I22" s="18" t="str">
        <f aca="false">IF(B22="","",IF(SUMPRODUCT(MAX((A$1:A21=A22)*(B$1:B21=B22)*ROW(A$1:A21)))=0,C22&amp;"",IF(C22="",INDEX(I$1:I21,SUMPRODUCT(MAX((A$1:A21=A22)*(B$1:B21=B22)*ROW(A$1:A21)))),IF(INDEX(I$1:I21,SUMPRODUCT(MAX((A$1:A21=A22)*(B$1:B21=B22)*ROW(A$1:A21))))="",C22&amp;"",INDEX(I$1:I21,SUMPRODUCT(MAX((A$1:A21=A22)*(B$1:B21=B22)*ROW(A$1:A21))))&amp;"; "&amp;C22))))</f>
        <v>Intra-granular</v>
      </c>
      <c r="J22" s="18" t="str">
        <f aca="false">IF(A22="","",A22&amp;"|"&amp;COUNTIF(A$2:A22,A22))</f>
        <v>Product 2|2</v>
      </c>
      <c r="K22" s="18" t="n">
        <f aca="false">IF(OR(A22="",B22=""),0,IF(COUNTIFS(A$2:A22,A22,B$2:B22,B22)=1,1,0))</f>
        <v>1</v>
      </c>
    </row>
    <row r="23" customFormat="false" ht="15" hidden="false" customHeight="false" outlineLevel="0" collapsed="false">
      <c r="A23" s="15" t="s">
        <v>112</v>
      </c>
      <c r="B23" s="15" t="s">
        <v>60</v>
      </c>
      <c r="C23" s="15"/>
      <c r="D23" s="15"/>
      <c r="F23" s="18" t="str">
        <f aca="false">IF(B23="","",IFERROR(INDEX(Materials!$B$2:$B$201,MATCH(B23,Materials!$A$2:$A$201,0)),""))</f>
        <v>Surfactant</v>
      </c>
      <c r="G23" s="18" t="str">
        <f aca="true">IF(AND(A23="",B23=""),"",IF(A23="","Missing product",IF(B23="","Missing material",IF(COUNTIF(ProductList,A23)=0,"Product not in Products list",IF(COUNTIF(MaterialList,B23)=0,"Material not in Materials list","OK")))))</f>
        <v>OK</v>
      </c>
      <c r="H23" s="18" t="str">
        <f aca="false">IF(F23="Active",A23&amp;"|"&amp;COUNTIFS(A$2:A23,A23,F$2:F23,"Active"),"")</f>
        <v/>
      </c>
      <c r="I23" s="18" t="str">
        <f aca="false">IF(B23="","",IF(SUMPRODUCT(MAX((A$1:A22=A23)*(B$1:B22=B23)*ROW(A$1:A22)))=0,C23&amp;"",IF(C23="",INDEX(I$1:I22,SUMPRODUCT(MAX((A$1:A22=A23)*(B$1:B22=B23)*ROW(A$1:A22)))),IF(INDEX(I$1:I22,SUMPRODUCT(MAX((A$1:A22=A23)*(B$1:B22=B23)*ROW(A$1:A22))))="",C23&amp;"",INDEX(I$1:I22,SUMPRODUCT(MAX((A$1:A22=A23)*(B$1:B22=B23)*ROW(A$1:A22))))&amp;"; "&amp;C23))))</f>
        <v/>
      </c>
      <c r="J23" s="18" t="str">
        <f aca="false">IF(A23="","",A23&amp;"|"&amp;COUNTIF(A$2:A23,A23))</f>
        <v>Product 2|3</v>
      </c>
      <c r="K23" s="18" t="n">
        <f aca="false">IF(OR(A23="",B23=""),0,IF(COUNTIFS(A$2:A23,A23,B$2:B23,B23)=1,1,0))</f>
        <v>1</v>
      </c>
    </row>
    <row r="24" customFormat="false" ht="15" hidden="false" customHeight="false" outlineLevel="0" collapsed="false">
      <c r="A24" s="15" t="s">
        <v>112</v>
      </c>
      <c r="B24" s="15" t="s">
        <v>62</v>
      </c>
      <c r="C24" s="15"/>
      <c r="D24" s="15"/>
      <c r="F24" s="18" t="str">
        <f aca="false">IF(B24="","",IFERROR(INDEX(Materials!$B$2:$B$201,MATCH(B24,Materials!$A$2:$A$201,0)),""))</f>
        <v>Filler / Diluent</v>
      </c>
      <c r="G24" s="18" t="str">
        <f aca="true">IF(AND(A24="",B24=""),"",IF(A24="","Missing product",IF(B24="","Missing material",IF(COUNTIF(ProductList,A24)=0,"Product not in Products list",IF(COUNTIF(MaterialList,B24)=0,"Material not in Materials list","OK")))))</f>
        <v>OK</v>
      </c>
      <c r="H24" s="18" t="str">
        <f aca="false">IF(F24="Active",A24&amp;"|"&amp;COUNTIFS(A$2:A24,A24,F$2:F24,"Active"),"")</f>
        <v/>
      </c>
      <c r="I24" s="18" t="str">
        <f aca="false">IF(B24="","",IF(SUMPRODUCT(MAX((A$1:A23=A24)*(B$1:B23=B24)*ROW(A$1:A23)))=0,C24&amp;"",IF(C24="",INDEX(I$1:I23,SUMPRODUCT(MAX((A$1:A23=A24)*(B$1:B23=B24)*ROW(A$1:A23)))),IF(INDEX(I$1:I23,SUMPRODUCT(MAX((A$1:A23=A24)*(B$1:B23=B24)*ROW(A$1:A23))))="",C24&amp;"",INDEX(I$1:I23,SUMPRODUCT(MAX((A$1:A23=A24)*(B$1:B23=B24)*ROW(A$1:A23))))&amp;"; "&amp;C24))))</f>
        <v/>
      </c>
      <c r="J24" s="18" t="str">
        <f aca="false">IF(A24="","",A24&amp;"|"&amp;COUNTIF(A$2:A24,A24))</f>
        <v>Product 2|4</v>
      </c>
      <c r="K24" s="18" t="n">
        <f aca="false">IF(OR(A24="",B24=""),0,IF(COUNTIFS(A$2:A24,A24,B$2:B24,B24)=1,1,0))</f>
        <v>1</v>
      </c>
    </row>
    <row r="25" customFormat="false" ht="15" hidden="false" customHeight="false" outlineLevel="0" collapsed="false">
      <c r="A25" s="15" t="s">
        <v>112</v>
      </c>
      <c r="B25" s="15" t="s">
        <v>64</v>
      </c>
      <c r="C25" s="15" t="s">
        <v>129</v>
      </c>
      <c r="D25" s="15"/>
      <c r="F25" s="18" t="str">
        <f aca="false">IF(B25="","",IFERROR(INDEX(Materials!$B$2:$B$201,MATCH(B25,Materials!$A$2:$A$201,0)),""))</f>
        <v>Binder</v>
      </c>
      <c r="G25" s="18" t="str">
        <f aca="true">IF(AND(A25="",B25=""),"",IF(A25="","Missing product",IF(B25="","Missing material",IF(COUNTIF(ProductList,A25)=0,"Product not in Products list",IF(COUNTIF(MaterialList,B25)=0,"Material not in Materials list","OK")))))</f>
        <v>OK</v>
      </c>
      <c r="H25" s="18" t="str">
        <f aca="false">IF(F25="Active",A25&amp;"|"&amp;COUNTIFS(A$2:A25,A25,F$2:F25,"Active"),"")</f>
        <v/>
      </c>
      <c r="I25" s="18" t="str">
        <f aca="false">IF(B25="","",IF(SUMPRODUCT(MAX((A$1:A24=A25)*(B$1:B24=B25)*ROW(A$1:A24)))=0,C25&amp;"",IF(C25="",INDEX(I$1:I24,SUMPRODUCT(MAX((A$1:A24=A25)*(B$1:B24=B25)*ROW(A$1:A24)))),IF(INDEX(I$1:I24,SUMPRODUCT(MAX((A$1:A24=A25)*(B$1:B24=B25)*ROW(A$1:A24))))="",C25&amp;"",INDEX(I$1:I24,SUMPRODUCT(MAX((A$1:A24=A25)*(B$1:B24=B25)*ROW(A$1:A24))))&amp;"; "&amp;C25))))</f>
        <v>Binder Solution</v>
      </c>
      <c r="J25" s="18" t="str">
        <f aca="false">IF(A25="","",A25&amp;"|"&amp;COUNTIF(A$2:A25,A25))</f>
        <v>Product 2|5</v>
      </c>
      <c r="K25" s="18" t="n">
        <f aca="false">IF(OR(A25="",B25=""),0,IF(COUNTIFS(A$2:A25,A25,B$2:B25,B25)=1,1,0))</f>
        <v>1</v>
      </c>
    </row>
    <row r="26" customFormat="false" ht="15" hidden="false" customHeight="false" outlineLevel="0" collapsed="false">
      <c r="A26" s="15" t="s">
        <v>112</v>
      </c>
      <c r="B26" s="15" t="s">
        <v>66</v>
      </c>
      <c r="C26" s="15" t="s">
        <v>130</v>
      </c>
      <c r="D26" s="15"/>
      <c r="F26" s="18" t="str">
        <f aca="false">IF(B26="","",IFERROR(INDEX(Materials!$B$2:$B$201,MATCH(B26,Materials!$A$2:$A$201,0)),""))</f>
        <v>Solvent</v>
      </c>
      <c r="G26" s="18" t="str">
        <f aca="true">IF(AND(A26="",B26=""),"",IF(A26="","Missing product",IF(B26="","Missing material",IF(COUNTIF(ProductList,A26)=0,"Product not in Products list",IF(COUNTIF(MaterialList,B26)=0,"Material not in Materials list","OK")))))</f>
        <v>OK</v>
      </c>
      <c r="H26" s="18" t="str">
        <f aca="false">IF(F26="Active",A26&amp;"|"&amp;COUNTIFS(A$2:A26,A26,F$2:F26,"Active"),"")</f>
        <v/>
      </c>
      <c r="I26" s="18" t="str">
        <f aca="false">IF(B26="","",IF(SUMPRODUCT(MAX((A$1:A25=A26)*(B$1:B25=B26)*ROW(A$1:A25)))=0,C26&amp;"",IF(C26="",INDEX(I$1:I25,SUMPRODUCT(MAX((A$1:A25=A26)*(B$1:B25=B26)*ROW(A$1:A25)))),IF(INDEX(I$1:I25,SUMPRODUCT(MAX((A$1:A25=A26)*(B$1:B25=B26)*ROW(A$1:A25))))="",C26&amp;"",INDEX(I$1:I25,SUMPRODUCT(MAX((A$1:A25=A26)*(B$1:B25=B26)*ROW(A$1:A25))))&amp;"; "&amp;C26))))</f>
        <v>Binder Solvent</v>
      </c>
      <c r="J26" s="18" t="str">
        <f aca="false">IF(A26="","",A26&amp;"|"&amp;COUNTIF(A$2:A26,A26))</f>
        <v>Product 2|6</v>
      </c>
      <c r="K26" s="18" t="n">
        <f aca="false">IF(OR(A26="",B26=""),0,IF(COUNTIFS(A$2:A26,A26,B$2:B26,B26)=1,1,0))</f>
        <v>1</v>
      </c>
    </row>
    <row r="27" customFormat="false" ht="15" hidden="false" customHeight="false" outlineLevel="0" collapsed="false">
      <c r="A27" s="15" t="s">
        <v>112</v>
      </c>
      <c r="B27" s="15" t="s">
        <v>68</v>
      </c>
      <c r="C27" s="15"/>
      <c r="D27" s="15"/>
      <c r="F27" s="18" t="str">
        <f aca="false">IF(B27="","",IFERROR(INDEX(Materials!$B$2:$B$201,MATCH(B27,Materials!$A$2:$A$201,0)),""))</f>
        <v>Active</v>
      </c>
      <c r="G27" s="18" t="str">
        <f aca="true">IF(AND(A27="",B27=""),"",IF(A27="","Missing product",IF(B27="","Missing material",IF(COUNTIF(ProductList,A27)=0,"Product not in Products list",IF(COUNTIF(MaterialList,B27)=0,"Material not in Materials list","OK")))))</f>
        <v>OK</v>
      </c>
      <c r="H27" s="18" t="str">
        <f aca="false">IF(F27="Active",A27&amp;"|"&amp;COUNTIFS(A$2:A27,A27,F$2:F27,"Active"),"")</f>
        <v>Product 2|2</v>
      </c>
      <c r="I27" s="18" t="str">
        <f aca="false">IF(B27="","",IF(SUMPRODUCT(MAX((A$1:A26=A27)*(B$1:B26=B27)*ROW(A$1:A26)))=0,C27&amp;"",IF(C27="",INDEX(I$1:I26,SUMPRODUCT(MAX((A$1:A26=A27)*(B$1:B26=B27)*ROW(A$1:A26)))),IF(INDEX(I$1:I26,SUMPRODUCT(MAX((A$1:A26=A27)*(B$1:B26=B27)*ROW(A$1:A26))))="",C27&amp;"",INDEX(I$1:I26,SUMPRODUCT(MAX((A$1:A26=A27)*(B$1:B26=B27)*ROW(A$1:A26))))&amp;"; "&amp;C27))))</f>
        <v/>
      </c>
      <c r="J27" s="18" t="str">
        <f aca="false">IF(A27="","",A27&amp;"|"&amp;COUNTIF(A$2:A27,A27))</f>
        <v>Product 2|7</v>
      </c>
      <c r="K27" s="18" t="n">
        <f aca="false">IF(OR(A27="",B27=""),0,IF(COUNTIFS(A$2:A27,A27,B$2:B27,B27)=1,1,0))</f>
        <v>1</v>
      </c>
    </row>
    <row r="28" customFormat="false" ht="15" hidden="false" customHeight="false" outlineLevel="0" collapsed="false">
      <c r="A28" s="15" t="s">
        <v>112</v>
      </c>
      <c r="B28" s="15" t="s">
        <v>34</v>
      </c>
      <c r="C28" s="15" t="s">
        <v>131</v>
      </c>
      <c r="D28" s="15"/>
      <c r="F28" s="18" t="str">
        <f aca="false">IF(B28="","",IFERROR(INDEX(Materials!$B$2:$B$201,MATCH(B28,Materials!$A$2:$A$201,0)),""))</f>
        <v>Disintegrant</v>
      </c>
      <c r="G28" s="18" t="str">
        <f aca="true">IF(AND(A28="",B28=""),"",IF(A28="","Missing product",IF(B28="","Missing material",IF(COUNTIF(ProductList,A28)=0,"Product not in Products list",IF(COUNTIF(MaterialList,B28)=0,"Material not in Materials list","OK")))))</f>
        <v>OK</v>
      </c>
      <c r="H28" s="18" t="str">
        <f aca="false">IF(F28="Active",A28&amp;"|"&amp;COUNTIFS(A$2:A28,A28,F$2:F28,"Active"),"")</f>
        <v/>
      </c>
      <c r="I28" s="18" t="str">
        <f aca="false">IF(B28="","",IF(SUMPRODUCT(MAX((A$1:A27=A28)*(B$1:B27=B28)*ROW(A$1:A27)))=0,C28&amp;"",IF(C28="",INDEX(I$1:I27,SUMPRODUCT(MAX((A$1:A27=A28)*(B$1:B27=B28)*ROW(A$1:A27)))),IF(INDEX(I$1:I27,SUMPRODUCT(MAX((A$1:A27=A28)*(B$1:B27=B28)*ROW(A$1:A27))))="",C28&amp;"",INDEX(I$1:I27,SUMPRODUCT(MAX((A$1:A27=A28)*(B$1:B27=B28)*ROW(A$1:A27))))&amp;"; "&amp;C28))))</f>
        <v>Intra-granular; Extra-granular</v>
      </c>
      <c r="J28" s="18" t="str">
        <f aca="false">IF(A28="","",A28&amp;"|"&amp;COUNTIF(A$2:A28,A28))</f>
        <v>Product 2|8</v>
      </c>
      <c r="K28" s="18" t="n">
        <f aca="false">IF(OR(A28="",B28=""),0,IF(COUNTIFS(A$2:A28,A28,B$2:B28,B28)=1,1,0))</f>
        <v>0</v>
      </c>
    </row>
    <row r="29" customFormat="false" ht="15" hidden="false" customHeight="false" outlineLevel="0" collapsed="false">
      <c r="A29" s="15" t="s">
        <v>112</v>
      </c>
      <c r="B29" s="15" t="s">
        <v>69</v>
      </c>
      <c r="C29" s="15"/>
      <c r="D29" s="15"/>
      <c r="F29" s="18" t="str">
        <f aca="false">IF(B29="","",IFERROR(INDEX(Materials!$B$2:$B$201,MATCH(B29,Materials!$A$2:$A$201,0)),""))</f>
        <v>Filler / Diluent</v>
      </c>
      <c r="G29" s="18" t="str">
        <f aca="true">IF(AND(A29="",B29=""),"",IF(A29="","Missing product",IF(B29="","Missing material",IF(COUNTIF(ProductList,A29)=0,"Product not in Products list",IF(COUNTIF(MaterialList,B29)=0,"Material not in Materials list","OK")))))</f>
        <v>OK</v>
      </c>
      <c r="H29" s="18" t="str">
        <f aca="false">IF(F29="Active",A29&amp;"|"&amp;COUNTIFS(A$2:A29,A29,F$2:F29,"Active"),"")</f>
        <v/>
      </c>
      <c r="I29" s="18" t="str">
        <f aca="false">IF(B29="","",IF(SUMPRODUCT(MAX((A$1:A28=A29)*(B$1:B28=B29)*ROW(A$1:A28)))=0,C29&amp;"",IF(C29="",INDEX(I$1:I28,SUMPRODUCT(MAX((A$1:A28=A29)*(B$1:B28=B29)*ROW(A$1:A28)))),IF(INDEX(I$1:I28,SUMPRODUCT(MAX((A$1:A28=A29)*(B$1:B28=B29)*ROW(A$1:A28))))="",C29&amp;"",INDEX(I$1:I28,SUMPRODUCT(MAX((A$1:A28=A29)*(B$1:B28=B29)*ROW(A$1:A28))))&amp;"; "&amp;C29))))</f>
        <v/>
      </c>
      <c r="J29" s="18" t="str">
        <f aca="false">IF(A29="","",A29&amp;"|"&amp;COUNTIF(A$2:A29,A29))</f>
        <v>Product 2|9</v>
      </c>
      <c r="K29" s="18" t="n">
        <f aca="false">IF(OR(A29="",B29=""),0,IF(COUNTIFS(A$2:A29,A29,B$2:B29,B29)=1,1,0))</f>
        <v>1</v>
      </c>
    </row>
    <row r="30" customFormat="false" ht="15" hidden="false" customHeight="false" outlineLevel="0" collapsed="false">
      <c r="A30" s="15" t="s">
        <v>112</v>
      </c>
      <c r="B30" s="15" t="s">
        <v>64</v>
      </c>
      <c r="C30" s="15" t="s">
        <v>132</v>
      </c>
      <c r="D30" s="15"/>
      <c r="F30" s="18" t="str">
        <f aca="false">IF(B30="","",IFERROR(INDEX(Materials!$B$2:$B$201,MATCH(B30,Materials!$A$2:$A$201,0)),""))</f>
        <v>Binder</v>
      </c>
      <c r="G30" s="18" t="str">
        <f aca="true">IF(AND(A30="",B30=""),"",IF(A30="","Missing product",IF(B30="","Missing material",IF(COUNTIF(ProductList,A30)=0,"Product not in Products list",IF(COUNTIF(MaterialList,B30)=0,"Material not in Materials list","OK")))))</f>
        <v>OK</v>
      </c>
      <c r="H30" s="18" t="str">
        <f aca="false">IF(F30="Active",A30&amp;"|"&amp;COUNTIFS(A$2:A30,A30,F$2:F30,"Active"),"")</f>
        <v/>
      </c>
      <c r="I30" s="18" t="str">
        <f aca="false">IF(B30="","",IF(SUMPRODUCT(MAX((A$1:A29=A30)*(B$1:B29=B30)*ROW(A$1:A29)))=0,C30&amp;"",IF(C30="",INDEX(I$1:I29,SUMPRODUCT(MAX((A$1:A29=A30)*(B$1:B29=B30)*ROW(A$1:A29)))),IF(INDEX(I$1:I29,SUMPRODUCT(MAX((A$1:A29=A30)*(B$1:B29=B30)*ROW(A$1:A29))))="",C30&amp;"",INDEX(I$1:I29,SUMPRODUCT(MAX((A$1:A29=A30)*(B$1:B29=B30)*ROW(A$1:A29))))&amp;"; "&amp;C30))))</f>
        <v>Binder Solution; Dry Binder</v>
      </c>
      <c r="J30" s="18" t="str">
        <f aca="false">IF(A30="","",A30&amp;"|"&amp;COUNTIF(A$2:A30,A30))</f>
        <v>Product 2|10</v>
      </c>
      <c r="K30" s="18" t="n">
        <f aca="false">IF(OR(A30="",B30=""),0,IF(COUNTIFS(A$2:A30,A30,B$2:B30,B30)=1,1,0))</f>
        <v>0</v>
      </c>
    </row>
    <row r="31" customFormat="false" ht="15" hidden="false" customHeight="false" outlineLevel="0" collapsed="false">
      <c r="A31" s="15" t="s">
        <v>112</v>
      </c>
      <c r="B31" s="15" t="s">
        <v>88</v>
      </c>
      <c r="C31" s="15"/>
      <c r="D31" s="15"/>
      <c r="F31" s="18" t="str">
        <f aca="false">IF(B31="","",IFERROR(INDEX(Materials!$B$2:$B$201,MATCH(B31,Materials!$A$2:$A$201,0)),""))</f>
        <v>pH Modifier / Acidifier</v>
      </c>
      <c r="G31" s="18" t="str">
        <f aca="true">IF(AND(A31="",B31=""),"",IF(A31="","Missing product",IF(B31="","Missing material",IF(COUNTIF(ProductList,A31)=0,"Product not in Products list",IF(COUNTIF(MaterialList,B31)=0,"Material not in Materials list","OK")))))</f>
        <v>OK</v>
      </c>
      <c r="H31" s="18" t="str">
        <f aca="false">IF(F31="Active",A31&amp;"|"&amp;COUNTIFS(A$2:A31,A31,F$2:F31,"Active"),"")</f>
        <v/>
      </c>
      <c r="I31" s="18" t="str">
        <f aca="false">IF(B31="","",IF(SUMPRODUCT(MAX((A$1:A30=A31)*(B$1:B30=B31)*ROW(A$1:A30)))=0,C31&amp;"",IF(C31="",INDEX(I$1:I30,SUMPRODUCT(MAX((A$1:A30=A31)*(B$1:B30=B31)*ROW(A$1:A30)))),IF(INDEX(I$1:I30,SUMPRODUCT(MAX((A$1:A30=A31)*(B$1:B30=B31)*ROW(A$1:A30))))="",C31&amp;"",INDEX(I$1:I30,SUMPRODUCT(MAX((A$1:A30=A31)*(B$1:B30=B31)*ROW(A$1:A30))))&amp;"; "&amp;C31))))</f>
        <v/>
      </c>
      <c r="J31" s="18" t="str">
        <f aca="false">IF(A31="","",A31&amp;"|"&amp;COUNTIF(A$2:A31,A31))</f>
        <v>Product 2|11</v>
      </c>
      <c r="K31" s="18" t="n">
        <f aca="false">IF(OR(A31="",B31=""),0,IF(COUNTIFS(A$2:A31,A31,B$2:B31,B31)=1,1,0))</f>
        <v>1</v>
      </c>
    </row>
    <row r="32" customFormat="false" ht="15" hidden="false" customHeight="false" outlineLevel="0" collapsed="false">
      <c r="A32" s="15" t="s">
        <v>112</v>
      </c>
      <c r="B32" s="15" t="s">
        <v>71</v>
      </c>
      <c r="C32" s="15"/>
      <c r="D32" s="15"/>
      <c r="F32" s="18" t="str">
        <f aca="false">IF(B32="","",IFERROR(INDEX(Materials!$B$2:$B$201,MATCH(B32,Materials!$A$2:$A$201,0)),""))</f>
        <v>Glidant</v>
      </c>
      <c r="G32" s="18" t="str">
        <f aca="true">IF(AND(A32="",B32=""),"",IF(A32="","Missing product",IF(B32="","Missing material",IF(COUNTIF(ProductList,A32)=0,"Product not in Products list",IF(COUNTIF(MaterialList,B32)=0,"Material not in Materials list","OK")))))</f>
        <v>OK</v>
      </c>
      <c r="H32" s="18" t="str">
        <f aca="false">IF(F32="Active",A32&amp;"|"&amp;COUNTIFS(A$2:A32,A32,F$2:F32,"Active"),"")</f>
        <v/>
      </c>
      <c r="I32" s="18" t="str">
        <f aca="false">IF(B32="","",IF(SUMPRODUCT(MAX((A$1:A31=A32)*(B$1:B31=B32)*ROW(A$1:A31)))=0,C32&amp;"",IF(C32="",INDEX(I$1:I31,SUMPRODUCT(MAX((A$1:A31=A32)*(B$1:B31=B32)*ROW(A$1:A31)))),IF(INDEX(I$1:I31,SUMPRODUCT(MAX((A$1:A31=A32)*(B$1:B31=B32)*ROW(A$1:A31))))="",C32&amp;"",INDEX(I$1:I31,SUMPRODUCT(MAX((A$1:A31=A32)*(B$1:B31=B32)*ROW(A$1:A31))))&amp;"; "&amp;C32))))</f>
        <v/>
      </c>
      <c r="J32" s="18" t="str">
        <f aca="false">IF(A32="","",A32&amp;"|"&amp;COUNTIF(A$2:A32,A32))</f>
        <v>Product 2|12</v>
      </c>
      <c r="K32" s="18" t="n">
        <f aca="false">IF(OR(A32="",B32=""),0,IF(COUNTIFS(A$2:A32,A32,B$2:B32,B32)=1,1,0))</f>
        <v>1</v>
      </c>
    </row>
    <row r="33" customFormat="false" ht="15" hidden="false" customHeight="false" outlineLevel="0" collapsed="false">
      <c r="A33" s="15" t="s">
        <v>112</v>
      </c>
      <c r="B33" s="15" t="s">
        <v>73</v>
      </c>
      <c r="C33" s="15"/>
      <c r="D33" s="15"/>
      <c r="F33" s="18" t="str">
        <f aca="false">IF(B33="","",IFERROR(INDEX(Materials!$B$2:$B$201,MATCH(B33,Materials!$A$2:$A$201,0)),""))</f>
        <v>Lubricant</v>
      </c>
      <c r="G33" s="18" t="str">
        <f aca="true">IF(AND(A33="",B33=""),"",IF(A33="","Missing product",IF(B33="","Missing material",IF(COUNTIF(ProductList,A33)=0,"Product not in Products list",IF(COUNTIF(MaterialList,B33)=0,"Material not in Materials list","OK")))))</f>
        <v>OK</v>
      </c>
      <c r="H33" s="18" t="str">
        <f aca="false">IF(F33="Active",A33&amp;"|"&amp;COUNTIFS(A$2:A33,A33,F$2:F33,"Active"),"")</f>
        <v/>
      </c>
      <c r="I33" s="18" t="str">
        <f aca="false">IF(B33="","",IF(SUMPRODUCT(MAX((A$1:A32=A33)*(B$1:B32=B33)*ROW(A$1:A32)))=0,C33&amp;"",IF(C33="",INDEX(I$1:I32,SUMPRODUCT(MAX((A$1:A32=A33)*(B$1:B32=B33)*ROW(A$1:A32)))),IF(INDEX(I$1:I32,SUMPRODUCT(MAX((A$1:A32=A33)*(B$1:B32=B33)*ROW(A$1:A32))))="",C33&amp;"",INDEX(I$1:I32,SUMPRODUCT(MAX((A$1:A32=A33)*(B$1:B32=B33)*ROW(A$1:A32))))&amp;"; "&amp;C33))))</f>
        <v/>
      </c>
      <c r="J33" s="18" t="str">
        <f aca="false">IF(A33="","",A33&amp;"|"&amp;COUNTIF(A$2:A33,A33))</f>
        <v>Product 2|13</v>
      </c>
      <c r="K33" s="18" t="n">
        <f aca="false">IF(OR(A33="",B33=""),0,IF(COUNTIFS(A$2:A33,A33,B$2:B33,B33)=1,1,0))</f>
        <v>1</v>
      </c>
    </row>
    <row r="34" customFormat="false" ht="15" hidden="false" customHeight="false" outlineLevel="0" collapsed="false">
      <c r="A34" s="15" t="s">
        <v>112</v>
      </c>
      <c r="B34" s="15" t="s">
        <v>75</v>
      </c>
      <c r="C34" s="15"/>
      <c r="D34" s="15"/>
      <c r="F34" s="18" t="str">
        <f aca="false">IF(B34="","",IFERROR(INDEX(Materials!$B$2:$B$201,MATCH(B34,Materials!$A$2:$A$201,0)),""))</f>
        <v>Binder / Coating Polymer</v>
      </c>
      <c r="G34" s="18" t="str">
        <f aca="true">IF(AND(A34="",B34=""),"",IF(A34="","Missing product",IF(B34="","Missing material",IF(COUNTIF(ProductList,A34)=0,"Product not in Products list",IF(COUNTIF(MaterialList,B34)=0,"Material not in Materials list","OK")))))</f>
        <v>OK</v>
      </c>
      <c r="H34" s="18" t="str">
        <f aca="false">IF(F34="Active",A34&amp;"|"&amp;COUNTIFS(A$2:A34,A34,F$2:F34,"Active"),"")</f>
        <v/>
      </c>
      <c r="I34" s="18" t="str">
        <f aca="false">IF(B34="","",IF(SUMPRODUCT(MAX((A$1:A33=A34)*(B$1:B33=B34)*ROW(A$1:A33)))=0,C34&amp;"",IF(C34="",INDEX(I$1:I33,SUMPRODUCT(MAX((A$1:A33=A34)*(B$1:B33=B34)*ROW(A$1:A33)))),IF(INDEX(I$1:I33,SUMPRODUCT(MAX((A$1:A33=A34)*(B$1:B33=B34)*ROW(A$1:A33))))="",C34&amp;"",INDEX(I$1:I33,SUMPRODUCT(MAX((A$1:A33=A34)*(B$1:B33=B34)*ROW(A$1:A33))))&amp;"; "&amp;C34))))</f>
        <v/>
      </c>
      <c r="J34" s="18" t="str">
        <f aca="false">IF(A34="","",A34&amp;"|"&amp;COUNTIF(A$2:A34,A34))</f>
        <v>Product 2|14</v>
      </c>
      <c r="K34" s="18" t="n">
        <f aca="false">IF(OR(A34="",B34=""),0,IF(COUNTIFS(A$2:A34,A34,B$2:B34,B34)=1,1,0))</f>
        <v>1</v>
      </c>
    </row>
    <row r="35" customFormat="false" ht="15" hidden="false" customHeight="false" outlineLevel="0" collapsed="false">
      <c r="A35" s="15" t="s">
        <v>112</v>
      </c>
      <c r="B35" s="15" t="s">
        <v>78</v>
      </c>
      <c r="C35" s="15"/>
      <c r="D35" s="15"/>
      <c r="F35" s="18" t="str">
        <f aca="false">IF(B35="","",IFERROR(INDEX(Materials!$B$2:$B$201,MATCH(B35,Materials!$A$2:$A$201,0)),""))</f>
        <v>Plasticizer</v>
      </c>
      <c r="G35" s="18" t="str">
        <f aca="true">IF(AND(A35="",B35=""),"",IF(A35="","Missing product",IF(B35="","Missing material",IF(COUNTIF(ProductList,A35)=0,"Product not in Products list",IF(COUNTIF(MaterialList,B35)=0,"Material not in Materials list","OK")))))</f>
        <v>OK</v>
      </c>
      <c r="H35" s="18" t="str">
        <f aca="false">IF(F35="Active",A35&amp;"|"&amp;COUNTIFS(A$2:A35,A35,F$2:F35,"Active"),"")</f>
        <v/>
      </c>
      <c r="I35" s="18" t="str">
        <f aca="false">IF(B35="","",IF(SUMPRODUCT(MAX((A$1:A34=A35)*(B$1:B34=B35)*ROW(A$1:A34)))=0,C35&amp;"",IF(C35="",INDEX(I$1:I34,SUMPRODUCT(MAX((A$1:A34=A35)*(B$1:B34=B35)*ROW(A$1:A34)))),IF(INDEX(I$1:I34,SUMPRODUCT(MAX((A$1:A34=A35)*(B$1:B34=B35)*ROW(A$1:A34))))="",C35&amp;"",INDEX(I$1:I34,SUMPRODUCT(MAX((A$1:A34=A35)*(B$1:B34=B35)*ROW(A$1:A34))))&amp;"; "&amp;C35))))</f>
        <v/>
      </c>
      <c r="J35" s="18" t="str">
        <f aca="false">IF(A35="","",A35&amp;"|"&amp;COUNTIF(A$2:A35,A35))</f>
        <v>Product 2|15</v>
      </c>
      <c r="K35" s="18" t="n">
        <f aca="false">IF(OR(A35="",B35=""),0,IF(COUNTIFS(A$2:A35,A35,B$2:B35,B35)=1,1,0))</f>
        <v>1</v>
      </c>
    </row>
    <row r="36" customFormat="false" ht="15" hidden="false" customHeight="false" outlineLevel="0" collapsed="false">
      <c r="A36" s="15" t="s">
        <v>112</v>
      </c>
      <c r="B36" s="15" t="s">
        <v>81</v>
      </c>
      <c r="C36" s="15"/>
      <c r="D36" s="15"/>
      <c r="F36" s="18" t="str">
        <f aca="false">IF(B36="","",IFERROR(INDEX(Materials!$B$2:$B$201,MATCH(B36,Materials!$A$2:$A$201,0)),""))</f>
        <v>Opacifier</v>
      </c>
      <c r="G36" s="18" t="str">
        <f aca="true">IF(AND(A36="",B36=""),"",IF(A36="","Missing product",IF(B36="","Missing material",IF(COUNTIF(ProductList,A36)=0,"Product not in Products list",IF(COUNTIF(MaterialList,B36)=0,"Material not in Materials list","OK")))))</f>
        <v>OK</v>
      </c>
      <c r="H36" s="18" t="str">
        <f aca="false">IF(F36="Active",A36&amp;"|"&amp;COUNTIFS(A$2:A36,A36,F$2:F36,"Active"),"")</f>
        <v/>
      </c>
      <c r="I36" s="18" t="str">
        <f aca="false">IF(B36="","",IF(SUMPRODUCT(MAX((A$1:A35=A36)*(B$1:B35=B36)*ROW(A$1:A35)))=0,C36&amp;"",IF(C36="",INDEX(I$1:I35,SUMPRODUCT(MAX((A$1:A35=A36)*(B$1:B35=B36)*ROW(A$1:A35)))),IF(INDEX(I$1:I35,SUMPRODUCT(MAX((A$1:A35=A36)*(B$1:B35=B36)*ROW(A$1:A35))))="",C36&amp;"",INDEX(I$1:I35,SUMPRODUCT(MAX((A$1:A35=A36)*(B$1:B35=B36)*ROW(A$1:A35))))&amp;"; "&amp;C36))))</f>
        <v/>
      </c>
      <c r="J36" s="18" t="str">
        <f aca="false">IF(A36="","",A36&amp;"|"&amp;COUNTIF(A$2:A36,A36))</f>
        <v>Product 2|16</v>
      </c>
      <c r="K36" s="18" t="n">
        <f aca="false">IF(OR(A36="",B36=""),0,IF(COUNTIFS(A$2:A36,A36,B$2:B36,B36)=1,1,0))</f>
        <v>1</v>
      </c>
    </row>
    <row r="37" customFormat="false" ht="15" hidden="false" customHeight="false" outlineLevel="0" collapsed="false">
      <c r="A37" s="15" t="s">
        <v>112</v>
      </c>
      <c r="B37" s="15" t="s">
        <v>83</v>
      </c>
      <c r="C37" s="15"/>
      <c r="D37" s="15"/>
      <c r="F37" s="18" t="str">
        <f aca="false">IF(B37="","",IFERROR(INDEX(Materials!$B$2:$B$201,MATCH(B37,Materials!$A$2:$A$201,0)),""))</f>
        <v>Glidant / Anti-tacking</v>
      </c>
      <c r="G37" s="18" t="str">
        <f aca="true">IF(AND(A37="",B37=""),"",IF(A37="","Missing product",IF(B37="","Missing material",IF(COUNTIF(ProductList,A37)=0,"Product not in Products list",IF(COUNTIF(MaterialList,B37)=0,"Material not in Materials list","OK")))))</f>
        <v>OK</v>
      </c>
      <c r="H37" s="18" t="str">
        <f aca="false">IF(F37="Active",A37&amp;"|"&amp;COUNTIFS(A$2:A37,A37,F$2:F37,"Active"),"")</f>
        <v/>
      </c>
      <c r="I37" s="18" t="str">
        <f aca="false">IF(B37="","",IF(SUMPRODUCT(MAX((A$1:A36=A37)*(B$1:B36=B37)*ROW(A$1:A36)))=0,C37&amp;"",IF(C37="",INDEX(I$1:I36,SUMPRODUCT(MAX((A$1:A36=A37)*(B$1:B36=B37)*ROW(A$1:A36)))),IF(INDEX(I$1:I36,SUMPRODUCT(MAX((A$1:A36=A37)*(B$1:B36=B37)*ROW(A$1:A36))))="",C37&amp;"",INDEX(I$1:I36,SUMPRODUCT(MAX((A$1:A36=A37)*(B$1:B36=B37)*ROW(A$1:A36))))&amp;"; "&amp;C37))))</f>
        <v/>
      </c>
      <c r="J37" s="18" t="str">
        <f aca="false">IF(A37="","",A37&amp;"|"&amp;COUNTIF(A$2:A37,A37))</f>
        <v>Product 2|17</v>
      </c>
      <c r="K37" s="18" t="n">
        <f aca="false">IF(OR(A37="",B37=""),0,IF(COUNTIFS(A$2:A37,A37,B$2:B37,B37)=1,1,0))</f>
        <v>1</v>
      </c>
    </row>
    <row r="38" customFormat="false" ht="15" hidden="false" customHeight="false" outlineLevel="0" collapsed="false">
      <c r="A38" s="15" t="s">
        <v>112</v>
      </c>
      <c r="B38" s="15" t="s">
        <v>85</v>
      </c>
      <c r="C38" s="15"/>
      <c r="D38" s="15"/>
      <c r="F38" s="18" t="str">
        <f aca="false">IF(B38="","",IFERROR(INDEX(Materials!$B$2:$B$201,MATCH(B38,Materials!$A$2:$A$201,0)),""))</f>
        <v>Colorant</v>
      </c>
      <c r="G38" s="18" t="str">
        <f aca="true">IF(AND(A38="",B38=""),"",IF(A38="","Missing product",IF(B38="","Missing material",IF(COUNTIF(ProductList,A38)=0,"Product not in Products list",IF(COUNTIF(MaterialList,B38)=0,"Material not in Materials list","OK")))))</f>
        <v>OK</v>
      </c>
      <c r="H38" s="18" t="str">
        <f aca="false">IF(F38="Active",A38&amp;"|"&amp;COUNTIFS(A$2:A38,A38,F$2:F38,"Active"),"")</f>
        <v/>
      </c>
      <c r="I38" s="18" t="str">
        <f aca="false">IF(B38="","",IF(SUMPRODUCT(MAX((A$1:A37=A38)*(B$1:B37=B38)*ROW(A$1:A37)))=0,C38&amp;"",IF(C38="",INDEX(I$1:I37,SUMPRODUCT(MAX((A$1:A37=A38)*(B$1:B37=B38)*ROW(A$1:A37)))),IF(INDEX(I$1:I37,SUMPRODUCT(MAX((A$1:A37=A38)*(B$1:B37=B38)*ROW(A$1:A37))))="",C38&amp;"",INDEX(I$1:I37,SUMPRODUCT(MAX((A$1:A37=A38)*(B$1:B37=B38)*ROW(A$1:A37))))&amp;"; "&amp;C38))))</f>
        <v/>
      </c>
      <c r="J38" s="18" t="str">
        <f aca="false">IF(A38="","",A38&amp;"|"&amp;COUNTIF(A$2:A38,A38))</f>
        <v>Product 2|18</v>
      </c>
      <c r="K38" s="18" t="n">
        <f aca="false">IF(OR(A38="",B38=""),0,IF(COUNTIFS(A$2:A38,A38,B$2:B38,B38)=1,1,0))</f>
        <v>1</v>
      </c>
    </row>
    <row r="39" customFormat="false" ht="15" hidden="false" customHeight="false" outlineLevel="0" collapsed="false">
      <c r="A39" s="15" t="s">
        <v>112</v>
      </c>
      <c r="B39" s="15" t="s">
        <v>66</v>
      </c>
      <c r="C39" s="15" t="s">
        <v>133</v>
      </c>
      <c r="D39" s="15"/>
      <c r="F39" s="18" t="str">
        <f aca="false">IF(B39="","",IFERROR(INDEX(Materials!$B$2:$B$201,MATCH(B39,Materials!$A$2:$A$201,0)),""))</f>
        <v>Solvent</v>
      </c>
      <c r="G39" s="18" t="str">
        <f aca="true">IF(AND(A39="",B39=""),"",IF(A39="","Missing product",IF(B39="","Missing material",IF(COUNTIF(ProductList,A39)=0,"Product not in Products list",IF(COUNTIF(MaterialList,B39)=0,"Material not in Materials list","OK")))))</f>
        <v>OK</v>
      </c>
      <c r="H39" s="18" t="str">
        <f aca="false">IF(F39="Active",A39&amp;"|"&amp;COUNTIFS(A$2:A39,A39,F$2:F39,"Active"),"")</f>
        <v/>
      </c>
      <c r="I39" s="18" t="str">
        <f aca="false">IF(B39="","",IF(SUMPRODUCT(MAX((A$1:A38=A39)*(B$1:B38=B39)*ROW(A$1:A38)))=0,C39&amp;"",IF(C39="",INDEX(I$1:I38,SUMPRODUCT(MAX((A$1:A38=A39)*(B$1:B38=B39)*ROW(A$1:A38)))),IF(INDEX(I$1:I38,SUMPRODUCT(MAX((A$1:A38=A39)*(B$1:B38=B39)*ROW(A$1:A38))))="",C39&amp;"",INDEX(I$1:I38,SUMPRODUCT(MAX((A$1:A38=A39)*(B$1:B38=B39)*ROW(A$1:A38))))&amp;"; "&amp;C39))))</f>
        <v>Binder Solvent; Coating Solvent</v>
      </c>
      <c r="J39" s="18" t="str">
        <f aca="false">IF(A39="","",A39&amp;"|"&amp;COUNTIF(A$2:A39,A39))</f>
        <v>Product 2|19</v>
      </c>
      <c r="K39" s="18" t="n">
        <f aca="false">IF(OR(A39="",B39=""),0,IF(COUNTIFS(A$2:A39,A39,B$2:B39,B39)=1,1,0))</f>
        <v>0</v>
      </c>
    </row>
    <row r="40" customFormat="false" ht="15" hidden="false" customHeight="false" outlineLevel="0" collapsed="false">
      <c r="A40" s="15" t="s">
        <v>112</v>
      </c>
      <c r="B40" s="15" t="s">
        <v>87</v>
      </c>
      <c r="C40" s="15"/>
      <c r="D40" s="15"/>
      <c r="F40" s="18" t="str">
        <f aca="false">IF(B40="","",IFERROR(INDEX(Materials!$B$2:$B$201,MATCH(B40,Materials!$A$2:$A$201,0)),""))</f>
        <v>Solvent</v>
      </c>
      <c r="G40" s="18" t="str">
        <f aca="true">IF(AND(A40="",B40=""),"",IF(A40="","Missing product",IF(B40="","Missing material",IF(COUNTIF(ProductList,A40)=0,"Product not in Products list",IF(COUNTIF(MaterialList,B40)=0,"Material not in Materials list","OK")))))</f>
        <v>OK</v>
      </c>
      <c r="H40" s="18" t="str">
        <f aca="false">IF(F40="Active",A40&amp;"|"&amp;COUNTIFS(A$2:A40,A40,F$2:F40,"Active"),"")</f>
        <v/>
      </c>
      <c r="I40" s="18" t="str">
        <f aca="false">IF(B40="","",IF(SUMPRODUCT(MAX((A$1:A39=A40)*(B$1:B39=B40)*ROW(A$1:A39)))=0,C40&amp;"",IF(C40="",INDEX(I$1:I39,SUMPRODUCT(MAX((A$1:A39=A40)*(B$1:B39=B40)*ROW(A$1:A39)))),IF(INDEX(I$1:I39,SUMPRODUCT(MAX((A$1:A39=A40)*(B$1:B39=B40)*ROW(A$1:A39))))="",C40&amp;"",INDEX(I$1:I39,SUMPRODUCT(MAX((A$1:A39=A40)*(B$1:B39=B40)*ROW(A$1:A39))))&amp;"; "&amp;C40))))</f>
        <v/>
      </c>
      <c r="J40" s="18" t="str">
        <f aca="false">IF(A40="","",A40&amp;"|"&amp;COUNTIF(A$2:A40,A40))</f>
        <v>Product 2|20</v>
      </c>
      <c r="K40" s="18" t="n">
        <f aca="false">IF(OR(A40="",B40=""),0,IF(COUNTIFS(A$2:A40,A40,B$2:B40,B40)=1,1,0))</f>
        <v>1</v>
      </c>
    </row>
    <row r="41" customFormat="false" ht="15" hidden="false" customHeight="false" outlineLevel="0" collapsed="false">
      <c r="A41" s="15" t="s">
        <v>113</v>
      </c>
      <c r="B41" s="15" t="s">
        <v>57</v>
      </c>
      <c r="C41" s="15"/>
      <c r="D41" s="15"/>
      <c r="F41" s="18" t="str">
        <f aca="false">IF(B41="","",IFERROR(INDEX(Materials!$B$2:$B$201,MATCH(B41,Materials!$A$2:$A$201,0)),""))</f>
        <v>Active</v>
      </c>
      <c r="G41" s="18" t="str">
        <f aca="true">IF(AND(A41="",B41=""),"",IF(A41="","Missing product",IF(B41="","Missing material",IF(COUNTIF(ProductList,A41)=0,"Product not in Products list",IF(COUNTIF(MaterialList,B41)=0,"Material not in Materials list","OK")))))</f>
        <v>OK</v>
      </c>
      <c r="H41" s="18" t="str">
        <f aca="false">IF(F41="Active",A41&amp;"|"&amp;COUNTIFS(A$2:A41,A41,F$2:F41,"Active"),"")</f>
        <v>Product 3|1</v>
      </c>
      <c r="I41" s="18" t="str">
        <f aca="false">IF(B41="","",IF(SUMPRODUCT(MAX((A$1:A40=A41)*(B$1:B40=B41)*ROW(A$1:A40)))=0,C41&amp;"",IF(C41="",INDEX(I$1:I40,SUMPRODUCT(MAX((A$1:A40=A41)*(B$1:B40=B41)*ROW(A$1:A40)))),IF(INDEX(I$1:I40,SUMPRODUCT(MAX((A$1:A40=A41)*(B$1:B40=B41)*ROW(A$1:A40))))="",C41&amp;"",INDEX(I$1:I40,SUMPRODUCT(MAX((A$1:A40=A41)*(B$1:B40=B41)*ROW(A$1:A40))))&amp;"; "&amp;C41))))</f>
        <v/>
      </c>
      <c r="J41" s="18" t="str">
        <f aca="false">IF(A41="","",A41&amp;"|"&amp;COUNTIF(A$2:A41,A41))</f>
        <v>Product 3|1</v>
      </c>
      <c r="K41" s="18" t="n">
        <f aca="false">IF(OR(A41="",B41=""),0,IF(COUNTIFS(A$2:A41,A41,B$2:B41,B41)=1,1,0))</f>
        <v>1</v>
      </c>
    </row>
    <row r="42" customFormat="false" ht="15" hidden="false" customHeight="false" outlineLevel="0" collapsed="false">
      <c r="A42" s="15" t="s">
        <v>113</v>
      </c>
      <c r="B42" s="15" t="s">
        <v>34</v>
      </c>
      <c r="C42" s="15" t="s">
        <v>128</v>
      </c>
      <c r="D42" s="15"/>
      <c r="F42" s="18" t="str">
        <f aca="false">IF(B42="","",IFERROR(INDEX(Materials!$B$2:$B$201,MATCH(B42,Materials!$A$2:$A$201,0)),""))</f>
        <v>Disintegrant</v>
      </c>
      <c r="G42" s="18" t="str">
        <f aca="true">IF(AND(A42="",B42=""),"",IF(A42="","Missing product",IF(B42="","Missing material",IF(COUNTIF(ProductList,A42)=0,"Product not in Products list",IF(COUNTIF(MaterialList,B42)=0,"Material not in Materials list","OK")))))</f>
        <v>OK</v>
      </c>
      <c r="H42" s="18" t="str">
        <f aca="false">IF(F42="Active",A42&amp;"|"&amp;COUNTIFS(A$2:A42,A42,F$2:F42,"Active"),"")</f>
        <v/>
      </c>
      <c r="I42" s="18" t="str">
        <f aca="false">IF(B42="","",IF(SUMPRODUCT(MAX((A$1:A41=A42)*(B$1:B41=B42)*ROW(A$1:A41)))=0,C42&amp;"",IF(C42="",INDEX(I$1:I41,SUMPRODUCT(MAX((A$1:A41=A42)*(B$1:B41=B42)*ROW(A$1:A41)))),IF(INDEX(I$1:I41,SUMPRODUCT(MAX((A$1:A41=A42)*(B$1:B41=B42)*ROW(A$1:A41))))="",C42&amp;"",INDEX(I$1:I41,SUMPRODUCT(MAX((A$1:A41=A42)*(B$1:B41=B42)*ROW(A$1:A41))))&amp;"; "&amp;C42))))</f>
        <v>Intra-granular</v>
      </c>
      <c r="J42" s="18" t="str">
        <f aca="false">IF(A42="","",A42&amp;"|"&amp;COUNTIF(A$2:A42,A42))</f>
        <v>Product 3|2</v>
      </c>
      <c r="K42" s="18" t="n">
        <f aca="false">IF(OR(A42="",B42=""),0,IF(COUNTIFS(A$2:A42,A42,B$2:B42,B42)=1,1,0))</f>
        <v>1</v>
      </c>
    </row>
    <row r="43" customFormat="false" ht="15" hidden="false" customHeight="false" outlineLevel="0" collapsed="false">
      <c r="A43" s="15" t="s">
        <v>113</v>
      </c>
      <c r="B43" s="15" t="s">
        <v>60</v>
      </c>
      <c r="C43" s="15"/>
      <c r="D43" s="15"/>
      <c r="F43" s="18" t="str">
        <f aca="false">IF(B43="","",IFERROR(INDEX(Materials!$B$2:$B$201,MATCH(B43,Materials!$A$2:$A$201,0)),""))</f>
        <v>Surfactant</v>
      </c>
      <c r="G43" s="18" t="str">
        <f aca="true">IF(AND(A43="",B43=""),"",IF(A43="","Missing product",IF(B43="","Missing material",IF(COUNTIF(ProductList,A43)=0,"Product not in Products list",IF(COUNTIF(MaterialList,B43)=0,"Material not in Materials list","OK")))))</f>
        <v>OK</v>
      </c>
      <c r="H43" s="18" t="str">
        <f aca="false">IF(F43="Active",A43&amp;"|"&amp;COUNTIFS(A$2:A43,A43,F$2:F43,"Active"),"")</f>
        <v/>
      </c>
      <c r="I43" s="18" t="str">
        <f aca="false">IF(B43="","",IF(SUMPRODUCT(MAX((A$1:A42=A43)*(B$1:B42=B43)*ROW(A$1:A42)))=0,C43&amp;"",IF(C43="",INDEX(I$1:I42,SUMPRODUCT(MAX((A$1:A42=A43)*(B$1:B42=B43)*ROW(A$1:A42)))),IF(INDEX(I$1:I42,SUMPRODUCT(MAX((A$1:A42=A43)*(B$1:B42=B43)*ROW(A$1:A42))))="",C43&amp;"",INDEX(I$1:I42,SUMPRODUCT(MAX((A$1:A42=A43)*(B$1:B42=B43)*ROW(A$1:A42))))&amp;"; "&amp;C43))))</f>
        <v/>
      </c>
      <c r="J43" s="18" t="str">
        <f aca="false">IF(A43="","",A43&amp;"|"&amp;COUNTIF(A$2:A43,A43))</f>
        <v>Product 3|3</v>
      </c>
      <c r="K43" s="18" t="n">
        <f aca="false">IF(OR(A43="",B43=""),0,IF(COUNTIFS(A$2:A43,A43,B$2:B43,B43)=1,1,0))</f>
        <v>1</v>
      </c>
    </row>
    <row r="44" customFormat="false" ht="15" hidden="false" customHeight="false" outlineLevel="0" collapsed="false">
      <c r="A44" s="15" t="s">
        <v>113</v>
      </c>
      <c r="B44" s="15" t="s">
        <v>62</v>
      </c>
      <c r="C44" s="15"/>
      <c r="D44" s="15"/>
      <c r="F44" s="18" t="str">
        <f aca="false">IF(B44="","",IFERROR(INDEX(Materials!$B$2:$B$201,MATCH(B44,Materials!$A$2:$A$201,0)),""))</f>
        <v>Filler / Diluent</v>
      </c>
      <c r="G44" s="18" t="str">
        <f aca="true">IF(AND(A44="",B44=""),"",IF(A44="","Missing product",IF(B44="","Missing material",IF(COUNTIF(ProductList,A44)=0,"Product not in Products list",IF(COUNTIF(MaterialList,B44)=0,"Material not in Materials list","OK")))))</f>
        <v>OK</v>
      </c>
      <c r="H44" s="18" t="str">
        <f aca="false">IF(F44="Active",A44&amp;"|"&amp;COUNTIFS(A$2:A44,A44,F$2:F44,"Active"),"")</f>
        <v/>
      </c>
      <c r="I44" s="18" t="str">
        <f aca="false">IF(B44="","",IF(SUMPRODUCT(MAX((A$1:A43=A44)*(B$1:B43=B44)*ROW(A$1:A43)))=0,C44&amp;"",IF(C44="",INDEX(I$1:I43,SUMPRODUCT(MAX((A$1:A43=A44)*(B$1:B43=B44)*ROW(A$1:A43)))),IF(INDEX(I$1:I43,SUMPRODUCT(MAX((A$1:A43=A44)*(B$1:B43=B44)*ROW(A$1:A43))))="",C44&amp;"",INDEX(I$1:I43,SUMPRODUCT(MAX((A$1:A43=A44)*(B$1:B43=B44)*ROW(A$1:A43))))&amp;"; "&amp;C44))))</f>
        <v/>
      </c>
      <c r="J44" s="18" t="str">
        <f aca="false">IF(A44="","",A44&amp;"|"&amp;COUNTIF(A$2:A44,A44))</f>
        <v>Product 3|4</v>
      </c>
      <c r="K44" s="18" t="n">
        <f aca="false">IF(OR(A44="",B44=""),0,IF(COUNTIFS(A$2:A44,A44,B$2:B44,B44)=1,1,0))</f>
        <v>1</v>
      </c>
    </row>
    <row r="45" customFormat="false" ht="15" hidden="false" customHeight="false" outlineLevel="0" collapsed="false">
      <c r="A45" s="15" t="s">
        <v>113</v>
      </c>
      <c r="B45" s="15" t="s">
        <v>64</v>
      </c>
      <c r="C45" s="15" t="s">
        <v>129</v>
      </c>
      <c r="D45" s="15"/>
      <c r="F45" s="18" t="str">
        <f aca="false">IF(B45="","",IFERROR(INDEX(Materials!$B$2:$B$201,MATCH(B45,Materials!$A$2:$A$201,0)),""))</f>
        <v>Binder</v>
      </c>
      <c r="G45" s="18" t="str">
        <f aca="true">IF(AND(A45="",B45=""),"",IF(A45="","Missing product",IF(B45="","Missing material",IF(COUNTIF(ProductList,A45)=0,"Product not in Products list",IF(COUNTIF(MaterialList,B45)=0,"Material not in Materials list","OK")))))</f>
        <v>OK</v>
      </c>
      <c r="H45" s="18" t="str">
        <f aca="false">IF(F45="Active",A45&amp;"|"&amp;COUNTIFS(A$2:A45,A45,F$2:F45,"Active"),"")</f>
        <v/>
      </c>
      <c r="I45" s="18" t="str">
        <f aca="false">IF(B45="","",IF(SUMPRODUCT(MAX((A$1:A44=A45)*(B$1:B44=B45)*ROW(A$1:A44)))=0,C45&amp;"",IF(C45="",INDEX(I$1:I44,SUMPRODUCT(MAX((A$1:A44=A45)*(B$1:B44=B45)*ROW(A$1:A44)))),IF(INDEX(I$1:I44,SUMPRODUCT(MAX((A$1:A44=A45)*(B$1:B44=B45)*ROW(A$1:A44))))="",C45&amp;"",INDEX(I$1:I44,SUMPRODUCT(MAX((A$1:A44=A45)*(B$1:B44=B45)*ROW(A$1:A44))))&amp;"; "&amp;C45))))</f>
        <v>Binder Solution</v>
      </c>
      <c r="J45" s="18" t="str">
        <f aca="false">IF(A45="","",A45&amp;"|"&amp;COUNTIF(A$2:A45,A45))</f>
        <v>Product 3|5</v>
      </c>
      <c r="K45" s="18" t="n">
        <f aca="false">IF(OR(A45="",B45=""),0,IF(COUNTIFS(A$2:A45,A45,B$2:B45,B45)=1,1,0))</f>
        <v>1</v>
      </c>
    </row>
    <row r="46" customFormat="false" ht="15" hidden="false" customHeight="false" outlineLevel="0" collapsed="false">
      <c r="A46" s="15" t="s">
        <v>113</v>
      </c>
      <c r="B46" s="15" t="s">
        <v>66</v>
      </c>
      <c r="C46" s="15" t="s">
        <v>130</v>
      </c>
      <c r="D46" s="15"/>
      <c r="F46" s="18" t="str">
        <f aca="false">IF(B46="","",IFERROR(INDEX(Materials!$B$2:$B$201,MATCH(B46,Materials!$A$2:$A$201,0)),""))</f>
        <v>Solvent</v>
      </c>
      <c r="G46" s="18" t="str">
        <f aca="true">IF(AND(A46="",B46=""),"",IF(A46="","Missing product",IF(B46="","Missing material",IF(COUNTIF(ProductList,A46)=0,"Product not in Products list",IF(COUNTIF(MaterialList,B46)=0,"Material not in Materials list","OK")))))</f>
        <v>OK</v>
      </c>
      <c r="H46" s="18" t="str">
        <f aca="false">IF(F46="Active",A46&amp;"|"&amp;COUNTIFS(A$2:A46,A46,F$2:F46,"Active"),"")</f>
        <v/>
      </c>
      <c r="I46" s="18" t="str">
        <f aca="false">IF(B46="","",IF(SUMPRODUCT(MAX((A$1:A45=A46)*(B$1:B45=B46)*ROW(A$1:A45)))=0,C46&amp;"",IF(C46="",INDEX(I$1:I45,SUMPRODUCT(MAX((A$1:A45=A46)*(B$1:B45=B46)*ROW(A$1:A45)))),IF(INDEX(I$1:I45,SUMPRODUCT(MAX((A$1:A45=A46)*(B$1:B45=B46)*ROW(A$1:A45))))="",C46&amp;"",INDEX(I$1:I45,SUMPRODUCT(MAX((A$1:A45=A46)*(B$1:B45=B46)*ROW(A$1:A45))))&amp;"; "&amp;C46))))</f>
        <v>Binder Solvent</v>
      </c>
      <c r="J46" s="18" t="str">
        <f aca="false">IF(A46="","",A46&amp;"|"&amp;COUNTIF(A$2:A46,A46))</f>
        <v>Product 3|6</v>
      </c>
      <c r="K46" s="18" t="n">
        <f aca="false">IF(OR(A46="",B46=""),0,IF(COUNTIFS(A$2:A46,A46,B$2:B46,B46)=1,1,0))</f>
        <v>1</v>
      </c>
    </row>
    <row r="47" customFormat="false" ht="15" hidden="false" customHeight="false" outlineLevel="0" collapsed="false">
      <c r="A47" s="15" t="s">
        <v>113</v>
      </c>
      <c r="B47" s="15" t="s">
        <v>68</v>
      </c>
      <c r="C47" s="15"/>
      <c r="D47" s="15"/>
      <c r="F47" s="18" t="str">
        <f aca="false">IF(B47="","",IFERROR(INDEX(Materials!$B$2:$B$201,MATCH(B47,Materials!$A$2:$A$201,0)),""))</f>
        <v>Active</v>
      </c>
      <c r="G47" s="18" t="str">
        <f aca="true">IF(AND(A47="",B47=""),"",IF(A47="","Missing product",IF(B47="","Missing material",IF(COUNTIF(ProductList,A47)=0,"Product not in Products list",IF(COUNTIF(MaterialList,B47)=0,"Material not in Materials list","OK")))))</f>
        <v>OK</v>
      </c>
      <c r="H47" s="18" t="str">
        <f aca="false">IF(F47="Active",A47&amp;"|"&amp;COUNTIFS(A$2:A47,A47,F$2:F47,"Active"),"")</f>
        <v>Product 3|2</v>
      </c>
      <c r="I47" s="18" t="str">
        <f aca="false">IF(B47="","",IF(SUMPRODUCT(MAX((A$1:A46=A47)*(B$1:B46=B47)*ROW(A$1:A46)))=0,C47&amp;"",IF(C47="",INDEX(I$1:I46,SUMPRODUCT(MAX((A$1:A46=A47)*(B$1:B46=B47)*ROW(A$1:A46)))),IF(INDEX(I$1:I46,SUMPRODUCT(MAX((A$1:A46=A47)*(B$1:B46=B47)*ROW(A$1:A46))))="",C47&amp;"",INDEX(I$1:I46,SUMPRODUCT(MAX((A$1:A46=A47)*(B$1:B46=B47)*ROW(A$1:A46))))&amp;"; "&amp;C47))))</f>
        <v/>
      </c>
      <c r="J47" s="18" t="str">
        <f aca="false">IF(A47="","",A47&amp;"|"&amp;COUNTIF(A$2:A47,A47))</f>
        <v>Product 3|7</v>
      </c>
      <c r="K47" s="18" t="n">
        <f aca="false">IF(OR(A47="",B47=""),0,IF(COUNTIFS(A$2:A47,A47,B$2:B47,B47)=1,1,0))</f>
        <v>1</v>
      </c>
    </row>
    <row r="48" customFormat="false" ht="15" hidden="false" customHeight="false" outlineLevel="0" collapsed="false">
      <c r="A48" s="15" t="s">
        <v>113</v>
      </c>
      <c r="B48" s="15" t="s">
        <v>34</v>
      </c>
      <c r="C48" s="15" t="s">
        <v>131</v>
      </c>
      <c r="D48" s="15"/>
      <c r="F48" s="18" t="str">
        <f aca="false">IF(B48="","",IFERROR(INDEX(Materials!$B$2:$B$201,MATCH(B48,Materials!$A$2:$A$201,0)),""))</f>
        <v>Disintegrant</v>
      </c>
      <c r="G48" s="18" t="str">
        <f aca="true">IF(AND(A48="",B48=""),"",IF(A48="","Missing product",IF(B48="","Missing material",IF(COUNTIF(ProductList,A48)=0,"Product not in Products list",IF(COUNTIF(MaterialList,B48)=0,"Material not in Materials list","OK")))))</f>
        <v>OK</v>
      </c>
      <c r="H48" s="18" t="str">
        <f aca="false">IF(F48="Active",A48&amp;"|"&amp;COUNTIFS(A$2:A48,A48,F$2:F48,"Active"),"")</f>
        <v/>
      </c>
      <c r="I48" s="18" t="str">
        <f aca="false">IF(B48="","",IF(SUMPRODUCT(MAX((A$1:A47=A48)*(B$1:B47=B48)*ROW(A$1:A47)))=0,C48&amp;"",IF(C48="",INDEX(I$1:I47,SUMPRODUCT(MAX((A$1:A47=A48)*(B$1:B47=B48)*ROW(A$1:A47)))),IF(INDEX(I$1:I47,SUMPRODUCT(MAX((A$1:A47=A48)*(B$1:B47=B48)*ROW(A$1:A47))))="",C48&amp;"",INDEX(I$1:I47,SUMPRODUCT(MAX((A$1:A47=A48)*(B$1:B47=B48)*ROW(A$1:A47))))&amp;"; "&amp;C48))))</f>
        <v>Intra-granular; Extra-granular</v>
      </c>
      <c r="J48" s="18" t="str">
        <f aca="false">IF(A48="","",A48&amp;"|"&amp;COUNTIF(A$2:A48,A48))</f>
        <v>Product 3|8</v>
      </c>
      <c r="K48" s="18" t="n">
        <f aca="false">IF(OR(A48="",B48=""),0,IF(COUNTIFS(A$2:A48,A48,B$2:B48,B48)=1,1,0))</f>
        <v>0</v>
      </c>
    </row>
    <row r="49" customFormat="false" ht="15" hidden="false" customHeight="false" outlineLevel="0" collapsed="false">
      <c r="A49" s="15" t="s">
        <v>113</v>
      </c>
      <c r="B49" s="15" t="s">
        <v>69</v>
      </c>
      <c r="C49" s="15"/>
      <c r="D49" s="15"/>
      <c r="F49" s="18" t="str">
        <f aca="false">IF(B49="","",IFERROR(INDEX(Materials!$B$2:$B$201,MATCH(B49,Materials!$A$2:$A$201,0)),""))</f>
        <v>Filler / Diluent</v>
      </c>
      <c r="G49" s="18" t="str">
        <f aca="true">IF(AND(A49="",B49=""),"",IF(A49="","Missing product",IF(B49="","Missing material",IF(COUNTIF(ProductList,A49)=0,"Product not in Products list",IF(COUNTIF(MaterialList,B49)=0,"Material not in Materials list","OK")))))</f>
        <v>OK</v>
      </c>
      <c r="H49" s="18" t="str">
        <f aca="false">IF(F49="Active",A49&amp;"|"&amp;COUNTIFS(A$2:A49,A49,F$2:F49,"Active"),"")</f>
        <v/>
      </c>
      <c r="I49" s="18" t="str">
        <f aca="false">IF(B49="","",IF(SUMPRODUCT(MAX((A$1:A48=A49)*(B$1:B48=B49)*ROW(A$1:A48)))=0,C49&amp;"",IF(C49="",INDEX(I$1:I48,SUMPRODUCT(MAX((A$1:A48=A49)*(B$1:B48=B49)*ROW(A$1:A48)))),IF(INDEX(I$1:I48,SUMPRODUCT(MAX((A$1:A48=A49)*(B$1:B48=B49)*ROW(A$1:A48))))="",C49&amp;"",INDEX(I$1:I48,SUMPRODUCT(MAX((A$1:A48=A49)*(B$1:B48=B49)*ROW(A$1:A48))))&amp;"; "&amp;C49))))</f>
        <v/>
      </c>
      <c r="J49" s="18" t="str">
        <f aca="false">IF(A49="","",A49&amp;"|"&amp;COUNTIF(A$2:A49,A49))</f>
        <v>Product 3|9</v>
      </c>
      <c r="K49" s="18" t="n">
        <f aca="false">IF(OR(A49="",B49=""),0,IF(COUNTIFS(A$2:A49,A49,B$2:B49,B49)=1,1,0))</f>
        <v>1</v>
      </c>
    </row>
    <row r="50" customFormat="false" ht="15" hidden="false" customHeight="false" outlineLevel="0" collapsed="false">
      <c r="A50" s="15" t="s">
        <v>113</v>
      </c>
      <c r="B50" s="15" t="s">
        <v>64</v>
      </c>
      <c r="C50" s="15" t="s">
        <v>132</v>
      </c>
      <c r="D50" s="15"/>
      <c r="F50" s="18" t="str">
        <f aca="false">IF(B50="","",IFERROR(INDEX(Materials!$B$2:$B$201,MATCH(B50,Materials!$A$2:$A$201,0)),""))</f>
        <v>Binder</v>
      </c>
      <c r="G50" s="18" t="str">
        <f aca="true">IF(AND(A50="",B50=""),"",IF(A50="","Missing product",IF(B50="","Missing material",IF(COUNTIF(ProductList,A50)=0,"Product not in Products list",IF(COUNTIF(MaterialList,B50)=0,"Material not in Materials list","OK")))))</f>
        <v>OK</v>
      </c>
      <c r="H50" s="18" t="str">
        <f aca="false">IF(F50="Active",A50&amp;"|"&amp;COUNTIFS(A$2:A50,A50,F$2:F50,"Active"),"")</f>
        <v/>
      </c>
      <c r="I50" s="18" t="str">
        <f aca="false">IF(B50="","",IF(SUMPRODUCT(MAX((A$1:A49=A50)*(B$1:B49=B50)*ROW(A$1:A49)))=0,C50&amp;"",IF(C50="",INDEX(I$1:I49,SUMPRODUCT(MAX((A$1:A49=A50)*(B$1:B49=B50)*ROW(A$1:A49)))),IF(INDEX(I$1:I49,SUMPRODUCT(MAX((A$1:A49=A50)*(B$1:B49=B50)*ROW(A$1:A49))))="",C50&amp;"",INDEX(I$1:I49,SUMPRODUCT(MAX((A$1:A49=A50)*(B$1:B49=B50)*ROW(A$1:A49))))&amp;"; "&amp;C50))))</f>
        <v>Binder Solution; Dry Binder</v>
      </c>
      <c r="J50" s="18" t="str">
        <f aca="false">IF(A50="","",A50&amp;"|"&amp;COUNTIF(A$2:A50,A50))</f>
        <v>Product 3|10</v>
      </c>
      <c r="K50" s="18" t="n">
        <f aca="false">IF(OR(A50="",B50=""),0,IF(COUNTIFS(A$2:A50,A50,B$2:B50,B50)=1,1,0))</f>
        <v>0</v>
      </c>
    </row>
    <row r="51" customFormat="false" ht="15" hidden="false" customHeight="false" outlineLevel="0" collapsed="false">
      <c r="A51" s="15" t="s">
        <v>113</v>
      </c>
      <c r="B51" s="15" t="s">
        <v>88</v>
      </c>
      <c r="C51" s="15"/>
      <c r="D51" s="15"/>
      <c r="F51" s="18" t="str">
        <f aca="false">IF(B51="","",IFERROR(INDEX(Materials!$B$2:$B$201,MATCH(B51,Materials!$A$2:$A$201,0)),""))</f>
        <v>pH Modifier / Acidifier</v>
      </c>
      <c r="G51" s="18" t="str">
        <f aca="true">IF(AND(A51="",B51=""),"",IF(A51="","Missing product",IF(B51="","Missing material",IF(COUNTIF(ProductList,A51)=0,"Product not in Products list",IF(COUNTIF(MaterialList,B51)=0,"Material not in Materials list","OK")))))</f>
        <v>OK</v>
      </c>
      <c r="H51" s="18" t="str">
        <f aca="false">IF(F51="Active",A51&amp;"|"&amp;COUNTIFS(A$2:A51,A51,F$2:F51,"Active"),"")</f>
        <v/>
      </c>
      <c r="I51" s="18" t="str">
        <f aca="false">IF(B51="","",IF(SUMPRODUCT(MAX((A$1:A50=A51)*(B$1:B50=B51)*ROW(A$1:A50)))=0,C51&amp;"",IF(C51="",INDEX(I$1:I50,SUMPRODUCT(MAX((A$1:A50=A51)*(B$1:B50=B51)*ROW(A$1:A50)))),IF(INDEX(I$1:I50,SUMPRODUCT(MAX((A$1:A50=A51)*(B$1:B50=B51)*ROW(A$1:A50))))="",C51&amp;"",INDEX(I$1:I50,SUMPRODUCT(MAX((A$1:A50=A51)*(B$1:B50=B51)*ROW(A$1:A50))))&amp;"; "&amp;C51))))</f>
        <v/>
      </c>
      <c r="J51" s="18" t="str">
        <f aca="false">IF(A51="","",A51&amp;"|"&amp;COUNTIF(A$2:A51,A51))</f>
        <v>Product 3|11</v>
      </c>
      <c r="K51" s="18" t="n">
        <f aca="false">IF(OR(A51="",B51=""),0,IF(COUNTIFS(A$2:A51,A51,B$2:B51,B51)=1,1,0))</f>
        <v>1</v>
      </c>
    </row>
    <row r="52" customFormat="false" ht="15" hidden="false" customHeight="false" outlineLevel="0" collapsed="false">
      <c r="A52" s="15" t="s">
        <v>113</v>
      </c>
      <c r="B52" s="15" t="s">
        <v>71</v>
      </c>
      <c r="C52" s="15"/>
      <c r="D52" s="15"/>
      <c r="F52" s="18" t="str">
        <f aca="false">IF(B52="","",IFERROR(INDEX(Materials!$B$2:$B$201,MATCH(B52,Materials!$A$2:$A$201,0)),""))</f>
        <v>Glidant</v>
      </c>
      <c r="G52" s="18" t="str">
        <f aca="true">IF(AND(A52="",B52=""),"",IF(A52="","Missing product",IF(B52="","Missing material",IF(COUNTIF(ProductList,A52)=0,"Product not in Products list",IF(COUNTIF(MaterialList,B52)=0,"Material not in Materials list","OK")))))</f>
        <v>OK</v>
      </c>
      <c r="H52" s="18" t="str">
        <f aca="false">IF(F52="Active",A52&amp;"|"&amp;COUNTIFS(A$2:A52,A52,F$2:F52,"Active"),"")</f>
        <v/>
      </c>
      <c r="I52" s="18" t="str">
        <f aca="false">IF(B52="","",IF(SUMPRODUCT(MAX((A$1:A51=A52)*(B$1:B51=B52)*ROW(A$1:A51)))=0,C52&amp;"",IF(C52="",INDEX(I$1:I51,SUMPRODUCT(MAX((A$1:A51=A52)*(B$1:B51=B52)*ROW(A$1:A51)))),IF(INDEX(I$1:I51,SUMPRODUCT(MAX((A$1:A51=A52)*(B$1:B51=B52)*ROW(A$1:A51))))="",C52&amp;"",INDEX(I$1:I51,SUMPRODUCT(MAX((A$1:A51=A52)*(B$1:B51=B52)*ROW(A$1:A51))))&amp;"; "&amp;C52))))</f>
        <v/>
      </c>
      <c r="J52" s="18" t="str">
        <f aca="false">IF(A52="","",A52&amp;"|"&amp;COUNTIF(A$2:A52,A52))</f>
        <v>Product 3|12</v>
      </c>
      <c r="K52" s="18" t="n">
        <f aca="false">IF(OR(A52="",B52=""),0,IF(COUNTIFS(A$2:A52,A52,B$2:B52,B52)=1,1,0))</f>
        <v>1</v>
      </c>
    </row>
    <row r="53" customFormat="false" ht="15" hidden="false" customHeight="false" outlineLevel="0" collapsed="false">
      <c r="A53" s="15" t="s">
        <v>113</v>
      </c>
      <c r="B53" s="15" t="s">
        <v>73</v>
      </c>
      <c r="C53" s="15"/>
      <c r="D53" s="15"/>
      <c r="F53" s="18" t="str">
        <f aca="false">IF(B53="","",IFERROR(INDEX(Materials!$B$2:$B$201,MATCH(B53,Materials!$A$2:$A$201,0)),""))</f>
        <v>Lubricant</v>
      </c>
      <c r="G53" s="18" t="str">
        <f aca="true">IF(AND(A53="",B53=""),"",IF(A53="","Missing product",IF(B53="","Missing material",IF(COUNTIF(ProductList,A53)=0,"Product not in Products list",IF(COUNTIF(MaterialList,B53)=0,"Material not in Materials list","OK")))))</f>
        <v>OK</v>
      </c>
      <c r="H53" s="18" t="str">
        <f aca="false">IF(F53="Active",A53&amp;"|"&amp;COUNTIFS(A$2:A53,A53,F$2:F53,"Active"),"")</f>
        <v/>
      </c>
      <c r="I53" s="18" t="str">
        <f aca="false">IF(B53="","",IF(SUMPRODUCT(MAX((A$1:A52=A53)*(B$1:B52=B53)*ROW(A$1:A52)))=0,C53&amp;"",IF(C53="",INDEX(I$1:I52,SUMPRODUCT(MAX((A$1:A52=A53)*(B$1:B52=B53)*ROW(A$1:A52)))),IF(INDEX(I$1:I52,SUMPRODUCT(MAX((A$1:A52=A53)*(B$1:B52=B53)*ROW(A$1:A52))))="",C53&amp;"",INDEX(I$1:I52,SUMPRODUCT(MAX((A$1:A52=A53)*(B$1:B52=B53)*ROW(A$1:A52))))&amp;"; "&amp;C53))))</f>
        <v/>
      </c>
      <c r="J53" s="18" t="str">
        <f aca="false">IF(A53="","",A53&amp;"|"&amp;COUNTIF(A$2:A53,A53))</f>
        <v>Product 3|13</v>
      </c>
      <c r="K53" s="18" t="n">
        <f aca="false">IF(OR(A53="",B53=""),0,IF(COUNTIFS(A$2:A53,A53,B$2:B53,B53)=1,1,0))</f>
        <v>1</v>
      </c>
    </row>
    <row r="54" customFormat="false" ht="15" hidden="false" customHeight="false" outlineLevel="0" collapsed="false">
      <c r="A54" s="15" t="s">
        <v>113</v>
      </c>
      <c r="B54" s="15" t="s">
        <v>75</v>
      </c>
      <c r="C54" s="15"/>
      <c r="D54" s="15"/>
      <c r="F54" s="18" t="str">
        <f aca="false">IF(B54="","",IFERROR(INDEX(Materials!$B$2:$B$201,MATCH(B54,Materials!$A$2:$A$201,0)),""))</f>
        <v>Binder / Coating Polymer</v>
      </c>
      <c r="G54" s="18" t="str">
        <f aca="true">IF(AND(A54="",B54=""),"",IF(A54="","Missing product",IF(B54="","Missing material",IF(COUNTIF(ProductList,A54)=0,"Product not in Products list",IF(COUNTIF(MaterialList,B54)=0,"Material not in Materials list","OK")))))</f>
        <v>OK</v>
      </c>
      <c r="H54" s="18" t="str">
        <f aca="false">IF(F54="Active",A54&amp;"|"&amp;COUNTIFS(A$2:A54,A54,F$2:F54,"Active"),"")</f>
        <v/>
      </c>
      <c r="I54" s="18" t="str">
        <f aca="false">IF(B54="","",IF(SUMPRODUCT(MAX((A$1:A53=A54)*(B$1:B53=B54)*ROW(A$1:A53)))=0,C54&amp;"",IF(C54="",INDEX(I$1:I53,SUMPRODUCT(MAX((A$1:A53=A54)*(B$1:B53=B54)*ROW(A$1:A53)))),IF(INDEX(I$1:I53,SUMPRODUCT(MAX((A$1:A53=A54)*(B$1:B53=B54)*ROW(A$1:A53))))="",C54&amp;"",INDEX(I$1:I53,SUMPRODUCT(MAX((A$1:A53=A54)*(B$1:B53=B54)*ROW(A$1:A53))))&amp;"; "&amp;C54))))</f>
        <v/>
      </c>
      <c r="J54" s="18" t="str">
        <f aca="false">IF(A54="","",A54&amp;"|"&amp;COUNTIF(A$2:A54,A54))</f>
        <v>Product 3|14</v>
      </c>
      <c r="K54" s="18" t="n">
        <f aca="false">IF(OR(A54="",B54=""),0,IF(COUNTIFS(A$2:A54,A54,B$2:B54,B54)=1,1,0))</f>
        <v>1</v>
      </c>
    </row>
    <row r="55" customFormat="false" ht="15" hidden="false" customHeight="false" outlineLevel="0" collapsed="false">
      <c r="A55" s="15" t="s">
        <v>113</v>
      </c>
      <c r="B55" s="15" t="s">
        <v>78</v>
      </c>
      <c r="C55" s="15"/>
      <c r="D55" s="15"/>
      <c r="F55" s="18" t="str">
        <f aca="false">IF(B55="","",IFERROR(INDEX(Materials!$B$2:$B$201,MATCH(B55,Materials!$A$2:$A$201,0)),""))</f>
        <v>Plasticizer</v>
      </c>
      <c r="G55" s="18" t="str">
        <f aca="true">IF(AND(A55="",B55=""),"",IF(A55="","Missing product",IF(B55="","Missing material",IF(COUNTIF(ProductList,A55)=0,"Product not in Products list",IF(COUNTIF(MaterialList,B55)=0,"Material not in Materials list","OK")))))</f>
        <v>OK</v>
      </c>
      <c r="H55" s="18" t="str">
        <f aca="false">IF(F55="Active",A55&amp;"|"&amp;COUNTIFS(A$2:A55,A55,F$2:F55,"Active"),"")</f>
        <v/>
      </c>
      <c r="I55" s="18" t="str">
        <f aca="false">IF(B55="","",IF(SUMPRODUCT(MAX((A$1:A54=A55)*(B$1:B54=B55)*ROW(A$1:A54)))=0,C55&amp;"",IF(C55="",INDEX(I$1:I54,SUMPRODUCT(MAX((A$1:A54=A55)*(B$1:B54=B55)*ROW(A$1:A54)))),IF(INDEX(I$1:I54,SUMPRODUCT(MAX((A$1:A54=A55)*(B$1:B54=B55)*ROW(A$1:A54))))="",C55&amp;"",INDEX(I$1:I54,SUMPRODUCT(MAX((A$1:A54=A55)*(B$1:B54=B55)*ROW(A$1:A54))))&amp;"; "&amp;C55))))</f>
        <v/>
      </c>
      <c r="J55" s="18" t="str">
        <f aca="false">IF(A55="","",A55&amp;"|"&amp;COUNTIF(A$2:A55,A55))</f>
        <v>Product 3|15</v>
      </c>
      <c r="K55" s="18" t="n">
        <f aca="false">IF(OR(A55="",B55=""),0,IF(COUNTIFS(A$2:A55,A55,B$2:B55,B55)=1,1,0))</f>
        <v>1</v>
      </c>
    </row>
    <row r="56" customFormat="false" ht="15" hidden="false" customHeight="false" outlineLevel="0" collapsed="false">
      <c r="A56" s="15" t="s">
        <v>113</v>
      </c>
      <c r="B56" s="15" t="s">
        <v>81</v>
      </c>
      <c r="C56" s="15"/>
      <c r="D56" s="15"/>
      <c r="F56" s="18" t="str">
        <f aca="false">IF(B56="","",IFERROR(INDEX(Materials!$B$2:$B$201,MATCH(B56,Materials!$A$2:$A$201,0)),""))</f>
        <v>Opacifier</v>
      </c>
      <c r="G56" s="18" t="str">
        <f aca="true">IF(AND(A56="",B56=""),"",IF(A56="","Missing product",IF(B56="","Missing material",IF(COUNTIF(ProductList,A56)=0,"Product not in Products list",IF(COUNTIF(MaterialList,B56)=0,"Material not in Materials list","OK")))))</f>
        <v>OK</v>
      </c>
      <c r="H56" s="18" t="str">
        <f aca="false">IF(F56="Active",A56&amp;"|"&amp;COUNTIFS(A$2:A56,A56,F$2:F56,"Active"),"")</f>
        <v/>
      </c>
      <c r="I56" s="18" t="str">
        <f aca="false">IF(B56="","",IF(SUMPRODUCT(MAX((A$1:A55=A56)*(B$1:B55=B56)*ROW(A$1:A55)))=0,C56&amp;"",IF(C56="",INDEX(I$1:I55,SUMPRODUCT(MAX((A$1:A55=A56)*(B$1:B55=B56)*ROW(A$1:A55)))),IF(INDEX(I$1:I55,SUMPRODUCT(MAX((A$1:A55=A56)*(B$1:B55=B56)*ROW(A$1:A55))))="",C56&amp;"",INDEX(I$1:I55,SUMPRODUCT(MAX((A$1:A55=A56)*(B$1:B55=B56)*ROW(A$1:A55))))&amp;"; "&amp;C56))))</f>
        <v/>
      </c>
      <c r="J56" s="18" t="str">
        <f aca="false">IF(A56="","",A56&amp;"|"&amp;COUNTIF(A$2:A56,A56))</f>
        <v>Product 3|16</v>
      </c>
      <c r="K56" s="18" t="n">
        <f aca="false">IF(OR(A56="",B56=""),0,IF(COUNTIFS(A$2:A56,A56,B$2:B56,B56)=1,1,0))</f>
        <v>1</v>
      </c>
    </row>
    <row r="57" customFormat="false" ht="15" hidden="false" customHeight="false" outlineLevel="0" collapsed="false">
      <c r="A57" s="15" t="s">
        <v>113</v>
      </c>
      <c r="B57" s="15" t="s">
        <v>83</v>
      </c>
      <c r="C57" s="15"/>
      <c r="D57" s="15"/>
      <c r="F57" s="18" t="str">
        <f aca="false">IF(B57="","",IFERROR(INDEX(Materials!$B$2:$B$201,MATCH(B57,Materials!$A$2:$A$201,0)),""))</f>
        <v>Glidant / Anti-tacking</v>
      </c>
      <c r="G57" s="18" t="str">
        <f aca="true">IF(AND(A57="",B57=""),"",IF(A57="","Missing product",IF(B57="","Missing material",IF(COUNTIF(ProductList,A57)=0,"Product not in Products list",IF(COUNTIF(MaterialList,B57)=0,"Material not in Materials list","OK")))))</f>
        <v>OK</v>
      </c>
      <c r="H57" s="18" t="str">
        <f aca="false">IF(F57="Active",A57&amp;"|"&amp;COUNTIFS(A$2:A57,A57,F$2:F57,"Active"),"")</f>
        <v/>
      </c>
      <c r="I57" s="18" t="str">
        <f aca="false">IF(B57="","",IF(SUMPRODUCT(MAX((A$1:A56=A57)*(B$1:B56=B57)*ROW(A$1:A56)))=0,C57&amp;"",IF(C57="",INDEX(I$1:I56,SUMPRODUCT(MAX((A$1:A56=A57)*(B$1:B56=B57)*ROW(A$1:A56)))),IF(INDEX(I$1:I56,SUMPRODUCT(MAX((A$1:A56=A57)*(B$1:B56=B57)*ROW(A$1:A56))))="",C57&amp;"",INDEX(I$1:I56,SUMPRODUCT(MAX((A$1:A56=A57)*(B$1:B56=B57)*ROW(A$1:A56))))&amp;"; "&amp;C57))))</f>
        <v/>
      </c>
      <c r="J57" s="18" t="str">
        <f aca="false">IF(A57="","",A57&amp;"|"&amp;COUNTIF(A$2:A57,A57))</f>
        <v>Product 3|17</v>
      </c>
      <c r="K57" s="18" t="n">
        <f aca="false">IF(OR(A57="",B57=""),0,IF(COUNTIFS(A$2:A57,A57,B$2:B57,B57)=1,1,0))</f>
        <v>1</v>
      </c>
    </row>
    <row r="58" customFormat="false" ht="15" hidden="false" customHeight="false" outlineLevel="0" collapsed="false">
      <c r="A58" s="15" t="s">
        <v>113</v>
      </c>
      <c r="B58" s="15" t="s">
        <v>66</v>
      </c>
      <c r="C58" s="15" t="s">
        <v>133</v>
      </c>
      <c r="D58" s="15"/>
      <c r="F58" s="18" t="str">
        <f aca="false">IF(B58="","",IFERROR(INDEX(Materials!$B$2:$B$201,MATCH(B58,Materials!$A$2:$A$201,0)),""))</f>
        <v>Solvent</v>
      </c>
      <c r="G58" s="18" t="str">
        <f aca="true">IF(AND(A58="",B58=""),"",IF(A58="","Missing product",IF(B58="","Missing material",IF(COUNTIF(ProductList,A58)=0,"Product not in Products list",IF(COUNTIF(MaterialList,B58)=0,"Material not in Materials list","OK")))))</f>
        <v>OK</v>
      </c>
      <c r="H58" s="18" t="str">
        <f aca="false">IF(F58="Active",A58&amp;"|"&amp;COUNTIFS(A$2:A58,A58,F$2:F58,"Active"),"")</f>
        <v/>
      </c>
      <c r="I58" s="18" t="str">
        <f aca="false">IF(B58="","",IF(SUMPRODUCT(MAX((A$1:A57=A58)*(B$1:B57=B58)*ROW(A$1:A57)))=0,C58&amp;"",IF(C58="",INDEX(I$1:I57,SUMPRODUCT(MAX((A$1:A57=A58)*(B$1:B57=B58)*ROW(A$1:A57)))),IF(INDEX(I$1:I57,SUMPRODUCT(MAX((A$1:A57=A58)*(B$1:B57=B58)*ROW(A$1:A57))))="",C58&amp;"",INDEX(I$1:I57,SUMPRODUCT(MAX((A$1:A57=A58)*(B$1:B57=B58)*ROW(A$1:A57))))&amp;"; "&amp;C58))))</f>
        <v>Binder Solvent; Coating Solvent</v>
      </c>
      <c r="J58" s="18" t="str">
        <f aca="false">IF(A58="","",A58&amp;"|"&amp;COUNTIF(A$2:A58,A58))</f>
        <v>Product 3|18</v>
      </c>
      <c r="K58" s="18" t="n">
        <f aca="false">IF(OR(A58="",B58=""),0,IF(COUNTIFS(A$2:A58,A58,B$2:B58,B58)=1,1,0))</f>
        <v>0</v>
      </c>
    </row>
    <row r="59" customFormat="false" ht="15" hidden="false" customHeight="false" outlineLevel="0" collapsed="false">
      <c r="A59" s="15" t="s">
        <v>113</v>
      </c>
      <c r="B59" s="15" t="s">
        <v>87</v>
      </c>
      <c r="C59" s="15"/>
      <c r="D59" s="15"/>
      <c r="F59" s="18" t="str">
        <f aca="false">IF(B59="","",IFERROR(INDEX(Materials!$B$2:$B$201,MATCH(B59,Materials!$A$2:$A$201,0)),""))</f>
        <v>Solvent</v>
      </c>
      <c r="G59" s="18" t="str">
        <f aca="true">IF(AND(A59="",B59=""),"",IF(A59="","Missing product",IF(B59="","Missing material",IF(COUNTIF(ProductList,A59)=0,"Product not in Products list",IF(COUNTIF(MaterialList,B59)=0,"Material not in Materials list","OK")))))</f>
        <v>OK</v>
      </c>
      <c r="H59" s="18" t="str">
        <f aca="false">IF(F59="Active",A59&amp;"|"&amp;COUNTIFS(A$2:A59,A59,F$2:F59,"Active"),"")</f>
        <v/>
      </c>
      <c r="I59" s="18" t="str">
        <f aca="false">IF(B59="","",IF(SUMPRODUCT(MAX((A$1:A58=A59)*(B$1:B58=B59)*ROW(A$1:A58)))=0,C59&amp;"",IF(C59="",INDEX(I$1:I58,SUMPRODUCT(MAX((A$1:A58=A59)*(B$1:B58=B59)*ROW(A$1:A58)))),IF(INDEX(I$1:I58,SUMPRODUCT(MAX((A$1:A58=A59)*(B$1:B58=B59)*ROW(A$1:A58))))="",C59&amp;"",INDEX(I$1:I58,SUMPRODUCT(MAX((A$1:A58=A59)*(B$1:B58=B59)*ROW(A$1:A58))))&amp;"; "&amp;C59))))</f>
        <v/>
      </c>
      <c r="J59" s="18" t="str">
        <f aca="false">IF(A59="","",A59&amp;"|"&amp;COUNTIF(A$2:A59,A59))</f>
        <v>Product 3|19</v>
      </c>
      <c r="K59" s="18" t="n">
        <f aca="false">IF(OR(A59="",B59=""),0,IF(COUNTIFS(A$2:A59,A59,B$2:B59,B59)=1,1,0))</f>
        <v>1</v>
      </c>
    </row>
    <row r="60" customFormat="false" ht="15" hidden="false" customHeight="false" outlineLevel="0" collapsed="false">
      <c r="A60" s="15" t="s">
        <v>114</v>
      </c>
      <c r="B60" s="15" t="s">
        <v>90</v>
      </c>
      <c r="C60" s="15"/>
      <c r="D60" s="15"/>
      <c r="F60" s="18" t="str">
        <f aca="false">IF(B60="","",IFERROR(INDEX(Materials!$B$2:$B$201,MATCH(B60,Materials!$A$2:$A$201,0)),""))</f>
        <v>Active</v>
      </c>
      <c r="G60" s="18" t="str">
        <f aca="true">IF(AND(A60="",B60=""),"",IF(A60="","Missing product",IF(B60="","Missing material",IF(COUNTIF(ProductList,A60)=0,"Product not in Products list",IF(COUNTIF(MaterialList,B60)=0,"Material not in Materials list","OK")))))</f>
        <v>OK</v>
      </c>
      <c r="H60" s="18" t="str">
        <f aca="false">IF(F60="Active",A60&amp;"|"&amp;COUNTIFS(A$2:A60,A60,F$2:F60,"Active"),"")</f>
        <v>Product 4|1</v>
      </c>
      <c r="I60" s="18" t="str">
        <f aca="false">IF(B60="","",IF(SUMPRODUCT(MAX((A$1:A59=A60)*(B$1:B59=B60)*ROW(A$1:A59)))=0,C60&amp;"",IF(C60="",INDEX(I$1:I59,SUMPRODUCT(MAX((A$1:A59=A60)*(B$1:B59=B60)*ROW(A$1:A59)))),IF(INDEX(I$1:I59,SUMPRODUCT(MAX((A$1:A59=A60)*(B$1:B59=B60)*ROW(A$1:A59))))="",C60&amp;"",INDEX(I$1:I59,SUMPRODUCT(MAX((A$1:A59=A60)*(B$1:B59=B60)*ROW(A$1:A59))))&amp;"; "&amp;C60))))</f>
        <v/>
      </c>
      <c r="J60" s="18" t="str">
        <f aca="false">IF(A60="","",A60&amp;"|"&amp;COUNTIF(A$2:A60,A60))</f>
        <v>Product 4|1</v>
      </c>
      <c r="K60" s="18" t="n">
        <f aca="false">IF(OR(A60="",B60=""),0,IF(COUNTIFS(A$2:A60,A60,B$2:B60,B60)=1,1,0))</f>
        <v>1</v>
      </c>
    </row>
    <row r="61" customFormat="false" ht="15" hidden="false" customHeight="false" outlineLevel="0" collapsed="false">
      <c r="A61" s="15" t="s">
        <v>114</v>
      </c>
      <c r="B61" s="15" t="s">
        <v>62</v>
      </c>
      <c r="C61" s="15" t="s">
        <v>134</v>
      </c>
      <c r="D61" s="15"/>
      <c r="F61" s="18" t="str">
        <f aca="false">IF(B61="","",IFERROR(INDEX(Materials!$B$2:$B$201,MATCH(B61,Materials!$A$2:$A$201,0)),""))</f>
        <v>Filler / Diluent</v>
      </c>
      <c r="G61" s="18" t="str">
        <f aca="true">IF(AND(A61="",B61=""),"",IF(A61="","Missing product",IF(B61="","Missing material",IF(COUNTIF(ProductList,A61)=0,"Product not in Products list",IF(COUNTIF(MaterialList,B61)=0,"Material not in Materials list","OK")))))</f>
        <v>OK</v>
      </c>
      <c r="H61" s="18" t="str">
        <f aca="false">IF(F61="Active",A61&amp;"|"&amp;COUNTIFS(A$2:A61,A61,F$2:F61,"Active"),"")</f>
        <v/>
      </c>
      <c r="I61" s="18" t="str">
        <f aca="false">IF(B61="","",IF(SUMPRODUCT(MAX((A$1:A60=A61)*(B$1:B60=B61)*ROW(A$1:A60)))=0,C61&amp;"",IF(C61="",INDEX(I$1:I60,SUMPRODUCT(MAX((A$1:A60=A61)*(B$1:B60=B61)*ROW(A$1:A60)))),IF(INDEX(I$1:I60,SUMPRODUCT(MAX((A$1:A60=A61)*(B$1:B60=B61)*ROW(A$1:A60))))="",C61&amp;"",INDEX(I$1:I60,SUMPRODUCT(MAX((A$1:A60=A61)*(B$1:B60=B61)*ROW(A$1:A60))))&amp;"; "&amp;C61))))</f>
        <v>Fine powder</v>
      </c>
      <c r="J61" s="18" t="str">
        <f aca="false">IF(A61="","",A61&amp;"|"&amp;COUNTIF(A$2:A61,A61))</f>
        <v>Product 4|2</v>
      </c>
      <c r="K61" s="18" t="n">
        <f aca="false">IF(OR(A61="",B61=""),0,IF(COUNTIFS(A$2:A61,A61,B$2:B61,B61)=1,1,0))</f>
        <v>1</v>
      </c>
    </row>
    <row r="62" customFormat="false" ht="15" hidden="false" customHeight="false" outlineLevel="0" collapsed="false">
      <c r="A62" s="15" t="s">
        <v>114</v>
      </c>
      <c r="B62" s="15" t="s">
        <v>34</v>
      </c>
      <c r="C62" s="15" t="s">
        <v>128</v>
      </c>
      <c r="D62" s="15"/>
      <c r="F62" s="18" t="str">
        <f aca="false">IF(B62="","",IFERROR(INDEX(Materials!$B$2:$B$201,MATCH(B62,Materials!$A$2:$A$201,0)),""))</f>
        <v>Disintegrant</v>
      </c>
      <c r="G62" s="18" t="str">
        <f aca="true">IF(AND(A62="",B62=""),"",IF(A62="","Missing product",IF(B62="","Missing material",IF(COUNTIF(ProductList,A62)=0,"Product not in Products list",IF(COUNTIF(MaterialList,B62)=0,"Material not in Materials list","OK")))))</f>
        <v>OK</v>
      </c>
      <c r="H62" s="18" t="str">
        <f aca="false">IF(F62="Active",A62&amp;"|"&amp;COUNTIFS(A$2:A62,A62,F$2:F62,"Active"),"")</f>
        <v/>
      </c>
      <c r="I62" s="18" t="str">
        <f aca="false">IF(B62="","",IF(SUMPRODUCT(MAX((A$1:A61=A62)*(B$1:B61=B62)*ROW(A$1:A61)))=0,C62&amp;"",IF(C62="",INDEX(I$1:I61,SUMPRODUCT(MAX((A$1:A61=A62)*(B$1:B61=B62)*ROW(A$1:A61)))),IF(INDEX(I$1:I61,SUMPRODUCT(MAX((A$1:A61=A62)*(B$1:B61=B62)*ROW(A$1:A61))))="",C62&amp;"",INDEX(I$1:I61,SUMPRODUCT(MAX((A$1:A61=A62)*(B$1:B61=B62)*ROW(A$1:A61))))&amp;"; "&amp;C62))))</f>
        <v>Intra-granular</v>
      </c>
      <c r="J62" s="18" t="str">
        <f aca="false">IF(A62="","",A62&amp;"|"&amp;COUNTIF(A$2:A62,A62))</f>
        <v>Product 4|3</v>
      </c>
      <c r="K62" s="18" t="n">
        <f aca="false">IF(OR(A62="",B62=""),0,IF(COUNTIFS(A$2:A62,A62,B$2:B62,B62)=1,1,0))</f>
        <v>1</v>
      </c>
    </row>
    <row r="63" customFormat="false" ht="15" hidden="false" customHeight="false" outlineLevel="0" collapsed="false">
      <c r="A63" s="15" t="s">
        <v>114</v>
      </c>
      <c r="B63" s="15" t="s">
        <v>64</v>
      </c>
      <c r="C63" s="15"/>
      <c r="D63" s="15"/>
      <c r="F63" s="18" t="str">
        <f aca="false">IF(B63="","",IFERROR(INDEX(Materials!$B$2:$B$201,MATCH(B63,Materials!$A$2:$A$201,0)),""))</f>
        <v>Binder</v>
      </c>
      <c r="G63" s="18" t="str">
        <f aca="true">IF(AND(A63="",B63=""),"",IF(A63="","Missing product",IF(B63="","Missing material",IF(COUNTIF(ProductList,A63)=0,"Product not in Products list",IF(COUNTIF(MaterialList,B63)=0,"Material not in Materials list","OK")))))</f>
        <v>OK</v>
      </c>
      <c r="H63" s="18" t="str">
        <f aca="false">IF(F63="Active",A63&amp;"|"&amp;COUNTIFS(A$2:A63,A63,F$2:F63,"Active"),"")</f>
        <v/>
      </c>
      <c r="I63" s="18" t="str">
        <f aca="false">IF(B63="","",IF(SUMPRODUCT(MAX((A$1:A62=A63)*(B$1:B62=B63)*ROW(A$1:A62)))=0,C63&amp;"",IF(C63="",INDEX(I$1:I62,SUMPRODUCT(MAX((A$1:A62=A63)*(B$1:B62=B63)*ROW(A$1:A62)))),IF(INDEX(I$1:I62,SUMPRODUCT(MAX((A$1:A62=A63)*(B$1:B62=B63)*ROW(A$1:A62))))="",C63&amp;"",INDEX(I$1:I62,SUMPRODUCT(MAX((A$1:A62=A63)*(B$1:B62=B63)*ROW(A$1:A62))))&amp;"; "&amp;C63))))</f>
        <v/>
      </c>
      <c r="J63" s="18" t="str">
        <f aca="false">IF(A63="","",A63&amp;"|"&amp;COUNTIF(A$2:A63,A63))</f>
        <v>Product 4|4</v>
      </c>
      <c r="K63" s="18" t="n">
        <f aca="false">IF(OR(A63="",B63=""),0,IF(COUNTIFS(A$2:A63,A63,B$2:B63,B63)=1,1,0))</f>
        <v>1</v>
      </c>
    </row>
    <row r="64" customFormat="false" ht="15" hidden="false" customHeight="false" outlineLevel="0" collapsed="false">
      <c r="A64" s="15" t="s">
        <v>114</v>
      </c>
      <c r="B64" s="15" t="s">
        <v>87</v>
      </c>
      <c r="C64" s="15" t="s">
        <v>130</v>
      </c>
      <c r="D64" s="15"/>
      <c r="F64" s="18" t="str">
        <f aca="false">IF(B64="","",IFERROR(INDEX(Materials!$B$2:$B$201,MATCH(B64,Materials!$A$2:$A$201,0)),""))</f>
        <v>Solvent</v>
      </c>
      <c r="G64" s="18" t="str">
        <f aca="true">IF(AND(A64="",B64=""),"",IF(A64="","Missing product",IF(B64="","Missing material",IF(COUNTIF(ProductList,A64)=0,"Product not in Products list",IF(COUNTIF(MaterialList,B64)=0,"Material not in Materials list","OK")))))</f>
        <v>OK</v>
      </c>
      <c r="H64" s="18" t="str">
        <f aca="false">IF(F64="Active",A64&amp;"|"&amp;COUNTIFS(A$2:A64,A64,F$2:F64,"Active"),"")</f>
        <v/>
      </c>
      <c r="I64" s="18" t="str">
        <f aca="false">IF(B64="","",IF(SUMPRODUCT(MAX((A$1:A63=A64)*(B$1:B63=B64)*ROW(A$1:A63)))=0,C64&amp;"",IF(C64="",INDEX(I$1:I63,SUMPRODUCT(MAX((A$1:A63=A64)*(B$1:B63=B64)*ROW(A$1:A63)))),IF(INDEX(I$1:I63,SUMPRODUCT(MAX((A$1:A63=A64)*(B$1:B63=B64)*ROW(A$1:A63))))="",C64&amp;"",INDEX(I$1:I63,SUMPRODUCT(MAX((A$1:A63=A64)*(B$1:B63=B64)*ROW(A$1:A63))))&amp;"; "&amp;C64))))</f>
        <v>Binder Solvent</v>
      </c>
      <c r="J64" s="18" t="str">
        <f aca="false">IF(A64="","",A64&amp;"|"&amp;COUNTIF(A$2:A64,A64))</f>
        <v>Product 4|5</v>
      </c>
      <c r="K64" s="18" t="n">
        <f aca="false">IF(OR(A64="",B64=""),0,IF(COUNTIFS(A$2:A64,A64,B$2:B64,B64)=1,1,0))</f>
        <v>1</v>
      </c>
    </row>
    <row r="65" customFormat="false" ht="15" hidden="false" customHeight="false" outlineLevel="0" collapsed="false">
      <c r="A65" s="15" t="s">
        <v>114</v>
      </c>
      <c r="B65" s="15" t="s">
        <v>69</v>
      </c>
      <c r="C65" s="15"/>
      <c r="D65" s="15"/>
      <c r="F65" s="18" t="str">
        <f aca="false">IF(B65="","",IFERROR(INDEX(Materials!$B$2:$B$201,MATCH(B65,Materials!$A$2:$A$201,0)),""))</f>
        <v>Filler / Diluent</v>
      </c>
      <c r="G65" s="18" t="str">
        <f aca="true">IF(AND(A65="",B65=""),"",IF(A65="","Missing product",IF(B65="","Missing material",IF(COUNTIF(ProductList,A65)=0,"Product not in Products list",IF(COUNTIF(MaterialList,B65)=0,"Material not in Materials list","OK")))))</f>
        <v>OK</v>
      </c>
      <c r="H65" s="18" t="str">
        <f aca="false">IF(F65="Active",A65&amp;"|"&amp;COUNTIFS(A$2:A65,A65,F$2:F65,"Active"),"")</f>
        <v/>
      </c>
      <c r="I65" s="18" t="str">
        <f aca="false">IF(B65="","",IF(SUMPRODUCT(MAX((A$1:A64=A65)*(B$1:B64=B65)*ROW(A$1:A64)))=0,C65&amp;"",IF(C65="",INDEX(I$1:I64,SUMPRODUCT(MAX((A$1:A64=A65)*(B$1:B64=B65)*ROW(A$1:A64)))),IF(INDEX(I$1:I64,SUMPRODUCT(MAX((A$1:A64=A65)*(B$1:B64=B65)*ROW(A$1:A64))))="",C65&amp;"",INDEX(I$1:I64,SUMPRODUCT(MAX((A$1:A64=A65)*(B$1:B64=B65)*ROW(A$1:A64))))&amp;"; "&amp;C65))))</f>
        <v/>
      </c>
      <c r="J65" s="18" t="str">
        <f aca="false">IF(A65="","",A65&amp;"|"&amp;COUNTIF(A$2:A65,A65))</f>
        <v>Product 4|6</v>
      </c>
      <c r="K65" s="18" t="n">
        <f aca="false">IF(OR(A65="",B65=""),0,IF(COUNTIFS(A$2:A65,A65,B$2:B65,B65)=1,1,0))</f>
        <v>1</v>
      </c>
    </row>
    <row r="66" customFormat="false" ht="15" hidden="false" customHeight="false" outlineLevel="0" collapsed="false">
      <c r="A66" s="15" t="s">
        <v>114</v>
      </c>
      <c r="B66" s="15" t="s">
        <v>34</v>
      </c>
      <c r="C66" s="15" t="s">
        <v>131</v>
      </c>
      <c r="D66" s="15"/>
      <c r="F66" s="18" t="str">
        <f aca="false">IF(B66="","",IFERROR(INDEX(Materials!$B$2:$B$201,MATCH(B66,Materials!$A$2:$A$201,0)),""))</f>
        <v>Disintegrant</v>
      </c>
      <c r="G66" s="18" t="str">
        <f aca="true">IF(AND(A66="",B66=""),"",IF(A66="","Missing product",IF(B66="","Missing material",IF(COUNTIF(ProductList,A66)=0,"Product not in Products list",IF(COUNTIF(MaterialList,B66)=0,"Material not in Materials list","OK")))))</f>
        <v>OK</v>
      </c>
      <c r="H66" s="18" t="str">
        <f aca="false">IF(F66="Active",A66&amp;"|"&amp;COUNTIFS(A$2:A66,A66,F$2:F66,"Active"),"")</f>
        <v/>
      </c>
      <c r="I66" s="18" t="str">
        <f aca="false">IF(B66="","",IF(SUMPRODUCT(MAX((A$1:A65=A66)*(B$1:B65=B66)*ROW(A$1:A65)))=0,C66&amp;"",IF(C66="",INDEX(I$1:I65,SUMPRODUCT(MAX((A$1:A65=A66)*(B$1:B65=B66)*ROW(A$1:A65)))),IF(INDEX(I$1:I65,SUMPRODUCT(MAX((A$1:A65=A66)*(B$1:B65=B66)*ROW(A$1:A65))))="",C66&amp;"",INDEX(I$1:I65,SUMPRODUCT(MAX((A$1:A65=A66)*(B$1:B65=B66)*ROW(A$1:A65))))&amp;"; "&amp;C66))))</f>
        <v>Intra-granular; Extra-granular</v>
      </c>
      <c r="J66" s="18" t="str">
        <f aca="false">IF(A66="","",A66&amp;"|"&amp;COUNTIF(A$2:A66,A66))</f>
        <v>Product 4|7</v>
      </c>
      <c r="K66" s="18" t="n">
        <f aca="false">IF(OR(A66="",B66=""),0,IF(COUNTIFS(A$2:A66,A66,B$2:B66,B66)=1,1,0))</f>
        <v>0</v>
      </c>
    </row>
    <row r="67" customFormat="false" ht="15" hidden="false" customHeight="false" outlineLevel="0" collapsed="false">
      <c r="A67" s="15" t="s">
        <v>114</v>
      </c>
      <c r="B67" s="15" t="s">
        <v>71</v>
      </c>
      <c r="C67" s="15"/>
      <c r="D67" s="15"/>
      <c r="F67" s="18" t="str">
        <f aca="false">IF(B67="","",IFERROR(INDEX(Materials!$B$2:$B$201,MATCH(B67,Materials!$A$2:$A$201,0)),""))</f>
        <v>Glidant</v>
      </c>
      <c r="G67" s="18" t="str">
        <f aca="true">IF(AND(A67="",B67=""),"",IF(A67="","Missing product",IF(B67="","Missing material",IF(COUNTIF(ProductList,A67)=0,"Product not in Products list",IF(COUNTIF(MaterialList,B67)=0,"Material not in Materials list","OK")))))</f>
        <v>OK</v>
      </c>
      <c r="H67" s="18" t="str">
        <f aca="false">IF(F67="Active",A67&amp;"|"&amp;COUNTIFS(A$2:A67,A67,F$2:F67,"Active"),"")</f>
        <v/>
      </c>
      <c r="I67" s="18" t="str">
        <f aca="false">IF(B67="","",IF(SUMPRODUCT(MAX((A$1:A66=A67)*(B$1:B66=B67)*ROW(A$1:A66)))=0,C67&amp;"",IF(C67="",INDEX(I$1:I66,SUMPRODUCT(MAX((A$1:A66=A67)*(B$1:B66=B67)*ROW(A$1:A66)))),IF(INDEX(I$1:I66,SUMPRODUCT(MAX((A$1:A66=A67)*(B$1:B66=B67)*ROW(A$1:A66))))="",C67&amp;"",INDEX(I$1:I66,SUMPRODUCT(MAX((A$1:A66=A67)*(B$1:B66=B67)*ROW(A$1:A66))))&amp;"; "&amp;C67))))</f>
        <v/>
      </c>
      <c r="J67" s="18" t="str">
        <f aca="false">IF(A67="","",A67&amp;"|"&amp;COUNTIF(A$2:A67,A67))</f>
        <v>Product 4|8</v>
      </c>
      <c r="K67" s="18" t="n">
        <f aca="false">IF(OR(A67="",B67=""),0,IF(COUNTIFS(A$2:A67,A67,B$2:B67,B67)=1,1,0))</f>
        <v>1</v>
      </c>
    </row>
    <row r="68" customFormat="false" ht="15" hidden="false" customHeight="false" outlineLevel="0" collapsed="false">
      <c r="A68" s="15" t="s">
        <v>114</v>
      </c>
      <c r="B68" s="15" t="s">
        <v>91</v>
      </c>
      <c r="C68" s="15"/>
      <c r="D68" s="15"/>
      <c r="F68" s="18" t="str">
        <f aca="false">IF(B68="","",IFERROR(INDEX(Materials!$B$2:$B$201,MATCH(B68,Materials!$A$2:$A$201,0)),""))</f>
        <v>Lubricant</v>
      </c>
      <c r="G68" s="18" t="str">
        <f aca="true">IF(AND(A68="",B68=""),"",IF(A68="","Missing product",IF(B68="","Missing material",IF(COUNTIF(ProductList,A68)=0,"Product not in Products list",IF(COUNTIF(MaterialList,B68)=0,"Material not in Materials list","OK")))))</f>
        <v>OK</v>
      </c>
      <c r="H68" s="18" t="str">
        <f aca="false">IF(F68="Active",A68&amp;"|"&amp;COUNTIFS(A$2:A68,A68,F$2:F68,"Active"),"")</f>
        <v/>
      </c>
      <c r="I68" s="18" t="str">
        <f aca="false">IF(B68="","",IF(SUMPRODUCT(MAX((A$1:A67=A68)*(B$1:B67=B68)*ROW(A$1:A67)))=0,C68&amp;"",IF(C68="",INDEX(I$1:I67,SUMPRODUCT(MAX((A$1:A67=A68)*(B$1:B67=B68)*ROW(A$1:A67)))),IF(INDEX(I$1:I67,SUMPRODUCT(MAX((A$1:A67=A68)*(B$1:B67=B68)*ROW(A$1:A67))))="",C68&amp;"",INDEX(I$1:I67,SUMPRODUCT(MAX((A$1:A67=A68)*(B$1:B67=B68)*ROW(A$1:A67))))&amp;"; "&amp;C68))))</f>
        <v/>
      </c>
      <c r="J68" s="18" t="str">
        <f aca="false">IF(A68="","",A68&amp;"|"&amp;COUNTIF(A$2:A68,A68))</f>
        <v>Product 4|9</v>
      </c>
      <c r="K68" s="18" t="n">
        <f aca="false">IF(OR(A68="",B68=""),0,IF(COUNTIFS(A$2:A68,A68,B$2:B68,B68)=1,1,0))</f>
        <v>1</v>
      </c>
    </row>
    <row r="69" customFormat="false" ht="15" hidden="false" customHeight="false" outlineLevel="0" collapsed="false">
      <c r="A69" s="15" t="s">
        <v>114</v>
      </c>
      <c r="B69" s="15" t="s">
        <v>75</v>
      </c>
      <c r="C69" s="15"/>
      <c r="D69" s="15"/>
      <c r="F69" s="18" t="str">
        <f aca="false">IF(B69="","",IFERROR(INDEX(Materials!$B$2:$B$201,MATCH(B69,Materials!$A$2:$A$201,0)),""))</f>
        <v>Binder / Coating Polymer</v>
      </c>
      <c r="G69" s="18" t="str">
        <f aca="true">IF(AND(A69="",B69=""),"",IF(A69="","Missing product",IF(B69="","Missing material",IF(COUNTIF(ProductList,A69)=0,"Product not in Products list",IF(COUNTIF(MaterialList,B69)=0,"Material not in Materials list","OK")))))</f>
        <v>OK</v>
      </c>
      <c r="H69" s="18" t="str">
        <f aca="false">IF(F69="Active",A69&amp;"|"&amp;COUNTIFS(A$2:A69,A69,F$2:F69,"Active"),"")</f>
        <v/>
      </c>
      <c r="I69" s="18" t="str">
        <f aca="false">IF(B69="","",IF(SUMPRODUCT(MAX((A$1:A68=A69)*(B$1:B68=B69)*ROW(A$1:A68)))=0,C69&amp;"",IF(C69="",INDEX(I$1:I68,SUMPRODUCT(MAX((A$1:A68=A69)*(B$1:B68=B69)*ROW(A$1:A68)))),IF(INDEX(I$1:I68,SUMPRODUCT(MAX((A$1:A68=A69)*(B$1:B68=B69)*ROW(A$1:A68))))="",C69&amp;"",INDEX(I$1:I68,SUMPRODUCT(MAX((A$1:A68=A69)*(B$1:B68=B69)*ROW(A$1:A68))))&amp;"; "&amp;C69))))</f>
        <v/>
      </c>
      <c r="J69" s="18" t="str">
        <f aca="false">IF(A69="","",A69&amp;"|"&amp;COUNTIF(A$2:A69,A69))</f>
        <v>Product 4|10</v>
      </c>
      <c r="K69" s="18" t="n">
        <f aca="false">IF(OR(A69="",B69=""),0,IF(COUNTIFS(A$2:A69,A69,B$2:B69,B69)=1,1,0))</f>
        <v>1</v>
      </c>
    </row>
    <row r="70" customFormat="false" ht="15" hidden="false" customHeight="false" outlineLevel="0" collapsed="false">
      <c r="A70" s="15" t="s">
        <v>114</v>
      </c>
      <c r="B70" s="15" t="s">
        <v>78</v>
      </c>
      <c r="C70" s="15"/>
      <c r="D70" s="15"/>
      <c r="F70" s="18" t="str">
        <f aca="false">IF(B70="","",IFERROR(INDEX(Materials!$B$2:$B$201,MATCH(B70,Materials!$A$2:$A$201,0)),""))</f>
        <v>Plasticizer</v>
      </c>
      <c r="G70" s="18" t="str">
        <f aca="true">IF(AND(A70="",B70=""),"",IF(A70="","Missing product",IF(B70="","Missing material",IF(COUNTIF(ProductList,A70)=0,"Product not in Products list",IF(COUNTIF(MaterialList,B70)=0,"Material not in Materials list","OK")))))</f>
        <v>OK</v>
      </c>
      <c r="H70" s="18" t="str">
        <f aca="false">IF(F70="Active",A70&amp;"|"&amp;COUNTIFS(A$2:A70,A70,F$2:F70,"Active"),"")</f>
        <v/>
      </c>
      <c r="I70" s="18" t="str">
        <f aca="false">IF(B70="","",IF(SUMPRODUCT(MAX((A$1:A69=A70)*(B$1:B69=B70)*ROW(A$1:A69)))=0,C70&amp;"",IF(C70="",INDEX(I$1:I69,SUMPRODUCT(MAX((A$1:A69=A70)*(B$1:B69=B70)*ROW(A$1:A69)))),IF(INDEX(I$1:I69,SUMPRODUCT(MAX((A$1:A69=A70)*(B$1:B69=B70)*ROW(A$1:A69))))="",C70&amp;"",INDEX(I$1:I69,SUMPRODUCT(MAX((A$1:A69=A70)*(B$1:B69=B70)*ROW(A$1:A69))))&amp;"; "&amp;C70))))</f>
        <v/>
      </c>
      <c r="J70" s="18" t="str">
        <f aca="false">IF(A70="","",A70&amp;"|"&amp;COUNTIF(A$2:A70,A70))</f>
        <v>Product 4|11</v>
      </c>
      <c r="K70" s="18" t="n">
        <f aca="false">IF(OR(A70="",B70=""),0,IF(COUNTIFS(A$2:A70,A70,B$2:B70,B70)=1,1,0))</f>
        <v>1</v>
      </c>
    </row>
    <row r="71" customFormat="false" ht="15" hidden="false" customHeight="false" outlineLevel="0" collapsed="false">
      <c r="A71" s="15" t="s">
        <v>114</v>
      </c>
      <c r="B71" s="15" t="s">
        <v>81</v>
      </c>
      <c r="C71" s="15"/>
      <c r="D71" s="15"/>
      <c r="F71" s="18" t="str">
        <f aca="false">IF(B71="","",IFERROR(INDEX(Materials!$B$2:$B$201,MATCH(B71,Materials!$A$2:$A$201,0)),""))</f>
        <v>Opacifier</v>
      </c>
      <c r="G71" s="18" t="str">
        <f aca="true">IF(AND(A71="",B71=""),"",IF(A71="","Missing product",IF(B71="","Missing material",IF(COUNTIF(ProductList,A71)=0,"Product not in Products list",IF(COUNTIF(MaterialList,B71)=0,"Material not in Materials list","OK")))))</f>
        <v>OK</v>
      </c>
      <c r="H71" s="18" t="str">
        <f aca="false">IF(F71="Active",A71&amp;"|"&amp;COUNTIFS(A$2:A71,A71,F$2:F71,"Active"),"")</f>
        <v/>
      </c>
      <c r="I71" s="18" t="str">
        <f aca="false">IF(B71="","",IF(SUMPRODUCT(MAX((A$1:A70=A71)*(B$1:B70=B71)*ROW(A$1:A70)))=0,C71&amp;"",IF(C71="",INDEX(I$1:I70,SUMPRODUCT(MAX((A$1:A70=A71)*(B$1:B70=B71)*ROW(A$1:A70)))),IF(INDEX(I$1:I70,SUMPRODUCT(MAX((A$1:A70=A71)*(B$1:B70=B71)*ROW(A$1:A70))))="",C71&amp;"",INDEX(I$1:I70,SUMPRODUCT(MAX((A$1:A70=A71)*(B$1:B70=B71)*ROW(A$1:A70))))&amp;"; "&amp;C71))))</f>
        <v/>
      </c>
      <c r="J71" s="18" t="str">
        <f aca="false">IF(A71="","",A71&amp;"|"&amp;COUNTIF(A$2:A71,A71))</f>
        <v>Product 4|12</v>
      </c>
      <c r="K71" s="18" t="n">
        <f aca="false">IF(OR(A71="",B71=""),0,IF(COUNTIFS(A$2:A71,A71,B$2:B71,B71)=1,1,0))</f>
        <v>1</v>
      </c>
    </row>
    <row r="72" customFormat="false" ht="15" hidden="false" customHeight="false" outlineLevel="0" collapsed="false">
      <c r="A72" s="15" t="s">
        <v>114</v>
      </c>
      <c r="B72" s="15" t="s">
        <v>83</v>
      </c>
      <c r="C72" s="15"/>
      <c r="D72" s="15"/>
      <c r="F72" s="18" t="str">
        <f aca="false">IF(B72="","",IFERROR(INDEX(Materials!$B$2:$B$201,MATCH(B72,Materials!$A$2:$A$201,0)),""))</f>
        <v>Glidant / Anti-tacking</v>
      </c>
      <c r="G72" s="18" t="str">
        <f aca="true">IF(AND(A72="",B72=""),"",IF(A72="","Missing product",IF(B72="","Missing material",IF(COUNTIF(ProductList,A72)=0,"Product not in Products list",IF(COUNTIF(MaterialList,B72)=0,"Material not in Materials list","OK")))))</f>
        <v>OK</v>
      </c>
      <c r="H72" s="18" t="str">
        <f aca="false">IF(F72="Active",A72&amp;"|"&amp;COUNTIFS(A$2:A72,A72,F$2:F72,"Active"),"")</f>
        <v/>
      </c>
      <c r="I72" s="18" t="str">
        <f aca="false">IF(B72="","",IF(SUMPRODUCT(MAX((A$1:A71=A72)*(B$1:B71=B72)*ROW(A$1:A71)))=0,C72&amp;"",IF(C72="",INDEX(I$1:I71,SUMPRODUCT(MAX((A$1:A71=A72)*(B$1:B71=B72)*ROW(A$1:A71)))),IF(INDEX(I$1:I71,SUMPRODUCT(MAX((A$1:A71=A72)*(B$1:B71=B72)*ROW(A$1:A71))))="",C72&amp;"",INDEX(I$1:I71,SUMPRODUCT(MAX((A$1:A71=A72)*(B$1:B71=B72)*ROW(A$1:A71))))&amp;"; "&amp;C72))))</f>
        <v/>
      </c>
      <c r="J72" s="18" t="str">
        <f aca="false">IF(A72="","",A72&amp;"|"&amp;COUNTIF(A$2:A72,A72))</f>
        <v>Product 4|13</v>
      </c>
      <c r="K72" s="18" t="n">
        <f aca="false">IF(OR(A72="",B72=""),0,IF(COUNTIFS(A$2:A72,A72,B$2:B72,B72)=1,1,0))</f>
        <v>1</v>
      </c>
    </row>
    <row r="73" customFormat="false" ht="15" hidden="false" customHeight="false" outlineLevel="0" collapsed="false">
      <c r="A73" s="15" t="s">
        <v>114</v>
      </c>
      <c r="B73" s="15" t="s">
        <v>92</v>
      </c>
      <c r="C73" s="15"/>
      <c r="D73" s="15"/>
      <c r="F73" s="18" t="str">
        <f aca="false">IF(B73="","",IFERROR(INDEX(Materials!$B$2:$B$201,MATCH(B73,Materials!$A$2:$A$201,0)),""))</f>
        <v>Colorant</v>
      </c>
      <c r="G73" s="18" t="str">
        <f aca="true">IF(AND(A73="",B73=""),"",IF(A73="","Missing product",IF(B73="","Missing material",IF(COUNTIF(ProductList,A73)=0,"Product not in Products list",IF(COUNTIF(MaterialList,B73)=0,"Material not in Materials list","OK")))))</f>
        <v>OK</v>
      </c>
      <c r="H73" s="18" t="str">
        <f aca="false">IF(F73="Active",A73&amp;"|"&amp;COUNTIFS(A$2:A73,A73,F$2:F73,"Active"),"")</f>
        <v/>
      </c>
      <c r="I73" s="18" t="str">
        <f aca="false">IF(B73="","",IF(SUMPRODUCT(MAX((A$1:A72=A73)*(B$1:B72=B73)*ROW(A$1:A72)))=0,C73&amp;"",IF(C73="",INDEX(I$1:I72,SUMPRODUCT(MAX((A$1:A72=A73)*(B$1:B72=B73)*ROW(A$1:A72)))),IF(INDEX(I$1:I72,SUMPRODUCT(MAX((A$1:A72=A73)*(B$1:B72=B73)*ROW(A$1:A72))))="",C73&amp;"",INDEX(I$1:I72,SUMPRODUCT(MAX((A$1:A72=A73)*(B$1:B72=B73)*ROW(A$1:A72))))&amp;"; "&amp;C73))))</f>
        <v/>
      </c>
      <c r="J73" s="18" t="str">
        <f aca="false">IF(A73="","",A73&amp;"|"&amp;COUNTIF(A$2:A73,A73))</f>
        <v>Product 4|14</v>
      </c>
      <c r="K73" s="18" t="n">
        <f aca="false">IF(OR(A73="",B73=""),0,IF(COUNTIFS(A$2:A73,A73,B$2:B73,B73)=1,1,0))</f>
        <v>1</v>
      </c>
    </row>
    <row r="74" customFormat="false" ht="15" hidden="false" customHeight="false" outlineLevel="0" collapsed="false">
      <c r="A74" s="15" t="s">
        <v>114</v>
      </c>
      <c r="B74" s="15" t="s">
        <v>93</v>
      </c>
      <c r="C74" s="15"/>
      <c r="D74" s="15"/>
      <c r="F74" s="18" t="str">
        <f aca="false">IF(B74="","",IFERROR(INDEX(Materials!$B$2:$B$201,MATCH(B74,Materials!$A$2:$A$201,0)),""))</f>
        <v>Colorant</v>
      </c>
      <c r="G74" s="18" t="str">
        <f aca="true">IF(AND(A74="",B74=""),"",IF(A74="","Missing product",IF(B74="","Missing material",IF(COUNTIF(ProductList,A74)=0,"Product not in Products list",IF(COUNTIF(MaterialList,B74)=0,"Material not in Materials list","OK")))))</f>
        <v>OK</v>
      </c>
      <c r="H74" s="18" t="str">
        <f aca="false">IF(F74="Active",A74&amp;"|"&amp;COUNTIFS(A$2:A74,A74,F$2:F74,"Active"),"")</f>
        <v/>
      </c>
      <c r="I74" s="18" t="str">
        <f aca="false">IF(B74="","",IF(SUMPRODUCT(MAX((A$1:A73=A74)*(B$1:B73=B74)*ROW(A$1:A73)))=0,C74&amp;"",IF(C74="",INDEX(I$1:I73,SUMPRODUCT(MAX((A$1:A73=A74)*(B$1:B73=B74)*ROW(A$1:A73)))),IF(INDEX(I$1:I73,SUMPRODUCT(MAX((A$1:A73=A74)*(B$1:B73=B74)*ROW(A$1:A73))))="",C74&amp;"",INDEX(I$1:I73,SUMPRODUCT(MAX((A$1:A73=A74)*(B$1:B73=B74)*ROW(A$1:A73))))&amp;"; "&amp;C74))))</f>
        <v/>
      </c>
      <c r="J74" s="18" t="str">
        <f aca="false">IF(A74="","",A74&amp;"|"&amp;COUNTIF(A$2:A74,A74))</f>
        <v>Product 4|15</v>
      </c>
      <c r="K74" s="18" t="n">
        <f aca="false">IF(OR(A74="",B74=""),0,IF(COUNTIFS(A$2:A74,A74,B$2:B74,B74)=1,1,0))</f>
        <v>1</v>
      </c>
    </row>
    <row r="75" customFormat="false" ht="15" hidden="false" customHeight="false" outlineLevel="0" collapsed="false">
      <c r="A75" s="15" t="s">
        <v>114</v>
      </c>
      <c r="B75" s="15" t="s">
        <v>87</v>
      </c>
      <c r="C75" s="15" t="s">
        <v>133</v>
      </c>
      <c r="D75" s="15"/>
      <c r="F75" s="18" t="str">
        <f aca="false">IF(B75="","",IFERROR(INDEX(Materials!$B$2:$B$201,MATCH(B75,Materials!$A$2:$A$201,0)),""))</f>
        <v>Solvent</v>
      </c>
      <c r="G75" s="18" t="str">
        <f aca="true">IF(AND(A75="",B75=""),"",IF(A75="","Missing product",IF(B75="","Missing material",IF(COUNTIF(ProductList,A75)=0,"Product not in Products list",IF(COUNTIF(MaterialList,B75)=0,"Material not in Materials list","OK")))))</f>
        <v>OK</v>
      </c>
      <c r="H75" s="18" t="str">
        <f aca="false">IF(F75="Active",A75&amp;"|"&amp;COUNTIFS(A$2:A75,A75,F$2:F75,"Active"),"")</f>
        <v/>
      </c>
      <c r="I75" s="18" t="str">
        <f aca="false">IF(B75="","",IF(SUMPRODUCT(MAX((A$1:A74=A75)*(B$1:B74=B75)*ROW(A$1:A74)))=0,C75&amp;"",IF(C75="",INDEX(I$1:I74,SUMPRODUCT(MAX((A$1:A74=A75)*(B$1:B74=B75)*ROW(A$1:A74)))),IF(INDEX(I$1:I74,SUMPRODUCT(MAX((A$1:A74=A75)*(B$1:B74=B75)*ROW(A$1:A74))))="",C75&amp;"",INDEX(I$1:I74,SUMPRODUCT(MAX((A$1:A74=A75)*(B$1:B74=B75)*ROW(A$1:A74))))&amp;"; "&amp;C75))))</f>
        <v>Binder Solvent; Coating Solvent</v>
      </c>
      <c r="J75" s="18" t="str">
        <f aca="false">IF(A75="","",A75&amp;"|"&amp;COUNTIF(A$2:A75,A75))</f>
        <v>Product 4|16</v>
      </c>
      <c r="K75" s="18" t="n">
        <f aca="false">IF(OR(A75="",B75=""),0,IF(COUNTIFS(A$2:A75,A75,B$2:B75,B75)=1,1,0))</f>
        <v>0</v>
      </c>
    </row>
    <row r="76" customFormat="false" ht="15" hidden="false" customHeight="false" outlineLevel="0" collapsed="false">
      <c r="A76" s="15" t="s">
        <v>114</v>
      </c>
      <c r="B76" s="15" t="s">
        <v>66</v>
      </c>
      <c r="C76" s="15" t="s">
        <v>133</v>
      </c>
      <c r="D76" s="15"/>
      <c r="F76" s="18" t="str">
        <f aca="false">IF(B76="","",IFERROR(INDEX(Materials!$B$2:$B$201,MATCH(B76,Materials!$A$2:$A$201,0)),""))</f>
        <v>Solvent</v>
      </c>
      <c r="G76" s="18" t="str">
        <f aca="true">IF(AND(A76="",B76=""),"",IF(A76="","Missing product",IF(B76="","Missing material",IF(COUNTIF(ProductList,A76)=0,"Product not in Products list",IF(COUNTIF(MaterialList,B76)=0,"Material not in Materials list","OK")))))</f>
        <v>OK</v>
      </c>
      <c r="H76" s="18" t="str">
        <f aca="false">IF(F76="Active",A76&amp;"|"&amp;COUNTIFS(A$2:A76,A76,F$2:F76,"Active"),"")</f>
        <v/>
      </c>
      <c r="I76" s="18" t="str">
        <f aca="false">IF(B76="","",IF(SUMPRODUCT(MAX((A$1:A75=A76)*(B$1:B75=B76)*ROW(A$1:A75)))=0,C76&amp;"",IF(C76="",INDEX(I$1:I75,SUMPRODUCT(MAX((A$1:A75=A76)*(B$1:B75=B76)*ROW(A$1:A75)))),IF(INDEX(I$1:I75,SUMPRODUCT(MAX((A$1:A75=A76)*(B$1:B75=B76)*ROW(A$1:A75))))="",C76&amp;"",INDEX(I$1:I75,SUMPRODUCT(MAX((A$1:A75=A76)*(B$1:B75=B76)*ROW(A$1:A75))))&amp;"; "&amp;C76))))</f>
        <v>Coating Solvent</v>
      </c>
      <c r="J76" s="18" t="str">
        <f aca="false">IF(A76="","",A76&amp;"|"&amp;COUNTIF(A$2:A76,A76))</f>
        <v>Product 4|17</v>
      </c>
      <c r="K76" s="18" t="n">
        <f aca="false">IF(OR(A76="",B76=""),0,IF(COUNTIFS(A$2:A76,A76,B$2:B76,B76)=1,1,0))</f>
        <v>1</v>
      </c>
    </row>
    <row r="77" customFormat="false" ht="15" hidden="false" customHeight="false" outlineLevel="0" collapsed="false">
      <c r="A77" s="15" t="s">
        <v>115</v>
      </c>
      <c r="B77" s="15" t="s">
        <v>90</v>
      </c>
      <c r="C77" s="15"/>
      <c r="D77" s="15"/>
      <c r="F77" s="18" t="str">
        <f aca="false">IF(B77="","",IFERROR(INDEX(Materials!$B$2:$B$201,MATCH(B77,Materials!$A$2:$A$201,0)),""))</f>
        <v>Active</v>
      </c>
      <c r="G77" s="18" t="str">
        <f aca="true">IF(AND(A77="",B77=""),"",IF(A77="","Missing product",IF(B77="","Missing material",IF(COUNTIF(ProductList,A77)=0,"Product not in Products list",IF(COUNTIF(MaterialList,B77)=0,"Material not in Materials list","OK")))))</f>
        <v>OK</v>
      </c>
      <c r="H77" s="18" t="str">
        <f aca="false">IF(F77="Active",A77&amp;"|"&amp;COUNTIFS(A$2:A77,A77,F$2:F77,"Active"),"")</f>
        <v>Product 5|1</v>
      </c>
      <c r="I77" s="18" t="str">
        <f aca="false">IF(B77="","",IF(SUMPRODUCT(MAX((A$1:A76=A77)*(B$1:B76=B77)*ROW(A$1:A76)))=0,C77&amp;"",IF(C77="",INDEX(I$1:I76,SUMPRODUCT(MAX((A$1:A76=A77)*(B$1:B76=B77)*ROW(A$1:A76)))),IF(INDEX(I$1:I76,SUMPRODUCT(MAX((A$1:A76=A77)*(B$1:B76=B77)*ROW(A$1:A76))))="",C77&amp;"",INDEX(I$1:I76,SUMPRODUCT(MAX((A$1:A76=A77)*(B$1:B76=B77)*ROW(A$1:A76))))&amp;"; "&amp;C77))))</f>
        <v/>
      </c>
      <c r="J77" s="18" t="str">
        <f aca="false">IF(A77="","",A77&amp;"|"&amp;COUNTIF(A$2:A77,A77))</f>
        <v>Product 5|1</v>
      </c>
      <c r="K77" s="18" t="n">
        <f aca="false">IF(OR(A77="",B77=""),0,IF(COUNTIFS(A$2:A77,A77,B$2:B77,B77)=1,1,0))</f>
        <v>1</v>
      </c>
    </row>
    <row r="78" customFormat="false" ht="15" hidden="false" customHeight="false" outlineLevel="0" collapsed="false">
      <c r="A78" s="15" t="s">
        <v>115</v>
      </c>
      <c r="B78" s="15" t="s">
        <v>62</v>
      </c>
      <c r="C78" s="15" t="s">
        <v>134</v>
      </c>
      <c r="D78" s="15"/>
      <c r="F78" s="18" t="str">
        <f aca="false">IF(B78="","",IFERROR(INDEX(Materials!$B$2:$B$201,MATCH(B78,Materials!$A$2:$A$201,0)),""))</f>
        <v>Filler / Diluent</v>
      </c>
      <c r="G78" s="18" t="str">
        <f aca="true">IF(AND(A78="",B78=""),"",IF(A78="","Missing product",IF(B78="","Missing material",IF(COUNTIF(ProductList,A78)=0,"Product not in Products list",IF(COUNTIF(MaterialList,B78)=0,"Material not in Materials list","OK")))))</f>
        <v>OK</v>
      </c>
      <c r="H78" s="18" t="str">
        <f aca="false">IF(F78="Active",A78&amp;"|"&amp;COUNTIFS(A$2:A78,A78,F$2:F78,"Active"),"")</f>
        <v/>
      </c>
      <c r="I78" s="18" t="str">
        <f aca="false">IF(B78="","",IF(SUMPRODUCT(MAX((A$1:A77=A78)*(B$1:B77=B78)*ROW(A$1:A77)))=0,C78&amp;"",IF(C78="",INDEX(I$1:I77,SUMPRODUCT(MAX((A$1:A77=A78)*(B$1:B77=B78)*ROW(A$1:A77)))),IF(INDEX(I$1:I77,SUMPRODUCT(MAX((A$1:A77=A78)*(B$1:B77=B78)*ROW(A$1:A77))))="",C78&amp;"",INDEX(I$1:I77,SUMPRODUCT(MAX((A$1:A77=A78)*(B$1:B77=B78)*ROW(A$1:A77))))&amp;"; "&amp;C78))))</f>
        <v>Fine powder</v>
      </c>
      <c r="J78" s="18" t="str">
        <f aca="false">IF(A78="","",A78&amp;"|"&amp;COUNTIF(A$2:A78,A78))</f>
        <v>Product 5|2</v>
      </c>
      <c r="K78" s="18" t="n">
        <f aca="false">IF(OR(A78="",B78=""),0,IF(COUNTIFS(A$2:A78,A78,B$2:B78,B78)=1,1,0))</f>
        <v>1</v>
      </c>
    </row>
    <row r="79" customFormat="false" ht="15" hidden="false" customHeight="false" outlineLevel="0" collapsed="false">
      <c r="A79" s="15" t="s">
        <v>115</v>
      </c>
      <c r="B79" s="15" t="s">
        <v>34</v>
      </c>
      <c r="C79" s="15" t="s">
        <v>128</v>
      </c>
      <c r="D79" s="15"/>
      <c r="F79" s="18" t="str">
        <f aca="false">IF(B79="","",IFERROR(INDEX(Materials!$B$2:$B$201,MATCH(B79,Materials!$A$2:$A$201,0)),""))</f>
        <v>Disintegrant</v>
      </c>
      <c r="G79" s="18" t="str">
        <f aca="true">IF(AND(A79="",B79=""),"",IF(A79="","Missing product",IF(B79="","Missing material",IF(COUNTIF(ProductList,A79)=0,"Product not in Products list",IF(COUNTIF(MaterialList,B79)=0,"Material not in Materials list","OK")))))</f>
        <v>OK</v>
      </c>
      <c r="H79" s="18" t="str">
        <f aca="false">IF(F79="Active",A79&amp;"|"&amp;COUNTIFS(A$2:A79,A79,F$2:F79,"Active"),"")</f>
        <v/>
      </c>
      <c r="I79" s="18" t="str">
        <f aca="false">IF(B79="","",IF(SUMPRODUCT(MAX((A$1:A78=A79)*(B$1:B78=B79)*ROW(A$1:A78)))=0,C79&amp;"",IF(C79="",INDEX(I$1:I78,SUMPRODUCT(MAX((A$1:A78=A79)*(B$1:B78=B79)*ROW(A$1:A78)))),IF(INDEX(I$1:I78,SUMPRODUCT(MAX((A$1:A78=A79)*(B$1:B78=B79)*ROW(A$1:A78))))="",C79&amp;"",INDEX(I$1:I78,SUMPRODUCT(MAX((A$1:A78=A79)*(B$1:B78=B79)*ROW(A$1:A78))))&amp;"; "&amp;C79))))</f>
        <v>Intra-granular</v>
      </c>
      <c r="J79" s="18" t="str">
        <f aca="false">IF(A79="","",A79&amp;"|"&amp;COUNTIF(A$2:A79,A79))</f>
        <v>Product 5|3</v>
      </c>
      <c r="K79" s="18" t="n">
        <f aca="false">IF(OR(A79="",B79=""),0,IF(COUNTIFS(A$2:A79,A79,B$2:B79,B79)=1,1,0))</f>
        <v>1</v>
      </c>
    </row>
    <row r="80" customFormat="false" ht="15" hidden="false" customHeight="false" outlineLevel="0" collapsed="false">
      <c r="A80" s="15" t="s">
        <v>115</v>
      </c>
      <c r="B80" s="15" t="s">
        <v>64</v>
      </c>
      <c r="C80" s="15"/>
      <c r="D80" s="15"/>
      <c r="F80" s="18" t="str">
        <f aca="false">IF(B80="","",IFERROR(INDEX(Materials!$B$2:$B$201,MATCH(B80,Materials!$A$2:$A$201,0)),""))</f>
        <v>Binder</v>
      </c>
      <c r="G80" s="18" t="str">
        <f aca="true">IF(AND(A80="",B80=""),"",IF(A80="","Missing product",IF(B80="","Missing material",IF(COUNTIF(ProductList,A80)=0,"Product not in Products list",IF(COUNTIF(MaterialList,B80)=0,"Material not in Materials list","OK")))))</f>
        <v>OK</v>
      </c>
      <c r="H80" s="18" t="str">
        <f aca="false">IF(F80="Active",A80&amp;"|"&amp;COUNTIFS(A$2:A80,A80,F$2:F80,"Active"),"")</f>
        <v/>
      </c>
      <c r="I80" s="18" t="str">
        <f aca="false">IF(B80="","",IF(SUMPRODUCT(MAX((A$1:A79=A80)*(B$1:B79=B80)*ROW(A$1:A79)))=0,C80&amp;"",IF(C80="",INDEX(I$1:I79,SUMPRODUCT(MAX((A$1:A79=A80)*(B$1:B79=B80)*ROW(A$1:A79)))),IF(INDEX(I$1:I79,SUMPRODUCT(MAX((A$1:A79=A80)*(B$1:B79=B80)*ROW(A$1:A79))))="",C80&amp;"",INDEX(I$1:I79,SUMPRODUCT(MAX((A$1:A79=A80)*(B$1:B79=B80)*ROW(A$1:A79))))&amp;"; "&amp;C80))))</f>
        <v/>
      </c>
      <c r="J80" s="18" t="str">
        <f aca="false">IF(A80="","",A80&amp;"|"&amp;COUNTIF(A$2:A80,A80))</f>
        <v>Product 5|4</v>
      </c>
      <c r="K80" s="18" t="n">
        <f aca="false">IF(OR(A80="",B80=""),0,IF(COUNTIFS(A$2:A80,A80,B$2:B80,B80)=1,1,0))</f>
        <v>1</v>
      </c>
    </row>
    <row r="81" customFormat="false" ht="15" hidden="false" customHeight="false" outlineLevel="0" collapsed="false">
      <c r="A81" s="15" t="s">
        <v>115</v>
      </c>
      <c r="B81" s="15" t="s">
        <v>87</v>
      </c>
      <c r="C81" s="15" t="s">
        <v>130</v>
      </c>
      <c r="D81" s="15"/>
      <c r="F81" s="18" t="str">
        <f aca="false">IF(B81="","",IFERROR(INDEX(Materials!$B$2:$B$201,MATCH(B81,Materials!$A$2:$A$201,0)),""))</f>
        <v>Solvent</v>
      </c>
      <c r="G81" s="18" t="str">
        <f aca="true">IF(AND(A81="",B81=""),"",IF(A81="","Missing product",IF(B81="","Missing material",IF(COUNTIF(ProductList,A81)=0,"Product not in Products list",IF(COUNTIF(MaterialList,B81)=0,"Material not in Materials list","OK")))))</f>
        <v>OK</v>
      </c>
      <c r="H81" s="18" t="str">
        <f aca="false">IF(F81="Active",A81&amp;"|"&amp;COUNTIFS(A$2:A81,A81,F$2:F81,"Active"),"")</f>
        <v/>
      </c>
      <c r="I81" s="18" t="str">
        <f aca="false">IF(B81="","",IF(SUMPRODUCT(MAX((A$1:A80=A81)*(B$1:B80=B81)*ROW(A$1:A80)))=0,C81&amp;"",IF(C81="",INDEX(I$1:I80,SUMPRODUCT(MAX((A$1:A80=A81)*(B$1:B80=B81)*ROW(A$1:A80)))),IF(INDEX(I$1:I80,SUMPRODUCT(MAX((A$1:A80=A81)*(B$1:B80=B81)*ROW(A$1:A80))))="",C81&amp;"",INDEX(I$1:I80,SUMPRODUCT(MAX((A$1:A80=A81)*(B$1:B80=B81)*ROW(A$1:A80))))&amp;"; "&amp;C81))))</f>
        <v>Binder Solvent</v>
      </c>
      <c r="J81" s="18" t="str">
        <f aca="false">IF(A81="","",A81&amp;"|"&amp;COUNTIF(A$2:A81,A81))</f>
        <v>Product 5|5</v>
      </c>
      <c r="K81" s="18" t="n">
        <f aca="false">IF(OR(A81="",B81=""),0,IF(COUNTIFS(A$2:A81,A81,B$2:B81,B81)=1,1,0))</f>
        <v>1</v>
      </c>
    </row>
    <row r="82" customFormat="false" ht="15" hidden="false" customHeight="false" outlineLevel="0" collapsed="false">
      <c r="A82" s="15" t="s">
        <v>115</v>
      </c>
      <c r="B82" s="15" t="s">
        <v>69</v>
      </c>
      <c r="C82" s="15"/>
      <c r="D82" s="15"/>
      <c r="F82" s="18" t="str">
        <f aca="false">IF(B82="","",IFERROR(INDEX(Materials!$B$2:$B$201,MATCH(B82,Materials!$A$2:$A$201,0)),""))</f>
        <v>Filler / Diluent</v>
      </c>
      <c r="G82" s="18" t="str">
        <f aca="true">IF(AND(A82="",B82=""),"",IF(A82="","Missing product",IF(B82="","Missing material",IF(COUNTIF(ProductList,A82)=0,"Product not in Products list",IF(COUNTIF(MaterialList,B82)=0,"Material not in Materials list","OK")))))</f>
        <v>OK</v>
      </c>
      <c r="H82" s="18" t="str">
        <f aca="false">IF(F82="Active",A82&amp;"|"&amp;COUNTIFS(A$2:A82,A82,F$2:F82,"Active"),"")</f>
        <v/>
      </c>
      <c r="I82" s="18" t="str">
        <f aca="false">IF(B82="","",IF(SUMPRODUCT(MAX((A$1:A81=A82)*(B$1:B81=B82)*ROW(A$1:A81)))=0,C82&amp;"",IF(C82="",INDEX(I$1:I81,SUMPRODUCT(MAX((A$1:A81=A82)*(B$1:B81=B82)*ROW(A$1:A81)))),IF(INDEX(I$1:I81,SUMPRODUCT(MAX((A$1:A81=A82)*(B$1:B81=B82)*ROW(A$1:A81))))="",C82&amp;"",INDEX(I$1:I81,SUMPRODUCT(MAX((A$1:A81=A82)*(B$1:B81=B82)*ROW(A$1:A81))))&amp;"; "&amp;C82))))</f>
        <v/>
      </c>
      <c r="J82" s="18" t="str">
        <f aca="false">IF(A82="","",A82&amp;"|"&amp;COUNTIF(A$2:A82,A82))</f>
        <v>Product 5|6</v>
      </c>
      <c r="K82" s="18" t="n">
        <f aca="false">IF(OR(A82="",B82=""),0,IF(COUNTIFS(A$2:A82,A82,B$2:B82,B82)=1,1,0))</f>
        <v>1</v>
      </c>
    </row>
    <row r="83" customFormat="false" ht="15" hidden="false" customHeight="false" outlineLevel="0" collapsed="false">
      <c r="A83" s="15" t="s">
        <v>115</v>
      </c>
      <c r="B83" s="15" t="s">
        <v>34</v>
      </c>
      <c r="C83" s="15" t="s">
        <v>131</v>
      </c>
      <c r="D83" s="15"/>
      <c r="F83" s="18" t="str">
        <f aca="false">IF(B83="","",IFERROR(INDEX(Materials!$B$2:$B$201,MATCH(B83,Materials!$A$2:$A$201,0)),""))</f>
        <v>Disintegrant</v>
      </c>
      <c r="G83" s="18" t="str">
        <f aca="true">IF(AND(A83="",B83=""),"",IF(A83="","Missing product",IF(B83="","Missing material",IF(COUNTIF(ProductList,A83)=0,"Product not in Products list",IF(COUNTIF(MaterialList,B83)=0,"Material not in Materials list","OK")))))</f>
        <v>OK</v>
      </c>
      <c r="H83" s="18" t="str">
        <f aca="false">IF(F83="Active",A83&amp;"|"&amp;COUNTIFS(A$2:A83,A83,F$2:F83,"Active"),"")</f>
        <v/>
      </c>
      <c r="I83" s="18" t="str">
        <f aca="false">IF(B83="","",IF(SUMPRODUCT(MAX((A$1:A82=A83)*(B$1:B82=B83)*ROW(A$1:A82)))=0,C83&amp;"",IF(C83="",INDEX(I$1:I82,SUMPRODUCT(MAX((A$1:A82=A83)*(B$1:B82=B83)*ROW(A$1:A82)))),IF(INDEX(I$1:I82,SUMPRODUCT(MAX((A$1:A82=A83)*(B$1:B82=B83)*ROW(A$1:A82))))="",C83&amp;"",INDEX(I$1:I82,SUMPRODUCT(MAX((A$1:A82=A83)*(B$1:B82=B83)*ROW(A$1:A82))))&amp;"; "&amp;C83))))</f>
        <v>Intra-granular; Extra-granular</v>
      </c>
      <c r="J83" s="18" t="str">
        <f aca="false">IF(A83="","",A83&amp;"|"&amp;COUNTIF(A$2:A83,A83))</f>
        <v>Product 5|7</v>
      </c>
      <c r="K83" s="18" t="n">
        <f aca="false">IF(OR(A83="",B83=""),0,IF(COUNTIFS(A$2:A83,A83,B$2:B83,B83)=1,1,0))</f>
        <v>0</v>
      </c>
    </row>
    <row r="84" customFormat="false" ht="15" hidden="false" customHeight="false" outlineLevel="0" collapsed="false">
      <c r="A84" s="15" t="s">
        <v>115</v>
      </c>
      <c r="B84" s="15" t="s">
        <v>71</v>
      </c>
      <c r="C84" s="15"/>
      <c r="D84" s="15"/>
      <c r="F84" s="18" t="str">
        <f aca="false">IF(B84="","",IFERROR(INDEX(Materials!$B$2:$B$201,MATCH(B84,Materials!$A$2:$A$201,0)),""))</f>
        <v>Glidant</v>
      </c>
      <c r="G84" s="18" t="str">
        <f aca="true">IF(AND(A84="",B84=""),"",IF(A84="","Missing product",IF(B84="","Missing material",IF(COUNTIF(ProductList,A84)=0,"Product not in Products list",IF(COUNTIF(MaterialList,B84)=0,"Material not in Materials list","OK")))))</f>
        <v>OK</v>
      </c>
      <c r="H84" s="18" t="str">
        <f aca="false">IF(F84="Active",A84&amp;"|"&amp;COUNTIFS(A$2:A84,A84,F$2:F84,"Active"),"")</f>
        <v/>
      </c>
      <c r="I84" s="18" t="str">
        <f aca="false">IF(B84="","",IF(SUMPRODUCT(MAX((A$1:A83=A84)*(B$1:B83=B84)*ROW(A$1:A83)))=0,C84&amp;"",IF(C84="",INDEX(I$1:I83,SUMPRODUCT(MAX((A$1:A83=A84)*(B$1:B83=B84)*ROW(A$1:A83)))),IF(INDEX(I$1:I83,SUMPRODUCT(MAX((A$1:A83=A84)*(B$1:B83=B84)*ROW(A$1:A83))))="",C84&amp;"",INDEX(I$1:I83,SUMPRODUCT(MAX((A$1:A83=A84)*(B$1:B83=B84)*ROW(A$1:A83))))&amp;"; "&amp;C84))))</f>
        <v/>
      </c>
      <c r="J84" s="18" t="str">
        <f aca="false">IF(A84="","",A84&amp;"|"&amp;COUNTIF(A$2:A84,A84))</f>
        <v>Product 5|8</v>
      </c>
      <c r="K84" s="18" t="n">
        <f aca="false">IF(OR(A84="",B84=""),0,IF(COUNTIFS(A$2:A84,A84,B$2:B84,B84)=1,1,0))</f>
        <v>1</v>
      </c>
    </row>
    <row r="85" customFormat="false" ht="15" hidden="false" customHeight="false" outlineLevel="0" collapsed="false">
      <c r="A85" s="15" t="s">
        <v>115</v>
      </c>
      <c r="B85" s="15" t="s">
        <v>91</v>
      </c>
      <c r="C85" s="15"/>
      <c r="D85" s="15"/>
      <c r="F85" s="18" t="str">
        <f aca="false">IF(B85="","",IFERROR(INDEX(Materials!$B$2:$B$201,MATCH(B85,Materials!$A$2:$A$201,0)),""))</f>
        <v>Lubricant</v>
      </c>
      <c r="G85" s="18" t="str">
        <f aca="true">IF(AND(A85="",B85=""),"",IF(A85="","Missing product",IF(B85="","Missing material",IF(COUNTIF(ProductList,A85)=0,"Product not in Products list",IF(COUNTIF(MaterialList,B85)=0,"Material not in Materials list","OK")))))</f>
        <v>OK</v>
      </c>
      <c r="H85" s="18" t="str">
        <f aca="false">IF(F85="Active",A85&amp;"|"&amp;COUNTIFS(A$2:A85,A85,F$2:F85,"Active"),"")</f>
        <v/>
      </c>
      <c r="I85" s="18" t="str">
        <f aca="false">IF(B85="","",IF(SUMPRODUCT(MAX((A$1:A84=A85)*(B$1:B84=B85)*ROW(A$1:A84)))=0,C85&amp;"",IF(C85="",INDEX(I$1:I84,SUMPRODUCT(MAX((A$1:A84=A85)*(B$1:B84=B85)*ROW(A$1:A84)))),IF(INDEX(I$1:I84,SUMPRODUCT(MAX((A$1:A84=A85)*(B$1:B84=B85)*ROW(A$1:A84))))="",C85&amp;"",INDEX(I$1:I84,SUMPRODUCT(MAX((A$1:A84=A85)*(B$1:B84=B85)*ROW(A$1:A84))))&amp;"; "&amp;C85))))</f>
        <v/>
      </c>
      <c r="J85" s="18" t="str">
        <f aca="false">IF(A85="","",A85&amp;"|"&amp;COUNTIF(A$2:A85,A85))</f>
        <v>Product 5|9</v>
      </c>
      <c r="K85" s="18" t="n">
        <f aca="false">IF(OR(A85="",B85=""),0,IF(COUNTIFS(A$2:A85,A85,B$2:B85,B85)=1,1,0))</f>
        <v>1</v>
      </c>
    </row>
    <row r="86" customFormat="false" ht="15" hidden="false" customHeight="false" outlineLevel="0" collapsed="false">
      <c r="A86" s="15" t="s">
        <v>115</v>
      </c>
      <c r="B86" s="15" t="s">
        <v>75</v>
      </c>
      <c r="C86" s="15"/>
      <c r="D86" s="15"/>
      <c r="F86" s="18" t="str">
        <f aca="false">IF(B86="","",IFERROR(INDEX(Materials!$B$2:$B$201,MATCH(B86,Materials!$A$2:$A$201,0)),""))</f>
        <v>Binder / Coating Polymer</v>
      </c>
      <c r="G86" s="18" t="str">
        <f aca="true">IF(AND(A86="",B86=""),"",IF(A86="","Missing product",IF(B86="","Missing material",IF(COUNTIF(ProductList,A86)=0,"Product not in Products list",IF(COUNTIF(MaterialList,B86)=0,"Material not in Materials list","OK")))))</f>
        <v>OK</v>
      </c>
      <c r="H86" s="18" t="str">
        <f aca="false">IF(F86="Active",A86&amp;"|"&amp;COUNTIFS(A$2:A86,A86,F$2:F86,"Active"),"")</f>
        <v/>
      </c>
      <c r="I86" s="18" t="str">
        <f aca="false">IF(B86="","",IF(SUMPRODUCT(MAX((A$1:A85=A86)*(B$1:B85=B86)*ROW(A$1:A85)))=0,C86&amp;"",IF(C86="",INDEX(I$1:I85,SUMPRODUCT(MAX((A$1:A85=A86)*(B$1:B85=B86)*ROW(A$1:A85)))),IF(INDEX(I$1:I85,SUMPRODUCT(MAX((A$1:A85=A86)*(B$1:B85=B86)*ROW(A$1:A85))))="",C86&amp;"",INDEX(I$1:I85,SUMPRODUCT(MAX((A$1:A85=A86)*(B$1:B85=B86)*ROW(A$1:A85))))&amp;"; "&amp;C86))))</f>
        <v/>
      </c>
      <c r="J86" s="18" t="str">
        <f aca="false">IF(A86="","",A86&amp;"|"&amp;COUNTIF(A$2:A86,A86))</f>
        <v>Product 5|10</v>
      </c>
      <c r="K86" s="18" t="n">
        <f aca="false">IF(OR(A86="",B86=""),0,IF(COUNTIFS(A$2:A86,A86,B$2:B86,B86)=1,1,0))</f>
        <v>1</v>
      </c>
    </row>
    <row r="87" customFormat="false" ht="15" hidden="false" customHeight="false" outlineLevel="0" collapsed="false">
      <c r="A87" s="15" t="s">
        <v>115</v>
      </c>
      <c r="B87" s="15" t="s">
        <v>78</v>
      </c>
      <c r="C87" s="15"/>
      <c r="D87" s="15"/>
      <c r="F87" s="18" t="str">
        <f aca="false">IF(B87="","",IFERROR(INDEX(Materials!$B$2:$B$201,MATCH(B87,Materials!$A$2:$A$201,0)),""))</f>
        <v>Plasticizer</v>
      </c>
      <c r="G87" s="18" t="str">
        <f aca="true">IF(AND(A87="",B87=""),"",IF(A87="","Missing product",IF(B87="","Missing material",IF(COUNTIF(ProductList,A87)=0,"Product not in Products list",IF(COUNTIF(MaterialList,B87)=0,"Material not in Materials list","OK")))))</f>
        <v>OK</v>
      </c>
      <c r="H87" s="18" t="str">
        <f aca="false">IF(F87="Active",A87&amp;"|"&amp;COUNTIFS(A$2:A87,A87,F$2:F87,"Active"),"")</f>
        <v/>
      </c>
      <c r="I87" s="18" t="str">
        <f aca="false">IF(B87="","",IF(SUMPRODUCT(MAX((A$1:A86=A87)*(B$1:B86=B87)*ROW(A$1:A86)))=0,C87&amp;"",IF(C87="",INDEX(I$1:I86,SUMPRODUCT(MAX((A$1:A86=A87)*(B$1:B86=B87)*ROW(A$1:A86)))),IF(INDEX(I$1:I86,SUMPRODUCT(MAX((A$1:A86=A87)*(B$1:B86=B87)*ROW(A$1:A86))))="",C87&amp;"",INDEX(I$1:I86,SUMPRODUCT(MAX((A$1:A86=A87)*(B$1:B86=B87)*ROW(A$1:A86))))&amp;"; "&amp;C87))))</f>
        <v/>
      </c>
      <c r="J87" s="18" t="str">
        <f aca="false">IF(A87="","",A87&amp;"|"&amp;COUNTIF(A$2:A87,A87))</f>
        <v>Product 5|11</v>
      </c>
      <c r="K87" s="18" t="n">
        <f aca="false">IF(OR(A87="",B87=""),0,IF(COUNTIFS(A$2:A87,A87,B$2:B87,B87)=1,1,0))</f>
        <v>1</v>
      </c>
    </row>
    <row r="88" customFormat="false" ht="15" hidden="false" customHeight="false" outlineLevel="0" collapsed="false">
      <c r="A88" s="15" t="s">
        <v>115</v>
      </c>
      <c r="B88" s="15" t="s">
        <v>81</v>
      </c>
      <c r="C88" s="15"/>
      <c r="D88" s="15"/>
      <c r="F88" s="18" t="str">
        <f aca="false">IF(B88="","",IFERROR(INDEX(Materials!$B$2:$B$201,MATCH(B88,Materials!$A$2:$A$201,0)),""))</f>
        <v>Opacifier</v>
      </c>
      <c r="G88" s="18" t="str">
        <f aca="true">IF(AND(A88="",B88=""),"",IF(A88="","Missing product",IF(B88="","Missing material",IF(COUNTIF(ProductList,A88)=0,"Product not in Products list",IF(COUNTIF(MaterialList,B88)=0,"Material not in Materials list","OK")))))</f>
        <v>OK</v>
      </c>
      <c r="H88" s="18" t="str">
        <f aca="false">IF(F88="Active",A88&amp;"|"&amp;COUNTIFS(A$2:A88,A88,F$2:F88,"Active"),"")</f>
        <v/>
      </c>
      <c r="I88" s="18" t="str">
        <f aca="false">IF(B88="","",IF(SUMPRODUCT(MAX((A$1:A87=A88)*(B$1:B87=B88)*ROW(A$1:A87)))=0,C88&amp;"",IF(C88="",INDEX(I$1:I87,SUMPRODUCT(MAX((A$1:A87=A88)*(B$1:B87=B88)*ROW(A$1:A87)))),IF(INDEX(I$1:I87,SUMPRODUCT(MAX((A$1:A87=A88)*(B$1:B87=B88)*ROW(A$1:A87))))="",C88&amp;"",INDEX(I$1:I87,SUMPRODUCT(MAX((A$1:A87=A88)*(B$1:B87=B88)*ROW(A$1:A87))))&amp;"; "&amp;C88))))</f>
        <v/>
      </c>
      <c r="J88" s="18" t="str">
        <f aca="false">IF(A88="","",A88&amp;"|"&amp;COUNTIF(A$2:A88,A88))</f>
        <v>Product 5|12</v>
      </c>
      <c r="K88" s="18" t="n">
        <f aca="false">IF(OR(A88="",B88=""),0,IF(COUNTIFS(A$2:A88,A88,B$2:B88,B88)=1,1,0))</f>
        <v>1</v>
      </c>
    </row>
    <row r="89" customFormat="false" ht="15" hidden="false" customHeight="false" outlineLevel="0" collapsed="false">
      <c r="A89" s="15" t="s">
        <v>115</v>
      </c>
      <c r="B89" s="15" t="s">
        <v>83</v>
      </c>
      <c r="C89" s="15"/>
      <c r="D89" s="15"/>
      <c r="F89" s="18" t="str">
        <f aca="false">IF(B89="","",IFERROR(INDEX(Materials!$B$2:$B$201,MATCH(B89,Materials!$A$2:$A$201,0)),""))</f>
        <v>Glidant / Anti-tacking</v>
      </c>
      <c r="G89" s="18" t="str">
        <f aca="true">IF(AND(A89="",B89=""),"",IF(A89="","Missing product",IF(B89="","Missing material",IF(COUNTIF(ProductList,A89)=0,"Product not in Products list",IF(COUNTIF(MaterialList,B89)=0,"Material not in Materials list","OK")))))</f>
        <v>OK</v>
      </c>
      <c r="H89" s="18" t="str">
        <f aca="false">IF(F89="Active",A89&amp;"|"&amp;COUNTIFS(A$2:A89,A89,F$2:F89,"Active"),"")</f>
        <v/>
      </c>
      <c r="I89" s="18" t="str">
        <f aca="false">IF(B89="","",IF(SUMPRODUCT(MAX((A$1:A88=A89)*(B$1:B88=B89)*ROW(A$1:A88)))=0,C89&amp;"",IF(C89="",INDEX(I$1:I88,SUMPRODUCT(MAX((A$1:A88=A89)*(B$1:B88=B89)*ROW(A$1:A88)))),IF(INDEX(I$1:I88,SUMPRODUCT(MAX((A$1:A88=A89)*(B$1:B88=B89)*ROW(A$1:A88))))="",C89&amp;"",INDEX(I$1:I88,SUMPRODUCT(MAX((A$1:A88=A89)*(B$1:B88=B89)*ROW(A$1:A88))))&amp;"; "&amp;C89))))</f>
        <v/>
      </c>
      <c r="J89" s="18" t="str">
        <f aca="false">IF(A89="","",A89&amp;"|"&amp;COUNTIF(A$2:A89,A89))</f>
        <v>Product 5|13</v>
      </c>
      <c r="K89" s="18" t="n">
        <f aca="false">IF(OR(A89="",B89=""),0,IF(COUNTIFS(A$2:A89,A89,B$2:B89,B89)=1,1,0))</f>
        <v>1</v>
      </c>
    </row>
    <row r="90" customFormat="false" ht="15" hidden="false" customHeight="false" outlineLevel="0" collapsed="false">
      <c r="A90" s="15" t="s">
        <v>115</v>
      </c>
      <c r="B90" s="15" t="s">
        <v>92</v>
      </c>
      <c r="C90" s="15"/>
      <c r="D90" s="15"/>
      <c r="F90" s="18" t="str">
        <f aca="false">IF(B90="","",IFERROR(INDEX(Materials!$B$2:$B$201,MATCH(B90,Materials!$A$2:$A$201,0)),""))</f>
        <v>Colorant</v>
      </c>
      <c r="G90" s="18" t="str">
        <f aca="true">IF(AND(A90="",B90=""),"",IF(A90="","Missing product",IF(B90="","Missing material",IF(COUNTIF(ProductList,A90)=0,"Product not in Products list",IF(COUNTIF(MaterialList,B90)=0,"Material not in Materials list","OK")))))</f>
        <v>OK</v>
      </c>
      <c r="H90" s="18" t="str">
        <f aca="false">IF(F90="Active",A90&amp;"|"&amp;COUNTIFS(A$2:A90,A90,F$2:F90,"Active"),"")</f>
        <v/>
      </c>
      <c r="I90" s="18" t="str">
        <f aca="false">IF(B90="","",IF(SUMPRODUCT(MAX((A$1:A89=A90)*(B$1:B89=B90)*ROW(A$1:A89)))=0,C90&amp;"",IF(C90="",INDEX(I$1:I89,SUMPRODUCT(MAX((A$1:A89=A90)*(B$1:B89=B90)*ROW(A$1:A89)))),IF(INDEX(I$1:I89,SUMPRODUCT(MAX((A$1:A89=A90)*(B$1:B89=B90)*ROW(A$1:A89))))="",C90&amp;"",INDEX(I$1:I89,SUMPRODUCT(MAX((A$1:A89=A90)*(B$1:B89=B90)*ROW(A$1:A89))))&amp;"; "&amp;C90))))</f>
        <v/>
      </c>
      <c r="J90" s="18" t="str">
        <f aca="false">IF(A90="","",A90&amp;"|"&amp;COUNTIF(A$2:A90,A90))</f>
        <v>Product 5|14</v>
      </c>
      <c r="K90" s="18" t="n">
        <f aca="false">IF(OR(A90="",B90=""),0,IF(COUNTIFS(A$2:A90,A90,B$2:B90,B90)=1,1,0))</f>
        <v>1</v>
      </c>
    </row>
    <row r="91" customFormat="false" ht="15" hidden="false" customHeight="false" outlineLevel="0" collapsed="false">
      <c r="A91" s="15" t="s">
        <v>115</v>
      </c>
      <c r="B91" s="15" t="s">
        <v>93</v>
      </c>
      <c r="C91" s="15"/>
      <c r="D91" s="15"/>
      <c r="F91" s="18" t="str">
        <f aca="false">IF(B91="","",IFERROR(INDEX(Materials!$B$2:$B$201,MATCH(B91,Materials!$A$2:$A$201,0)),""))</f>
        <v>Colorant</v>
      </c>
      <c r="G91" s="18" t="str">
        <f aca="true">IF(AND(A91="",B91=""),"",IF(A91="","Missing product",IF(B91="","Missing material",IF(COUNTIF(ProductList,A91)=0,"Product not in Products list",IF(COUNTIF(MaterialList,B91)=0,"Material not in Materials list","OK")))))</f>
        <v>OK</v>
      </c>
      <c r="H91" s="18" t="str">
        <f aca="false">IF(F91="Active",A91&amp;"|"&amp;COUNTIFS(A$2:A91,A91,F$2:F91,"Active"),"")</f>
        <v/>
      </c>
      <c r="I91" s="18" t="str">
        <f aca="false">IF(B91="","",IF(SUMPRODUCT(MAX((A$1:A90=A91)*(B$1:B90=B91)*ROW(A$1:A90)))=0,C91&amp;"",IF(C91="",INDEX(I$1:I90,SUMPRODUCT(MAX((A$1:A90=A91)*(B$1:B90=B91)*ROW(A$1:A90)))),IF(INDEX(I$1:I90,SUMPRODUCT(MAX((A$1:A90=A91)*(B$1:B90=B91)*ROW(A$1:A90))))="",C91&amp;"",INDEX(I$1:I90,SUMPRODUCT(MAX((A$1:A90=A91)*(B$1:B90=B91)*ROW(A$1:A90))))&amp;"; "&amp;C91))))</f>
        <v/>
      </c>
      <c r="J91" s="18" t="str">
        <f aca="false">IF(A91="","",A91&amp;"|"&amp;COUNTIF(A$2:A91,A91))</f>
        <v>Product 5|15</v>
      </c>
      <c r="K91" s="18" t="n">
        <f aca="false">IF(OR(A91="",B91=""),0,IF(COUNTIFS(A$2:A91,A91,B$2:B91,B91)=1,1,0))</f>
        <v>1</v>
      </c>
    </row>
    <row r="92" customFormat="false" ht="15" hidden="false" customHeight="false" outlineLevel="0" collapsed="false">
      <c r="A92" s="15" t="s">
        <v>115</v>
      </c>
      <c r="B92" s="15" t="s">
        <v>87</v>
      </c>
      <c r="C92" s="15" t="s">
        <v>133</v>
      </c>
      <c r="D92" s="15"/>
      <c r="F92" s="18" t="str">
        <f aca="false">IF(B92="","",IFERROR(INDEX(Materials!$B$2:$B$201,MATCH(B92,Materials!$A$2:$A$201,0)),""))</f>
        <v>Solvent</v>
      </c>
      <c r="G92" s="18" t="str">
        <f aca="true">IF(AND(A92="",B92=""),"",IF(A92="","Missing product",IF(B92="","Missing material",IF(COUNTIF(ProductList,A92)=0,"Product not in Products list",IF(COUNTIF(MaterialList,B92)=0,"Material not in Materials list","OK")))))</f>
        <v>OK</v>
      </c>
      <c r="H92" s="18" t="str">
        <f aca="false">IF(F92="Active",A92&amp;"|"&amp;COUNTIFS(A$2:A92,A92,F$2:F92,"Active"),"")</f>
        <v/>
      </c>
      <c r="I92" s="18" t="str">
        <f aca="false">IF(B92="","",IF(SUMPRODUCT(MAX((A$1:A91=A92)*(B$1:B91=B92)*ROW(A$1:A91)))=0,C92&amp;"",IF(C92="",INDEX(I$1:I91,SUMPRODUCT(MAX((A$1:A91=A92)*(B$1:B91=B92)*ROW(A$1:A91)))),IF(INDEX(I$1:I91,SUMPRODUCT(MAX((A$1:A91=A92)*(B$1:B91=B92)*ROW(A$1:A91))))="",C92&amp;"",INDEX(I$1:I91,SUMPRODUCT(MAX((A$1:A91=A92)*(B$1:B91=B92)*ROW(A$1:A91))))&amp;"; "&amp;C92))))</f>
        <v>Binder Solvent; Coating Solvent</v>
      </c>
      <c r="J92" s="18" t="str">
        <f aca="false">IF(A92="","",A92&amp;"|"&amp;COUNTIF(A$2:A92,A92))</f>
        <v>Product 5|16</v>
      </c>
      <c r="K92" s="18" t="n">
        <f aca="false">IF(OR(A92="",B92=""),0,IF(COUNTIFS(A$2:A92,A92,B$2:B92,B92)=1,1,0))</f>
        <v>0</v>
      </c>
    </row>
    <row r="93" customFormat="false" ht="15" hidden="false" customHeight="false" outlineLevel="0" collapsed="false">
      <c r="A93" s="15" t="s">
        <v>115</v>
      </c>
      <c r="B93" s="15" t="s">
        <v>66</v>
      </c>
      <c r="C93" s="15" t="s">
        <v>133</v>
      </c>
      <c r="D93" s="15"/>
      <c r="F93" s="18" t="str">
        <f aca="false">IF(B93="","",IFERROR(INDEX(Materials!$B$2:$B$201,MATCH(B93,Materials!$A$2:$A$201,0)),""))</f>
        <v>Solvent</v>
      </c>
      <c r="G93" s="18" t="str">
        <f aca="true">IF(AND(A93="",B93=""),"",IF(A93="","Missing product",IF(B93="","Missing material",IF(COUNTIF(ProductList,A93)=0,"Product not in Products list",IF(COUNTIF(MaterialList,B93)=0,"Material not in Materials list","OK")))))</f>
        <v>OK</v>
      </c>
      <c r="H93" s="18" t="str">
        <f aca="false">IF(F93="Active",A93&amp;"|"&amp;COUNTIFS(A$2:A93,A93,F$2:F93,"Active"),"")</f>
        <v/>
      </c>
      <c r="I93" s="18" t="str">
        <f aca="false">IF(B93="","",IF(SUMPRODUCT(MAX((A$1:A92=A93)*(B$1:B92=B93)*ROW(A$1:A92)))=0,C93&amp;"",IF(C93="",INDEX(I$1:I92,SUMPRODUCT(MAX((A$1:A92=A93)*(B$1:B92=B93)*ROW(A$1:A92)))),IF(INDEX(I$1:I92,SUMPRODUCT(MAX((A$1:A92=A93)*(B$1:B92=B93)*ROW(A$1:A92))))="",C93&amp;"",INDEX(I$1:I92,SUMPRODUCT(MAX((A$1:A92=A93)*(B$1:B92=B93)*ROW(A$1:A92))))&amp;"; "&amp;C93))))</f>
        <v>Coating Solvent</v>
      </c>
      <c r="J93" s="18" t="str">
        <f aca="false">IF(A93="","",A93&amp;"|"&amp;COUNTIF(A$2:A93,A93))</f>
        <v>Product 5|17</v>
      </c>
      <c r="K93" s="18" t="n">
        <f aca="false">IF(OR(A93="",B93=""),0,IF(COUNTIFS(A$2:A93,A93,B$2:B93,B93)=1,1,0))</f>
        <v>1</v>
      </c>
    </row>
    <row r="94" customFormat="false" ht="15" hidden="false" customHeight="false" outlineLevel="0" collapsed="false">
      <c r="A94" s="15" t="s">
        <v>116</v>
      </c>
      <c r="B94" s="15" t="s">
        <v>90</v>
      </c>
      <c r="C94" s="15"/>
      <c r="D94" s="15"/>
      <c r="F94" s="18" t="str">
        <f aca="false">IF(B94="","",IFERROR(INDEX(Materials!$B$2:$B$201,MATCH(B94,Materials!$A$2:$A$201,0)),""))</f>
        <v>Active</v>
      </c>
      <c r="G94" s="18" t="str">
        <f aca="true">IF(AND(A94="",B94=""),"",IF(A94="","Missing product",IF(B94="","Missing material",IF(COUNTIF(ProductList,A94)=0,"Product not in Products list",IF(COUNTIF(MaterialList,B94)=0,"Material not in Materials list","OK")))))</f>
        <v>OK</v>
      </c>
      <c r="H94" s="18" t="str">
        <f aca="false">IF(F94="Active",A94&amp;"|"&amp;COUNTIFS(A$2:A94,A94,F$2:F94,"Active"),"")</f>
        <v>Product 6|1</v>
      </c>
      <c r="I94" s="18" t="str">
        <f aca="false">IF(B94="","",IF(SUMPRODUCT(MAX((A$1:A93=A94)*(B$1:B93=B94)*ROW(A$1:A93)))=0,C94&amp;"",IF(C94="",INDEX(I$1:I93,SUMPRODUCT(MAX((A$1:A93=A94)*(B$1:B93=B94)*ROW(A$1:A93)))),IF(INDEX(I$1:I93,SUMPRODUCT(MAX((A$1:A93=A94)*(B$1:B93=B94)*ROW(A$1:A93))))="",C94&amp;"",INDEX(I$1:I93,SUMPRODUCT(MAX((A$1:A93=A94)*(B$1:B93=B94)*ROW(A$1:A93))))&amp;"; "&amp;C94))))</f>
        <v/>
      </c>
      <c r="J94" s="18" t="str">
        <f aca="false">IF(A94="","",A94&amp;"|"&amp;COUNTIF(A$2:A94,A94))</f>
        <v>Product 6|1</v>
      </c>
      <c r="K94" s="18" t="n">
        <f aca="false">IF(OR(A94="",B94=""),0,IF(COUNTIFS(A$2:A94,A94,B$2:B94,B94)=1,1,0))</f>
        <v>1</v>
      </c>
    </row>
    <row r="95" customFormat="false" ht="15" hidden="false" customHeight="false" outlineLevel="0" collapsed="false">
      <c r="A95" s="15" t="s">
        <v>116</v>
      </c>
      <c r="B95" s="15" t="s">
        <v>62</v>
      </c>
      <c r="C95" s="15" t="s">
        <v>134</v>
      </c>
      <c r="D95" s="15"/>
      <c r="F95" s="18" t="str">
        <f aca="false">IF(B95="","",IFERROR(INDEX(Materials!$B$2:$B$201,MATCH(B95,Materials!$A$2:$A$201,0)),""))</f>
        <v>Filler / Diluent</v>
      </c>
      <c r="G95" s="18" t="str">
        <f aca="true">IF(AND(A95="",B95=""),"",IF(A95="","Missing product",IF(B95="","Missing material",IF(COUNTIF(ProductList,A95)=0,"Product not in Products list",IF(COUNTIF(MaterialList,B95)=0,"Material not in Materials list","OK")))))</f>
        <v>OK</v>
      </c>
      <c r="H95" s="18" t="str">
        <f aca="false">IF(F95="Active",A95&amp;"|"&amp;COUNTIFS(A$2:A95,A95,F$2:F95,"Active"),"")</f>
        <v/>
      </c>
      <c r="I95" s="18" t="str">
        <f aca="false">IF(B95="","",IF(SUMPRODUCT(MAX((A$1:A94=A95)*(B$1:B94=B95)*ROW(A$1:A94)))=0,C95&amp;"",IF(C95="",INDEX(I$1:I94,SUMPRODUCT(MAX((A$1:A94=A95)*(B$1:B94=B95)*ROW(A$1:A94)))),IF(INDEX(I$1:I94,SUMPRODUCT(MAX((A$1:A94=A95)*(B$1:B94=B95)*ROW(A$1:A94))))="",C95&amp;"",INDEX(I$1:I94,SUMPRODUCT(MAX((A$1:A94=A95)*(B$1:B94=B95)*ROW(A$1:A94))))&amp;"; "&amp;C95))))</f>
        <v>Fine powder</v>
      </c>
      <c r="J95" s="18" t="str">
        <f aca="false">IF(A95="","",A95&amp;"|"&amp;COUNTIF(A$2:A95,A95))</f>
        <v>Product 6|2</v>
      </c>
      <c r="K95" s="18" t="n">
        <f aca="false">IF(OR(A95="",B95=""),0,IF(COUNTIFS(A$2:A95,A95,B$2:B95,B95)=1,1,0))</f>
        <v>1</v>
      </c>
    </row>
    <row r="96" customFormat="false" ht="15" hidden="false" customHeight="false" outlineLevel="0" collapsed="false">
      <c r="A96" s="15" t="s">
        <v>116</v>
      </c>
      <c r="B96" s="15" t="s">
        <v>34</v>
      </c>
      <c r="C96" s="15" t="s">
        <v>128</v>
      </c>
      <c r="D96" s="15"/>
      <c r="F96" s="18" t="str">
        <f aca="false">IF(B96="","",IFERROR(INDEX(Materials!$B$2:$B$201,MATCH(B96,Materials!$A$2:$A$201,0)),""))</f>
        <v>Disintegrant</v>
      </c>
      <c r="G96" s="18" t="str">
        <f aca="true">IF(AND(A96="",B96=""),"",IF(A96="","Missing product",IF(B96="","Missing material",IF(COUNTIF(ProductList,A96)=0,"Product not in Products list",IF(COUNTIF(MaterialList,B96)=0,"Material not in Materials list","OK")))))</f>
        <v>OK</v>
      </c>
      <c r="H96" s="18" t="str">
        <f aca="false">IF(F96="Active",A96&amp;"|"&amp;COUNTIFS(A$2:A96,A96,F$2:F96,"Active"),"")</f>
        <v/>
      </c>
      <c r="I96" s="18" t="str">
        <f aca="false">IF(B96="","",IF(SUMPRODUCT(MAX((A$1:A95=A96)*(B$1:B95=B96)*ROW(A$1:A95)))=0,C96&amp;"",IF(C96="",INDEX(I$1:I95,SUMPRODUCT(MAX((A$1:A95=A96)*(B$1:B95=B96)*ROW(A$1:A95)))),IF(INDEX(I$1:I95,SUMPRODUCT(MAX((A$1:A95=A96)*(B$1:B95=B96)*ROW(A$1:A95))))="",C96&amp;"",INDEX(I$1:I95,SUMPRODUCT(MAX((A$1:A95=A96)*(B$1:B95=B96)*ROW(A$1:A95))))&amp;"; "&amp;C96))))</f>
        <v>Intra-granular</v>
      </c>
      <c r="J96" s="18" t="str">
        <f aca="false">IF(A96="","",A96&amp;"|"&amp;COUNTIF(A$2:A96,A96))</f>
        <v>Product 6|3</v>
      </c>
      <c r="K96" s="18" t="n">
        <f aca="false">IF(OR(A96="",B96=""),0,IF(COUNTIFS(A$2:A96,A96,B$2:B96,B96)=1,1,0))</f>
        <v>1</v>
      </c>
    </row>
    <row r="97" customFormat="false" ht="15" hidden="false" customHeight="false" outlineLevel="0" collapsed="false">
      <c r="A97" s="15" t="s">
        <v>116</v>
      </c>
      <c r="B97" s="15" t="s">
        <v>64</v>
      </c>
      <c r="C97" s="15"/>
      <c r="D97" s="15"/>
      <c r="F97" s="18" t="str">
        <f aca="false">IF(B97="","",IFERROR(INDEX(Materials!$B$2:$B$201,MATCH(B97,Materials!$A$2:$A$201,0)),""))</f>
        <v>Binder</v>
      </c>
      <c r="G97" s="18" t="str">
        <f aca="true">IF(AND(A97="",B97=""),"",IF(A97="","Missing product",IF(B97="","Missing material",IF(COUNTIF(ProductList,A97)=0,"Product not in Products list",IF(COUNTIF(MaterialList,B97)=0,"Material not in Materials list","OK")))))</f>
        <v>OK</v>
      </c>
      <c r="H97" s="18" t="str">
        <f aca="false">IF(F97="Active",A97&amp;"|"&amp;COUNTIFS(A$2:A97,A97,F$2:F97,"Active"),"")</f>
        <v/>
      </c>
      <c r="I97" s="18" t="str">
        <f aca="false">IF(B97="","",IF(SUMPRODUCT(MAX((A$1:A96=A97)*(B$1:B96=B97)*ROW(A$1:A96)))=0,C97&amp;"",IF(C97="",INDEX(I$1:I96,SUMPRODUCT(MAX((A$1:A96=A97)*(B$1:B96=B97)*ROW(A$1:A96)))),IF(INDEX(I$1:I96,SUMPRODUCT(MAX((A$1:A96=A97)*(B$1:B96=B97)*ROW(A$1:A96))))="",C97&amp;"",INDEX(I$1:I96,SUMPRODUCT(MAX((A$1:A96=A97)*(B$1:B96=B97)*ROW(A$1:A96))))&amp;"; "&amp;C97))))</f>
        <v/>
      </c>
      <c r="J97" s="18" t="str">
        <f aca="false">IF(A97="","",A97&amp;"|"&amp;COUNTIF(A$2:A97,A97))</f>
        <v>Product 6|4</v>
      </c>
      <c r="K97" s="18" t="n">
        <f aca="false">IF(OR(A97="",B97=""),0,IF(COUNTIFS(A$2:A97,A97,B$2:B97,B97)=1,1,0))</f>
        <v>1</v>
      </c>
    </row>
    <row r="98" customFormat="false" ht="15" hidden="false" customHeight="false" outlineLevel="0" collapsed="false">
      <c r="A98" s="15" t="s">
        <v>116</v>
      </c>
      <c r="B98" s="15" t="s">
        <v>87</v>
      </c>
      <c r="C98" s="15" t="s">
        <v>130</v>
      </c>
      <c r="D98" s="15"/>
      <c r="F98" s="18" t="str">
        <f aca="false">IF(B98="","",IFERROR(INDEX(Materials!$B$2:$B$201,MATCH(B98,Materials!$A$2:$A$201,0)),""))</f>
        <v>Solvent</v>
      </c>
      <c r="G98" s="18" t="str">
        <f aca="true">IF(AND(A98="",B98=""),"",IF(A98="","Missing product",IF(B98="","Missing material",IF(COUNTIF(ProductList,A98)=0,"Product not in Products list",IF(COUNTIF(MaterialList,B98)=0,"Material not in Materials list","OK")))))</f>
        <v>OK</v>
      </c>
      <c r="H98" s="18" t="str">
        <f aca="false">IF(F98="Active",A98&amp;"|"&amp;COUNTIFS(A$2:A98,A98,F$2:F98,"Active"),"")</f>
        <v/>
      </c>
      <c r="I98" s="18" t="str">
        <f aca="false">IF(B98="","",IF(SUMPRODUCT(MAX((A$1:A97=A98)*(B$1:B97=B98)*ROW(A$1:A97)))=0,C98&amp;"",IF(C98="",INDEX(I$1:I97,SUMPRODUCT(MAX((A$1:A97=A98)*(B$1:B97=B98)*ROW(A$1:A97)))),IF(INDEX(I$1:I97,SUMPRODUCT(MAX((A$1:A97=A98)*(B$1:B97=B98)*ROW(A$1:A97))))="",C98&amp;"",INDEX(I$1:I97,SUMPRODUCT(MAX((A$1:A97=A98)*(B$1:B97=B98)*ROW(A$1:A97))))&amp;"; "&amp;C98))))</f>
        <v>Binder Solvent</v>
      </c>
      <c r="J98" s="18" t="str">
        <f aca="false">IF(A98="","",A98&amp;"|"&amp;COUNTIF(A$2:A98,A98))</f>
        <v>Product 6|5</v>
      </c>
      <c r="K98" s="18" t="n">
        <f aca="false">IF(OR(A98="",B98=""),0,IF(COUNTIFS(A$2:A98,A98,B$2:B98,B98)=1,1,0))</f>
        <v>1</v>
      </c>
    </row>
    <row r="99" customFormat="false" ht="15" hidden="false" customHeight="false" outlineLevel="0" collapsed="false">
      <c r="A99" s="15" t="s">
        <v>116</v>
      </c>
      <c r="B99" s="15" t="s">
        <v>69</v>
      </c>
      <c r="C99" s="15"/>
      <c r="D99" s="15"/>
      <c r="F99" s="18" t="str">
        <f aca="false">IF(B99="","",IFERROR(INDEX(Materials!$B$2:$B$201,MATCH(B99,Materials!$A$2:$A$201,0)),""))</f>
        <v>Filler / Diluent</v>
      </c>
      <c r="G99" s="18" t="str">
        <f aca="true">IF(AND(A99="",B99=""),"",IF(A99="","Missing product",IF(B99="","Missing material",IF(COUNTIF(ProductList,A99)=0,"Product not in Products list",IF(COUNTIF(MaterialList,B99)=0,"Material not in Materials list","OK")))))</f>
        <v>OK</v>
      </c>
      <c r="H99" s="18" t="str">
        <f aca="false">IF(F99="Active",A99&amp;"|"&amp;COUNTIFS(A$2:A99,A99,F$2:F99,"Active"),"")</f>
        <v/>
      </c>
      <c r="I99" s="18" t="str">
        <f aca="false">IF(B99="","",IF(SUMPRODUCT(MAX((A$1:A98=A99)*(B$1:B98=B99)*ROW(A$1:A98)))=0,C99&amp;"",IF(C99="",INDEX(I$1:I98,SUMPRODUCT(MAX((A$1:A98=A99)*(B$1:B98=B99)*ROW(A$1:A98)))),IF(INDEX(I$1:I98,SUMPRODUCT(MAX((A$1:A98=A99)*(B$1:B98=B99)*ROW(A$1:A98))))="",C99&amp;"",INDEX(I$1:I98,SUMPRODUCT(MAX((A$1:A98=A99)*(B$1:B98=B99)*ROW(A$1:A98))))&amp;"; "&amp;C99))))</f>
        <v/>
      </c>
      <c r="J99" s="18" t="str">
        <f aca="false">IF(A99="","",A99&amp;"|"&amp;COUNTIF(A$2:A99,A99))</f>
        <v>Product 6|6</v>
      </c>
      <c r="K99" s="18" t="n">
        <f aca="false">IF(OR(A99="",B99=""),0,IF(COUNTIFS(A$2:A99,A99,B$2:B99,B99)=1,1,0))</f>
        <v>1</v>
      </c>
    </row>
    <row r="100" customFormat="false" ht="15" hidden="false" customHeight="false" outlineLevel="0" collapsed="false">
      <c r="A100" s="15" t="s">
        <v>116</v>
      </c>
      <c r="B100" s="15" t="s">
        <v>34</v>
      </c>
      <c r="C100" s="15" t="s">
        <v>131</v>
      </c>
      <c r="D100" s="15"/>
      <c r="F100" s="18" t="str">
        <f aca="false">IF(B100="","",IFERROR(INDEX(Materials!$B$2:$B$201,MATCH(B100,Materials!$A$2:$A$201,0)),""))</f>
        <v>Disintegrant</v>
      </c>
      <c r="G100" s="18" t="str">
        <f aca="true">IF(AND(A100="",B100=""),"",IF(A100="","Missing product",IF(B100="","Missing material",IF(COUNTIF(ProductList,A100)=0,"Product not in Products list",IF(COUNTIF(MaterialList,B100)=0,"Material not in Materials list","OK")))))</f>
        <v>OK</v>
      </c>
      <c r="H100" s="18" t="str">
        <f aca="false">IF(F100="Active",A100&amp;"|"&amp;COUNTIFS(A$2:A100,A100,F$2:F100,"Active"),"")</f>
        <v/>
      </c>
      <c r="I100" s="18" t="str">
        <f aca="false">IF(B100="","",IF(SUMPRODUCT(MAX((A$1:A99=A100)*(B$1:B99=B100)*ROW(A$1:A99)))=0,C100&amp;"",IF(C100="",INDEX(I$1:I99,SUMPRODUCT(MAX((A$1:A99=A100)*(B$1:B99=B100)*ROW(A$1:A99)))),IF(INDEX(I$1:I99,SUMPRODUCT(MAX((A$1:A99=A100)*(B$1:B99=B100)*ROW(A$1:A99))))="",C100&amp;"",INDEX(I$1:I99,SUMPRODUCT(MAX((A$1:A99=A100)*(B$1:B99=B100)*ROW(A$1:A99))))&amp;"; "&amp;C100))))</f>
        <v>Intra-granular; Extra-granular</v>
      </c>
      <c r="J100" s="18" t="str">
        <f aca="false">IF(A100="","",A100&amp;"|"&amp;COUNTIF(A$2:A100,A100))</f>
        <v>Product 6|7</v>
      </c>
      <c r="K100" s="18" t="n">
        <f aca="false">IF(OR(A100="",B100=""),0,IF(COUNTIFS(A$2:A100,A100,B$2:B100,B100)=1,1,0))</f>
        <v>0</v>
      </c>
    </row>
    <row r="101" customFormat="false" ht="15" hidden="false" customHeight="false" outlineLevel="0" collapsed="false">
      <c r="A101" s="15" t="s">
        <v>116</v>
      </c>
      <c r="B101" s="15" t="s">
        <v>71</v>
      </c>
      <c r="C101" s="15"/>
      <c r="D101" s="15"/>
      <c r="F101" s="18" t="str">
        <f aca="false">IF(B101="","",IFERROR(INDEX(Materials!$B$2:$B$201,MATCH(B101,Materials!$A$2:$A$201,0)),""))</f>
        <v>Glidant</v>
      </c>
      <c r="G101" s="18" t="str">
        <f aca="true">IF(AND(A101="",B101=""),"",IF(A101="","Missing product",IF(B101="","Missing material",IF(COUNTIF(ProductList,A101)=0,"Product not in Products list",IF(COUNTIF(MaterialList,B101)=0,"Material not in Materials list","OK")))))</f>
        <v>OK</v>
      </c>
      <c r="H101" s="18" t="str">
        <f aca="false">IF(F101="Active",A101&amp;"|"&amp;COUNTIFS(A$2:A101,A101,F$2:F101,"Active"),"")</f>
        <v/>
      </c>
      <c r="I101" s="18" t="str">
        <f aca="false">IF(B101="","",IF(SUMPRODUCT(MAX((A$1:A100=A101)*(B$1:B100=B101)*ROW(A$1:A100)))=0,C101&amp;"",IF(C101="",INDEX(I$1:I100,SUMPRODUCT(MAX((A$1:A100=A101)*(B$1:B100=B101)*ROW(A$1:A100)))),IF(INDEX(I$1:I100,SUMPRODUCT(MAX((A$1:A100=A101)*(B$1:B100=B101)*ROW(A$1:A100))))="",C101&amp;"",INDEX(I$1:I100,SUMPRODUCT(MAX((A$1:A100=A101)*(B$1:B100=B101)*ROW(A$1:A100))))&amp;"; "&amp;C101))))</f>
        <v/>
      </c>
      <c r="J101" s="18" t="str">
        <f aca="false">IF(A101="","",A101&amp;"|"&amp;COUNTIF(A$2:A101,A101))</f>
        <v>Product 6|8</v>
      </c>
      <c r="K101" s="18" t="n">
        <f aca="false">IF(OR(A101="",B101=""),0,IF(COUNTIFS(A$2:A101,A101,B$2:B101,B101)=1,1,0))</f>
        <v>1</v>
      </c>
    </row>
    <row r="102" customFormat="false" ht="15" hidden="false" customHeight="false" outlineLevel="0" collapsed="false">
      <c r="A102" s="15" t="s">
        <v>116</v>
      </c>
      <c r="B102" s="15" t="s">
        <v>91</v>
      </c>
      <c r="C102" s="15"/>
      <c r="D102" s="15"/>
      <c r="F102" s="18" t="str">
        <f aca="false">IF(B102="","",IFERROR(INDEX(Materials!$B$2:$B$201,MATCH(B102,Materials!$A$2:$A$201,0)),""))</f>
        <v>Lubricant</v>
      </c>
      <c r="G102" s="18" t="str">
        <f aca="true">IF(AND(A102="",B102=""),"",IF(A102="","Missing product",IF(B102="","Missing material",IF(COUNTIF(ProductList,A102)=0,"Product not in Products list",IF(COUNTIF(MaterialList,B102)=0,"Material not in Materials list","OK")))))</f>
        <v>OK</v>
      </c>
      <c r="H102" s="18" t="str">
        <f aca="false">IF(F102="Active",A102&amp;"|"&amp;COUNTIFS(A$2:A102,A102,F$2:F102,"Active"),"")</f>
        <v/>
      </c>
      <c r="I102" s="18" t="str">
        <f aca="false">IF(B102="","",IF(SUMPRODUCT(MAX((A$1:A101=A102)*(B$1:B101=B102)*ROW(A$1:A101)))=0,C102&amp;"",IF(C102="",INDEX(I$1:I101,SUMPRODUCT(MAX((A$1:A101=A102)*(B$1:B101=B102)*ROW(A$1:A101)))),IF(INDEX(I$1:I101,SUMPRODUCT(MAX((A$1:A101=A102)*(B$1:B101=B102)*ROW(A$1:A101))))="",C102&amp;"",INDEX(I$1:I101,SUMPRODUCT(MAX((A$1:A101=A102)*(B$1:B101=B102)*ROW(A$1:A101))))&amp;"; "&amp;C102))))</f>
        <v/>
      </c>
      <c r="J102" s="18" t="str">
        <f aca="false">IF(A102="","",A102&amp;"|"&amp;COUNTIF(A$2:A102,A102))</f>
        <v>Product 6|9</v>
      </c>
      <c r="K102" s="18" t="n">
        <f aca="false">IF(OR(A102="",B102=""),0,IF(COUNTIFS(A$2:A102,A102,B$2:B102,B102)=1,1,0))</f>
        <v>1</v>
      </c>
    </row>
    <row r="103" customFormat="false" ht="15" hidden="false" customHeight="false" outlineLevel="0" collapsed="false">
      <c r="A103" s="15" t="s">
        <v>116</v>
      </c>
      <c r="B103" s="15" t="s">
        <v>75</v>
      </c>
      <c r="C103" s="15"/>
      <c r="D103" s="15"/>
      <c r="F103" s="18" t="str">
        <f aca="false">IF(B103="","",IFERROR(INDEX(Materials!$B$2:$B$201,MATCH(B103,Materials!$A$2:$A$201,0)),""))</f>
        <v>Binder / Coating Polymer</v>
      </c>
      <c r="G103" s="18" t="str">
        <f aca="true">IF(AND(A103="",B103=""),"",IF(A103="","Missing product",IF(B103="","Missing material",IF(COUNTIF(ProductList,A103)=0,"Product not in Products list",IF(COUNTIF(MaterialList,B103)=0,"Material not in Materials list","OK")))))</f>
        <v>OK</v>
      </c>
      <c r="H103" s="18" t="str">
        <f aca="false">IF(F103="Active",A103&amp;"|"&amp;COUNTIFS(A$2:A103,A103,F$2:F103,"Active"),"")</f>
        <v/>
      </c>
      <c r="I103" s="18" t="str">
        <f aca="false">IF(B103="","",IF(SUMPRODUCT(MAX((A$1:A102=A103)*(B$1:B102=B103)*ROW(A$1:A102)))=0,C103&amp;"",IF(C103="",INDEX(I$1:I102,SUMPRODUCT(MAX((A$1:A102=A103)*(B$1:B102=B103)*ROW(A$1:A102)))),IF(INDEX(I$1:I102,SUMPRODUCT(MAX((A$1:A102=A103)*(B$1:B102=B103)*ROW(A$1:A102))))="",C103&amp;"",INDEX(I$1:I102,SUMPRODUCT(MAX((A$1:A102=A103)*(B$1:B102=B103)*ROW(A$1:A102))))&amp;"; "&amp;C103))))</f>
        <v/>
      </c>
      <c r="J103" s="18" t="str">
        <f aca="false">IF(A103="","",A103&amp;"|"&amp;COUNTIF(A$2:A103,A103))</f>
        <v>Product 6|10</v>
      </c>
      <c r="K103" s="18" t="n">
        <f aca="false">IF(OR(A103="",B103=""),0,IF(COUNTIFS(A$2:A103,A103,B$2:B103,B103)=1,1,0))</f>
        <v>1</v>
      </c>
    </row>
    <row r="104" customFormat="false" ht="15" hidden="false" customHeight="false" outlineLevel="0" collapsed="false">
      <c r="A104" s="15" t="s">
        <v>116</v>
      </c>
      <c r="B104" s="15" t="s">
        <v>78</v>
      </c>
      <c r="C104" s="15"/>
      <c r="D104" s="15"/>
      <c r="F104" s="18" t="str">
        <f aca="false">IF(B104="","",IFERROR(INDEX(Materials!$B$2:$B$201,MATCH(B104,Materials!$A$2:$A$201,0)),""))</f>
        <v>Plasticizer</v>
      </c>
      <c r="G104" s="18" t="str">
        <f aca="true">IF(AND(A104="",B104=""),"",IF(A104="","Missing product",IF(B104="","Missing material",IF(COUNTIF(ProductList,A104)=0,"Product not in Products list",IF(COUNTIF(MaterialList,B104)=0,"Material not in Materials list","OK")))))</f>
        <v>OK</v>
      </c>
      <c r="H104" s="18" t="str">
        <f aca="false">IF(F104="Active",A104&amp;"|"&amp;COUNTIFS(A$2:A104,A104,F$2:F104,"Active"),"")</f>
        <v/>
      </c>
      <c r="I104" s="18" t="str">
        <f aca="false">IF(B104="","",IF(SUMPRODUCT(MAX((A$1:A103=A104)*(B$1:B103=B104)*ROW(A$1:A103)))=0,C104&amp;"",IF(C104="",INDEX(I$1:I103,SUMPRODUCT(MAX((A$1:A103=A104)*(B$1:B103=B104)*ROW(A$1:A103)))),IF(INDEX(I$1:I103,SUMPRODUCT(MAX((A$1:A103=A104)*(B$1:B103=B104)*ROW(A$1:A103))))="",C104&amp;"",INDEX(I$1:I103,SUMPRODUCT(MAX((A$1:A103=A104)*(B$1:B103=B104)*ROW(A$1:A103))))&amp;"; "&amp;C104))))</f>
        <v/>
      </c>
      <c r="J104" s="18" t="str">
        <f aca="false">IF(A104="","",A104&amp;"|"&amp;COUNTIF(A$2:A104,A104))</f>
        <v>Product 6|11</v>
      </c>
      <c r="K104" s="18" t="n">
        <f aca="false">IF(OR(A104="",B104=""),0,IF(COUNTIFS(A$2:A104,A104,B$2:B104,B104)=1,1,0))</f>
        <v>1</v>
      </c>
    </row>
    <row r="105" customFormat="false" ht="15" hidden="false" customHeight="false" outlineLevel="0" collapsed="false">
      <c r="A105" s="15" t="s">
        <v>116</v>
      </c>
      <c r="B105" s="15" t="s">
        <v>81</v>
      </c>
      <c r="C105" s="15"/>
      <c r="D105" s="15"/>
      <c r="F105" s="18" t="str">
        <f aca="false">IF(B105="","",IFERROR(INDEX(Materials!$B$2:$B$201,MATCH(B105,Materials!$A$2:$A$201,0)),""))</f>
        <v>Opacifier</v>
      </c>
      <c r="G105" s="18" t="str">
        <f aca="true">IF(AND(A105="",B105=""),"",IF(A105="","Missing product",IF(B105="","Missing material",IF(COUNTIF(ProductList,A105)=0,"Product not in Products list",IF(COUNTIF(MaterialList,B105)=0,"Material not in Materials list","OK")))))</f>
        <v>OK</v>
      </c>
      <c r="H105" s="18" t="str">
        <f aca="false">IF(F105="Active",A105&amp;"|"&amp;COUNTIFS(A$2:A105,A105,F$2:F105,"Active"),"")</f>
        <v/>
      </c>
      <c r="I105" s="18" t="str">
        <f aca="false">IF(B105="","",IF(SUMPRODUCT(MAX((A$1:A104=A105)*(B$1:B104=B105)*ROW(A$1:A104)))=0,C105&amp;"",IF(C105="",INDEX(I$1:I104,SUMPRODUCT(MAX((A$1:A104=A105)*(B$1:B104=B105)*ROW(A$1:A104)))),IF(INDEX(I$1:I104,SUMPRODUCT(MAX((A$1:A104=A105)*(B$1:B104=B105)*ROW(A$1:A104))))="",C105&amp;"",INDEX(I$1:I104,SUMPRODUCT(MAX((A$1:A104=A105)*(B$1:B104=B105)*ROW(A$1:A104))))&amp;"; "&amp;C105))))</f>
        <v/>
      </c>
      <c r="J105" s="18" t="str">
        <f aca="false">IF(A105="","",A105&amp;"|"&amp;COUNTIF(A$2:A105,A105))</f>
        <v>Product 6|12</v>
      </c>
      <c r="K105" s="18" t="n">
        <f aca="false">IF(OR(A105="",B105=""),0,IF(COUNTIFS(A$2:A105,A105,B$2:B105,B105)=1,1,0))</f>
        <v>1</v>
      </c>
    </row>
    <row r="106" customFormat="false" ht="15" hidden="false" customHeight="false" outlineLevel="0" collapsed="false">
      <c r="A106" s="15" t="s">
        <v>116</v>
      </c>
      <c r="B106" s="15" t="s">
        <v>83</v>
      </c>
      <c r="C106" s="15"/>
      <c r="D106" s="15"/>
      <c r="F106" s="18" t="str">
        <f aca="false">IF(B106="","",IFERROR(INDEX(Materials!$B$2:$B$201,MATCH(B106,Materials!$A$2:$A$201,0)),""))</f>
        <v>Glidant / Anti-tacking</v>
      </c>
      <c r="G106" s="18" t="str">
        <f aca="true">IF(AND(A106="",B106=""),"",IF(A106="","Missing product",IF(B106="","Missing material",IF(COUNTIF(ProductList,A106)=0,"Product not in Products list",IF(COUNTIF(MaterialList,B106)=0,"Material not in Materials list","OK")))))</f>
        <v>OK</v>
      </c>
      <c r="H106" s="18" t="str">
        <f aca="false">IF(F106="Active",A106&amp;"|"&amp;COUNTIFS(A$2:A106,A106,F$2:F106,"Active"),"")</f>
        <v/>
      </c>
      <c r="I106" s="18" t="str">
        <f aca="false">IF(B106="","",IF(SUMPRODUCT(MAX((A$1:A105=A106)*(B$1:B105=B106)*ROW(A$1:A105)))=0,C106&amp;"",IF(C106="",INDEX(I$1:I105,SUMPRODUCT(MAX((A$1:A105=A106)*(B$1:B105=B106)*ROW(A$1:A105)))),IF(INDEX(I$1:I105,SUMPRODUCT(MAX((A$1:A105=A106)*(B$1:B105=B106)*ROW(A$1:A105))))="",C106&amp;"",INDEX(I$1:I105,SUMPRODUCT(MAX((A$1:A105=A106)*(B$1:B105=B106)*ROW(A$1:A105))))&amp;"; "&amp;C106))))</f>
        <v/>
      </c>
      <c r="J106" s="18" t="str">
        <f aca="false">IF(A106="","",A106&amp;"|"&amp;COUNTIF(A$2:A106,A106))</f>
        <v>Product 6|13</v>
      </c>
      <c r="K106" s="18" t="n">
        <f aca="false">IF(OR(A106="",B106=""),0,IF(COUNTIFS(A$2:A106,A106,B$2:B106,B106)=1,1,0))</f>
        <v>1</v>
      </c>
    </row>
    <row r="107" customFormat="false" ht="15" hidden="false" customHeight="false" outlineLevel="0" collapsed="false">
      <c r="A107" s="15" t="s">
        <v>116</v>
      </c>
      <c r="B107" s="15" t="s">
        <v>92</v>
      </c>
      <c r="C107" s="15"/>
      <c r="D107" s="15"/>
      <c r="F107" s="18" t="str">
        <f aca="false">IF(B107="","",IFERROR(INDEX(Materials!$B$2:$B$201,MATCH(B107,Materials!$A$2:$A$201,0)),""))</f>
        <v>Colorant</v>
      </c>
      <c r="G107" s="18" t="str">
        <f aca="true">IF(AND(A107="",B107=""),"",IF(A107="","Missing product",IF(B107="","Missing material",IF(COUNTIF(ProductList,A107)=0,"Product not in Products list",IF(COUNTIF(MaterialList,B107)=0,"Material not in Materials list","OK")))))</f>
        <v>OK</v>
      </c>
      <c r="H107" s="18" t="str">
        <f aca="false">IF(F107="Active",A107&amp;"|"&amp;COUNTIFS(A$2:A107,A107,F$2:F107,"Active"),"")</f>
        <v/>
      </c>
      <c r="I107" s="18" t="str">
        <f aca="false">IF(B107="","",IF(SUMPRODUCT(MAX((A$1:A106=A107)*(B$1:B106=B107)*ROW(A$1:A106)))=0,C107&amp;"",IF(C107="",INDEX(I$1:I106,SUMPRODUCT(MAX((A$1:A106=A107)*(B$1:B106=B107)*ROW(A$1:A106)))),IF(INDEX(I$1:I106,SUMPRODUCT(MAX((A$1:A106=A107)*(B$1:B106=B107)*ROW(A$1:A106))))="",C107&amp;"",INDEX(I$1:I106,SUMPRODUCT(MAX((A$1:A106=A107)*(B$1:B106=B107)*ROW(A$1:A106))))&amp;"; "&amp;C107))))</f>
        <v/>
      </c>
      <c r="J107" s="18" t="str">
        <f aca="false">IF(A107="","",A107&amp;"|"&amp;COUNTIF(A$2:A107,A107))</f>
        <v>Product 6|14</v>
      </c>
      <c r="K107" s="18" t="n">
        <f aca="false">IF(OR(A107="",B107=""),0,IF(COUNTIFS(A$2:A107,A107,B$2:B107,B107)=1,1,0))</f>
        <v>1</v>
      </c>
    </row>
    <row r="108" customFormat="false" ht="15" hidden="false" customHeight="false" outlineLevel="0" collapsed="false">
      <c r="A108" s="15" t="s">
        <v>116</v>
      </c>
      <c r="B108" s="15" t="s">
        <v>93</v>
      </c>
      <c r="C108" s="15"/>
      <c r="D108" s="15"/>
      <c r="F108" s="18" t="str">
        <f aca="false">IF(B108="","",IFERROR(INDEX(Materials!$B$2:$B$201,MATCH(B108,Materials!$A$2:$A$201,0)),""))</f>
        <v>Colorant</v>
      </c>
      <c r="G108" s="18" t="str">
        <f aca="true">IF(AND(A108="",B108=""),"",IF(A108="","Missing product",IF(B108="","Missing material",IF(COUNTIF(ProductList,A108)=0,"Product not in Products list",IF(COUNTIF(MaterialList,B108)=0,"Material not in Materials list","OK")))))</f>
        <v>OK</v>
      </c>
      <c r="H108" s="18" t="str">
        <f aca="false">IF(F108="Active",A108&amp;"|"&amp;COUNTIFS(A$2:A108,A108,F$2:F108,"Active"),"")</f>
        <v/>
      </c>
      <c r="I108" s="18" t="str">
        <f aca="false">IF(B108="","",IF(SUMPRODUCT(MAX((A$1:A107=A108)*(B$1:B107=B108)*ROW(A$1:A107)))=0,C108&amp;"",IF(C108="",INDEX(I$1:I107,SUMPRODUCT(MAX((A$1:A107=A108)*(B$1:B107=B108)*ROW(A$1:A107)))),IF(INDEX(I$1:I107,SUMPRODUCT(MAX((A$1:A107=A108)*(B$1:B107=B108)*ROW(A$1:A107))))="",C108&amp;"",INDEX(I$1:I107,SUMPRODUCT(MAX((A$1:A107=A108)*(B$1:B107=B108)*ROW(A$1:A107))))&amp;"; "&amp;C108))))</f>
        <v/>
      </c>
      <c r="J108" s="18" t="str">
        <f aca="false">IF(A108="","",A108&amp;"|"&amp;COUNTIF(A$2:A108,A108))</f>
        <v>Product 6|15</v>
      </c>
      <c r="K108" s="18" t="n">
        <f aca="false">IF(OR(A108="",B108=""),0,IF(COUNTIFS(A$2:A108,A108,B$2:B108,B108)=1,1,0))</f>
        <v>1</v>
      </c>
    </row>
    <row r="109" customFormat="false" ht="15" hidden="false" customHeight="false" outlineLevel="0" collapsed="false">
      <c r="A109" s="15" t="s">
        <v>116</v>
      </c>
      <c r="B109" s="15" t="s">
        <v>87</v>
      </c>
      <c r="C109" s="15" t="s">
        <v>133</v>
      </c>
      <c r="D109" s="15"/>
      <c r="F109" s="18" t="str">
        <f aca="false">IF(B109="","",IFERROR(INDEX(Materials!$B$2:$B$201,MATCH(B109,Materials!$A$2:$A$201,0)),""))</f>
        <v>Solvent</v>
      </c>
      <c r="G109" s="18" t="str">
        <f aca="true">IF(AND(A109="",B109=""),"",IF(A109="","Missing product",IF(B109="","Missing material",IF(COUNTIF(ProductList,A109)=0,"Product not in Products list",IF(COUNTIF(MaterialList,B109)=0,"Material not in Materials list","OK")))))</f>
        <v>OK</v>
      </c>
      <c r="H109" s="18" t="str">
        <f aca="false">IF(F109="Active",A109&amp;"|"&amp;COUNTIFS(A$2:A109,A109,F$2:F109,"Active"),"")</f>
        <v/>
      </c>
      <c r="I109" s="18" t="str">
        <f aca="false">IF(B109="","",IF(SUMPRODUCT(MAX((A$1:A108=A109)*(B$1:B108=B109)*ROW(A$1:A108)))=0,C109&amp;"",IF(C109="",INDEX(I$1:I108,SUMPRODUCT(MAX((A$1:A108=A109)*(B$1:B108=B109)*ROW(A$1:A108)))),IF(INDEX(I$1:I108,SUMPRODUCT(MAX((A$1:A108=A109)*(B$1:B108=B109)*ROW(A$1:A108))))="",C109&amp;"",INDEX(I$1:I108,SUMPRODUCT(MAX((A$1:A108=A109)*(B$1:B108=B109)*ROW(A$1:A108))))&amp;"; "&amp;C109))))</f>
        <v>Binder Solvent; Coating Solvent</v>
      </c>
      <c r="J109" s="18" t="str">
        <f aca="false">IF(A109="","",A109&amp;"|"&amp;COUNTIF(A$2:A109,A109))</f>
        <v>Product 6|16</v>
      </c>
      <c r="K109" s="18" t="n">
        <f aca="false">IF(OR(A109="",B109=""),0,IF(COUNTIFS(A$2:A109,A109,B$2:B109,B109)=1,1,0))</f>
        <v>0</v>
      </c>
    </row>
    <row r="110" customFormat="false" ht="15" hidden="false" customHeight="false" outlineLevel="0" collapsed="false">
      <c r="A110" s="15" t="s">
        <v>116</v>
      </c>
      <c r="B110" s="15" t="s">
        <v>66</v>
      </c>
      <c r="C110" s="15" t="s">
        <v>133</v>
      </c>
      <c r="D110" s="15"/>
      <c r="F110" s="18" t="str">
        <f aca="false">IF(B110="","",IFERROR(INDEX(Materials!$B$2:$B$201,MATCH(B110,Materials!$A$2:$A$201,0)),""))</f>
        <v>Solvent</v>
      </c>
      <c r="G110" s="18" t="str">
        <f aca="true">IF(AND(A110="",B110=""),"",IF(A110="","Missing product",IF(B110="","Missing material",IF(COUNTIF(ProductList,A110)=0,"Product not in Products list",IF(COUNTIF(MaterialList,B110)=0,"Material not in Materials list","OK")))))</f>
        <v>OK</v>
      </c>
      <c r="H110" s="18" t="str">
        <f aca="false">IF(F110="Active",A110&amp;"|"&amp;COUNTIFS(A$2:A110,A110,F$2:F110,"Active"),"")</f>
        <v/>
      </c>
      <c r="I110" s="18" t="str">
        <f aca="false">IF(B110="","",IF(SUMPRODUCT(MAX((A$1:A109=A110)*(B$1:B109=B110)*ROW(A$1:A109)))=0,C110&amp;"",IF(C110="",INDEX(I$1:I109,SUMPRODUCT(MAX((A$1:A109=A110)*(B$1:B109=B110)*ROW(A$1:A109)))),IF(INDEX(I$1:I109,SUMPRODUCT(MAX((A$1:A109=A110)*(B$1:B109=B110)*ROW(A$1:A109))))="",C110&amp;"",INDEX(I$1:I109,SUMPRODUCT(MAX((A$1:A109=A110)*(B$1:B109=B110)*ROW(A$1:A109))))&amp;"; "&amp;C110))))</f>
        <v>Coating Solvent</v>
      </c>
      <c r="J110" s="18" t="str">
        <f aca="false">IF(A110="","",A110&amp;"|"&amp;COUNTIF(A$2:A110,A110))</f>
        <v>Product 6|17</v>
      </c>
      <c r="K110" s="18" t="n">
        <f aca="false">IF(OR(A110="",B110=""),0,IF(COUNTIFS(A$2:A110,A110,B$2:B110,B110)=1,1,0))</f>
        <v>1</v>
      </c>
    </row>
    <row r="111" customFormat="false" ht="15" hidden="false" customHeight="false" outlineLevel="0" collapsed="false">
      <c r="A111" s="15" t="s">
        <v>117</v>
      </c>
      <c r="B111" s="15" t="s">
        <v>94</v>
      </c>
      <c r="C111" s="15"/>
      <c r="D111" s="15"/>
      <c r="F111" s="18" t="str">
        <f aca="false">IF(B111="","",IFERROR(INDEX(Materials!$B$2:$B$201,MATCH(B111,Materials!$A$2:$A$201,0)),""))</f>
        <v>Active</v>
      </c>
      <c r="G111" s="18" t="str">
        <f aca="true">IF(AND(A111="",B111=""),"",IF(A111="","Missing product",IF(B111="","Missing material",IF(COUNTIF(ProductList,A111)=0,"Product not in Products list",IF(COUNTIF(MaterialList,B111)=0,"Material not in Materials list","OK")))))</f>
        <v>OK</v>
      </c>
      <c r="H111" s="18" t="str">
        <f aca="false">IF(F111="Active",A111&amp;"|"&amp;COUNTIFS(A$2:A111,A111,F$2:F111,"Active"),"")</f>
        <v>Product 7|1</v>
      </c>
      <c r="I111" s="18" t="str">
        <f aca="false">IF(B111="","",IF(SUMPRODUCT(MAX((A$1:A110=A111)*(B$1:B110=B111)*ROW(A$1:A110)))=0,C111&amp;"",IF(C111="",INDEX(I$1:I110,SUMPRODUCT(MAX((A$1:A110=A111)*(B$1:B110=B111)*ROW(A$1:A110)))),IF(INDEX(I$1:I110,SUMPRODUCT(MAX((A$1:A110=A111)*(B$1:B110=B111)*ROW(A$1:A110))))="",C111&amp;"",INDEX(I$1:I110,SUMPRODUCT(MAX((A$1:A110=A111)*(B$1:B110=B111)*ROW(A$1:A110))))&amp;"; "&amp;C111))))</f>
        <v/>
      </c>
      <c r="J111" s="18" t="str">
        <f aca="false">IF(A111="","",A111&amp;"|"&amp;COUNTIF(A$2:A111,A111))</f>
        <v>Product 7|1</v>
      </c>
      <c r="K111" s="18" t="n">
        <f aca="false">IF(OR(A111="",B111=""),0,IF(COUNTIFS(A$2:A111,A111,B$2:B111,B111)=1,1,0))</f>
        <v>1</v>
      </c>
    </row>
    <row r="112" customFormat="false" ht="15" hidden="false" customHeight="false" outlineLevel="0" collapsed="false">
      <c r="A112" s="15" t="s">
        <v>117</v>
      </c>
      <c r="B112" s="15" t="s">
        <v>95</v>
      </c>
      <c r="C112" s="15" t="s">
        <v>135</v>
      </c>
      <c r="D112" s="15"/>
      <c r="F112" s="18" t="str">
        <f aca="false">IF(B112="","",IFERROR(INDEX(Materials!$B$2:$B$201,MATCH(B112,Materials!$A$2:$A$201,0)),""))</f>
        <v>Filler / Diluent</v>
      </c>
      <c r="G112" s="18" t="str">
        <f aca="true">IF(AND(A112="",B112=""),"",IF(A112="","Missing product",IF(B112="","Missing material",IF(COUNTIF(ProductList,A112)=0,"Product not in Products list",IF(COUNTIF(MaterialList,B112)=0,"Material not in Materials list","OK")))))</f>
        <v>OK</v>
      </c>
      <c r="H112" s="18" t="str">
        <f aca="false">IF(F112="Active",A112&amp;"|"&amp;COUNTIFS(A$2:A112,A112,F$2:F112,"Active"),"")</f>
        <v/>
      </c>
      <c r="I112" s="18" t="str">
        <f aca="false">IF(B112="","",IF(SUMPRODUCT(MAX((A$1:A111=A112)*(B$1:B111=B112)*ROW(A$1:A111)))=0,C112&amp;"",IF(C112="",INDEX(I$1:I111,SUMPRODUCT(MAX((A$1:A111=A112)*(B$1:B111=B112)*ROW(A$1:A111)))),IF(INDEX(I$1:I111,SUMPRODUCT(MAX((A$1:A111=A112)*(B$1:B111=B112)*ROW(A$1:A111))))="",C112&amp;"",INDEX(I$1:I111,SUMPRODUCT(MAX((A$1:A111=A112)*(B$1:B111=B112)*ROW(A$1:A111))))&amp;"; "&amp;C112))))</f>
        <v>Mesh 200</v>
      </c>
      <c r="J112" s="18" t="str">
        <f aca="false">IF(A112="","",A112&amp;"|"&amp;COUNTIF(A$2:A112,A112))</f>
        <v>Product 7|2</v>
      </c>
      <c r="K112" s="18" t="n">
        <f aca="false">IF(OR(A112="",B112=""),0,IF(COUNTIFS(A$2:A112,A112,B$2:B112,B112)=1,1,0))</f>
        <v>1</v>
      </c>
    </row>
    <row r="113" customFormat="false" ht="15" hidden="false" customHeight="false" outlineLevel="0" collapsed="false">
      <c r="A113" s="15" t="s">
        <v>117</v>
      </c>
      <c r="B113" s="15" t="s">
        <v>96</v>
      </c>
      <c r="C113" s="15"/>
      <c r="D113" s="15"/>
      <c r="F113" s="18" t="str">
        <f aca="false">IF(B113="","",IFERROR(INDEX(Materials!$B$2:$B$201,MATCH(B113,Materials!$A$2:$A$201,0)),""))</f>
        <v>Filler / Diluent</v>
      </c>
      <c r="G113" s="18" t="str">
        <f aca="true">IF(AND(A113="",B113=""),"",IF(A113="","Missing product",IF(B113="","Missing material",IF(COUNTIF(ProductList,A113)=0,"Product not in Products list",IF(COUNTIF(MaterialList,B113)=0,"Material not in Materials list","OK")))))</f>
        <v>OK</v>
      </c>
      <c r="H113" s="18" t="str">
        <f aca="false">IF(F113="Active",A113&amp;"|"&amp;COUNTIFS(A$2:A113,A113,F$2:F113,"Active"),"")</f>
        <v/>
      </c>
      <c r="I113" s="18" t="str">
        <f aca="false">IF(B113="","",IF(SUMPRODUCT(MAX((A$1:A112=A113)*(B$1:B112=B113)*ROW(A$1:A112)))=0,C113&amp;"",IF(C113="",INDEX(I$1:I112,SUMPRODUCT(MAX((A$1:A112=A113)*(B$1:B112=B113)*ROW(A$1:A112)))),IF(INDEX(I$1:I112,SUMPRODUCT(MAX((A$1:A112=A113)*(B$1:B112=B113)*ROW(A$1:A112))))="",C113&amp;"",INDEX(I$1:I112,SUMPRODUCT(MAX((A$1:A112=A113)*(B$1:B112=B113)*ROW(A$1:A112))))&amp;"; "&amp;C113))))</f>
        <v/>
      </c>
      <c r="J113" s="18" t="str">
        <f aca="false">IF(A113="","",A113&amp;"|"&amp;COUNTIF(A$2:A113,A113))</f>
        <v>Product 7|3</v>
      </c>
      <c r="K113" s="18" t="n">
        <f aca="false">IF(OR(A113="",B113=""),0,IF(COUNTIFS(A$2:A113,A113,B$2:B113,B113)=1,1,0))</f>
        <v>1</v>
      </c>
    </row>
    <row r="114" customFormat="false" ht="15" hidden="false" customHeight="false" outlineLevel="0" collapsed="false">
      <c r="A114" s="15" t="s">
        <v>117</v>
      </c>
      <c r="B114" s="15" t="s">
        <v>34</v>
      </c>
      <c r="C114" s="15"/>
      <c r="D114" s="15"/>
      <c r="F114" s="18" t="str">
        <f aca="false">IF(B114="","",IFERROR(INDEX(Materials!$B$2:$B$201,MATCH(B114,Materials!$A$2:$A$201,0)),""))</f>
        <v>Disintegrant</v>
      </c>
      <c r="G114" s="18" t="str">
        <f aca="true">IF(AND(A114="",B114=""),"",IF(A114="","Missing product",IF(B114="","Missing material",IF(COUNTIF(ProductList,A114)=0,"Product not in Products list",IF(COUNTIF(MaterialList,B114)=0,"Material not in Materials list","OK")))))</f>
        <v>OK</v>
      </c>
      <c r="H114" s="18" t="str">
        <f aca="false">IF(F114="Active",A114&amp;"|"&amp;COUNTIFS(A$2:A114,A114,F$2:F114,"Active"),"")</f>
        <v/>
      </c>
      <c r="I114" s="18" t="str">
        <f aca="false">IF(B114="","",IF(SUMPRODUCT(MAX((A$1:A113=A114)*(B$1:B113=B114)*ROW(A$1:A113)))=0,C114&amp;"",IF(C114="",INDEX(I$1:I113,SUMPRODUCT(MAX((A$1:A113=A114)*(B$1:B113=B114)*ROW(A$1:A113)))),IF(INDEX(I$1:I113,SUMPRODUCT(MAX((A$1:A113=A114)*(B$1:B113=B114)*ROW(A$1:A113))))="",C114&amp;"",INDEX(I$1:I113,SUMPRODUCT(MAX((A$1:A113=A114)*(B$1:B113=B114)*ROW(A$1:A113))))&amp;"; "&amp;C114))))</f>
        <v/>
      </c>
      <c r="J114" s="18" t="str">
        <f aca="false">IF(A114="","",A114&amp;"|"&amp;COUNTIF(A$2:A114,A114))</f>
        <v>Product 7|4</v>
      </c>
      <c r="K114" s="18" t="n">
        <f aca="false">IF(OR(A114="",B114=""),0,IF(COUNTIFS(A$2:A114,A114,B$2:B114,B114)=1,1,0))</f>
        <v>1</v>
      </c>
    </row>
    <row r="115" customFormat="false" ht="15" hidden="false" customHeight="false" outlineLevel="0" collapsed="false">
      <c r="A115" s="15" t="s">
        <v>117</v>
      </c>
      <c r="B115" s="15" t="s">
        <v>75</v>
      </c>
      <c r="C115" s="15"/>
      <c r="D115" s="15"/>
      <c r="F115" s="18" t="str">
        <f aca="false">IF(B115="","",IFERROR(INDEX(Materials!$B$2:$B$201,MATCH(B115,Materials!$A$2:$A$201,0)),""))</f>
        <v>Binder / Coating Polymer</v>
      </c>
      <c r="G115" s="18" t="str">
        <f aca="true">IF(AND(A115="",B115=""),"",IF(A115="","Missing product",IF(B115="","Missing material",IF(COUNTIF(ProductList,A115)=0,"Product not in Products list",IF(COUNTIF(MaterialList,B115)=0,"Material not in Materials list","OK")))))</f>
        <v>OK</v>
      </c>
      <c r="H115" s="18" t="str">
        <f aca="false">IF(F115="Active",A115&amp;"|"&amp;COUNTIFS(A$2:A115,A115,F$2:F115,"Active"),"")</f>
        <v/>
      </c>
      <c r="I115" s="18" t="str">
        <f aca="false">IF(B115="","",IF(SUMPRODUCT(MAX((A$1:A114=A115)*(B$1:B114=B115)*ROW(A$1:A114)))=0,C115&amp;"",IF(C115="",INDEX(I$1:I114,SUMPRODUCT(MAX((A$1:A114=A115)*(B$1:B114=B115)*ROW(A$1:A114)))),IF(INDEX(I$1:I114,SUMPRODUCT(MAX((A$1:A114=A115)*(B$1:B114=B115)*ROW(A$1:A114))))="",C115&amp;"",INDEX(I$1:I114,SUMPRODUCT(MAX((A$1:A114=A115)*(B$1:B114=B115)*ROW(A$1:A114))))&amp;"; "&amp;C115))))</f>
        <v/>
      </c>
      <c r="J115" s="18" t="str">
        <f aca="false">IF(A115="","",A115&amp;"|"&amp;COUNTIF(A$2:A115,A115))</f>
        <v>Product 7|5</v>
      </c>
      <c r="K115" s="18" t="n">
        <f aca="false">IF(OR(A115="",B115=""),0,IF(COUNTIFS(A$2:A115,A115,B$2:B115,B115)=1,1,0))</f>
        <v>1</v>
      </c>
    </row>
    <row r="116" customFormat="false" ht="15" hidden="false" customHeight="false" outlineLevel="0" collapsed="false">
      <c r="A116" s="15" t="s">
        <v>117</v>
      </c>
      <c r="B116" s="15" t="s">
        <v>60</v>
      </c>
      <c r="C116" s="15"/>
      <c r="D116" s="15"/>
      <c r="F116" s="18" t="str">
        <f aca="false">IF(B116="","",IFERROR(INDEX(Materials!$B$2:$B$201,MATCH(B116,Materials!$A$2:$A$201,0)),""))</f>
        <v>Surfactant</v>
      </c>
      <c r="G116" s="18" t="str">
        <f aca="true">IF(AND(A116="",B116=""),"",IF(A116="","Missing product",IF(B116="","Missing material",IF(COUNTIF(ProductList,A116)=0,"Product not in Products list",IF(COUNTIF(MaterialList,B116)=0,"Material not in Materials list","OK")))))</f>
        <v>OK</v>
      </c>
      <c r="H116" s="18" t="str">
        <f aca="false">IF(F116="Active",A116&amp;"|"&amp;COUNTIFS(A$2:A116,A116,F$2:F116,"Active"),"")</f>
        <v/>
      </c>
      <c r="I116" s="18" t="str">
        <f aca="false">IF(B116="","",IF(SUMPRODUCT(MAX((A$1:A115=A116)*(B$1:B115=B116)*ROW(A$1:A115)))=0,C116&amp;"",IF(C116="",INDEX(I$1:I115,SUMPRODUCT(MAX((A$1:A115=A116)*(B$1:B115=B116)*ROW(A$1:A115)))),IF(INDEX(I$1:I115,SUMPRODUCT(MAX((A$1:A115=A116)*(B$1:B115=B116)*ROW(A$1:A115))))="",C116&amp;"",INDEX(I$1:I115,SUMPRODUCT(MAX((A$1:A115=A116)*(B$1:B115=B116)*ROW(A$1:A115))))&amp;"; "&amp;C116))))</f>
        <v/>
      </c>
      <c r="J116" s="18" t="str">
        <f aca="false">IF(A116="","",A116&amp;"|"&amp;COUNTIF(A$2:A116,A116))</f>
        <v>Product 7|6</v>
      </c>
      <c r="K116" s="18" t="n">
        <f aca="false">IF(OR(A116="",B116=""),0,IF(COUNTIFS(A$2:A116,A116,B$2:B116,B116)=1,1,0))</f>
        <v>1</v>
      </c>
    </row>
    <row r="117" customFormat="false" ht="15" hidden="false" customHeight="false" outlineLevel="0" collapsed="false">
      <c r="A117" s="15" t="s">
        <v>117</v>
      </c>
      <c r="B117" s="15" t="s">
        <v>71</v>
      </c>
      <c r="C117" s="15"/>
      <c r="D117" s="15"/>
      <c r="F117" s="18" t="str">
        <f aca="false">IF(B117="","",IFERROR(INDEX(Materials!$B$2:$B$201,MATCH(B117,Materials!$A$2:$A$201,0)),""))</f>
        <v>Glidant</v>
      </c>
      <c r="G117" s="18" t="str">
        <f aca="true">IF(AND(A117="",B117=""),"",IF(A117="","Missing product",IF(B117="","Missing material",IF(COUNTIF(ProductList,A117)=0,"Product not in Products list",IF(COUNTIF(MaterialList,B117)=0,"Material not in Materials list","OK")))))</f>
        <v>OK</v>
      </c>
      <c r="H117" s="18" t="str">
        <f aca="false">IF(F117="Active",A117&amp;"|"&amp;COUNTIFS(A$2:A117,A117,F$2:F117,"Active"),"")</f>
        <v/>
      </c>
      <c r="I117" s="18" t="str">
        <f aca="false">IF(B117="","",IF(SUMPRODUCT(MAX((A$1:A116=A117)*(B$1:B116=B117)*ROW(A$1:A116)))=0,C117&amp;"",IF(C117="",INDEX(I$1:I116,SUMPRODUCT(MAX((A$1:A116=A117)*(B$1:B116=B117)*ROW(A$1:A116)))),IF(INDEX(I$1:I116,SUMPRODUCT(MAX((A$1:A116=A117)*(B$1:B116=B117)*ROW(A$1:A116))))="",C117&amp;"",INDEX(I$1:I116,SUMPRODUCT(MAX((A$1:A116=A117)*(B$1:B116=B117)*ROW(A$1:A116))))&amp;"; "&amp;C117))))</f>
        <v/>
      </c>
      <c r="J117" s="18" t="str">
        <f aca="false">IF(A117="","",A117&amp;"|"&amp;COUNTIF(A$2:A117,A117))</f>
        <v>Product 7|7</v>
      </c>
      <c r="K117" s="18" t="n">
        <f aca="false">IF(OR(A117="",B117=""),0,IF(COUNTIFS(A$2:A117,A117,B$2:B117,B117)=1,1,0))</f>
        <v>1</v>
      </c>
    </row>
    <row r="118" customFormat="false" ht="15" hidden="false" customHeight="false" outlineLevel="0" collapsed="false">
      <c r="A118" s="15" t="s">
        <v>117</v>
      </c>
      <c r="B118" s="15" t="s">
        <v>91</v>
      </c>
      <c r="C118" s="15"/>
      <c r="D118" s="15"/>
      <c r="F118" s="18" t="str">
        <f aca="false">IF(B118="","",IFERROR(INDEX(Materials!$B$2:$B$201,MATCH(B118,Materials!$A$2:$A$201,0)),""))</f>
        <v>Lubricant</v>
      </c>
      <c r="G118" s="18" t="str">
        <f aca="true">IF(AND(A118="",B118=""),"",IF(A118="","Missing product",IF(B118="","Missing material",IF(COUNTIF(ProductList,A118)=0,"Product not in Products list",IF(COUNTIF(MaterialList,B118)=0,"Material not in Materials list","OK")))))</f>
        <v>OK</v>
      </c>
      <c r="H118" s="18" t="str">
        <f aca="false">IF(F118="Active",A118&amp;"|"&amp;COUNTIFS(A$2:A118,A118,F$2:F118,"Active"),"")</f>
        <v/>
      </c>
      <c r="I118" s="18" t="str">
        <f aca="false">IF(B118="","",IF(SUMPRODUCT(MAX((A$1:A117=A118)*(B$1:B117=B118)*ROW(A$1:A117)))=0,C118&amp;"",IF(C118="",INDEX(I$1:I117,SUMPRODUCT(MAX((A$1:A117=A118)*(B$1:B117=B118)*ROW(A$1:A117)))),IF(INDEX(I$1:I117,SUMPRODUCT(MAX((A$1:A117=A118)*(B$1:B117=B118)*ROW(A$1:A117))))="",C118&amp;"",INDEX(I$1:I117,SUMPRODUCT(MAX((A$1:A117=A118)*(B$1:B117=B118)*ROW(A$1:A117))))&amp;"; "&amp;C118))))</f>
        <v/>
      </c>
      <c r="J118" s="18" t="str">
        <f aca="false">IF(A118="","",A118&amp;"|"&amp;COUNTIF(A$2:A118,A118))</f>
        <v>Product 7|8</v>
      </c>
      <c r="K118" s="18" t="n">
        <f aca="false">IF(OR(A118="",B118=""),0,IF(COUNTIFS(A$2:A118,A118,B$2:B118,B118)=1,1,0))</f>
        <v>1</v>
      </c>
    </row>
    <row r="119" customFormat="false" ht="15" hidden="false" customHeight="false" outlineLevel="0" collapsed="false">
      <c r="A119" s="15" t="s">
        <v>117</v>
      </c>
      <c r="B119" s="15" t="s">
        <v>87</v>
      </c>
      <c r="C119" s="15"/>
      <c r="D119" s="15"/>
      <c r="F119" s="18" t="str">
        <f aca="false">IF(B119="","",IFERROR(INDEX(Materials!$B$2:$B$201,MATCH(B119,Materials!$A$2:$A$201,0)),""))</f>
        <v>Solvent</v>
      </c>
      <c r="G119" s="18" t="str">
        <f aca="true">IF(AND(A119="",B119=""),"",IF(A119="","Missing product",IF(B119="","Missing material",IF(COUNTIF(ProductList,A119)=0,"Product not in Products list",IF(COUNTIF(MaterialList,B119)=0,"Material not in Materials list","OK")))))</f>
        <v>OK</v>
      </c>
      <c r="H119" s="18" t="str">
        <f aca="false">IF(F119="Active",A119&amp;"|"&amp;COUNTIFS(A$2:A119,A119,F$2:F119,"Active"),"")</f>
        <v/>
      </c>
      <c r="I119" s="18" t="str">
        <f aca="false">IF(B119="","",IF(SUMPRODUCT(MAX((A$1:A118=A119)*(B$1:B118=B119)*ROW(A$1:A118)))=0,C119&amp;"",IF(C119="",INDEX(I$1:I118,SUMPRODUCT(MAX((A$1:A118=A119)*(B$1:B118=B119)*ROW(A$1:A118)))),IF(INDEX(I$1:I118,SUMPRODUCT(MAX((A$1:A118=A119)*(B$1:B118=B119)*ROW(A$1:A118))))="",C119&amp;"",INDEX(I$1:I118,SUMPRODUCT(MAX((A$1:A118=A119)*(B$1:B118=B119)*ROW(A$1:A118))))&amp;"; "&amp;C119))))</f>
        <v/>
      </c>
      <c r="J119" s="18" t="str">
        <f aca="false">IF(A119="","",A119&amp;"|"&amp;COUNTIF(A$2:A119,A119))</f>
        <v>Product 7|9</v>
      </c>
      <c r="K119" s="18" t="n">
        <f aca="false">IF(OR(A119="",B119=""),0,IF(COUNTIFS(A$2:A119,A119,B$2:B119,B119)=1,1,0))</f>
        <v>1</v>
      </c>
    </row>
    <row r="120" customFormat="false" ht="15" hidden="false" customHeight="false" outlineLevel="0" collapsed="false">
      <c r="A120" s="15" t="s">
        <v>117</v>
      </c>
      <c r="B120" s="15" t="s">
        <v>75</v>
      </c>
      <c r="C120" s="15"/>
      <c r="D120" s="15"/>
      <c r="F120" s="18" t="str">
        <f aca="false">IF(B120="","",IFERROR(INDEX(Materials!$B$2:$B$201,MATCH(B120,Materials!$A$2:$A$201,0)),""))</f>
        <v>Binder / Coating Polymer</v>
      </c>
      <c r="G120" s="18" t="str">
        <f aca="true">IF(AND(A120="",B120=""),"",IF(A120="","Missing product",IF(B120="","Missing material",IF(COUNTIF(ProductList,A120)=0,"Product not in Products list",IF(COUNTIF(MaterialList,B120)=0,"Material not in Materials list","OK")))))</f>
        <v>OK</v>
      </c>
      <c r="H120" s="18" t="str">
        <f aca="false">IF(F120="Active",A120&amp;"|"&amp;COUNTIFS(A$2:A120,A120,F$2:F120,"Active"),"")</f>
        <v/>
      </c>
      <c r="I120" s="18" t="str">
        <f aca="false">IF(B120="","",IF(SUMPRODUCT(MAX((A$1:A119=A120)*(B$1:B119=B120)*ROW(A$1:A119)))=0,C120&amp;"",IF(C120="",INDEX(I$1:I119,SUMPRODUCT(MAX((A$1:A119=A120)*(B$1:B119=B120)*ROW(A$1:A119)))),IF(INDEX(I$1:I119,SUMPRODUCT(MAX((A$1:A119=A120)*(B$1:B119=B120)*ROW(A$1:A119))))="",C120&amp;"",INDEX(I$1:I119,SUMPRODUCT(MAX((A$1:A119=A120)*(B$1:B119=B120)*ROW(A$1:A119))))&amp;"; "&amp;C120))))</f>
        <v/>
      </c>
      <c r="J120" s="18" t="str">
        <f aca="false">IF(A120="","",A120&amp;"|"&amp;COUNTIF(A$2:A120,A120))</f>
        <v>Product 7|10</v>
      </c>
      <c r="K120" s="18" t="n">
        <f aca="false">IF(OR(A120="",B120=""),0,IF(COUNTIFS(A$2:A120,A120,B$2:B120,B120)=1,1,0))</f>
        <v>0</v>
      </c>
    </row>
    <row r="121" customFormat="false" ht="15" hidden="false" customHeight="false" outlineLevel="0" collapsed="false">
      <c r="A121" s="15" t="s">
        <v>117</v>
      </c>
      <c r="B121" s="15" t="s">
        <v>78</v>
      </c>
      <c r="C121" s="15"/>
      <c r="D121" s="15"/>
      <c r="F121" s="18" t="str">
        <f aca="false">IF(B121="","",IFERROR(INDEX(Materials!$B$2:$B$201,MATCH(B121,Materials!$A$2:$A$201,0)),""))</f>
        <v>Plasticizer</v>
      </c>
      <c r="G121" s="18" t="str">
        <f aca="true">IF(AND(A121="",B121=""),"",IF(A121="","Missing product",IF(B121="","Missing material",IF(COUNTIF(ProductList,A121)=0,"Product not in Products list",IF(COUNTIF(MaterialList,B121)=0,"Material not in Materials list","OK")))))</f>
        <v>OK</v>
      </c>
      <c r="H121" s="18" t="str">
        <f aca="false">IF(F121="Active",A121&amp;"|"&amp;COUNTIFS(A$2:A121,A121,F$2:F121,"Active"),"")</f>
        <v/>
      </c>
      <c r="I121" s="18" t="str">
        <f aca="false">IF(B121="","",IF(SUMPRODUCT(MAX((A$1:A120=A121)*(B$1:B120=B121)*ROW(A$1:A120)))=0,C121&amp;"",IF(C121="",INDEX(I$1:I120,SUMPRODUCT(MAX((A$1:A120=A121)*(B$1:B120=B121)*ROW(A$1:A120)))),IF(INDEX(I$1:I120,SUMPRODUCT(MAX((A$1:A120=A121)*(B$1:B120=B121)*ROW(A$1:A120))))="",C121&amp;"",INDEX(I$1:I120,SUMPRODUCT(MAX((A$1:A120=A121)*(B$1:B120=B121)*ROW(A$1:A120))))&amp;"; "&amp;C121))))</f>
        <v/>
      </c>
      <c r="J121" s="18" t="str">
        <f aca="false">IF(A121="","",A121&amp;"|"&amp;COUNTIF(A$2:A121,A121))</f>
        <v>Product 7|11</v>
      </c>
      <c r="K121" s="18" t="n">
        <f aca="false">IF(OR(A121="",B121=""),0,IF(COUNTIFS(A$2:A121,A121,B$2:B121,B121)=1,1,0))</f>
        <v>1</v>
      </c>
    </row>
    <row r="122" customFormat="false" ht="15" hidden="false" customHeight="false" outlineLevel="0" collapsed="false">
      <c r="A122" s="15" t="s">
        <v>117</v>
      </c>
      <c r="B122" s="15" t="s">
        <v>81</v>
      </c>
      <c r="C122" s="15"/>
      <c r="D122" s="15"/>
      <c r="F122" s="18" t="str">
        <f aca="false">IF(B122="","",IFERROR(INDEX(Materials!$B$2:$B$201,MATCH(B122,Materials!$A$2:$A$201,0)),""))</f>
        <v>Opacifier</v>
      </c>
      <c r="G122" s="18" t="str">
        <f aca="true">IF(AND(A122="",B122=""),"",IF(A122="","Missing product",IF(B122="","Missing material",IF(COUNTIF(ProductList,A122)=0,"Product not in Products list",IF(COUNTIF(MaterialList,B122)=0,"Material not in Materials list","OK")))))</f>
        <v>OK</v>
      </c>
      <c r="H122" s="18" t="str">
        <f aca="false">IF(F122="Active",A122&amp;"|"&amp;COUNTIFS(A$2:A122,A122,F$2:F122,"Active"),"")</f>
        <v/>
      </c>
      <c r="I122" s="18" t="str">
        <f aca="false">IF(B122="","",IF(SUMPRODUCT(MAX((A$1:A121=A122)*(B$1:B121=B122)*ROW(A$1:A121)))=0,C122&amp;"",IF(C122="",INDEX(I$1:I121,SUMPRODUCT(MAX((A$1:A121=A122)*(B$1:B121=B122)*ROW(A$1:A121)))),IF(INDEX(I$1:I121,SUMPRODUCT(MAX((A$1:A121=A122)*(B$1:B121=B122)*ROW(A$1:A121))))="",C122&amp;"",INDEX(I$1:I121,SUMPRODUCT(MAX((A$1:A121=A122)*(B$1:B121=B122)*ROW(A$1:A121))))&amp;"; "&amp;C122))))</f>
        <v/>
      </c>
      <c r="J122" s="18" t="str">
        <f aca="false">IF(A122="","",A122&amp;"|"&amp;COUNTIF(A$2:A122,A122))</f>
        <v>Product 7|12</v>
      </c>
      <c r="K122" s="18" t="n">
        <f aca="false">IF(OR(A122="",B122=""),0,IF(COUNTIFS(A$2:A122,A122,B$2:B122,B122)=1,1,0))</f>
        <v>1</v>
      </c>
    </row>
    <row r="123" customFormat="false" ht="15" hidden="false" customHeight="false" outlineLevel="0" collapsed="false">
      <c r="A123" s="15" t="s">
        <v>117</v>
      </c>
      <c r="B123" s="15" t="s">
        <v>85</v>
      </c>
      <c r="C123" s="15"/>
      <c r="D123" s="15"/>
      <c r="F123" s="18" t="str">
        <f aca="false">IF(B123="","",IFERROR(INDEX(Materials!$B$2:$B$201,MATCH(B123,Materials!$A$2:$A$201,0)),""))</f>
        <v>Colorant</v>
      </c>
      <c r="G123" s="18" t="str">
        <f aca="true">IF(AND(A123="",B123=""),"",IF(A123="","Missing product",IF(B123="","Missing material",IF(COUNTIF(ProductList,A123)=0,"Product not in Products list",IF(COUNTIF(MaterialList,B123)=0,"Material not in Materials list","OK")))))</f>
        <v>OK</v>
      </c>
      <c r="H123" s="18" t="str">
        <f aca="false">IF(F123="Active",A123&amp;"|"&amp;COUNTIFS(A$2:A123,A123,F$2:F123,"Active"),"")</f>
        <v/>
      </c>
      <c r="I123" s="18" t="str">
        <f aca="false">IF(B123="","",IF(SUMPRODUCT(MAX((A$1:A122=A123)*(B$1:B122=B123)*ROW(A$1:A122)))=0,C123&amp;"",IF(C123="",INDEX(I$1:I122,SUMPRODUCT(MAX((A$1:A122=A123)*(B$1:B122=B123)*ROW(A$1:A122)))),IF(INDEX(I$1:I122,SUMPRODUCT(MAX((A$1:A122=A123)*(B$1:B122=B123)*ROW(A$1:A122))))="",C123&amp;"",INDEX(I$1:I122,SUMPRODUCT(MAX((A$1:A122=A123)*(B$1:B122=B123)*ROW(A$1:A122))))&amp;"; "&amp;C123))))</f>
        <v/>
      </c>
      <c r="J123" s="18" t="str">
        <f aca="false">IF(A123="","",A123&amp;"|"&amp;COUNTIF(A$2:A123,A123))</f>
        <v>Product 7|13</v>
      </c>
      <c r="K123" s="18" t="n">
        <f aca="false">IF(OR(A123="",B123=""),0,IF(COUNTIFS(A$2:A123,A123,B$2:B123,B123)=1,1,0))</f>
        <v>1</v>
      </c>
    </row>
    <row r="124" customFormat="false" ht="15" hidden="false" customHeight="false" outlineLevel="0" collapsed="false">
      <c r="A124" s="15" t="s">
        <v>117</v>
      </c>
      <c r="B124" s="15" t="s">
        <v>83</v>
      </c>
      <c r="C124" s="15"/>
      <c r="D124" s="15"/>
      <c r="F124" s="18" t="str">
        <f aca="false">IF(B124="","",IFERROR(INDEX(Materials!$B$2:$B$201,MATCH(B124,Materials!$A$2:$A$201,0)),""))</f>
        <v>Glidant / Anti-tacking</v>
      </c>
      <c r="G124" s="18" t="str">
        <f aca="true">IF(AND(A124="",B124=""),"",IF(A124="","Missing product",IF(B124="","Missing material",IF(COUNTIF(ProductList,A124)=0,"Product not in Products list",IF(COUNTIF(MaterialList,B124)=0,"Material not in Materials list","OK")))))</f>
        <v>OK</v>
      </c>
      <c r="H124" s="18" t="str">
        <f aca="false">IF(F124="Active",A124&amp;"|"&amp;COUNTIFS(A$2:A124,A124,F$2:F124,"Active"),"")</f>
        <v/>
      </c>
      <c r="I124" s="18" t="str">
        <f aca="false">IF(B124="","",IF(SUMPRODUCT(MAX((A$1:A123=A124)*(B$1:B123=B124)*ROW(A$1:A123)))=0,C124&amp;"",IF(C124="",INDEX(I$1:I123,SUMPRODUCT(MAX((A$1:A123=A124)*(B$1:B123=B124)*ROW(A$1:A123)))),IF(INDEX(I$1:I123,SUMPRODUCT(MAX((A$1:A123=A124)*(B$1:B123=B124)*ROW(A$1:A123))))="",C124&amp;"",INDEX(I$1:I123,SUMPRODUCT(MAX((A$1:A123=A124)*(B$1:B123=B124)*ROW(A$1:A123))))&amp;"; "&amp;C124))))</f>
        <v/>
      </c>
      <c r="J124" s="18" t="str">
        <f aca="false">IF(A124="","",A124&amp;"|"&amp;COUNTIF(A$2:A124,A124))</f>
        <v>Product 7|14</v>
      </c>
      <c r="K124" s="18" t="n">
        <f aca="false">IF(OR(A124="",B124=""),0,IF(COUNTIFS(A$2:A124,A124,B$2:B124,B124)=1,1,0))</f>
        <v>1</v>
      </c>
    </row>
    <row r="125" customFormat="false" ht="15" hidden="false" customHeight="false" outlineLevel="0" collapsed="false">
      <c r="A125" s="15" t="s">
        <v>117</v>
      </c>
      <c r="B125" s="15" t="s">
        <v>87</v>
      </c>
      <c r="C125" s="15"/>
      <c r="D125" s="15"/>
      <c r="F125" s="18" t="str">
        <f aca="false">IF(B125="","",IFERROR(INDEX(Materials!$B$2:$B$201,MATCH(B125,Materials!$A$2:$A$201,0)),""))</f>
        <v>Solvent</v>
      </c>
      <c r="G125" s="18" t="str">
        <f aca="true">IF(AND(A125="",B125=""),"",IF(A125="","Missing product",IF(B125="","Missing material",IF(COUNTIF(ProductList,A125)=0,"Product not in Products list",IF(COUNTIF(MaterialList,B125)=0,"Material not in Materials list","OK")))))</f>
        <v>OK</v>
      </c>
      <c r="H125" s="18" t="str">
        <f aca="false">IF(F125="Active",A125&amp;"|"&amp;COUNTIFS(A$2:A125,A125,F$2:F125,"Active"),"")</f>
        <v/>
      </c>
      <c r="I125" s="18" t="str">
        <f aca="false">IF(B125="","",IF(SUMPRODUCT(MAX((A$1:A124=A125)*(B$1:B124=B125)*ROW(A$1:A124)))=0,C125&amp;"",IF(C125="",INDEX(I$1:I124,SUMPRODUCT(MAX((A$1:A124=A125)*(B$1:B124=B125)*ROW(A$1:A124)))),IF(INDEX(I$1:I124,SUMPRODUCT(MAX((A$1:A124=A125)*(B$1:B124=B125)*ROW(A$1:A124))))="",C125&amp;"",INDEX(I$1:I124,SUMPRODUCT(MAX((A$1:A124=A125)*(B$1:B124=B125)*ROW(A$1:A124))))&amp;"; "&amp;C125))))</f>
        <v/>
      </c>
      <c r="J125" s="18" t="str">
        <f aca="false">IF(A125="","",A125&amp;"|"&amp;COUNTIF(A$2:A125,A125))</f>
        <v>Product 7|15</v>
      </c>
      <c r="K125" s="18" t="n">
        <f aca="false">IF(OR(A125="",B125=""),0,IF(COUNTIFS(A$2:A125,A125,B$2:B125,B125)=1,1,0))</f>
        <v>0</v>
      </c>
    </row>
    <row r="126" customFormat="false" ht="15" hidden="false" customHeight="false" outlineLevel="0" collapsed="false">
      <c r="A126" s="15" t="s">
        <v>117</v>
      </c>
      <c r="B126" s="15" t="s">
        <v>98</v>
      </c>
      <c r="C126" s="15"/>
      <c r="D126" s="15"/>
      <c r="F126" s="18" t="str">
        <f aca="false">IF(B126="","",IFERROR(INDEX(Materials!$B$2:$B$201,MATCH(B126,Materials!$A$2:$A$201,0)),""))</f>
        <v>Solvent</v>
      </c>
      <c r="G126" s="18" t="str">
        <f aca="true">IF(AND(A126="",B126=""),"",IF(A126="","Missing product",IF(B126="","Missing material",IF(COUNTIF(ProductList,A126)=0,"Product not in Products list",IF(COUNTIF(MaterialList,B126)=0,"Material not in Materials list","OK")))))</f>
        <v>OK</v>
      </c>
      <c r="H126" s="18" t="str">
        <f aca="false">IF(F126="Active",A126&amp;"|"&amp;COUNTIFS(A$2:A126,A126,F$2:F126,"Active"),"")</f>
        <v/>
      </c>
      <c r="I126" s="18" t="str">
        <f aca="false">IF(B126="","",IF(SUMPRODUCT(MAX((A$1:A125=A126)*(B$1:B125=B126)*ROW(A$1:A125)))=0,C126&amp;"",IF(C126="",INDEX(I$1:I125,SUMPRODUCT(MAX((A$1:A125=A126)*(B$1:B125=B126)*ROW(A$1:A125)))),IF(INDEX(I$1:I125,SUMPRODUCT(MAX((A$1:A125=A126)*(B$1:B125=B126)*ROW(A$1:A125))))="",C126&amp;"",INDEX(I$1:I125,SUMPRODUCT(MAX((A$1:A125=A126)*(B$1:B125=B126)*ROW(A$1:A125))))&amp;"; "&amp;C126))))</f>
        <v/>
      </c>
      <c r="J126" s="18" t="str">
        <f aca="false">IF(A126="","",A126&amp;"|"&amp;COUNTIF(A$2:A126,A126))</f>
        <v>Product 7|16</v>
      </c>
      <c r="K126" s="18" t="n">
        <f aca="false">IF(OR(A126="",B126=""),0,IF(COUNTIFS(A$2:A126,A126,B$2:B126,B126)=1,1,0))</f>
        <v>1</v>
      </c>
    </row>
    <row r="127" customFormat="false" ht="15" hidden="false" customHeight="false" outlineLevel="0" collapsed="false">
      <c r="A127" s="15" t="s">
        <v>118</v>
      </c>
      <c r="B127" s="15" t="s">
        <v>94</v>
      </c>
      <c r="C127" s="15"/>
      <c r="D127" s="15"/>
      <c r="F127" s="18" t="str">
        <f aca="false">IF(B127="","",IFERROR(INDEX(Materials!$B$2:$B$201,MATCH(B127,Materials!$A$2:$A$201,0)),""))</f>
        <v>Active</v>
      </c>
      <c r="G127" s="18" t="str">
        <f aca="true">IF(AND(A127="",B127=""),"",IF(A127="","Missing product",IF(B127="","Missing material",IF(COUNTIF(ProductList,A127)=0,"Product not in Products list",IF(COUNTIF(MaterialList,B127)=0,"Material not in Materials list","OK")))))</f>
        <v>OK</v>
      </c>
      <c r="H127" s="18" t="str">
        <f aca="false">IF(F127="Active",A127&amp;"|"&amp;COUNTIFS(A$2:A127,A127,F$2:F127,"Active"),"")</f>
        <v>Product 8|1</v>
      </c>
      <c r="I127" s="18" t="str">
        <f aca="false">IF(B127="","",IF(SUMPRODUCT(MAX((A$1:A126=A127)*(B$1:B126=B127)*ROW(A$1:A126)))=0,C127&amp;"",IF(C127="",INDEX(I$1:I126,SUMPRODUCT(MAX((A$1:A126=A127)*(B$1:B126=B127)*ROW(A$1:A126)))),IF(INDEX(I$1:I126,SUMPRODUCT(MAX((A$1:A126=A127)*(B$1:B126=B127)*ROW(A$1:A126))))="",C127&amp;"",INDEX(I$1:I126,SUMPRODUCT(MAX((A$1:A126=A127)*(B$1:B126=B127)*ROW(A$1:A126))))&amp;"; "&amp;C127))))</f>
        <v/>
      </c>
      <c r="J127" s="18" t="str">
        <f aca="false">IF(A127="","",A127&amp;"|"&amp;COUNTIF(A$2:A127,A127))</f>
        <v>Product 8|1</v>
      </c>
      <c r="K127" s="18" t="n">
        <f aca="false">IF(OR(A127="",B127=""),0,IF(COUNTIFS(A$2:A127,A127,B$2:B127,B127)=1,1,0))</f>
        <v>1</v>
      </c>
    </row>
    <row r="128" customFormat="false" ht="15" hidden="false" customHeight="false" outlineLevel="0" collapsed="false">
      <c r="A128" s="15" t="s">
        <v>118</v>
      </c>
      <c r="B128" s="15" t="s">
        <v>95</v>
      </c>
      <c r="C128" s="15" t="s">
        <v>135</v>
      </c>
      <c r="D128" s="15"/>
      <c r="F128" s="18" t="str">
        <f aca="false">IF(B128="","",IFERROR(INDEX(Materials!$B$2:$B$201,MATCH(B128,Materials!$A$2:$A$201,0)),""))</f>
        <v>Filler / Diluent</v>
      </c>
      <c r="G128" s="18" t="str">
        <f aca="true">IF(AND(A128="",B128=""),"",IF(A128="","Missing product",IF(B128="","Missing material",IF(COUNTIF(ProductList,A128)=0,"Product not in Products list",IF(COUNTIF(MaterialList,B128)=0,"Material not in Materials list","OK")))))</f>
        <v>OK</v>
      </c>
      <c r="H128" s="18" t="str">
        <f aca="false">IF(F128="Active",A128&amp;"|"&amp;COUNTIFS(A$2:A128,A128,F$2:F128,"Active"),"")</f>
        <v/>
      </c>
      <c r="I128" s="18" t="str">
        <f aca="false">IF(B128="","",IF(SUMPRODUCT(MAX((A$1:A127=A128)*(B$1:B127=B128)*ROW(A$1:A127)))=0,C128&amp;"",IF(C128="",INDEX(I$1:I127,SUMPRODUCT(MAX((A$1:A127=A128)*(B$1:B127=B128)*ROW(A$1:A127)))),IF(INDEX(I$1:I127,SUMPRODUCT(MAX((A$1:A127=A128)*(B$1:B127=B128)*ROW(A$1:A127))))="",C128&amp;"",INDEX(I$1:I127,SUMPRODUCT(MAX((A$1:A127=A128)*(B$1:B127=B128)*ROW(A$1:A127))))&amp;"; "&amp;C128))))</f>
        <v>Mesh 200</v>
      </c>
      <c r="J128" s="18" t="str">
        <f aca="false">IF(A128="","",A128&amp;"|"&amp;COUNTIF(A$2:A128,A128))</f>
        <v>Product 8|2</v>
      </c>
      <c r="K128" s="18" t="n">
        <f aca="false">IF(OR(A128="",B128=""),0,IF(COUNTIFS(A$2:A128,A128,B$2:B128,B128)=1,1,0))</f>
        <v>1</v>
      </c>
    </row>
    <row r="129" customFormat="false" ht="15" hidden="false" customHeight="false" outlineLevel="0" collapsed="false">
      <c r="A129" s="15" t="s">
        <v>118</v>
      </c>
      <c r="B129" s="15" t="s">
        <v>96</v>
      </c>
      <c r="C129" s="15"/>
      <c r="D129" s="15"/>
      <c r="F129" s="18" t="str">
        <f aca="false">IF(B129="","",IFERROR(INDEX(Materials!$B$2:$B$201,MATCH(B129,Materials!$A$2:$A$201,0)),""))</f>
        <v>Filler / Diluent</v>
      </c>
      <c r="G129" s="18" t="str">
        <f aca="true">IF(AND(A129="",B129=""),"",IF(A129="","Missing product",IF(B129="","Missing material",IF(COUNTIF(ProductList,A129)=0,"Product not in Products list",IF(COUNTIF(MaterialList,B129)=0,"Material not in Materials list","OK")))))</f>
        <v>OK</v>
      </c>
      <c r="H129" s="18" t="str">
        <f aca="false">IF(F129="Active",A129&amp;"|"&amp;COUNTIFS(A$2:A129,A129,F$2:F129,"Active"),"")</f>
        <v/>
      </c>
      <c r="I129" s="18" t="str">
        <f aca="false">IF(B129="","",IF(SUMPRODUCT(MAX((A$1:A128=A129)*(B$1:B128=B129)*ROW(A$1:A128)))=0,C129&amp;"",IF(C129="",INDEX(I$1:I128,SUMPRODUCT(MAX((A$1:A128=A129)*(B$1:B128=B129)*ROW(A$1:A128)))),IF(INDEX(I$1:I128,SUMPRODUCT(MAX((A$1:A128=A129)*(B$1:B128=B129)*ROW(A$1:A128))))="",C129&amp;"",INDEX(I$1:I128,SUMPRODUCT(MAX((A$1:A128=A129)*(B$1:B128=B129)*ROW(A$1:A128))))&amp;"; "&amp;C129))))</f>
        <v/>
      </c>
      <c r="J129" s="18" t="str">
        <f aca="false">IF(A129="","",A129&amp;"|"&amp;COUNTIF(A$2:A129,A129))</f>
        <v>Product 8|3</v>
      </c>
      <c r="K129" s="18" t="n">
        <f aca="false">IF(OR(A129="",B129=""),0,IF(COUNTIFS(A$2:A129,A129,B$2:B129,B129)=1,1,0))</f>
        <v>1</v>
      </c>
    </row>
    <row r="130" customFormat="false" ht="15" hidden="false" customHeight="false" outlineLevel="0" collapsed="false">
      <c r="A130" s="15" t="s">
        <v>118</v>
      </c>
      <c r="B130" s="15" t="s">
        <v>34</v>
      </c>
      <c r="C130" s="15"/>
      <c r="D130" s="15"/>
      <c r="F130" s="18" t="str">
        <f aca="false">IF(B130="","",IFERROR(INDEX(Materials!$B$2:$B$201,MATCH(B130,Materials!$A$2:$A$201,0)),""))</f>
        <v>Disintegrant</v>
      </c>
      <c r="G130" s="18" t="str">
        <f aca="true">IF(AND(A130="",B130=""),"",IF(A130="","Missing product",IF(B130="","Missing material",IF(COUNTIF(ProductList,A130)=0,"Product not in Products list",IF(COUNTIF(MaterialList,B130)=0,"Material not in Materials list","OK")))))</f>
        <v>OK</v>
      </c>
      <c r="H130" s="18" t="str">
        <f aca="false">IF(F130="Active",A130&amp;"|"&amp;COUNTIFS(A$2:A130,A130,F$2:F130,"Active"),"")</f>
        <v/>
      </c>
      <c r="I130" s="18" t="str">
        <f aca="false">IF(B130="","",IF(SUMPRODUCT(MAX((A$1:A129=A130)*(B$1:B129=B130)*ROW(A$1:A129)))=0,C130&amp;"",IF(C130="",INDEX(I$1:I129,SUMPRODUCT(MAX((A$1:A129=A130)*(B$1:B129=B130)*ROW(A$1:A129)))),IF(INDEX(I$1:I129,SUMPRODUCT(MAX((A$1:A129=A130)*(B$1:B129=B130)*ROW(A$1:A129))))="",C130&amp;"",INDEX(I$1:I129,SUMPRODUCT(MAX((A$1:A129=A130)*(B$1:B129=B130)*ROW(A$1:A129))))&amp;"; "&amp;C130))))</f>
        <v/>
      </c>
      <c r="J130" s="18" t="str">
        <f aca="false">IF(A130="","",A130&amp;"|"&amp;COUNTIF(A$2:A130,A130))</f>
        <v>Product 8|4</v>
      </c>
      <c r="K130" s="18" t="n">
        <f aca="false">IF(OR(A130="",B130=""),0,IF(COUNTIFS(A$2:A130,A130,B$2:B130,B130)=1,1,0))</f>
        <v>1</v>
      </c>
    </row>
    <row r="131" customFormat="false" ht="15" hidden="false" customHeight="false" outlineLevel="0" collapsed="false">
      <c r="A131" s="15" t="s">
        <v>118</v>
      </c>
      <c r="B131" s="15" t="s">
        <v>75</v>
      </c>
      <c r="C131" s="15"/>
      <c r="D131" s="15"/>
      <c r="F131" s="18" t="str">
        <f aca="false">IF(B131="","",IFERROR(INDEX(Materials!$B$2:$B$201,MATCH(B131,Materials!$A$2:$A$201,0)),""))</f>
        <v>Binder / Coating Polymer</v>
      </c>
      <c r="G131" s="18" t="str">
        <f aca="true">IF(AND(A131="",B131=""),"",IF(A131="","Missing product",IF(B131="","Missing material",IF(COUNTIF(ProductList,A131)=0,"Product not in Products list",IF(COUNTIF(MaterialList,B131)=0,"Material not in Materials list","OK")))))</f>
        <v>OK</v>
      </c>
      <c r="H131" s="18" t="str">
        <f aca="false">IF(F131="Active",A131&amp;"|"&amp;COUNTIFS(A$2:A131,A131,F$2:F131,"Active"),"")</f>
        <v/>
      </c>
      <c r="I131" s="18" t="str">
        <f aca="false">IF(B131="","",IF(SUMPRODUCT(MAX((A$1:A130=A131)*(B$1:B130=B131)*ROW(A$1:A130)))=0,C131&amp;"",IF(C131="",INDEX(I$1:I130,SUMPRODUCT(MAX((A$1:A130=A131)*(B$1:B130=B131)*ROW(A$1:A130)))),IF(INDEX(I$1:I130,SUMPRODUCT(MAX((A$1:A130=A131)*(B$1:B130=B131)*ROW(A$1:A130))))="",C131&amp;"",INDEX(I$1:I130,SUMPRODUCT(MAX((A$1:A130=A131)*(B$1:B130=B131)*ROW(A$1:A130))))&amp;"; "&amp;C131))))</f>
        <v/>
      </c>
      <c r="J131" s="18" t="str">
        <f aca="false">IF(A131="","",A131&amp;"|"&amp;COUNTIF(A$2:A131,A131))</f>
        <v>Product 8|5</v>
      </c>
      <c r="K131" s="18" t="n">
        <f aca="false">IF(OR(A131="",B131=""),0,IF(COUNTIFS(A$2:A131,A131,B$2:B131,B131)=1,1,0))</f>
        <v>1</v>
      </c>
    </row>
    <row r="132" customFormat="false" ht="15" hidden="false" customHeight="false" outlineLevel="0" collapsed="false">
      <c r="A132" s="15" t="s">
        <v>118</v>
      </c>
      <c r="B132" s="15" t="s">
        <v>60</v>
      </c>
      <c r="C132" s="15"/>
      <c r="D132" s="15"/>
      <c r="F132" s="18" t="str">
        <f aca="false">IF(B132="","",IFERROR(INDEX(Materials!$B$2:$B$201,MATCH(B132,Materials!$A$2:$A$201,0)),""))</f>
        <v>Surfactant</v>
      </c>
      <c r="G132" s="18" t="str">
        <f aca="true">IF(AND(A132="",B132=""),"",IF(A132="","Missing product",IF(B132="","Missing material",IF(COUNTIF(ProductList,A132)=0,"Product not in Products list",IF(COUNTIF(MaterialList,B132)=0,"Material not in Materials list","OK")))))</f>
        <v>OK</v>
      </c>
      <c r="H132" s="18" t="str">
        <f aca="false">IF(F132="Active",A132&amp;"|"&amp;COUNTIFS(A$2:A132,A132,F$2:F132,"Active"),"")</f>
        <v/>
      </c>
      <c r="I132" s="18" t="str">
        <f aca="false">IF(B132="","",IF(SUMPRODUCT(MAX((A$1:A131=A132)*(B$1:B131=B132)*ROW(A$1:A131)))=0,C132&amp;"",IF(C132="",INDEX(I$1:I131,SUMPRODUCT(MAX((A$1:A131=A132)*(B$1:B131=B132)*ROW(A$1:A131)))),IF(INDEX(I$1:I131,SUMPRODUCT(MAX((A$1:A131=A132)*(B$1:B131=B132)*ROW(A$1:A131))))="",C132&amp;"",INDEX(I$1:I131,SUMPRODUCT(MAX((A$1:A131=A132)*(B$1:B131=B132)*ROW(A$1:A131))))&amp;"; "&amp;C132))))</f>
        <v/>
      </c>
      <c r="J132" s="18" t="str">
        <f aca="false">IF(A132="","",A132&amp;"|"&amp;COUNTIF(A$2:A132,A132))</f>
        <v>Product 8|6</v>
      </c>
      <c r="K132" s="18" t="n">
        <f aca="false">IF(OR(A132="",B132=""),0,IF(COUNTIFS(A$2:A132,A132,B$2:B132,B132)=1,1,0))</f>
        <v>1</v>
      </c>
    </row>
    <row r="133" customFormat="false" ht="15" hidden="false" customHeight="false" outlineLevel="0" collapsed="false">
      <c r="A133" s="15" t="s">
        <v>118</v>
      </c>
      <c r="B133" s="15" t="s">
        <v>71</v>
      </c>
      <c r="C133" s="15"/>
      <c r="D133" s="15"/>
      <c r="F133" s="18" t="str">
        <f aca="false">IF(B133="","",IFERROR(INDEX(Materials!$B$2:$B$201,MATCH(B133,Materials!$A$2:$A$201,0)),""))</f>
        <v>Glidant</v>
      </c>
      <c r="G133" s="18" t="str">
        <f aca="true">IF(AND(A133="",B133=""),"",IF(A133="","Missing product",IF(B133="","Missing material",IF(COUNTIF(ProductList,A133)=0,"Product not in Products list",IF(COUNTIF(MaterialList,B133)=0,"Material not in Materials list","OK")))))</f>
        <v>OK</v>
      </c>
      <c r="H133" s="18" t="str">
        <f aca="false">IF(F133="Active",A133&amp;"|"&amp;COUNTIFS(A$2:A133,A133,F$2:F133,"Active"),"")</f>
        <v/>
      </c>
      <c r="I133" s="18" t="str">
        <f aca="false">IF(B133="","",IF(SUMPRODUCT(MAX((A$1:A132=A133)*(B$1:B132=B133)*ROW(A$1:A132)))=0,C133&amp;"",IF(C133="",INDEX(I$1:I132,SUMPRODUCT(MAX((A$1:A132=A133)*(B$1:B132=B133)*ROW(A$1:A132)))),IF(INDEX(I$1:I132,SUMPRODUCT(MAX((A$1:A132=A133)*(B$1:B132=B133)*ROW(A$1:A132))))="",C133&amp;"",INDEX(I$1:I132,SUMPRODUCT(MAX((A$1:A132=A133)*(B$1:B132=B133)*ROW(A$1:A132))))&amp;"; "&amp;C133))))</f>
        <v/>
      </c>
      <c r="J133" s="18" t="str">
        <f aca="false">IF(A133="","",A133&amp;"|"&amp;COUNTIF(A$2:A133,A133))</f>
        <v>Product 8|7</v>
      </c>
      <c r="K133" s="18" t="n">
        <f aca="false">IF(OR(A133="",B133=""),0,IF(COUNTIFS(A$2:A133,A133,B$2:B133,B133)=1,1,0))</f>
        <v>1</v>
      </c>
    </row>
    <row r="134" customFormat="false" ht="15" hidden="false" customHeight="false" outlineLevel="0" collapsed="false">
      <c r="A134" s="15" t="s">
        <v>118</v>
      </c>
      <c r="B134" s="15" t="s">
        <v>91</v>
      </c>
      <c r="C134" s="15"/>
      <c r="D134" s="15"/>
      <c r="F134" s="18" t="str">
        <f aca="false">IF(B134="","",IFERROR(INDEX(Materials!$B$2:$B$201,MATCH(B134,Materials!$A$2:$A$201,0)),""))</f>
        <v>Lubricant</v>
      </c>
      <c r="G134" s="18" t="str">
        <f aca="true">IF(AND(A134="",B134=""),"",IF(A134="","Missing product",IF(B134="","Missing material",IF(COUNTIF(ProductList,A134)=0,"Product not in Products list",IF(COUNTIF(MaterialList,B134)=0,"Material not in Materials list","OK")))))</f>
        <v>OK</v>
      </c>
      <c r="H134" s="18" t="str">
        <f aca="false">IF(F134="Active",A134&amp;"|"&amp;COUNTIFS(A$2:A134,A134,F$2:F134,"Active"),"")</f>
        <v/>
      </c>
      <c r="I134" s="18" t="str">
        <f aca="false">IF(B134="","",IF(SUMPRODUCT(MAX((A$1:A133=A134)*(B$1:B133=B134)*ROW(A$1:A133)))=0,C134&amp;"",IF(C134="",INDEX(I$1:I133,SUMPRODUCT(MAX((A$1:A133=A134)*(B$1:B133=B134)*ROW(A$1:A133)))),IF(INDEX(I$1:I133,SUMPRODUCT(MAX((A$1:A133=A134)*(B$1:B133=B134)*ROW(A$1:A133))))="",C134&amp;"",INDEX(I$1:I133,SUMPRODUCT(MAX((A$1:A133=A134)*(B$1:B133=B134)*ROW(A$1:A133))))&amp;"; "&amp;C134))))</f>
        <v/>
      </c>
      <c r="J134" s="18" t="str">
        <f aca="false">IF(A134="","",A134&amp;"|"&amp;COUNTIF(A$2:A134,A134))</f>
        <v>Product 8|8</v>
      </c>
      <c r="K134" s="18" t="n">
        <f aca="false">IF(OR(A134="",B134=""),0,IF(COUNTIFS(A$2:A134,A134,B$2:B134,B134)=1,1,0))</f>
        <v>1</v>
      </c>
    </row>
    <row r="135" customFormat="false" ht="15" hidden="false" customHeight="false" outlineLevel="0" collapsed="false">
      <c r="A135" s="15" t="s">
        <v>118</v>
      </c>
      <c r="B135" s="15" t="s">
        <v>87</v>
      </c>
      <c r="C135" s="15"/>
      <c r="D135" s="15"/>
      <c r="F135" s="18" t="str">
        <f aca="false">IF(B135="","",IFERROR(INDEX(Materials!$B$2:$B$201,MATCH(B135,Materials!$A$2:$A$201,0)),""))</f>
        <v>Solvent</v>
      </c>
      <c r="G135" s="18" t="str">
        <f aca="true">IF(AND(A135="",B135=""),"",IF(A135="","Missing product",IF(B135="","Missing material",IF(COUNTIF(ProductList,A135)=0,"Product not in Products list",IF(COUNTIF(MaterialList,B135)=0,"Material not in Materials list","OK")))))</f>
        <v>OK</v>
      </c>
      <c r="H135" s="18" t="str">
        <f aca="false">IF(F135="Active",A135&amp;"|"&amp;COUNTIFS(A$2:A135,A135,F$2:F135,"Active"),"")</f>
        <v/>
      </c>
      <c r="I135" s="18" t="str">
        <f aca="false">IF(B135="","",IF(SUMPRODUCT(MAX((A$1:A134=A135)*(B$1:B134=B135)*ROW(A$1:A134)))=0,C135&amp;"",IF(C135="",INDEX(I$1:I134,SUMPRODUCT(MAX((A$1:A134=A135)*(B$1:B134=B135)*ROW(A$1:A134)))),IF(INDEX(I$1:I134,SUMPRODUCT(MAX((A$1:A134=A135)*(B$1:B134=B135)*ROW(A$1:A134))))="",C135&amp;"",INDEX(I$1:I134,SUMPRODUCT(MAX((A$1:A134=A135)*(B$1:B134=B135)*ROW(A$1:A134))))&amp;"; "&amp;C135))))</f>
        <v/>
      </c>
      <c r="J135" s="18" t="str">
        <f aca="false">IF(A135="","",A135&amp;"|"&amp;COUNTIF(A$2:A135,A135))</f>
        <v>Product 8|9</v>
      </c>
      <c r="K135" s="18" t="n">
        <f aca="false">IF(OR(A135="",B135=""),0,IF(COUNTIFS(A$2:A135,A135,B$2:B135,B135)=1,1,0))</f>
        <v>1</v>
      </c>
    </row>
    <row r="136" customFormat="false" ht="15" hidden="false" customHeight="false" outlineLevel="0" collapsed="false">
      <c r="A136" s="15" t="s">
        <v>118</v>
      </c>
      <c r="B136" s="15" t="s">
        <v>75</v>
      </c>
      <c r="C136" s="15"/>
      <c r="D136" s="15"/>
      <c r="F136" s="18" t="str">
        <f aca="false">IF(B136="","",IFERROR(INDEX(Materials!$B$2:$B$201,MATCH(B136,Materials!$A$2:$A$201,0)),""))</f>
        <v>Binder / Coating Polymer</v>
      </c>
      <c r="G136" s="18" t="str">
        <f aca="true">IF(AND(A136="",B136=""),"",IF(A136="","Missing product",IF(B136="","Missing material",IF(COUNTIF(ProductList,A136)=0,"Product not in Products list",IF(COUNTIF(MaterialList,B136)=0,"Material not in Materials list","OK")))))</f>
        <v>OK</v>
      </c>
      <c r="H136" s="18" t="str">
        <f aca="false">IF(F136="Active",A136&amp;"|"&amp;COUNTIFS(A$2:A136,A136,F$2:F136,"Active"),"")</f>
        <v/>
      </c>
      <c r="I136" s="18" t="str">
        <f aca="false">IF(B136="","",IF(SUMPRODUCT(MAX((A$1:A135=A136)*(B$1:B135=B136)*ROW(A$1:A135)))=0,C136&amp;"",IF(C136="",INDEX(I$1:I135,SUMPRODUCT(MAX((A$1:A135=A136)*(B$1:B135=B136)*ROW(A$1:A135)))),IF(INDEX(I$1:I135,SUMPRODUCT(MAX((A$1:A135=A136)*(B$1:B135=B136)*ROW(A$1:A135))))="",C136&amp;"",INDEX(I$1:I135,SUMPRODUCT(MAX((A$1:A135=A136)*(B$1:B135=B136)*ROW(A$1:A135))))&amp;"; "&amp;C136))))</f>
        <v/>
      </c>
      <c r="J136" s="18" t="str">
        <f aca="false">IF(A136="","",A136&amp;"|"&amp;COUNTIF(A$2:A136,A136))</f>
        <v>Product 8|10</v>
      </c>
      <c r="K136" s="18" t="n">
        <f aca="false">IF(OR(A136="",B136=""),0,IF(COUNTIFS(A$2:A136,A136,B$2:B136,B136)=1,1,0))</f>
        <v>0</v>
      </c>
    </row>
    <row r="137" customFormat="false" ht="15" hidden="false" customHeight="false" outlineLevel="0" collapsed="false">
      <c r="A137" s="15" t="s">
        <v>118</v>
      </c>
      <c r="B137" s="15" t="s">
        <v>78</v>
      </c>
      <c r="C137" s="15"/>
      <c r="D137" s="15"/>
      <c r="F137" s="18" t="str">
        <f aca="false">IF(B137="","",IFERROR(INDEX(Materials!$B$2:$B$201,MATCH(B137,Materials!$A$2:$A$201,0)),""))</f>
        <v>Plasticizer</v>
      </c>
      <c r="G137" s="18" t="str">
        <f aca="true">IF(AND(A137="",B137=""),"",IF(A137="","Missing product",IF(B137="","Missing material",IF(COUNTIF(ProductList,A137)=0,"Product not in Products list",IF(COUNTIF(MaterialList,B137)=0,"Material not in Materials list","OK")))))</f>
        <v>OK</v>
      </c>
      <c r="H137" s="18" t="str">
        <f aca="false">IF(F137="Active",A137&amp;"|"&amp;COUNTIFS(A$2:A137,A137,F$2:F137,"Active"),"")</f>
        <v/>
      </c>
      <c r="I137" s="18" t="str">
        <f aca="false">IF(B137="","",IF(SUMPRODUCT(MAX((A$1:A136=A137)*(B$1:B136=B137)*ROW(A$1:A136)))=0,C137&amp;"",IF(C137="",INDEX(I$1:I136,SUMPRODUCT(MAX((A$1:A136=A137)*(B$1:B136=B137)*ROW(A$1:A136)))),IF(INDEX(I$1:I136,SUMPRODUCT(MAX((A$1:A136=A137)*(B$1:B136=B137)*ROW(A$1:A136))))="",C137&amp;"",INDEX(I$1:I136,SUMPRODUCT(MAX((A$1:A136=A137)*(B$1:B136=B137)*ROW(A$1:A136))))&amp;"; "&amp;C137))))</f>
        <v/>
      </c>
      <c r="J137" s="18" t="str">
        <f aca="false">IF(A137="","",A137&amp;"|"&amp;COUNTIF(A$2:A137,A137))</f>
        <v>Product 8|11</v>
      </c>
      <c r="K137" s="18" t="n">
        <f aca="false">IF(OR(A137="",B137=""),0,IF(COUNTIFS(A$2:A137,A137,B$2:B137,B137)=1,1,0))</f>
        <v>1</v>
      </c>
    </row>
    <row r="138" customFormat="false" ht="15" hidden="false" customHeight="false" outlineLevel="0" collapsed="false">
      <c r="A138" s="15" t="s">
        <v>118</v>
      </c>
      <c r="B138" s="15" t="s">
        <v>81</v>
      </c>
      <c r="C138" s="15"/>
      <c r="D138" s="15"/>
      <c r="F138" s="18" t="str">
        <f aca="false">IF(B138="","",IFERROR(INDEX(Materials!$B$2:$B$201,MATCH(B138,Materials!$A$2:$A$201,0)),""))</f>
        <v>Opacifier</v>
      </c>
      <c r="G138" s="18" t="str">
        <f aca="true">IF(AND(A138="",B138=""),"",IF(A138="","Missing product",IF(B138="","Missing material",IF(COUNTIF(ProductList,A138)=0,"Product not in Products list",IF(COUNTIF(MaterialList,B138)=0,"Material not in Materials list","OK")))))</f>
        <v>OK</v>
      </c>
      <c r="H138" s="18" t="str">
        <f aca="false">IF(F138="Active",A138&amp;"|"&amp;COUNTIFS(A$2:A138,A138,F$2:F138,"Active"),"")</f>
        <v/>
      </c>
      <c r="I138" s="18" t="str">
        <f aca="false">IF(B138="","",IF(SUMPRODUCT(MAX((A$1:A137=A138)*(B$1:B137=B138)*ROW(A$1:A137)))=0,C138&amp;"",IF(C138="",INDEX(I$1:I137,SUMPRODUCT(MAX((A$1:A137=A138)*(B$1:B137=B138)*ROW(A$1:A137)))),IF(INDEX(I$1:I137,SUMPRODUCT(MAX((A$1:A137=A138)*(B$1:B137=B138)*ROW(A$1:A137))))="",C138&amp;"",INDEX(I$1:I137,SUMPRODUCT(MAX((A$1:A137=A138)*(B$1:B137=B138)*ROW(A$1:A137))))&amp;"; "&amp;C138))))</f>
        <v/>
      </c>
      <c r="J138" s="18" t="str">
        <f aca="false">IF(A138="","",A138&amp;"|"&amp;COUNTIF(A$2:A138,A138))</f>
        <v>Product 8|12</v>
      </c>
      <c r="K138" s="18" t="n">
        <f aca="false">IF(OR(A138="",B138=""),0,IF(COUNTIFS(A$2:A138,A138,B$2:B138,B138)=1,1,0))</f>
        <v>1</v>
      </c>
    </row>
    <row r="139" customFormat="false" ht="15" hidden="false" customHeight="false" outlineLevel="0" collapsed="false">
      <c r="A139" s="15" t="s">
        <v>118</v>
      </c>
      <c r="B139" s="15" t="s">
        <v>85</v>
      </c>
      <c r="C139" s="15"/>
      <c r="D139" s="15"/>
      <c r="F139" s="18" t="str">
        <f aca="false">IF(B139="","",IFERROR(INDEX(Materials!$B$2:$B$201,MATCH(B139,Materials!$A$2:$A$201,0)),""))</f>
        <v>Colorant</v>
      </c>
      <c r="G139" s="18" t="str">
        <f aca="true">IF(AND(A139="",B139=""),"",IF(A139="","Missing product",IF(B139="","Missing material",IF(COUNTIF(ProductList,A139)=0,"Product not in Products list",IF(COUNTIF(MaterialList,B139)=0,"Material not in Materials list","OK")))))</f>
        <v>OK</v>
      </c>
      <c r="H139" s="18" t="str">
        <f aca="false">IF(F139="Active",A139&amp;"|"&amp;COUNTIFS(A$2:A139,A139,F$2:F139,"Active"),"")</f>
        <v/>
      </c>
      <c r="I139" s="18" t="str">
        <f aca="false">IF(B139="","",IF(SUMPRODUCT(MAX((A$1:A138=A139)*(B$1:B138=B139)*ROW(A$1:A138)))=0,C139&amp;"",IF(C139="",INDEX(I$1:I138,SUMPRODUCT(MAX((A$1:A138=A139)*(B$1:B138=B139)*ROW(A$1:A138)))),IF(INDEX(I$1:I138,SUMPRODUCT(MAX((A$1:A138=A139)*(B$1:B138=B139)*ROW(A$1:A138))))="",C139&amp;"",INDEX(I$1:I138,SUMPRODUCT(MAX((A$1:A138=A139)*(B$1:B138=B139)*ROW(A$1:A138))))&amp;"; "&amp;C139))))</f>
        <v/>
      </c>
      <c r="J139" s="18" t="str">
        <f aca="false">IF(A139="","",A139&amp;"|"&amp;COUNTIF(A$2:A139,A139))</f>
        <v>Product 8|13</v>
      </c>
      <c r="K139" s="18" t="n">
        <f aca="false">IF(OR(A139="",B139=""),0,IF(COUNTIFS(A$2:A139,A139,B$2:B139,B139)=1,1,0))</f>
        <v>1</v>
      </c>
    </row>
    <row r="140" customFormat="false" ht="15" hidden="false" customHeight="false" outlineLevel="0" collapsed="false">
      <c r="A140" s="15" t="s">
        <v>118</v>
      </c>
      <c r="B140" s="15" t="s">
        <v>83</v>
      </c>
      <c r="C140" s="15"/>
      <c r="D140" s="15"/>
      <c r="F140" s="18" t="str">
        <f aca="false">IF(B140="","",IFERROR(INDEX(Materials!$B$2:$B$201,MATCH(B140,Materials!$A$2:$A$201,0)),""))</f>
        <v>Glidant / Anti-tacking</v>
      </c>
      <c r="G140" s="18" t="str">
        <f aca="true">IF(AND(A140="",B140=""),"",IF(A140="","Missing product",IF(B140="","Missing material",IF(COUNTIF(ProductList,A140)=0,"Product not in Products list",IF(COUNTIF(MaterialList,B140)=0,"Material not in Materials list","OK")))))</f>
        <v>OK</v>
      </c>
      <c r="H140" s="18" t="str">
        <f aca="false">IF(F140="Active",A140&amp;"|"&amp;COUNTIFS(A$2:A140,A140,F$2:F140,"Active"),"")</f>
        <v/>
      </c>
      <c r="I140" s="18" t="str">
        <f aca="false">IF(B140="","",IF(SUMPRODUCT(MAX((A$1:A139=A140)*(B$1:B139=B140)*ROW(A$1:A139)))=0,C140&amp;"",IF(C140="",INDEX(I$1:I139,SUMPRODUCT(MAX((A$1:A139=A140)*(B$1:B139=B140)*ROW(A$1:A139)))),IF(INDEX(I$1:I139,SUMPRODUCT(MAX((A$1:A139=A140)*(B$1:B139=B140)*ROW(A$1:A139))))="",C140&amp;"",INDEX(I$1:I139,SUMPRODUCT(MAX((A$1:A139=A140)*(B$1:B139=B140)*ROW(A$1:A139))))&amp;"; "&amp;C140))))</f>
        <v/>
      </c>
      <c r="J140" s="18" t="str">
        <f aca="false">IF(A140="","",A140&amp;"|"&amp;COUNTIF(A$2:A140,A140))</f>
        <v>Product 8|14</v>
      </c>
      <c r="K140" s="18" t="n">
        <f aca="false">IF(OR(A140="",B140=""),0,IF(COUNTIFS(A$2:A140,A140,B$2:B140,B140)=1,1,0))</f>
        <v>1</v>
      </c>
    </row>
    <row r="141" customFormat="false" ht="15" hidden="false" customHeight="false" outlineLevel="0" collapsed="false">
      <c r="A141" s="15" t="s">
        <v>118</v>
      </c>
      <c r="B141" s="15" t="s">
        <v>87</v>
      </c>
      <c r="C141" s="15"/>
      <c r="D141" s="15"/>
      <c r="F141" s="18" t="str">
        <f aca="false">IF(B141="","",IFERROR(INDEX(Materials!$B$2:$B$201,MATCH(B141,Materials!$A$2:$A$201,0)),""))</f>
        <v>Solvent</v>
      </c>
      <c r="G141" s="18" t="str">
        <f aca="true">IF(AND(A141="",B141=""),"",IF(A141="","Missing product",IF(B141="","Missing material",IF(COUNTIF(ProductList,A141)=0,"Product not in Products list",IF(COUNTIF(MaterialList,B141)=0,"Material not in Materials list","OK")))))</f>
        <v>OK</v>
      </c>
      <c r="H141" s="18" t="str">
        <f aca="false">IF(F141="Active",A141&amp;"|"&amp;COUNTIFS(A$2:A141,A141,F$2:F141,"Active"),"")</f>
        <v/>
      </c>
      <c r="I141" s="18" t="str">
        <f aca="false">IF(B141="","",IF(SUMPRODUCT(MAX((A$1:A140=A141)*(B$1:B140=B141)*ROW(A$1:A140)))=0,C141&amp;"",IF(C141="",INDEX(I$1:I140,SUMPRODUCT(MAX((A$1:A140=A141)*(B$1:B140=B141)*ROW(A$1:A140)))),IF(INDEX(I$1:I140,SUMPRODUCT(MAX((A$1:A140=A141)*(B$1:B140=B141)*ROW(A$1:A140))))="",C141&amp;"",INDEX(I$1:I140,SUMPRODUCT(MAX((A$1:A140=A141)*(B$1:B140=B141)*ROW(A$1:A140))))&amp;"; "&amp;C141))))</f>
        <v/>
      </c>
      <c r="J141" s="18" t="str">
        <f aca="false">IF(A141="","",A141&amp;"|"&amp;COUNTIF(A$2:A141,A141))</f>
        <v>Product 8|15</v>
      </c>
      <c r="K141" s="18" t="n">
        <f aca="false">IF(OR(A141="",B141=""),0,IF(COUNTIFS(A$2:A141,A141,B$2:B141,B141)=1,1,0))</f>
        <v>0</v>
      </c>
    </row>
    <row r="142" customFormat="false" ht="15" hidden="false" customHeight="false" outlineLevel="0" collapsed="false">
      <c r="A142" s="15" t="s">
        <v>118</v>
      </c>
      <c r="B142" s="15" t="s">
        <v>98</v>
      </c>
      <c r="C142" s="15"/>
      <c r="D142" s="15"/>
      <c r="F142" s="18" t="str">
        <f aca="false">IF(B142="","",IFERROR(INDEX(Materials!$B$2:$B$201,MATCH(B142,Materials!$A$2:$A$201,0)),""))</f>
        <v>Solvent</v>
      </c>
      <c r="G142" s="18" t="str">
        <f aca="true">IF(AND(A142="",B142=""),"",IF(A142="","Missing product",IF(B142="","Missing material",IF(COUNTIF(ProductList,A142)=0,"Product not in Products list",IF(COUNTIF(MaterialList,B142)=0,"Material not in Materials list","OK")))))</f>
        <v>OK</v>
      </c>
      <c r="H142" s="18" t="str">
        <f aca="false">IF(F142="Active",A142&amp;"|"&amp;COUNTIFS(A$2:A142,A142,F$2:F142,"Active"),"")</f>
        <v/>
      </c>
      <c r="I142" s="18" t="str">
        <f aca="false">IF(B142="","",IF(SUMPRODUCT(MAX((A$1:A141=A142)*(B$1:B141=B142)*ROW(A$1:A141)))=0,C142&amp;"",IF(C142="",INDEX(I$1:I141,SUMPRODUCT(MAX((A$1:A141=A142)*(B$1:B141=B142)*ROW(A$1:A141)))),IF(INDEX(I$1:I141,SUMPRODUCT(MAX((A$1:A141=A142)*(B$1:B141=B142)*ROW(A$1:A141))))="",C142&amp;"",INDEX(I$1:I141,SUMPRODUCT(MAX((A$1:A141=A142)*(B$1:B141=B142)*ROW(A$1:A141))))&amp;"; "&amp;C142))))</f>
        <v/>
      </c>
      <c r="J142" s="18" t="str">
        <f aca="false">IF(A142="","",A142&amp;"|"&amp;COUNTIF(A$2:A142,A142))</f>
        <v>Product 8|16</v>
      </c>
      <c r="K142" s="18" t="n">
        <f aca="false">IF(OR(A142="",B142=""),0,IF(COUNTIFS(A$2:A142,A142,B$2:B142,B142)=1,1,0))</f>
        <v>1</v>
      </c>
    </row>
    <row r="143" customFormat="false" ht="15" hidden="false" customHeight="false" outlineLevel="0" collapsed="false">
      <c r="A143" s="15" t="s">
        <v>119</v>
      </c>
      <c r="B143" s="15" t="s">
        <v>100</v>
      </c>
      <c r="C143" s="15"/>
      <c r="D143" s="15"/>
      <c r="F143" s="18" t="str">
        <f aca="false">IF(B143="","",IFERROR(INDEX(Materials!$B$2:$B$201,MATCH(B143,Materials!$A$2:$A$201,0)),""))</f>
        <v>Active</v>
      </c>
      <c r="G143" s="18" t="str">
        <f aca="true">IF(AND(A143="",B143=""),"",IF(A143="","Missing product",IF(B143="","Missing material",IF(COUNTIF(ProductList,A143)=0,"Product not in Products list",IF(COUNTIF(MaterialList,B143)=0,"Material not in Materials list","OK")))))</f>
        <v>OK</v>
      </c>
      <c r="H143" s="18" t="str">
        <f aca="false">IF(F143="Active",A143&amp;"|"&amp;COUNTIFS(A$2:A143,A143,F$2:F143,"Active"),"")</f>
        <v>Product 9|1</v>
      </c>
      <c r="I143" s="18" t="str">
        <f aca="false">IF(B143="","",IF(SUMPRODUCT(MAX((A$1:A142=A143)*(B$1:B142=B143)*ROW(A$1:A142)))=0,C143&amp;"",IF(C143="",INDEX(I$1:I142,SUMPRODUCT(MAX((A$1:A142=A143)*(B$1:B142=B143)*ROW(A$1:A142)))),IF(INDEX(I$1:I142,SUMPRODUCT(MAX((A$1:A142=A143)*(B$1:B142=B143)*ROW(A$1:A142))))="",C143&amp;"",INDEX(I$1:I142,SUMPRODUCT(MAX((A$1:A142=A143)*(B$1:B142=B143)*ROW(A$1:A142))))&amp;"; "&amp;C143))))</f>
        <v/>
      </c>
      <c r="J143" s="18" t="str">
        <f aca="false">IF(A143="","",A143&amp;"|"&amp;COUNTIF(A$2:A143,A143))</f>
        <v>Product 9|1</v>
      </c>
      <c r="K143" s="18" t="n">
        <f aca="false">IF(OR(A143="",B143=""),0,IF(COUNTIFS(A$2:A143,A143,B$2:B143,B143)=1,1,0))</f>
        <v>1</v>
      </c>
    </row>
    <row r="144" customFormat="false" ht="15" hidden="false" customHeight="false" outlineLevel="0" collapsed="false">
      <c r="A144" s="15" t="s">
        <v>119</v>
      </c>
      <c r="B144" s="15" t="s">
        <v>101</v>
      </c>
      <c r="C144" s="15"/>
      <c r="D144" s="15"/>
      <c r="F144" s="18" t="str">
        <f aca="false">IF(B144="","",IFERROR(INDEX(Materials!$B$2:$B$201,MATCH(B144,Materials!$A$2:$A$201,0)),""))</f>
        <v>Alkalizer / Solubilizer</v>
      </c>
      <c r="G144" s="18" t="str">
        <f aca="true">IF(AND(A144="",B144=""),"",IF(A144="","Missing product",IF(B144="","Missing material",IF(COUNTIF(ProductList,A144)=0,"Product not in Products list",IF(COUNTIF(MaterialList,B144)=0,"Material not in Materials list","OK")))))</f>
        <v>OK</v>
      </c>
      <c r="H144" s="18" t="str">
        <f aca="false">IF(F144="Active",A144&amp;"|"&amp;COUNTIFS(A$2:A144,A144,F$2:F144,"Active"),"")</f>
        <v/>
      </c>
      <c r="I144" s="18" t="str">
        <f aca="false">IF(B144="","",IF(SUMPRODUCT(MAX((A$1:A143=A144)*(B$1:B143=B144)*ROW(A$1:A143)))=0,C144&amp;"",IF(C144="",INDEX(I$1:I143,SUMPRODUCT(MAX((A$1:A143=A144)*(B$1:B143=B144)*ROW(A$1:A143)))),IF(INDEX(I$1:I143,SUMPRODUCT(MAX((A$1:A143=A144)*(B$1:B143=B144)*ROW(A$1:A143))))="",C144&amp;"",INDEX(I$1:I143,SUMPRODUCT(MAX((A$1:A143=A144)*(B$1:B143=B144)*ROW(A$1:A143))))&amp;"; "&amp;C144))))</f>
        <v/>
      </c>
      <c r="J144" s="18" t="str">
        <f aca="false">IF(A144="","",A144&amp;"|"&amp;COUNTIF(A$2:A144,A144))</f>
        <v>Product 9|2</v>
      </c>
      <c r="K144" s="18" t="n">
        <f aca="false">IF(OR(A144="",B144=""),0,IF(COUNTIFS(A$2:A144,A144,B$2:B144,B144)=1,1,0))</f>
        <v>1</v>
      </c>
    </row>
    <row r="145" customFormat="false" ht="15" hidden="false" customHeight="false" outlineLevel="0" collapsed="false">
      <c r="A145" s="15" t="s">
        <v>119</v>
      </c>
      <c r="B145" s="15" t="s">
        <v>103</v>
      </c>
      <c r="C145" s="15"/>
      <c r="D145" s="15"/>
      <c r="F145" s="18" t="str">
        <f aca="false">IF(B145="","",IFERROR(INDEX(Materials!$B$2:$B$201,MATCH(B145,Materials!$A$2:$A$201,0)),""))</f>
        <v>Alkalizer / Solubilizer</v>
      </c>
      <c r="G145" s="18" t="str">
        <f aca="true">IF(AND(A145="",B145=""),"",IF(A145="","Missing product",IF(B145="","Missing material",IF(COUNTIF(ProductList,A145)=0,"Product not in Products list",IF(COUNTIF(MaterialList,B145)=0,"Material not in Materials list","OK")))))</f>
        <v>OK</v>
      </c>
      <c r="H145" s="18" t="str">
        <f aca="false">IF(F145="Active",A145&amp;"|"&amp;COUNTIFS(A$2:A145,A145,F$2:F145,"Active"),"")</f>
        <v/>
      </c>
      <c r="I145" s="18" t="str">
        <f aca="false">IF(B145="","",IF(SUMPRODUCT(MAX((A$1:A144=A145)*(B$1:B144=B145)*ROW(A$1:A144)))=0,C145&amp;"",IF(C145="",INDEX(I$1:I144,SUMPRODUCT(MAX((A$1:A144=A145)*(B$1:B144=B145)*ROW(A$1:A144)))),IF(INDEX(I$1:I144,SUMPRODUCT(MAX((A$1:A144=A145)*(B$1:B144=B145)*ROW(A$1:A144))))="",C145&amp;"",INDEX(I$1:I144,SUMPRODUCT(MAX((A$1:A144=A145)*(B$1:B144=B145)*ROW(A$1:A144))))&amp;"; "&amp;C145))))</f>
        <v/>
      </c>
      <c r="J145" s="18" t="str">
        <f aca="false">IF(A145="","",A145&amp;"|"&amp;COUNTIF(A$2:A145,A145))</f>
        <v>Product 9|3</v>
      </c>
      <c r="K145" s="18" t="n">
        <f aca="false">IF(OR(A145="",B145=""),0,IF(COUNTIFS(A$2:A145,A145,B$2:B145,B145)=1,1,0))</f>
        <v>1</v>
      </c>
    </row>
    <row r="146" customFormat="false" ht="15" hidden="false" customHeight="false" outlineLevel="0" collapsed="false">
      <c r="A146" s="15" t="s">
        <v>119</v>
      </c>
      <c r="B146" s="15" t="s">
        <v>64</v>
      </c>
      <c r="C146" s="15"/>
      <c r="D146" s="15"/>
      <c r="F146" s="18" t="str">
        <f aca="false">IF(B146="","",IFERROR(INDEX(Materials!$B$2:$B$201,MATCH(B146,Materials!$A$2:$A$201,0)),""))</f>
        <v>Binder</v>
      </c>
      <c r="G146" s="18" t="str">
        <f aca="true">IF(AND(A146="",B146=""),"",IF(A146="","Missing product",IF(B146="","Missing material",IF(COUNTIF(ProductList,A146)=0,"Product not in Products list",IF(COUNTIF(MaterialList,B146)=0,"Material not in Materials list","OK")))))</f>
        <v>OK</v>
      </c>
      <c r="H146" s="18" t="str">
        <f aca="false">IF(F146="Active",A146&amp;"|"&amp;COUNTIFS(A$2:A146,A146,F$2:F146,"Active"),"")</f>
        <v/>
      </c>
      <c r="I146" s="18" t="str">
        <f aca="false">IF(B146="","",IF(SUMPRODUCT(MAX((A$1:A145=A146)*(B$1:B145=B146)*ROW(A$1:A145)))=0,C146&amp;"",IF(C146="",INDEX(I$1:I145,SUMPRODUCT(MAX((A$1:A145=A146)*(B$1:B145=B146)*ROW(A$1:A145)))),IF(INDEX(I$1:I145,SUMPRODUCT(MAX((A$1:A145=A146)*(B$1:B145=B146)*ROW(A$1:A145))))="",C146&amp;"",INDEX(I$1:I145,SUMPRODUCT(MAX((A$1:A145=A146)*(B$1:B145=B146)*ROW(A$1:A145))))&amp;"; "&amp;C146))))</f>
        <v/>
      </c>
      <c r="J146" s="18" t="str">
        <f aca="false">IF(A146="","",A146&amp;"|"&amp;COUNTIF(A$2:A146,A146))</f>
        <v>Product 9|4</v>
      </c>
      <c r="K146" s="18" t="n">
        <f aca="false">IF(OR(A146="",B146=""),0,IF(COUNTIFS(A$2:A146,A146,B$2:B146,B146)=1,1,0))</f>
        <v>1</v>
      </c>
    </row>
    <row r="147" customFormat="false" ht="15" hidden="false" customHeight="false" outlineLevel="0" collapsed="false">
      <c r="A147" s="15" t="s">
        <v>119</v>
      </c>
      <c r="B147" s="15" t="s">
        <v>62</v>
      </c>
      <c r="C147" s="15"/>
      <c r="D147" s="15"/>
      <c r="F147" s="18" t="str">
        <f aca="false">IF(B147="","",IFERROR(INDEX(Materials!$B$2:$B$201,MATCH(B147,Materials!$A$2:$A$201,0)),""))</f>
        <v>Filler / Diluent</v>
      </c>
      <c r="G147" s="18" t="str">
        <f aca="true">IF(AND(A147="",B147=""),"",IF(A147="","Missing product",IF(B147="","Missing material",IF(COUNTIF(ProductList,A147)=0,"Product not in Products list",IF(COUNTIF(MaterialList,B147)=0,"Material not in Materials list","OK")))))</f>
        <v>OK</v>
      </c>
      <c r="H147" s="18" t="str">
        <f aca="false">IF(F147="Active",A147&amp;"|"&amp;COUNTIFS(A$2:A147,A147,F$2:F147,"Active"),"")</f>
        <v/>
      </c>
      <c r="I147" s="18" t="str">
        <f aca="false">IF(B147="","",IF(SUMPRODUCT(MAX((A$1:A146=A147)*(B$1:B146=B147)*ROW(A$1:A146)))=0,C147&amp;"",IF(C147="",INDEX(I$1:I146,SUMPRODUCT(MAX((A$1:A146=A147)*(B$1:B146=B147)*ROW(A$1:A146)))),IF(INDEX(I$1:I146,SUMPRODUCT(MAX((A$1:A146=A147)*(B$1:B146=B147)*ROW(A$1:A146))))="",C147&amp;"",INDEX(I$1:I146,SUMPRODUCT(MAX((A$1:A146=A147)*(B$1:B146=B147)*ROW(A$1:A146))))&amp;"; "&amp;C147))))</f>
        <v/>
      </c>
      <c r="J147" s="18" t="str">
        <f aca="false">IF(A147="","",A147&amp;"|"&amp;COUNTIF(A$2:A147,A147))</f>
        <v>Product 9|5</v>
      </c>
      <c r="K147" s="18" t="n">
        <f aca="false">IF(OR(A147="",B147=""),0,IF(COUNTIFS(A$2:A147,A147,B$2:B147,B147)=1,1,0))</f>
        <v>1</v>
      </c>
    </row>
    <row r="148" customFormat="false" ht="15" hidden="false" customHeight="false" outlineLevel="0" collapsed="false">
      <c r="A148" s="15" t="s">
        <v>119</v>
      </c>
      <c r="B148" s="15" t="s">
        <v>71</v>
      </c>
      <c r="C148" s="15"/>
      <c r="D148" s="15"/>
      <c r="F148" s="18" t="str">
        <f aca="false">IF(B148="","",IFERROR(INDEX(Materials!$B$2:$B$201,MATCH(B148,Materials!$A$2:$A$201,0)),""))</f>
        <v>Glidant</v>
      </c>
      <c r="G148" s="18" t="str">
        <f aca="true">IF(AND(A148="",B148=""),"",IF(A148="","Missing product",IF(B148="","Missing material",IF(COUNTIF(ProductList,A148)=0,"Product not in Products list",IF(COUNTIF(MaterialList,B148)=0,"Material not in Materials list","OK")))))</f>
        <v>OK</v>
      </c>
      <c r="H148" s="18" t="str">
        <f aca="false">IF(F148="Active",A148&amp;"|"&amp;COUNTIFS(A$2:A148,A148,F$2:F148,"Active"),"")</f>
        <v/>
      </c>
      <c r="I148" s="18" t="str">
        <f aca="false">IF(B148="","",IF(SUMPRODUCT(MAX((A$1:A147=A148)*(B$1:B147=B148)*ROW(A$1:A147)))=0,C148&amp;"",IF(C148="",INDEX(I$1:I147,SUMPRODUCT(MAX((A$1:A147=A148)*(B$1:B147=B148)*ROW(A$1:A147)))),IF(INDEX(I$1:I147,SUMPRODUCT(MAX((A$1:A147=A148)*(B$1:B147=B148)*ROW(A$1:A147))))="",C148&amp;"",INDEX(I$1:I147,SUMPRODUCT(MAX((A$1:A147=A148)*(B$1:B147=B148)*ROW(A$1:A147))))&amp;"; "&amp;C148))))</f>
        <v/>
      </c>
      <c r="J148" s="18" t="str">
        <f aca="false">IF(A148="","",A148&amp;"|"&amp;COUNTIF(A$2:A148,A148))</f>
        <v>Product 9|6</v>
      </c>
      <c r="K148" s="18" t="n">
        <f aca="false">IF(OR(A148="",B148=""),0,IF(COUNTIFS(A$2:A148,A148,B$2:B148,B148)=1,1,0))</f>
        <v>1</v>
      </c>
    </row>
    <row r="149" customFormat="false" ht="15" hidden="false" customHeight="false" outlineLevel="0" collapsed="false">
      <c r="A149" s="15" t="s">
        <v>119</v>
      </c>
      <c r="B149" s="15" t="s">
        <v>96</v>
      </c>
      <c r="C149" s="15"/>
      <c r="D149" s="15"/>
      <c r="F149" s="18" t="str">
        <f aca="false">IF(B149="","",IFERROR(INDEX(Materials!$B$2:$B$201,MATCH(B149,Materials!$A$2:$A$201,0)),""))</f>
        <v>Filler / Diluent</v>
      </c>
      <c r="G149" s="18" t="str">
        <f aca="true">IF(AND(A149="",B149=""),"",IF(A149="","Missing product",IF(B149="","Missing material",IF(COUNTIF(ProductList,A149)=0,"Product not in Products list",IF(COUNTIF(MaterialList,B149)=0,"Material not in Materials list","OK")))))</f>
        <v>OK</v>
      </c>
      <c r="H149" s="18" t="str">
        <f aca="false">IF(F149="Active",A149&amp;"|"&amp;COUNTIFS(A$2:A149,A149,F$2:F149,"Active"),"")</f>
        <v/>
      </c>
      <c r="I149" s="18" t="str">
        <f aca="false">IF(B149="","",IF(SUMPRODUCT(MAX((A$1:A148=A149)*(B$1:B148=B149)*ROW(A$1:A148)))=0,C149&amp;"",IF(C149="",INDEX(I$1:I148,SUMPRODUCT(MAX((A$1:A148=A149)*(B$1:B148=B149)*ROW(A$1:A148)))),IF(INDEX(I$1:I148,SUMPRODUCT(MAX((A$1:A148=A149)*(B$1:B148=B149)*ROW(A$1:A148))))="",C149&amp;"",INDEX(I$1:I148,SUMPRODUCT(MAX((A$1:A148=A149)*(B$1:B148=B149)*ROW(A$1:A148))))&amp;"; "&amp;C149))))</f>
        <v/>
      </c>
      <c r="J149" s="18" t="str">
        <f aca="false">IF(A149="","",A149&amp;"|"&amp;COUNTIF(A$2:A149,A149))</f>
        <v>Product 9|7</v>
      </c>
      <c r="K149" s="18" t="n">
        <f aca="false">IF(OR(A149="",B149=""),0,IF(COUNTIFS(A$2:A149,A149,B$2:B149,B149)=1,1,0))</f>
        <v>1</v>
      </c>
    </row>
    <row r="150" customFormat="false" ht="15" hidden="false" customHeight="false" outlineLevel="0" collapsed="false">
      <c r="A150" s="15" t="s">
        <v>119</v>
      </c>
      <c r="B150" s="15" t="s">
        <v>104</v>
      </c>
      <c r="C150" s="15"/>
      <c r="D150" s="15"/>
      <c r="F150" s="18" t="str">
        <f aca="false">IF(B150="","",IFERROR(INDEX(Materials!$B$2:$B$201,MATCH(B150,Materials!$A$2:$A$201,0)),""))</f>
        <v>Disintegrant</v>
      </c>
      <c r="G150" s="18" t="str">
        <f aca="true">IF(AND(A150="",B150=""),"",IF(A150="","Missing product",IF(B150="","Missing material",IF(COUNTIF(ProductList,A150)=0,"Product not in Products list",IF(COUNTIF(MaterialList,B150)=0,"Material not in Materials list","OK")))))</f>
        <v>OK</v>
      </c>
      <c r="H150" s="18" t="str">
        <f aca="false">IF(F150="Active",A150&amp;"|"&amp;COUNTIFS(A$2:A150,A150,F$2:F150,"Active"),"")</f>
        <v/>
      </c>
      <c r="I150" s="18" t="str">
        <f aca="false">IF(B150="","",IF(SUMPRODUCT(MAX((A$1:A149=A150)*(B$1:B149=B150)*ROW(A$1:A149)))=0,C150&amp;"",IF(C150="",INDEX(I$1:I149,SUMPRODUCT(MAX((A$1:A149=A150)*(B$1:B149=B150)*ROW(A$1:A149)))),IF(INDEX(I$1:I149,SUMPRODUCT(MAX((A$1:A149=A150)*(B$1:B149=B150)*ROW(A$1:A149))))="",C150&amp;"",INDEX(I$1:I149,SUMPRODUCT(MAX((A$1:A149=A150)*(B$1:B149=B150)*ROW(A$1:A149))))&amp;"; "&amp;C150))))</f>
        <v/>
      </c>
      <c r="J150" s="18" t="str">
        <f aca="false">IF(A150="","",A150&amp;"|"&amp;COUNTIF(A$2:A150,A150))</f>
        <v>Product 9|8</v>
      </c>
      <c r="K150" s="18" t="n">
        <f aca="false">IF(OR(A150="",B150=""),0,IF(COUNTIFS(A$2:A150,A150,B$2:B150,B150)=1,1,0))</f>
        <v>1</v>
      </c>
    </row>
    <row r="151" customFormat="false" ht="15" hidden="false" customHeight="false" outlineLevel="0" collapsed="false">
      <c r="A151" s="15" t="s">
        <v>119</v>
      </c>
      <c r="B151" s="15" t="s">
        <v>60</v>
      </c>
      <c r="C151" s="15"/>
      <c r="D151" s="15"/>
      <c r="F151" s="18" t="str">
        <f aca="false">IF(B151="","",IFERROR(INDEX(Materials!$B$2:$B$201,MATCH(B151,Materials!$A$2:$A$201,0)),""))</f>
        <v>Surfactant</v>
      </c>
      <c r="G151" s="18" t="str">
        <f aca="true">IF(AND(A151="",B151=""),"",IF(A151="","Missing product",IF(B151="","Missing material",IF(COUNTIF(ProductList,A151)=0,"Product not in Products list",IF(COUNTIF(MaterialList,B151)=0,"Material not in Materials list","OK")))))</f>
        <v>OK</v>
      </c>
      <c r="H151" s="18" t="str">
        <f aca="false">IF(F151="Active",A151&amp;"|"&amp;COUNTIFS(A$2:A151,A151,F$2:F151,"Active"),"")</f>
        <v/>
      </c>
      <c r="I151" s="18" t="str">
        <f aca="false">IF(B151="","",IF(SUMPRODUCT(MAX((A$1:A150=A151)*(B$1:B150=B151)*ROW(A$1:A150)))=0,C151&amp;"",IF(C151="",INDEX(I$1:I150,SUMPRODUCT(MAX((A$1:A150=A151)*(B$1:B150=B151)*ROW(A$1:A150)))),IF(INDEX(I$1:I150,SUMPRODUCT(MAX((A$1:A150=A151)*(B$1:B150=B151)*ROW(A$1:A150))))="",C151&amp;"",INDEX(I$1:I150,SUMPRODUCT(MAX((A$1:A150=A151)*(B$1:B150=B151)*ROW(A$1:A150))))&amp;"; "&amp;C151))))</f>
        <v/>
      </c>
      <c r="J151" s="18" t="str">
        <f aca="false">IF(A151="","",A151&amp;"|"&amp;COUNTIF(A$2:A151,A151))</f>
        <v>Product 9|9</v>
      </c>
      <c r="K151" s="18" t="n">
        <f aca="false">IF(OR(A151="",B151=""),0,IF(COUNTIFS(A$2:A151,A151,B$2:B151,B151)=1,1,0))</f>
        <v>1</v>
      </c>
    </row>
    <row r="152" customFormat="false" ht="15" hidden="false" customHeight="false" outlineLevel="0" collapsed="false">
      <c r="A152" s="15" t="s">
        <v>119</v>
      </c>
      <c r="B152" s="15" t="s">
        <v>91</v>
      </c>
      <c r="C152" s="15"/>
      <c r="D152" s="15"/>
      <c r="F152" s="18" t="str">
        <f aca="false">IF(B152="","",IFERROR(INDEX(Materials!$B$2:$B$201,MATCH(B152,Materials!$A$2:$A$201,0)),""))</f>
        <v>Lubricant</v>
      </c>
      <c r="G152" s="18" t="str">
        <f aca="true">IF(AND(A152="",B152=""),"",IF(A152="","Missing product",IF(B152="","Missing material",IF(COUNTIF(ProductList,A152)=0,"Product not in Products list",IF(COUNTIF(MaterialList,B152)=0,"Material not in Materials list","OK")))))</f>
        <v>OK</v>
      </c>
      <c r="H152" s="18" t="str">
        <f aca="false">IF(F152="Active",A152&amp;"|"&amp;COUNTIFS(A$2:A152,A152,F$2:F152,"Active"),"")</f>
        <v/>
      </c>
      <c r="I152" s="18" t="str">
        <f aca="false">IF(B152="","",IF(SUMPRODUCT(MAX((A$1:A151=A152)*(B$1:B151=B152)*ROW(A$1:A151)))=0,C152&amp;"",IF(C152="",INDEX(I$1:I151,SUMPRODUCT(MAX((A$1:A151=A152)*(B$1:B151=B152)*ROW(A$1:A151)))),IF(INDEX(I$1:I151,SUMPRODUCT(MAX((A$1:A151=A152)*(B$1:B151=B152)*ROW(A$1:A151))))="",C152&amp;"",INDEX(I$1:I151,SUMPRODUCT(MAX((A$1:A151=A152)*(B$1:B151=B152)*ROW(A$1:A151))))&amp;"; "&amp;C152))))</f>
        <v/>
      </c>
      <c r="J152" s="18" t="str">
        <f aca="false">IF(A152="","",A152&amp;"|"&amp;COUNTIF(A$2:A152,A152))</f>
        <v>Product 9|10</v>
      </c>
      <c r="K152" s="18" t="n">
        <f aca="false">IF(OR(A152="",B152=""),0,IF(COUNTIFS(A$2:A152,A152,B$2:B152,B152)=1,1,0))</f>
        <v>1</v>
      </c>
    </row>
    <row r="153" customFormat="false" ht="15" hidden="false" customHeight="false" outlineLevel="0" collapsed="false">
      <c r="A153" s="15" t="s">
        <v>119</v>
      </c>
      <c r="B153" s="15" t="s">
        <v>83</v>
      </c>
      <c r="C153" s="15"/>
      <c r="D153" s="15"/>
      <c r="F153" s="18" t="str">
        <f aca="false">IF(B153="","",IFERROR(INDEX(Materials!$B$2:$B$201,MATCH(B153,Materials!$A$2:$A$201,0)),""))</f>
        <v>Glidant / Anti-tacking</v>
      </c>
      <c r="G153" s="18" t="str">
        <f aca="true">IF(AND(A153="",B153=""),"",IF(A153="","Missing product",IF(B153="","Missing material",IF(COUNTIF(ProductList,A153)=0,"Product not in Products list",IF(COUNTIF(MaterialList,B153)=0,"Material not in Materials list","OK")))))</f>
        <v>OK</v>
      </c>
      <c r="H153" s="18" t="str">
        <f aca="false">IF(F153="Active",A153&amp;"|"&amp;COUNTIFS(A$2:A153,A153,F$2:F153,"Active"),"")</f>
        <v/>
      </c>
      <c r="I153" s="18" t="str">
        <f aca="false">IF(B153="","",IF(SUMPRODUCT(MAX((A$1:A152=A153)*(B$1:B152=B153)*ROW(A$1:A152)))=0,C153&amp;"",IF(C153="",INDEX(I$1:I152,SUMPRODUCT(MAX((A$1:A152=A153)*(B$1:B152=B153)*ROW(A$1:A152)))),IF(INDEX(I$1:I152,SUMPRODUCT(MAX((A$1:A152=A153)*(B$1:B152=B153)*ROW(A$1:A152))))="",C153&amp;"",INDEX(I$1:I152,SUMPRODUCT(MAX((A$1:A152=A153)*(B$1:B152=B153)*ROW(A$1:A152))))&amp;"; "&amp;C153))))</f>
        <v/>
      </c>
      <c r="J153" s="18" t="str">
        <f aca="false">IF(A153="","",A153&amp;"|"&amp;COUNTIF(A$2:A153,A153))</f>
        <v>Product 9|11</v>
      </c>
      <c r="K153" s="18" t="n">
        <f aca="false">IF(OR(A153="",B153=""),0,IF(COUNTIFS(A$2:A153,A153,B$2:B153,B153)=1,1,0))</f>
        <v>1</v>
      </c>
    </row>
    <row r="154" customFormat="false" ht="15" hidden="false" customHeight="false" outlineLevel="0" collapsed="false">
      <c r="A154" s="15" t="s">
        <v>119</v>
      </c>
      <c r="B154" s="15" t="s">
        <v>66</v>
      </c>
      <c r="C154" s="15"/>
      <c r="D154" s="15"/>
      <c r="F154" s="18" t="str">
        <f aca="false">IF(B154="","",IFERROR(INDEX(Materials!$B$2:$B$201,MATCH(B154,Materials!$A$2:$A$201,0)),""))</f>
        <v>Solvent</v>
      </c>
      <c r="G154" s="18" t="str">
        <f aca="true">IF(AND(A154="",B154=""),"",IF(A154="","Missing product",IF(B154="","Missing material",IF(COUNTIF(ProductList,A154)=0,"Product not in Products list",IF(COUNTIF(MaterialList,B154)=0,"Material not in Materials list","OK")))))</f>
        <v>OK</v>
      </c>
      <c r="H154" s="18" t="str">
        <f aca="false">IF(F154="Active",A154&amp;"|"&amp;COUNTIFS(A$2:A154,A154,F$2:F154,"Active"),"")</f>
        <v/>
      </c>
      <c r="I154" s="18" t="str">
        <f aca="false">IF(B154="","",IF(SUMPRODUCT(MAX((A$1:A153=A154)*(B$1:B153=B154)*ROW(A$1:A153)))=0,C154&amp;"",IF(C154="",INDEX(I$1:I153,SUMPRODUCT(MAX((A$1:A153=A154)*(B$1:B153=B154)*ROW(A$1:A153)))),IF(INDEX(I$1:I153,SUMPRODUCT(MAX((A$1:A153=A154)*(B$1:B153=B154)*ROW(A$1:A153))))="",C154&amp;"",INDEX(I$1:I153,SUMPRODUCT(MAX((A$1:A153=A154)*(B$1:B153=B154)*ROW(A$1:A153))))&amp;"; "&amp;C154))))</f>
        <v/>
      </c>
      <c r="J154" s="18" t="str">
        <f aca="false">IF(A154="","",A154&amp;"|"&amp;COUNTIF(A$2:A154,A154))</f>
        <v>Product 9|12</v>
      </c>
      <c r="K154" s="18" t="n">
        <f aca="false">IF(OR(A154="",B154=""),0,IF(COUNTIFS(A$2:A154,A154,B$2:B154,B154)=1,1,0))</f>
        <v>1</v>
      </c>
    </row>
    <row r="155" customFormat="false" ht="15" hidden="false" customHeight="false" outlineLevel="0" collapsed="false">
      <c r="A155" s="15" t="s">
        <v>119</v>
      </c>
      <c r="B155" s="15" t="s">
        <v>105</v>
      </c>
      <c r="C155" s="15"/>
      <c r="D155" s="15"/>
      <c r="F155" s="18" t="str">
        <f aca="false">IF(B155="","",IFERROR(INDEX(Materials!$B$2:$B$201,MATCH(B155,Materials!$A$2:$A$201,0)),""))</f>
        <v>Solvent</v>
      </c>
      <c r="G155" s="18" t="str">
        <f aca="true">IF(AND(A155="",B155=""),"",IF(A155="","Missing product",IF(B155="","Missing material",IF(COUNTIF(ProductList,A155)=0,"Product not in Products list",IF(COUNTIF(MaterialList,B155)=0,"Material not in Materials list","OK")))))</f>
        <v>OK</v>
      </c>
      <c r="H155" s="18" t="str">
        <f aca="false">IF(F155="Active",A155&amp;"|"&amp;COUNTIFS(A$2:A155,A155,F$2:F155,"Active"),"")</f>
        <v/>
      </c>
      <c r="I155" s="18" t="str">
        <f aca="false">IF(B155="","",IF(SUMPRODUCT(MAX((A$1:A154=A155)*(B$1:B154=B155)*ROW(A$1:A154)))=0,C155&amp;"",IF(C155="",INDEX(I$1:I154,SUMPRODUCT(MAX((A$1:A154=A155)*(B$1:B154=B155)*ROW(A$1:A154)))),IF(INDEX(I$1:I154,SUMPRODUCT(MAX((A$1:A154=A155)*(B$1:B154=B155)*ROW(A$1:A154))))="",C155&amp;"",INDEX(I$1:I154,SUMPRODUCT(MAX((A$1:A154=A155)*(B$1:B154=B155)*ROW(A$1:A154))))&amp;"; "&amp;C155))))</f>
        <v/>
      </c>
      <c r="J155" s="18" t="str">
        <f aca="false">IF(A155="","",A155&amp;"|"&amp;COUNTIF(A$2:A155,A155))</f>
        <v>Product 9|13</v>
      </c>
      <c r="K155" s="18" t="n">
        <f aca="false">IF(OR(A155="",B155=""),0,IF(COUNTIFS(A$2:A155,A155,B$2:B155,B155)=1,1,0))</f>
        <v>1</v>
      </c>
    </row>
    <row r="156" customFormat="false" ht="15" hidden="false" customHeight="false" outlineLevel="0" collapsed="false">
      <c r="A156" s="15" t="s">
        <v>120</v>
      </c>
      <c r="B156" s="15" t="s">
        <v>100</v>
      </c>
      <c r="C156" s="15"/>
      <c r="D156" s="15"/>
      <c r="F156" s="18" t="str">
        <f aca="false">IF(B156="","",IFERROR(INDEX(Materials!$B$2:$B$201,MATCH(B156,Materials!$A$2:$A$201,0)),""))</f>
        <v>Active</v>
      </c>
      <c r="G156" s="18" t="str">
        <f aca="true">IF(AND(A156="",B156=""),"",IF(A156="","Missing product",IF(B156="","Missing material",IF(COUNTIF(ProductList,A156)=0,"Product not in Products list",IF(COUNTIF(MaterialList,B156)=0,"Material not in Materials list","OK")))))</f>
        <v>OK</v>
      </c>
      <c r="H156" s="18" t="str">
        <f aca="false">IF(F156="Active",A156&amp;"|"&amp;COUNTIFS(A$2:A156,A156,F$2:F156,"Active"),"")</f>
        <v>Product 10|1</v>
      </c>
      <c r="I156" s="18" t="str">
        <f aca="false">IF(B156="","",IF(SUMPRODUCT(MAX((A$1:A155=A156)*(B$1:B155=B156)*ROW(A$1:A155)))=0,C156&amp;"",IF(C156="",INDEX(I$1:I155,SUMPRODUCT(MAX((A$1:A155=A156)*(B$1:B155=B156)*ROW(A$1:A155)))),IF(INDEX(I$1:I155,SUMPRODUCT(MAX((A$1:A155=A156)*(B$1:B155=B156)*ROW(A$1:A155))))="",C156&amp;"",INDEX(I$1:I155,SUMPRODUCT(MAX((A$1:A155=A156)*(B$1:B155=B156)*ROW(A$1:A155))))&amp;"; "&amp;C156))))</f>
        <v/>
      </c>
      <c r="J156" s="18" t="str">
        <f aca="false">IF(A156="","",A156&amp;"|"&amp;COUNTIF(A$2:A156,A156))</f>
        <v>Product 10|1</v>
      </c>
      <c r="K156" s="18" t="n">
        <f aca="false">IF(OR(A156="",B156=""),0,IF(COUNTIFS(A$2:A156,A156,B$2:B156,B156)=1,1,0))</f>
        <v>1</v>
      </c>
    </row>
    <row r="157" customFormat="false" ht="15" hidden="false" customHeight="false" outlineLevel="0" collapsed="false">
      <c r="A157" s="15" t="s">
        <v>120</v>
      </c>
      <c r="B157" s="15" t="s">
        <v>101</v>
      </c>
      <c r="C157" s="15"/>
      <c r="D157" s="15"/>
      <c r="F157" s="18" t="str">
        <f aca="false">IF(B157="","",IFERROR(INDEX(Materials!$B$2:$B$201,MATCH(B157,Materials!$A$2:$A$201,0)),""))</f>
        <v>Alkalizer / Solubilizer</v>
      </c>
      <c r="G157" s="18" t="str">
        <f aca="true">IF(AND(A157="",B157=""),"",IF(A157="","Missing product",IF(B157="","Missing material",IF(COUNTIF(ProductList,A157)=0,"Product not in Products list",IF(COUNTIF(MaterialList,B157)=0,"Material not in Materials list","OK")))))</f>
        <v>OK</v>
      </c>
      <c r="H157" s="18" t="str">
        <f aca="false">IF(F157="Active",A157&amp;"|"&amp;COUNTIFS(A$2:A157,A157,F$2:F157,"Active"),"")</f>
        <v/>
      </c>
      <c r="I157" s="18" t="str">
        <f aca="false">IF(B157="","",IF(SUMPRODUCT(MAX((A$1:A156=A157)*(B$1:B156=B157)*ROW(A$1:A156)))=0,C157&amp;"",IF(C157="",INDEX(I$1:I156,SUMPRODUCT(MAX((A$1:A156=A157)*(B$1:B156=B157)*ROW(A$1:A156)))),IF(INDEX(I$1:I156,SUMPRODUCT(MAX((A$1:A156=A157)*(B$1:B156=B157)*ROW(A$1:A156))))="",C157&amp;"",INDEX(I$1:I156,SUMPRODUCT(MAX((A$1:A156=A157)*(B$1:B156=B157)*ROW(A$1:A156))))&amp;"; "&amp;C157))))</f>
        <v/>
      </c>
      <c r="J157" s="18" t="str">
        <f aca="false">IF(A157="","",A157&amp;"|"&amp;COUNTIF(A$2:A157,A157))</f>
        <v>Product 10|2</v>
      </c>
      <c r="K157" s="18" t="n">
        <f aca="false">IF(OR(A157="",B157=""),0,IF(COUNTIFS(A$2:A157,A157,B$2:B157,B157)=1,1,0))</f>
        <v>1</v>
      </c>
    </row>
    <row r="158" customFormat="false" ht="15" hidden="false" customHeight="false" outlineLevel="0" collapsed="false">
      <c r="A158" s="15" t="s">
        <v>120</v>
      </c>
      <c r="B158" s="15" t="s">
        <v>103</v>
      </c>
      <c r="C158" s="15"/>
      <c r="D158" s="15"/>
      <c r="F158" s="18" t="str">
        <f aca="false">IF(B158="","",IFERROR(INDEX(Materials!$B$2:$B$201,MATCH(B158,Materials!$A$2:$A$201,0)),""))</f>
        <v>Alkalizer / Solubilizer</v>
      </c>
      <c r="G158" s="18" t="str">
        <f aca="true">IF(AND(A158="",B158=""),"",IF(A158="","Missing product",IF(B158="","Missing material",IF(COUNTIF(ProductList,A158)=0,"Product not in Products list",IF(COUNTIF(MaterialList,B158)=0,"Material not in Materials list","OK")))))</f>
        <v>OK</v>
      </c>
      <c r="H158" s="18" t="str">
        <f aca="false">IF(F158="Active",A158&amp;"|"&amp;COUNTIFS(A$2:A158,A158,F$2:F158,"Active"),"")</f>
        <v/>
      </c>
      <c r="I158" s="18" t="str">
        <f aca="false">IF(B158="","",IF(SUMPRODUCT(MAX((A$1:A157=A158)*(B$1:B157=B158)*ROW(A$1:A157)))=0,C158&amp;"",IF(C158="",INDEX(I$1:I157,SUMPRODUCT(MAX((A$1:A157=A158)*(B$1:B157=B158)*ROW(A$1:A157)))),IF(INDEX(I$1:I157,SUMPRODUCT(MAX((A$1:A157=A158)*(B$1:B157=B158)*ROW(A$1:A157))))="",C158&amp;"",INDEX(I$1:I157,SUMPRODUCT(MAX((A$1:A157=A158)*(B$1:B157=B158)*ROW(A$1:A157))))&amp;"; "&amp;C158))))</f>
        <v/>
      </c>
      <c r="J158" s="18" t="str">
        <f aca="false">IF(A158="","",A158&amp;"|"&amp;COUNTIF(A$2:A158,A158))</f>
        <v>Product 10|3</v>
      </c>
      <c r="K158" s="18" t="n">
        <f aca="false">IF(OR(A158="",B158=""),0,IF(COUNTIFS(A$2:A158,A158,B$2:B158,B158)=1,1,0))</f>
        <v>1</v>
      </c>
    </row>
    <row r="159" customFormat="false" ht="15" hidden="false" customHeight="false" outlineLevel="0" collapsed="false">
      <c r="A159" s="15" t="s">
        <v>120</v>
      </c>
      <c r="B159" s="15" t="s">
        <v>64</v>
      </c>
      <c r="C159" s="15"/>
      <c r="D159" s="15"/>
      <c r="F159" s="18" t="str">
        <f aca="false">IF(B159="","",IFERROR(INDEX(Materials!$B$2:$B$201,MATCH(B159,Materials!$A$2:$A$201,0)),""))</f>
        <v>Binder</v>
      </c>
      <c r="G159" s="18" t="str">
        <f aca="true">IF(AND(A159="",B159=""),"",IF(A159="","Missing product",IF(B159="","Missing material",IF(COUNTIF(ProductList,A159)=0,"Product not in Products list",IF(COUNTIF(MaterialList,B159)=0,"Material not in Materials list","OK")))))</f>
        <v>OK</v>
      </c>
      <c r="H159" s="18" t="str">
        <f aca="false">IF(F159="Active",A159&amp;"|"&amp;COUNTIFS(A$2:A159,A159,F$2:F159,"Active"),"")</f>
        <v/>
      </c>
      <c r="I159" s="18" t="str">
        <f aca="false">IF(B159="","",IF(SUMPRODUCT(MAX((A$1:A158=A159)*(B$1:B158=B159)*ROW(A$1:A158)))=0,C159&amp;"",IF(C159="",INDEX(I$1:I158,SUMPRODUCT(MAX((A$1:A158=A159)*(B$1:B158=B159)*ROW(A$1:A158)))),IF(INDEX(I$1:I158,SUMPRODUCT(MAX((A$1:A158=A159)*(B$1:B158=B159)*ROW(A$1:A158))))="",C159&amp;"",INDEX(I$1:I158,SUMPRODUCT(MAX((A$1:A158=A159)*(B$1:B158=B159)*ROW(A$1:A158))))&amp;"; "&amp;C159))))</f>
        <v/>
      </c>
      <c r="J159" s="18" t="str">
        <f aca="false">IF(A159="","",A159&amp;"|"&amp;COUNTIF(A$2:A159,A159))</f>
        <v>Product 10|4</v>
      </c>
      <c r="K159" s="18" t="n">
        <f aca="false">IF(OR(A159="",B159=""),0,IF(COUNTIFS(A$2:A159,A159,B$2:B159,B159)=1,1,0))</f>
        <v>1</v>
      </c>
    </row>
    <row r="160" customFormat="false" ht="15" hidden="false" customHeight="false" outlineLevel="0" collapsed="false">
      <c r="A160" s="15" t="s">
        <v>120</v>
      </c>
      <c r="B160" s="15" t="s">
        <v>62</v>
      </c>
      <c r="C160" s="15"/>
      <c r="D160" s="15"/>
      <c r="F160" s="18" t="str">
        <f aca="false">IF(B160="","",IFERROR(INDEX(Materials!$B$2:$B$201,MATCH(B160,Materials!$A$2:$A$201,0)),""))</f>
        <v>Filler / Diluent</v>
      </c>
      <c r="G160" s="18" t="str">
        <f aca="true">IF(AND(A160="",B160=""),"",IF(A160="","Missing product",IF(B160="","Missing material",IF(COUNTIF(ProductList,A160)=0,"Product not in Products list",IF(COUNTIF(MaterialList,B160)=0,"Material not in Materials list","OK")))))</f>
        <v>OK</v>
      </c>
      <c r="H160" s="18" t="str">
        <f aca="false">IF(F160="Active",A160&amp;"|"&amp;COUNTIFS(A$2:A160,A160,F$2:F160,"Active"),"")</f>
        <v/>
      </c>
      <c r="I160" s="18" t="str">
        <f aca="false">IF(B160="","",IF(SUMPRODUCT(MAX((A$1:A159=A160)*(B$1:B159=B160)*ROW(A$1:A159)))=0,C160&amp;"",IF(C160="",INDEX(I$1:I159,SUMPRODUCT(MAX((A$1:A159=A160)*(B$1:B159=B160)*ROW(A$1:A159)))),IF(INDEX(I$1:I159,SUMPRODUCT(MAX((A$1:A159=A160)*(B$1:B159=B160)*ROW(A$1:A159))))="",C160&amp;"",INDEX(I$1:I159,SUMPRODUCT(MAX((A$1:A159=A160)*(B$1:B159=B160)*ROW(A$1:A159))))&amp;"; "&amp;C160))))</f>
        <v/>
      </c>
      <c r="J160" s="18" t="str">
        <f aca="false">IF(A160="","",A160&amp;"|"&amp;COUNTIF(A$2:A160,A160))</f>
        <v>Product 10|5</v>
      </c>
      <c r="K160" s="18" t="n">
        <f aca="false">IF(OR(A160="",B160=""),0,IF(COUNTIFS(A$2:A160,A160,B$2:B160,B160)=1,1,0))</f>
        <v>1</v>
      </c>
    </row>
    <row r="161" customFormat="false" ht="15" hidden="false" customHeight="false" outlineLevel="0" collapsed="false">
      <c r="A161" s="15" t="s">
        <v>120</v>
      </c>
      <c r="B161" s="15" t="s">
        <v>71</v>
      </c>
      <c r="C161" s="15"/>
      <c r="D161" s="15"/>
      <c r="F161" s="18" t="str">
        <f aca="false">IF(B161="","",IFERROR(INDEX(Materials!$B$2:$B$201,MATCH(B161,Materials!$A$2:$A$201,0)),""))</f>
        <v>Glidant</v>
      </c>
      <c r="G161" s="18" t="str">
        <f aca="true">IF(AND(A161="",B161=""),"",IF(A161="","Missing product",IF(B161="","Missing material",IF(COUNTIF(ProductList,A161)=0,"Product not in Products list",IF(COUNTIF(MaterialList,B161)=0,"Material not in Materials list","OK")))))</f>
        <v>OK</v>
      </c>
      <c r="H161" s="18" t="str">
        <f aca="false">IF(F161="Active",A161&amp;"|"&amp;COUNTIFS(A$2:A161,A161,F$2:F161,"Active"),"")</f>
        <v/>
      </c>
      <c r="I161" s="18" t="str">
        <f aca="false">IF(B161="","",IF(SUMPRODUCT(MAX((A$1:A160=A161)*(B$1:B160=B161)*ROW(A$1:A160)))=0,C161&amp;"",IF(C161="",INDEX(I$1:I160,SUMPRODUCT(MAX((A$1:A160=A161)*(B$1:B160=B161)*ROW(A$1:A160)))),IF(INDEX(I$1:I160,SUMPRODUCT(MAX((A$1:A160=A161)*(B$1:B160=B161)*ROW(A$1:A160))))="",C161&amp;"",INDEX(I$1:I160,SUMPRODUCT(MAX((A$1:A160=A161)*(B$1:B160=B161)*ROW(A$1:A160))))&amp;"; "&amp;C161))))</f>
        <v/>
      </c>
      <c r="J161" s="18" t="str">
        <f aca="false">IF(A161="","",A161&amp;"|"&amp;COUNTIF(A$2:A161,A161))</f>
        <v>Product 10|6</v>
      </c>
      <c r="K161" s="18" t="n">
        <f aca="false">IF(OR(A161="",B161=""),0,IF(COUNTIFS(A$2:A161,A161,B$2:B161,B161)=1,1,0))</f>
        <v>1</v>
      </c>
    </row>
    <row r="162" customFormat="false" ht="15" hidden="false" customHeight="false" outlineLevel="0" collapsed="false">
      <c r="A162" s="15" t="s">
        <v>120</v>
      </c>
      <c r="B162" s="15" t="s">
        <v>96</v>
      </c>
      <c r="C162" s="15"/>
      <c r="D162" s="15"/>
      <c r="F162" s="18" t="str">
        <f aca="false">IF(B162="","",IFERROR(INDEX(Materials!$B$2:$B$201,MATCH(B162,Materials!$A$2:$A$201,0)),""))</f>
        <v>Filler / Diluent</v>
      </c>
      <c r="G162" s="18" t="str">
        <f aca="true">IF(AND(A162="",B162=""),"",IF(A162="","Missing product",IF(B162="","Missing material",IF(COUNTIF(ProductList,A162)=0,"Product not in Products list",IF(COUNTIF(MaterialList,B162)=0,"Material not in Materials list","OK")))))</f>
        <v>OK</v>
      </c>
      <c r="H162" s="18" t="str">
        <f aca="false">IF(F162="Active",A162&amp;"|"&amp;COUNTIFS(A$2:A162,A162,F$2:F162,"Active"),"")</f>
        <v/>
      </c>
      <c r="I162" s="18" t="str">
        <f aca="false">IF(B162="","",IF(SUMPRODUCT(MAX((A$1:A161=A162)*(B$1:B161=B162)*ROW(A$1:A161)))=0,C162&amp;"",IF(C162="",INDEX(I$1:I161,SUMPRODUCT(MAX((A$1:A161=A162)*(B$1:B161=B162)*ROW(A$1:A161)))),IF(INDEX(I$1:I161,SUMPRODUCT(MAX((A$1:A161=A162)*(B$1:B161=B162)*ROW(A$1:A161))))="",C162&amp;"",INDEX(I$1:I161,SUMPRODUCT(MAX((A$1:A161=A162)*(B$1:B161=B162)*ROW(A$1:A161))))&amp;"; "&amp;C162))))</f>
        <v/>
      </c>
      <c r="J162" s="18" t="str">
        <f aca="false">IF(A162="","",A162&amp;"|"&amp;COUNTIF(A$2:A162,A162))</f>
        <v>Product 10|7</v>
      </c>
      <c r="K162" s="18" t="n">
        <f aca="false">IF(OR(A162="",B162=""),0,IF(COUNTIFS(A$2:A162,A162,B$2:B162,B162)=1,1,0))</f>
        <v>1</v>
      </c>
    </row>
    <row r="163" customFormat="false" ht="15" hidden="false" customHeight="false" outlineLevel="0" collapsed="false">
      <c r="A163" s="15" t="s">
        <v>120</v>
      </c>
      <c r="B163" s="15" t="s">
        <v>104</v>
      </c>
      <c r="C163" s="15"/>
      <c r="D163" s="15"/>
      <c r="F163" s="18" t="str">
        <f aca="false">IF(B163="","",IFERROR(INDEX(Materials!$B$2:$B$201,MATCH(B163,Materials!$A$2:$A$201,0)),""))</f>
        <v>Disintegrant</v>
      </c>
      <c r="G163" s="18" t="str">
        <f aca="true">IF(AND(A163="",B163=""),"",IF(A163="","Missing product",IF(B163="","Missing material",IF(COUNTIF(ProductList,A163)=0,"Product not in Products list",IF(COUNTIF(MaterialList,B163)=0,"Material not in Materials list","OK")))))</f>
        <v>OK</v>
      </c>
      <c r="H163" s="18" t="str">
        <f aca="false">IF(F163="Active",A163&amp;"|"&amp;COUNTIFS(A$2:A163,A163,F$2:F163,"Active"),"")</f>
        <v/>
      </c>
      <c r="I163" s="18" t="str">
        <f aca="false">IF(B163="","",IF(SUMPRODUCT(MAX((A$1:A162=A163)*(B$1:B162=B163)*ROW(A$1:A162)))=0,C163&amp;"",IF(C163="",INDEX(I$1:I162,SUMPRODUCT(MAX((A$1:A162=A163)*(B$1:B162=B163)*ROW(A$1:A162)))),IF(INDEX(I$1:I162,SUMPRODUCT(MAX((A$1:A162=A163)*(B$1:B162=B163)*ROW(A$1:A162))))="",C163&amp;"",INDEX(I$1:I162,SUMPRODUCT(MAX((A$1:A162=A163)*(B$1:B162=B163)*ROW(A$1:A162))))&amp;"; "&amp;C163))))</f>
        <v/>
      </c>
      <c r="J163" s="18" t="str">
        <f aca="false">IF(A163="","",A163&amp;"|"&amp;COUNTIF(A$2:A163,A163))</f>
        <v>Product 10|8</v>
      </c>
      <c r="K163" s="18" t="n">
        <f aca="false">IF(OR(A163="",B163=""),0,IF(COUNTIFS(A$2:A163,A163,B$2:B163,B163)=1,1,0))</f>
        <v>1</v>
      </c>
    </row>
    <row r="164" customFormat="false" ht="15" hidden="false" customHeight="false" outlineLevel="0" collapsed="false">
      <c r="A164" s="15" t="s">
        <v>120</v>
      </c>
      <c r="B164" s="15" t="s">
        <v>60</v>
      </c>
      <c r="C164" s="15"/>
      <c r="D164" s="15"/>
      <c r="F164" s="18" t="str">
        <f aca="false">IF(B164="","",IFERROR(INDEX(Materials!$B$2:$B$201,MATCH(B164,Materials!$A$2:$A$201,0)),""))</f>
        <v>Surfactant</v>
      </c>
      <c r="G164" s="18" t="str">
        <f aca="true">IF(AND(A164="",B164=""),"",IF(A164="","Missing product",IF(B164="","Missing material",IF(COUNTIF(ProductList,A164)=0,"Product not in Products list",IF(COUNTIF(MaterialList,B164)=0,"Material not in Materials list","OK")))))</f>
        <v>OK</v>
      </c>
      <c r="H164" s="18" t="str">
        <f aca="false">IF(F164="Active",A164&amp;"|"&amp;COUNTIFS(A$2:A164,A164,F$2:F164,"Active"),"")</f>
        <v/>
      </c>
      <c r="I164" s="18" t="str">
        <f aca="false">IF(B164="","",IF(SUMPRODUCT(MAX((A$1:A163=A164)*(B$1:B163=B164)*ROW(A$1:A163)))=0,C164&amp;"",IF(C164="",INDEX(I$1:I163,SUMPRODUCT(MAX((A$1:A163=A164)*(B$1:B163=B164)*ROW(A$1:A163)))),IF(INDEX(I$1:I163,SUMPRODUCT(MAX((A$1:A163=A164)*(B$1:B163=B164)*ROW(A$1:A163))))="",C164&amp;"",INDEX(I$1:I163,SUMPRODUCT(MAX((A$1:A163=A164)*(B$1:B163=B164)*ROW(A$1:A163))))&amp;"; "&amp;C164))))</f>
        <v/>
      </c>
      <c r="J164" s="18" t="str">
        <f aca="false">IF(A164="","",A164&amp;"|"&amp;COUNTIF(A$2:A164,A164))</f>
        <v>Product 10|9</v>
      </c>
      <c r="K164" s="18" t="n">
        <f aca="false">IF(OR(A164="",B164=""),0,IF(COUNTIFS(A$2:A164,A164,B$2:B164,B164)=1,1,0))</f>
        <v>1</v>
      </c>
    </row>
    <row r="165" customFormat="false" ht="15" hidden="false" customHeight="false" outlineLevel="0" collapsed="false">
      <c r="A165" s="15" t="s">
        <v>120</v>
      </c>
      <c r="B165" s="15" t="s">
        <v>91</v>
      </c>
      <c r="C165" s="15"/>
      <c r="D165" s="15"/>
      <c r="F165" s="18" t="str">
        <f aca="false">IF(B165="","",IFERROR(INDEX(Materials!$B$2:$B$201,MATCH(B165,Materials!$A$2:$A$201,0)),""))</f>
        <v>Lubricant</v>
      </c>
      <c r="G165" s="18" t="str">
        <f aca="true">IF(AND(A165="",B165=""),"",IF(A165="","Missing product",IF(B165="","Missing material",IF(COUNTIF(ProductList,A165)=0,"Product not in Products list",IF(COUNTIF(MaterialList,B165)=0,"Material not in Materials list","OK")))))</f>
        <v>OK</v>
      </c>
      <c r="H165" s="18" t="str">
        <f aca="false">IF(F165="Active",A165&amp;"|"&amp;COUNTIFS(A$2:A165,A165,F$2:F165,"Active"),"")</f>
        <v/>
      </c>
      <c r="I165" s="18" t="str">
        <f aca="false">IF(B165="","",IF(SUMPRODUCT(MAX((A$1:A164=A165)*(B$1:B164=B165)*ROW(A$1:A164)))=0,C165&amp;"",IF(C165="",INDEX(I$1:I164,SUMPRODUCT(MAX((A$1:A164=A165)*(B$1:B164=B165)*ROW(A$1:A164)))),IF(INDEX(I$1:I164,SUMPRODUCT(MAX((A$1:A164=A165)*(B$1:B164=B165)*ROW(A$1:A164))))="",C165&amp;"",INDEX(I$1:I164,SUMPRODUCT(MAX((A$1:A164=A165)*(B$1:B164=B165)*ROW(A$1:A164))))&amp;"; "&amp;C165))))</f>
        <v/>
      </c>
      <c r="J165" s="18" t="str">
        <f aca="false">IF(A165="","",A165&amp;"|"&amp;COUNTIF(A$2:A165,A165))</f>
        <v>Product 10|10</v>
      </c>
      <c r="K165" s="18" t="n">
        <f aca="false">IF(OR(A165="",B165=""),0,IF(COUNTIFS(A$2:A165,A165,B$2:B165,B165)=1,1,0))</f>
        <v>1</v>
      </c>
    </row>
    <row r="166" customFormat="false" ht="15" hidden="false" customHeight="false" outlineLevel="0" collapsed="false">
      <c r="A166" s="15" t="s">
        <v>120</v>
      </c>
      <c r="B166" s="15" t="s">
        <v>83</v>
      </c>
      <c r="C166" s="15"/>
      <c r="D166" s="15"/>
      <c r="F166" s="18" t="str">
        <f aca="false">IF(B166="","",IFERROR(INDEX(Materials!$B$2:$B$201,MATCH(B166,Materials!$A$2:$A$201,0)),""))</f>
        <v>Glidant / Anti-tacking</v>
      </c>
      <c r="G166" s="18" t="str">
        <f aca="true">IF(AND(A166="",B166=""),"",IF(A166="","Missing product",IF(B166="","Missing material",IF(COUNTIF(ProductList,A166)=0,"Product not in Products list",IF(COUNTIF(MaterialList,B166)=0,"Material not in Materials list","OK")))))</f>
        <v>OK</v>
      </c>
      <c r="H166" s="18" t="str">
        <f aca="false">IF(F166="Active",A166&amp;"|"&amp;COUNTIFS(A$2:A166,A166,F$2:F166,"Active"),"")</f>
        <v/>
      </c>
      <c r="I166" s="18" t="str">
        <f aca="false">IF(B166="","",IF(SUMPRODUCT(MAX((A$1:A165=A166)*(B$1:B165=B166)*ROW(A$1:A165)))=0,C166&amp;"",IF(C166="",INDEX(I$1:I165,SUMPRODUCT(MAX((A$1:A165=A166)*(B$1:B165=B166)*ROW(A$1:A165)))),IF(INDEX(I$1:I165,SUMPRODUCT(MAX((A$1:A165=A166)*(B$1:B165=B166)*ROW(A$1:A165))))="",C166&amp;"",INDEX(I$1:I165,SUMPRODUCT(MAX((A$1:A165=A166)*(B$1:B165=B166)*ROW(A$1:A165))))&amp;"; "&amp;C166))))</f>
        <v/>
      </c>
      <c r="J166" s="18" t="str">
        <f aca="false">IF(A166="","",A166&amp;"|"&amp;COUNTIF(A$2:A166,A166))</f>
        <v>Product 10|11</v>
      </c>
      <c r="K166" s="18" t="n">
        <f aca="false">IF(OR(A166="",B166=""),0,IF(COUNTIFS(A$2:A166,A166,B$2:B166,B166)=1,1,0))</f>
        <v>1</v>
      </c>
    </row>
    <row r="167" customFormat="false" ht="15" hidden="false" customHeight="false" outlineLevel="0" collapsed="false">
      <c r="A167" s="15" t="s">
        <v>120</v>
      </c>
      <c r="B167" s="15" t="s">
        <v>66</v>
      </c>
      <c r="C167" s="15"/>
      <c r="D167" s="15"/>
      <c r="F167" s="18" t="str">
        <f aca="false">IF(B167="","",IFERROR(INDEX(Materials!$B$2:$B$201,MATCH(B167,Materials!$A$2:$A$201,0)),""))</f>
        <v>Solvent</v>
      </c>
      <c r="G167" s="18" t="str">
        <f aca="true">IF(AND(A167="",B167=""),"",IF(A167="","Missing product",IF(B167="","Missing material",IF(COUNTIF(ProductList,A167)=0,"Product not in Products list",IF(COUNTIF(MaterialList,B167)=0,"Material not in Materials list","OK")))))</f>
        <v>OK</v>
      </c>
      <c r="H167" s="18" t="str">
        <f aca="false">IF(F167="Active",A167&amp;"|"&amp;COUNTIFS(A$2:A167,A167,F$2:F167,"Active"),"")</f>
        <v/>
      </c>
      <c r="I167" s="18" t="str">
        <f aca="false">IF(B167="","",IF(SUMPRODUCT(MAX((A$1:A166=A167)*(B$1:B166=B167)*ROW(A$1:A166)))=0,C167&amp;"",IF(C167="",INDEX(I$1:I166,SUMPRODUCT(MAX((A$1:A166=A167)*(B$1:B166=B167)*ROW(A$1:A166)))),IF(INDEX(I$1:I166,SUMPRODUCT(MAX((A$1:A166=A167)*(B$1:B166=B167)*ROW(A$1:A166))))="",C167&amp;"",INDEX(I$1:I166,SUMPRODUCT(MAX((A$1:A166=A167)*(B$1:B166=B167)*ROW(A$1:A166))))&amp;"; "&amp;C167))))</f>
        <v/>
      </c>
      <c r="J167" s="18" t="str">
        <f aca="false">IF(A167="","",A167&amp;"|"&amp;COUNTIF(A$2:A167,A167))</f>
        <v>Product 10|12</v>
      </c>
      <c r="K167" s="18" t="n">
        <f aca="false">IF(OR(A167="",B167=""),0,IF(COUNTIFS(A$2:A167,A167,B$2:B167,B167)=1,1,0))</f>
        <v>1</v>
      </c>
    </row>
    <row r="168" customFormat="false" ht="15" hidden="false" customHeight="false" outlineLevel="0" collapsed="false">
      <c r="A168" s="15" t="s">
        <v>120</v>
      </c>
      <c r="B168" s="15" t="s">
        <v>105</v>
      </c>
      <c r="C168" s="15"/>
      <c r="D168" s="15"/>
      <c r="F168" s="18" t="str">
        <f aca="false">IF(B168="","",IFERROR(INDEX(Materials!$B$2:$B$201,MATCH(B168,Materials!$A$2:$A$201,0)),""))</f>
        <v>Solvent</v>
      </c>
      <c r="G168" s="18" t="str">
        <f aca="true">IF(AND(A168="",B168=""),"",IF(A168="","Missing product",IF(B168="","Missing material",IF(COUNTIF(ProductList,A168)=0,"Product not in Products list",IF(COUNTIF(MaterialList,B168)=0,"Material not in Materials list","OK")))))</f>
        <v>OK</v>
      </c>
      <c r="H168" s="18" t="str">
        <f aca="false">IF(F168="Active",A168&amp;"|"&amp;COUNTIFS(A$2:A168,A168,F$2:F168,"Active"),"")</f>
        <v/>
      </c>
      <c r="I168" s="18" t="str">
        <f aca="false">IF(B168="","",IF(SUMPRODUCT(MAX((A$1:A167=A168)*(B$1:B167=B168)*ROW(A$1:A167)))=0,C168&amp;"",IF(C168="",INDEX(I$1:I167,SUMPRODUCT(MAX((A$1:A167=A168)*(B$1:B167=B168)*ROW(A$1:A167)))),IF(INDEX(I$1:I167,SUMPRODUCT(MAX((A$1:A167=A168)*(B$1:B167=B168)*ROW(A$1:A167))))="",C168&amp;"",INDEX(I$1:I167,SUMPRODUCT(MAX((A$1:A167=A168)*(B$1:B167=B168)*ROW(A$1:A167))))&amp;"; "&amp;C168))))</f>
        <v/>
      </c>
      <c r="J168" s="18" t="str">
        <f aca="false">IF(A168="","",A168&amp;"|"&amp;COUNTIF(A$2:A168,A168))</f>
        <v>Product 10|13</v>
      </c>
      <c r="K168" s="18" t="n">
        <f aca="false">IF(OR(A168="",B168=""),0,IF(COUNTIFS(A$2:A168,A168,B$2:B168,B168)=1,1,0))</f>
        <v>1</v>
      </c>
    </row>
    <row r="169" customFormat="false" ht="15" hidden="false" customHeight="false" outlineLevel="0" collapsed="false">
      <c r="A169" s="15"/>
      <c r="B169" s="15"/>
      <c r="C169" s="15"/>
      <c r="D169" s="15"/>
      <c r="F169" s="18" t="str">
        <f aca="false">IF(B169="","",IFERROR(INDEX(Materials!$B$2:$B$201,MATCH(B169,Materials!$A$2:$A$201,0)),""))</f>
        <v/>
      </c>
      <c r="G169" s="18" t="str">
        <f aca="true">IF(AND(A169="",B169=""),"",IF(A169="","Missing product",IF(B169="","Missing material",IF(COUNTIF(ProductList,A169)=0,"Product not in Products list",IF(COUNTIF(MaterialList,B169)=0,"Material not in Materials list","OK")))))</f>
        <v/>
      </c>
      <c r="H169" s="18" t="str">
        <f aca="false">IF(F169="Active",A169&amp;"|"&amp;COUNTIFS(A$2:A169,A169,F$2:F169,"Active"),"")</f>
        <v/>
      </c>
      <c r="I169" s="18" t="str">
        <f aca="false">IF(B169="","",IF(SUMPRODUCT(MAX((A$1:A168=A169)*(B$1:B168=B169)*ROW(A$1:A168)))=0,C169&amp;"",IF(C169="",INDEX(I$1:I168,SUMPRODUCT(MAX((A$1:A168=A169)*(B$1:B168=B169)*ROW(A$1:A168)))),IF(INDEX(I$1:I168,SUMPRODUCT(MAX((A$1:A168=A169)*(B$1:B168=B169)*ROW(A$1:A168))))="",C169&amp;"",INDEX(I$1:I168,SUMPRODUCT(MAX((A$1:A168=A169)*(B$1:B168=B169)*ROW(A$1:A168))))&amp;"; "&amp;C169))))</f>
        <v/>
      </c>
      <c r="J169" s="18" t="str">
        <f aca="false">IF(A169="","",A169&amp;"|"&amp;COUNTIF(A$2:A169,A169))</f>
        <v/>
      </c>
      <c r="K169" s="18" t="n">
        <f aca="false">IF(OR(A169="",B169=""),0,IF(COUNTIFS(A$2:A169,A169,B$2:B169,B169)=1,1,0))</f>
        <v>0</v>
      </c>
    </row>
    <row r="170" customFormat="false" ht="15" hidden="false" customHeight="false" outlineLevel="0" collapsed="false">
      <c r="A170" s="15"/>
      <c r="B170" s="15"/>
      <c r="C170" s="15"/>
      <c r="D170" s="15"/>
      <c r="F170" s="18" t="str">
        <f aca="false">IF(B170="","",IFERROR(INDEX(Materials!$B$2:$B$201,MATCH(B170,Materials!$A$2:$A$201,0)),""))</f>
        <v/>
      </c>
      <c r="G170" s="18" t="str">
        <f aca="true">IF(AND(A170="",B170=""),"",IF(A170="","Missing product",IF(B170="","Missing material",IF(COUNTIF(ProductList,A170)=0,"Product not in Products list",IF(COUNTIF(MaterialList,B170)=0,"Material not in Materials list","OK")))))</f>
        <v/>
      </c>
      <c r="H170" s="18" t="str">
        <f aca="false">IF(F170="Active",A170&amp;"|"&amp;COUNTIFS(A$2:A170,A170,F$2:F170,"Active"),"")</f>
        <v/>
      </c>
      <c r="I170" s="18" t="str">
        <f aca="false">IF(B170="","",IF(SUMPRODUCT(MAX((A$1:A169=A170)*(B$1:B169=B170)*ROW(A$1:A169)))=0,C170&amp;"",IF(C170="",INDEX(I$1:I169,SUMPRODUCT(MAX((A$1:A169=A170)*(B$1:B169=B170)*ROW(A$1:A169)))),IF(INDEX(I$1:I169,SUMPRODUCT(MAX((A$1:A169=A170)*(B$1:B169=B170)*ROW(A$1:A169))))="",C170&amp;"",INDEX(I$1:I169,SUMPRODUCT(MAX((A$1:A169=A170)*(B$1:B169=B170)*ROW(A$1:A169))))&amp;"; "&amp;C170))))</f>
        <v/>
      </c>
      <c r="J170" s="18" t="str">
        <f aca="false">IF(A170="","",A170&amp;"|"&amp;COUNTIF(A$2:A170,A170))</f>
        <v/>
      </c>
      <c r="K170" s="18" t="n">
        <f aca="false">IF(OR(A170="",B170=""),0,IF(COUNTIFS(A$2:A170,A170,B$2:B170,B170)=1,1,0))</f>
        <v>0</v>
      </c>
    </row>
    <row r="171" customFormat="false" ht="15" hidden="false" customHeight="false" outlineLevel="0" collapsed="false">
      <c r="A171" s="15"/>
      <c r="B171" s="15"/>
      <c r="C171" s="15"/>
      <c r="D171" s="15"/>
      <c r="F171" s="18" t="str">
        <f aca="false">IF(B171="","",IFERROR(INDEX(Materials!$B$2:$B$201,MATCH(B171,Materials!$A$2:$A$201,0)),""))</f>
        <v/>
      </c>
      <c r="G171" s="18" t="str">
        <f aca="true">IF(AND(A171="",B171=""),"",IF(A171="","Missing product",IF(B171="","Missing material",IF(COUNTIF(ProductList,A171)=0,"Product not in Products list",IF(COUNTIF(MaterialList,B171)=0,"Material not in Materials list","OK")))))</f>
        <v/>
      </c>
      <c r="H171" s="18" t="str">
        <f aca="false">IF(F171="Active",A171&amp;"|"&amp;COUNTIFS(A$2:A171,A171,F$2:F171,"Active"),"")</f>
        <v/>
      </c>
      <c r="I171" s="18" t="str">
        <f aca="false">IF(B171="","",IF(SUMPRODUCT(MAX((A$1:A170=A171)*(B$1:B170=B171)*ROW(A$1:A170)))=0,C171&amp;"",IF(C171="",INDEX(I$1:I170,SUMPRODUCT(MAX((A$1:A170=A171)*(B$1:B170=B171)*ROW(A$1:A170)))),IF(INDEX(I$1:I170,SUMPRODUCT(MAX((A$1:A170=A171)*(B$1:B170=B171)*ROW(A$1:A170))))="",C171&amp;"",INDEX(I$1:I170,SUMPRODUCT(MAX((A$1:A170=A171)*(B$1:B170=B171)*ROW(A$1:A170))))&amp;"; "&amp;C171))))</f>
        <v/>
      </c>
      <c r="J171" s="18" t="str">
        <f aca="false">IF(A171="","",A171&amp;"|"&amp;COUNTIF(A$2:A171,A171))</f>
        <v/>
      </c>
      <c r="K171" s="18" t="n">
        <f aca="false">IF(OR(A171="",B171=""),0,IF(COUNTIFS(A$2:A171,A171,B$2:B171,B171)=1,1,0))</f>
        <v>0</v>
      </c>
    </row>
    <row r="172" customFormat="false" ht="15" hidden="false" customHeight="false" outlineLevel="0" collapsed="false">
      <c r="A172" s="15"/>
      <c r="B172" s="15"/>
      <c r="C172" s="15"/>
      <c r="D172" s="15"/>
      <c r="F172" s="18" t="str">
        <f aca="false">IF(B172="","",IFERROR(INDEX(Materials!$B$2:$B$201,MATCH(B172,Materials!$A$2:$A$201,0)),""))</f>
        <v/>
      </c>
      <c r="G172" s="18" t="str">
        <f aca="true">IF(AND(A172="",B172=""),"",IF(A172="","Missing product",IF(B172="","Missing material",IF(COUNTIF(ProductList,A172)=0,"Product not in Products list",IF(COUNTIF(MaterialList,B172)=0,"Material not in Materials list","OK")))))</f>
        <v/>
      </c>
      <c r="H172" s="18" t="str">
        <f aca="false">IF(F172="Active",A172&amp;"|"&amp;COUNTIFS(A$2:A172,A172,F$2:F172,"Active"),"")</f>
        <v/>
      </c>
      <c r="I172" s="18" t="str">
        <f aca="false">IF(B172="","",IF(SUMPRODUCT(MAX((A$1:A171=A172)*(B$1:B171=B172)*ROW(A$1:A171)))=0,C172&amp;"",IF(C172="",INDEX(I$1:I171,SUMPRODUCT(MAX((A$1:A171=A172)*(B$1:B171=B172)*ROW(A$1:A171)))),IF(INDEX(I$1:I171,SUMPRODUCT(MAX((A$1:A171=A172)*(B$1:B171=B172)*ROW(A$1:A171))))="",C172&amp;"",INDEX(I$1:I171,SUMPRODUCT(MAX((A$1:A171=A172)*(B$1:B171=B172)*ROW(A$1:A171))))&amp;"; "&amp;C172))))</f>
        <v/>
      </c>
      <c r="J172" s="18" t="str">
        <f aca="false">IF(A172="","",A172&amp;"|"&amp;COUNTIF(A$2:A172,A172))</f>
        <v/>
      </c>
      <c r="K172" s="18" t="n">
        <f aca="false">IF(OR(A172="",B172=""),0,IF(COUNTIFS(A$2:A172,A172,B$2:B172,B172)=1,1,0))</f>
        <v>0</v>
      </c>
    </row>
    <row r="173" customFormat="false" ht="15" hidden="false" customHeight="false" outlineLevel="0" collapsed="false">
      <c r="A173" s="15"/>
      <c r="B173" s="15"/>
      <c r="C173" s="15"/>
      <c r="D173" s="15"/>
      <c r="F173" s="18" t="str">
        <f aca="false">IF(B173="","",IFERROR(INDEX(Materials!$B$2:$B$201,MATCH(B173,Materials!$A$2:$A$201,0)),""))</f>
        <v/>
      </c>
      <c r="G173" s="18" t="str">
        <f aca="true">IF(AND(A173="",B173=""),"",IF(A173="","Missing product",IF(B173="","Missing material",IF(COUNTIF(ProductList,A173)=0,"Product not in Products list",IF(COUNTIF(MaterialList,B173)=0,"Material not in Materials list","OK")))))</f>
        <v/>
      </c>
      <c r="H173" s="18" t="str">
        <f aca="false">IF(F173="Active",A173&amp;"|"&amp;COUNTIFS(A$2:A173,A173,F$2:F173,"Active"),"")</f>
        <v/>
      </c>
      <c r="I173" s="18" t="str">
        <f aca="false">IF(B173="","",IF(SUMPRODUCT(MAX((A$1:A172=A173)*(B$1:B172=B173)*ROW(A$1:A172)))=0,C173&amp;"",IF(C173="",INDEX(I$1:I172,SUMPRODUCT(MAX((A$1:A172=A173)*(B$1:B172=B173)*ROW(A$1:A172)))),IF(INDEX(I$1:I172,SUMPRODUCT(MAX((A$1:A172=A173)*(B$1:B172=B173)*ROW(A$1:A172))))="",C173&amp;"",INDEX(I$1:I172,SUMPRODUCT(MAX((A$1:A172=A173)*(B$1:B172=B173)*ROW(A$1:A172))))&amp;"; "&amp;C173))))</f>
        <v/>
      </c>
      <c r="J173" s="18" t="str">
        <f aca="false">IF(A173="","",A173&amp;"|"&amp;COUNTIF(A$2:A173,A173))</f>
        <v/>
      </c>
      <c r="K173" s="18" t="n">
        <f aca="false">IF(OR(A173="",B173=""),0,IF(COUNTIFS(A$2:A173,A173,B$2:B173,B173)=1,1,0))</f>
        <v>0</v>
      </c>
    </row>
    <row r="174" customFormat="false" ht="15" hidden="false" customHeight="false" outlineLevel="0" collapsed="false">
      <c r="A174" s="15"/>
      <c r="B174" s="15"/>
      <c r="C174" s="15"/>
      <c r="D174" s="15"/>
      <c r="F174" s="18" t="str">
        <f aca="false">IF(B174="","",IFERROR(INDEX(Materials!$B$2:$B$201,MATCH(B174,Materials!$A$2:$A$201,0)),""))</f>
        <v/>
      </c>
      <c r="G174" s="18" t="str">
        <f aca="true">IF(AND(A174="",B174=""),"",IF(A174="","Missing product",IF(B174="","Missing material",IF(COUNTIF(ProductList,A174)=0,"Product not in Products list",IF(COUNTIF(MaterialList,B174)=0,"Material not in Materials list","OK")))))</f>
        <v/>
      </c>
      <c r="H174" s="18" t="str">
        <f aca="false">IF(F174="Active",A174&amp;"|"&amp;COUNTIFS(A$2:A174,A174,F$2:F174,"Active"),"")</f>
        <v/>
      </c>
      <c r="I174" s="18" t="str">
        <f aca="false">IF(B174="","",IF(SUMPRODUCT(MAX((A$1:A173=A174)*(B$1:B173=B174)*ROW(A$1:A173)))=0,C174&amp;"",IF(C174="",INDEX(I$1:I173,SUMPRODUCT(MAX((A$1:A173=A174)*(B$1:B173=B174)*ROW(A$1:A173)))),IF(INDEX(I$1:I173,SUMPRODUCT(MAX((A$1:A173=A174)*(B$1:B173=B174)*ROW(A$1:A173))))="",C174&amp;"",INDEX(I$1:I173,SUMPRODUCT(MAX((A$1:A173=A174)*(B$1:B173=B174)*ROW(A$1:A173))))&amp;"; "&amp;C174))))</f>
        <v/>
      </c>
      <c r="J174" s="18" t="str">
        <f aca="false">IF(A174="","",A174&amp;"|"&amp;COUNTIF(A$2:A174,A174))</f>
        <v/>
      </c>
      <c r="K174" s="18" t="n">
        <f aca="false">IF(OR(A174="",B174=""),0,IF(COUNTIFS(A$2:A174,A174,B$2:B174,B174)=1,1,0))</f>
        <v>0</v>
      </c>
    </row>
    <row r="175" customFormat="false" ht="15" hidden="false" customHeight="false" outlineLevel="0" collapsed="false">
      <c r="A175" s="15"/>
      <c r="B175" s="15"/>
      <c r="C175" s="15"/>
      <c r="D175" s="15"/>
      <c r="F175" s="18" t="str">
        <f aca="false">IF(B175="","",IFERROR(INDEX(Materials!$B$2:$B$201,MATCH(B175,Materials!$A$2:$A$201,0)),""))</f>
        <v/>
      </c>
      <c r="G175" s="18" t="str">
        <f aca="true">IF(AND(A175="",B175=""),"",IF(A175="","Missing product",IF(B175="","Missing material",IF(COUNTIF(ProductList,A175)=0,"Product not in Products list",IF(COUNTIF(MaterialList,B175)=0,"Material not in Materials list","OK")))))</f>
        <v/>
      </c>
      <c r="H175" s="18" t="str">
        <f aca="false">IF(F175="Active",A175&amp;"|"&amp;COUNTIFS(A$2:A175,A175,F$2:F175,"Active"),"")</f>
        <v/>
      </c>
      <c r="I175" s="18" t="str">
        <f aca="false">IF(B175="","",IF(SUMPRODUCT(MAX((A$1:A174=A175)*(B$1:B174=B175)*ROW(A$1:A174)))=0,C175&amp;"",IF(C175="",INDEX(I$1:I174,SUMPRODUCT(MAX((A$1:A174=A175)*(B$1:B174=B175)*ROW(A$1:A174)))),IF(INDEX(I$1:I174,SUMPRODUCT(MAX((A$1:A174=A175)*(B$1:B174=B175)*ROW(A$1:A174))))="",C175&amp;"",INDEX(I$1:I174,SUMPRODUCT(MAX((A$1:A174=A175)*(B$1:B174=B175)*ROW(A$1:A174))))&amp;"; "&amp;C175))))</f>
        <v/>
      </c>
      <c r="J175" s="18" t="str">
        <f aca="false">IF(A175="","",A175&amp;"|"&amp;COUNTIF(A$2:A175,A175))</f>
        <v/>
      </c>
      <c r="K175" s="18" t="n">
        <f aca="false">IF(OR(A175="",B175=""),0,IF(COUNTIFS(A$2:A175,A175,B$2:B175,B175)=1,1,0))</f>
        <v>0</v>
      </c>
    </row>
    <row r="176" customFormat="false" ht="15" hidden="false" customHeight="false" outlineLevel="0" collapsed="false">
      <c r="A176" s="15"/>
      <c r="B176" s="15"/>
      <c r="C176" s="15"/>
      <c r="D176" s="15"/>
      <c r="F176" s="18" t="str">
        <f aca="false">IF(B176="","",IFERROR(INDEX(Materials!$B$2:$B$201,MATCH(B176,Materials!$A$2:$A$201,0)),""))</f>
        <v/>
      </c>
      <c r="G176" s="18" t="str">
        <f aca="true">IF(AND(A176="",B176=""),"",IF(A176="","Missing product",IF(B176="","Missing material",IF(COUNTIF(ProductList,A176)=0,"Product not in Products list",IF(COUNTIF(MaterialList,B176)=0,"Material not in Materials list","OK")))))</f>
        <v/>
      </c>
      <c r="H176" s="18" t="str">
        <f aca="false">IF(F176="Active",A176&amp;"|"&amp;COUNTIFS(A$2:A176,A176,F$2:F176,"Active"),"")</f>
        <v/>
      </c>
      <c r="I176" s="18" t="str">
        <f aca="false">IF(B176="","",IF(SUMPRODUCT(MAX((A$1:A175=A176)*(B$1:B175=B176)*ROW(A$1:A175)))=0,C176&amp;"",IF(C176="",INDEX(I$1:I175,SUMPRODUCT(MAX((A$1:A175=A176)*(B$1:B175=B176)*ROW(A$1:A175)))),IF(INDEX(I$1:I175,SUMPRODUCT(MAX((A$1:A175=A176)*(B$1:B175=B176)*ROW(A$1:A175))))="",C176&amp;"",INDEX(I$1:I175,SUMPRODUCT(MAX((A$1:A175=A176)*(B$1:B175=B176)*ROW(A$1:A175))))&amp;"; "&amp;C176))))</f>
        <v/>
      </c>
      <c r="J176" s="18" t="str">
        <f aca="false">IF(A176="","",A176&amp;"|"&amp;COUNTIF(A$2:A176,A176))</f>
        <v/>
      </c>
      <c r="K176" s="18" t="n">
        <f aca="false">IF(OR(A176="",B176=""),0,IF(COUNTIFS(A$2:A176,A176,B$2:B176,B176)=1,1,0))</f>
        <v>0</v>
      </c>
    </row>
    <row r="177" customFormat="false" ht="15" hidden="false" customHeight="false" outlineLevel="0" collapsed="false">
      <c r="A177" s="15"/>
      <c r="B177" s="15"/>
      <c r="C177" s="15"/>
      <c r="D177" s="15"/>
      <c r="F177" s="18" t="str">
        <f aca="false">IF(B177="","",IFERROR(INDEX(Materials!$B$2:$B$201,MATCH(B177,Materials!$A$2:$A$201,0)),""))</f>
        <v/>
      </c>
      <c r="G177" s="18" t="str">
        <f aca="true">IF(AND(A177="",B177=""),"",IF(A177="","Missing product",IF(B177="","Missing material",IF(COUNTIF(ProductList,A177)=0,"Product not in Products list",IF(COUNTIF(MaterialList,B177)=0,"Material not in Materials list","OK")))))</f>
        <v/>
      </c>
      <c r="H177" s="18" t="str">
        <f aca="false">IF(F177="Active",A177&amp;"|"&amp;COUNTIFS(A$2:A177,A177,F$2:F177,"Active"),"")</f>
        <v/>
      </c>
      <c r="I177" s="18" t="str">
        <f aca="false">IF(B177="","",IF(SUMPRODUCT(MAX((A$1:A176=A177)*(B$1:B176=B177)*ROW(A$1:A176)))=0,C177&amp;"",IF(C177="",INDEX(I$1:I176,SUMPRODUCT(MAX((A$1:A176=A177)*(B$1:B176=B177)*ROW(A$1:A176)))),IF(INDEX(I$1:I176,SUMPRODUCT(MAX((A$1:A176=A177)*(B$1:B176=B177)*ROW(A$1:A176))))="",C177&amp;"",INDEX(I$1:I176,SUMPRODUCT(MAX((A$1:A176=A177)*(B$1:B176=B177)*ROW(A$1:A176))))&amp;"; "&amp;C177))))</f>
        <v/>
      </c>
      <c r="J177" s="18" t="str">
        <f aca="false">IF(A177="","",A177&amp;"|"&amp;COUNTIF(A$2:A177,A177))</f>
        <v/>
      </c>
      <c r="K177" s="18" t="n">
        <f aca="false">IF(OR(A177="",B177=""),0,IF(COUNTIFS(A$2:A177,A177,B$2:B177,B177)=1,1,0))</f>
        <v>0</v>
      </c>
    </row>
    <row r="178" customFormat="false" ht="15" hidden="false" customHeight="false" outlineLevel="0" collapsed="false">
      <c r="A178" s="15"/>
      <c r="B178" s="15"/>
      <c r="C178" s="15"/>
      <c r="D178" s="15"/>
      <c r="F178" s="18" t="str">
        <f aca="false">IF(B178="","",IFERROR(INDEX(Materials!$B$2:$B$201,MATCH(B178,Materials!$A$2:$A$201,0)),""))</f>
        <v/>
      </c>
      <c r="G178" s="18" t="str">
        <f aca="true">IF(AND(A178="",B178=""),"",IF(A178="","Missing product",IF(B178="","Missing material",IF(COUNTIF(ProductList,A178)=0,"Product not in Products list",IF(COUNTIF(MaterialList,B178)=0,"Material not in Materials list","OK")))))</f>
        <v/>
      </c>
      <c r="H178" s="18" t="str">
        <f aca="false">IF(F178="Active",A178&amp;"|"&amp;COUNTIFS(A$2:A178,A178,F$2:F178,"Active"),"")</f>
        <v/>
      </c>
      <c r="I178" s="18" t="str">
        <f aca="false">IF(B178="","",IF(SUMPRODUCT(MAX((A$1:A177=A178)*(B$1:B177=B178)*ROW(A$1:A177)))=0,C178&amp;"",IF(C178="",INDEX(I$1:I177,SUMPRODUCT(MAX((A$1:A177=A178)*(B$1:B177=B178)*ROW(A$1:A177)))),IF(INDEX(I$1:I177,SUMPRODUCT(MAX((A$1:A177=A178)*(B$1:B177=B178)*ROW(A$1:A177))))="",C178&amp;"",INDEX(I$1:I177,SUMPRODUCT(MAX((A$1:A177=A178)*(B$1:B177=B178)*ROW(A$1:A177))))&amp;"; "&amp;C178))))</f>
        <v/>
      </c>
      <c r="J178" s="18" t="str">
        <f aca="false">IF(A178="","",A178&amp;"|"&amp;COUNTIF(A$2:A178,A178))</f>
        <v/>
      </c>
      <c r="K178" s="18" t="n">
        <f aca="false">IF(OR(A178="",B178=""),0,IF(COUNTIFS(A$2:A178,A178,B$2:B178,B178)=1,1,0))</f>
        <v>0</v>
      </c>
    </row>
    <row r="179" customFormat="false" ht="15" hidden="false" customHeight="false" outlineLevel="0" collapsed="false">
      <c r="A179" s="15"/>
      <c r="B179" s="15"/>
      <c r="C179" s="15"/>
      <c r="D179" s="15"/>
      <c r="F179" s="18" t="str">
        <f aca="false">IF(B179="","",IFERROR(INDEX(Materials!$B$2:$B$201,MATCH(B179,Materials!$A$2:$A$201,0)),""))</f>
        <v/>
      </c>
      <c r="G179" s="18" t="str">
        <f aca="true">IF(AND(A179="",B179=""),"",IF(A179="","Missing product",IF(B179="","Missing material",IF(COUNTIF(ProductList,A179)=0,"Product not in Products list",IF(COUNTIF(MaterialList,B179)=0,"Material not in Materials list","OK")))))</f>
        <v/>
      </c>
      <c r="H179" s="18" t="str">
        <f aca="false">IF(F179="Active",A179&amp;"|"&amp;COUNTIFS(A$2:A179,A179,F$2:F179,"Active"),"")</f>
        <v/>
      </c>
      <c r="I179" s="18" t="str">
        <f aca="false">IF(B179="","",IF(SUMPRODUCT(MAX((A$1:A178=A179)*(B$1:B178=B179)*ROW(A$1:A178)))=0,C179&amp;"",IF(C179="",INDEX(I$1:I178,SUMPRODUCT(MAX((A$1:A178=A179)*(B$1:B178=B179)*ROW(A$1:A178)))),IF(INDEX(I$1:I178,SUMPRODUCT(MAX((A$1:A178=A179)*(B$1:B178=B179)*ROW(A$1:A178))))="",C179&amp;"",INDEX(I$1:I178,SUMPRODUCT(MAX((A$1:A178=A179)*(B$1:B178=B179)*ROW(A$1:A178))))&amp;"; "&amp;C179))))</f>
        <v/>
      </c>
      <c r="J179" s="18" t="str">
        <f aca="false">IF(A179="","",A179&amp;"|"&amp;COUNTIF(A$2:A179,A179))</f>
        <v/>
      </c>
      <c r="K179" s="18" t="n">
        <f aca="false">IF(OR(A179="",B179=""),0,IF(COUNTIFS(A$2:A179,A179,B$2:B179,B179)=1,1,0))</f>
        <v>0</v>
      </c>
    </row>
    <row r="180" customFormat="false" ht="15" hidden="false" customHeight="false" outlineLevel="0" collapsed="false">
      <c r="A180" s="15"/>
      <c r="B180" s="15"/>
      <c r="C180" s="15"/>
      <c r="D180" s="15"/>
      <c r="F180" s="18" t="str">
        <f aca="false">IF(B180="","",IFERROR(INDEX(Materials!$B$2:$B$201,MATCH(B180,Materials!$A$2:$A$201,0)),""))</f>
        <v/>
      </c>
      <c r="G180" s="18" t="str">
        <f aca="true">IF(AND(A180="",B180=""),"",IF(A180="","Missing product",IF(B180="","Missing material",IF(COUNTIF(ProductList,A180)=0,"Product not in Products list",IF(COUNTIF(MaterialList,B180)=0,"Material not in Materials list","OK")))))</f>
        <v/>
      </c>
      <c r="H180" s="18" t="str">
        <f aca="false">IF(F180="Active",A180&amp;"|"&amp;COUNTIFS(A$2:A180,A180,F$2:F180,"Active"),"")</f>
        <v/>
      </c>
      <c r="I180" s="18" t="str">
        <f aca="false">IF(B180="","",IF(SUMPRODUCT(MAX((A$1:A179=A180)*(B$1:B179=B180)*ROW(A$1:A179)))=0,C180&amp;"",IF(C180="",INDEX(I$1:I179,SUMPRODUCT(MAX((A$1:A179=A180)*(B$1:B179=B180)*ROW(A$1:A179)))),IF(INDEX(I$1:I179,SUMPRODUCT(MAX((A$1:A179=A180)*(B$1:B179=B180)*ROW(A$1:A179))))="",C180&amp;"",INDEX(I$1:I179,SUMPRODUCT(MAX((A$1:A179=A180)*(B$1:B179=B180)*ROW(A$1:A179))))&amp;"; "&amp;C180))))</f>
        <v/>
      </c>
      <c r="J180" s="18" t="str">
        <f aca="false">IF(A180="","",A180&amp;"|"&amp;COUNTIF(A$2:A180,A180))</f>
        <v/>
      </c>
      <c r="K180" s="18" t="n">
        <f aca="false">IF(OR(A180="",B180=""),0,IF(COUNTIFS(A$2:A180,A180,B$2:B180,B180)=1,1,0))</f>
        <v>0</v>
      </c>
    </row>
    <row r="181" customFormat="false" ht="15" hidden="false" customHeight="false" outlineLevel="0" collapsed="false">
      <c r="A181" s="15"/>
      <c r="B181" s="15"/>
      <c r="C181" s="15"/>
      <c r="D181" s="15"/>
      <c r="F181" s="18" t="str">
        <f aca="false">IF(B181="","",IFERROR(INDEX(Materials!$B$2:$B$201,MATCH(B181,Materials!$A$2:$A$201,0)),""))</f>
        <v/>
      </c>
      <c r="G181" s="18" t="str">
        <f aca="true">IF(AND(A181="",B181=""),"",IF(A181="","Missing product",IF(B181="","Missing material",IF(COUNTIF(ProductList,A181)=0,"Product not in Products list",IF(COUNTIF(MaterialList,B181)=0,"Material not in Materials list","OK")))))</f>
        <v/>
      </c>
      <c r="H181" s="18" t="str">
        <f aca="false">IF(F181="Active",A181&amp;"|"&amp;COUNTIFS(A$2:A181,A181,F$2:F181,"Active"),"")</f>
        <v/>
      </c>
      <c r="I181" s="18" t="str">
        <f aca="false">IF(B181="","",IF(SUMPRODUCT(MAX((A$1:A180=A181)*(B$1:B180=B181)*ROW(A$1:A180)))=0,C181&amp;"",IF(C181="",INDEX(I$1:I180,SUMPRODUCT(MAX((A$1:A180=A181)*(B$1:B180=B181)*ROW(A$1:A180)))),IF(INDEX(I$1:I180,SUMPRODUCT(MAX((A$1:A180=A181)*(B$1:B180=B181)*ROW(A$1:A180))))="",C181&amp;"",INDEX(I$1:I180,SUMPRODUCT(MAX((A$1:A180=A181)*(B$1:B180=B181)*ROW(A$1:A180))))&amp;"; "&amp;C181))))</f>
        <v/>
      </c>
      <c r="J181" s="18" t="str">
        <f aca="false">IF(A181="","",A181&amp;"|"&amp;COUNTIF(A$2:A181,A181))</f>
        <v/>
      </c>
      <c r="K181" s="18" t="n">
        <f aca="false">IF(OR(A181="",B181=""),0,IF(COUNTIFS(A$2:A181,A181,B$2:B181,B181)=1,1,0))</f>
        <v>0</v>
      </c>
    </row>
    <row r="182" customFormat="false" ht="15" hidden="false" customHeight="false" outlineLevel="0" collapsed="false">
      <c r="A182" s="15"/>
      <c r="B182" s="15"/>
      <c r="C182" s="15"/>
      <c r="D182" s="15"/>
      <c r="F182" s="18" t="str">
        <f aca="false">IF(B182="","",IFERROR(INDEX(Materials!$B$2:$B$201,MATCH(B182,Materials!$A$2:$A$201,0)),""))</f>
        <v/>
      </c>
      <c r="G182" s="18" t="str">
        <f aca="true">IF(AND(A182="",B182=""),"",IF(A182="","Missing product",IF(B182="","Missing material",IF(COUNTIF(ProductList,A182)=0,"Product not in Products list",IF(COUNTIF(MaterialList,B182)=0,"Material not in Materials list","OK")))))</f>
        <v/>
      </c>
      <c r="H182" s="18" t="str">
        <f aca="false">IF(F182="Active",A182&amp;"|"&amp;COUNTIFS(A$2:A182,A182,F$2:F182,"Active"),"")</f>
        <v/>
      </c>
      <c r="I182" s="18" t="str">
        <f aca="false">IF(B182="","",IF(SUMPRODUCT(MAX((A$1:A181=A182)*(B$1:B181=B182)*ROW(A$1:A181)))=0,C182&amp;"",IF(C182="",INDEX(I$1:I181,SUMPRODUCT(MAX((A$1:A181=A182)*(B$1:B181=B182)*ROW(A$1:A181)))),IF(INDEX(I$1:I181,SUMPRODUCT(MAX((A$1:A181=A182)*(B$1:B181=B182)*ROW(A$1:A181))))="",C182&amp;"",INDEX(I$1:I181,SUMPRODUCT(MAX((A$1:A181=A182)*(B$1:B181=B182)*ROW(A$1:A181))))&amp;"; "&amp;C182))))</f>
        <v/>
      </c>
      <c r="J182" s="18" t="str">
        <f aca="false">IF(A182="","",A182&amp;"|"&amp;COUNTIF(A$2:A182,A182))</f>
        <v/>
      </c>
      <c r="K182" s="18" t="n">
        <f aca="false">IF(OR(A182="",B182=""),0,IF(COUNTIFS(A$2:A182,A182,B$2:B182,B182)=1,1,0))</f>
        <v>0</v>
      </c>
    </row>
    <row r="183" customFormat="false" ht="15" hidden="false" customHeight="false" outlineLevel="0" collapsed="false">
      <c r="A183" s="15"/>
      <c r="B183" s="15"/>
      <c r="C183" s="15"/>
      <c r="D183" s="15"/>
      <c r="F183" s="18" t="str">
        <f aca="false">IF(B183="","",IFERROR(INDEX(Materials!$B$2:$B$201,MATCH(B183,Materials!$A$2:$A$201,0)),""))</f>
        <v/>
      </c>
      <c r="G183" s="18" t="str">
        <f aca="true">IF(AND(A183="",B183=""),"",IF(A183="","Missing product",IF(B183="","Missing material",IF(COUNTIF(ProductList,A183)=0,"Product not in Products list",IF(COUNTIF(MaterialList,B183)=0,"Material not in Materials list","OK")))))</f>
        <v/>
      </c>
      <c r="H183" s="18" t="str">
        <f aca="false">IF(F183="Active",A183&amp;"|"&amp;COUNTIFS(A$2:A183,A183,F$2:F183,"Active"),"")</f>
        <v/>
      </c>
      <c r="I183" s="18" t="str">
        <f aca="false">IF(B183="","",IF(SUMPRODUCT(MAX((A$1:A182=A183)*(B$1:B182=B183)*ROW(A$1:A182)))=0,C183&amp;"",IF(C183="",INDEX(I$1:I182,SUMPRODUCT(MAX((A$1:A182=A183)*(B$1:B182=B183)*ROW(A$1:A182)))),IF(INDEX(I$1:I182,SUMPRODUCT(MAX((A$1:A182=A183)*(B$1:B182=B183)*ROW(A$1:A182))))="",C183&amp;"",INDEX(I$1:I182,SUMPRODUCT(MAX((A$1:A182=A183)*(B$1:B182=B183)*ROW(A$1:A182))))&amp;"; "&amp;C183))))</f>
        <v/>
      </c>
      <c r="J183" s="18" t="str">
        <f aca="false">IF(A183="","",A183&amp;"|"&amp;COUNTIF(A$2:A183,A183))</f>
        <v/>
      </c>
      <c r="K183" s="18" t="n">
        <f aca="false">IF(OR(A183="",B183=""),0,IF(COUNTIFS(A$2:A183,A183,B$2:B183,B183)=1,1,0))</f>
        <v>0</v>
      </c>
    </row>
    <row r="184" customFormat="false" ht="15" hidden="false" customHeight="false" outlineLevel="0" collapsed="false">
      <c r="A184" s="15"/>
      <c r="B184" s="15"/>
      <c r="C184" s="15"/>
      <c r="D184" s="15"/>
      <c r="F184" s="18" t="str">
        <f aca="false">IF(B184="","",IFERROR(INDEX(Materials!$B$2:$B$201,MATCH(B184,Materials!$A$2:$A$201,0)),""))</f>
        <v/>
      </c>
      <c r="G184" s="18" t="str">
        <f aca="true">IF(AND(A184="",B184=""),"",IF(A184="","Missing product",IF(B184="","Missing material",IF(COUNTIF(ProductList,A184)=0,"Product not in Products list",IF(COUNTIF(MaterialList,B184)=0,"Material not in Materials list","OK")))))</f>
        <v/>
      </c>
      <c r="H184" s="18" t="str">
        <f aca="false">IF(F184="Active",A184&amp;"|"&amp;COUNTIFS(A$2:A184,A184,F$2:F184,"Active"),"")</f>
        <v/>
      </c>
      <c r="I184" s="18" t="str">
        <f aca="false">IF(B184="","",IF(SUMPRODUCT(MAX((A$1:A183=A184)*(B$1:B183=B184)*ROW(A$1:A183)))=0,C184&amp;"",IF(C184="",INDEX(I$1:I183,SUMPRODUCT(MAX((A$1:A183=A184)*(B$1:B183=B184)*ROW(A$1:A183)))),IF(INDEX(I$1:I183,SUMPRODUCT(MAX((A$1:A183=A184)*(B$1:B183=B184)*ROW(A$1:A183))))="",C184&amp;"",INDEX(I$1:I183,SUMPRODUCT(MAX((A$1:A183=A184)*(B$1:B183=B184)*ROW(A$1:A183))))&amp;"; "&amp;C184))))</f>
        <v/>
      </c>
      <c r="J184" s="18" t="str">
        <f aca="false">IF(A184="","",A184&amp;"|"&amp;COUNTIF(A$2:A184,A184))</f>
        <v/>
      </c>
      <c r="K184" s="18" t="n">
        <f aca="false">IF(OR(A184="",B184=""),0,IF(COUNTIFS(A$2:A184,A184,B$2:B184,B184)=1,1,0))</f>
        <v>0</v>
      </c>
    </row>
    <row r="185" customFormat="false" ht="15" hidden="false" customHeight="false" outlineLevel="0" collapsed="false">
      <c r="A185" s="15"/>
      <c r="B185" s="15"/>
      <c r="C185" s="15"/>
      <c r="D185" s="15"/>
      <c r="F185" s="18" t="str">
        <f aca="false">IF(B185="","",IFERROR(INDEX(Materials!$B$2:$B$201,MATCH(B185,Materials!$A$2:$A$201,0)),""))</f>
        <v/>
      </c>
      <c r="G185" s="18" t="str">
        <f aca="true">IF(AND(A185="",B185=""),"",IF(A185="","Missing product",IF(B185="","Missing material",IF(COUNTIF(ProductList,A185)=0,"Product not in Products list",IF(COUNTIF(MaterialList,B185)=0,"Material not in Materials list","OK")))))</f>
        <v/>
      </c>
      <c r="H185" s="18" t="str">
        <f aca="false">IF(F185="Active",A185&amp;"|"&amp;COUNTIFS(A$2:A185,A185,F$2:F185,"Active"),"")</f>
        <v/>
      </c>
      <c r="I185" s="18" t="str">
        <f aca="false">IF(B185="","",IF(SUMPRODUCT(MAX((A$1:A184=A185)*(B$1:B184=B185)*ROW(A$1:A184)))=0,C185&amp;"",IF(C185="",INDEX(I$1:I184,SUMPRODUCT(MAX((A$1:A184=A185)*(B$1:B184=B185)*ROW(A$1:A184)))),IF(INDEX(I$1:I184,SUMPRODUCT(MAX((A$1:A184=A185)*(B$1:B184=B185)*ROW(A$1:A184))))="",C185&amp;"",INDEX(I$1:I184,SUMPRODUCT(MAX((A$1:A184=A185)*(B$1:B184=B185)*ROW(A$1:A184))))&amp;"; "&amp;C185))))</f>
        <v/>
      </c>
      <c r="J185" s="18" t="str">
        <f aca="false">IF(A185="","",A185&amp;"|"&amp;COUNTIF(A$2:A185,A185))</f>
        <v/>
      </c>
      <c r="K185" s="18" t="n">
        <f aca="false">IF(OR(A185="",B185=""),0,IF(COUNTIFS(A$2:A185,A185,B$2:B185,B185)=1,1,0))</f>
        <v>0</v>
      </c>
    </row>
    <row r="186" customFormat="false" ht="15" hidden="false" customHeight="false" outlineLevel="0" collapsed="false">
      <c r="A186" s="15"/>
      <c r="B186" s="15"/>
      <c r="C186" s="15"/>
      <c r="D186" s="15"/>
      <c r="F186" s="18" t="str">
        <f aca="false">IF(B186="","",IFERROR(INDEX(Materials!$B$2:$B$201,MATCH(B186,Materials!$A$2:$A$201,0)),""))</f>
        <v/>
      </c>
      <c r="G186" s="18" t="str">
        <f aca="true">IF(AND(A186="",B186=""),"",IF(A186="","Missing product",IF(B186="","Missing material",IF(COUNTIF(ProductList,A186)=0,"Product not in Products list",IF(COUNTIF(MaterialList,B186)=0,"Material not in Materials list","OK")))))</f>
        <v/>
      </c>
      <c r="H186" s="18" t="str">
        <f aca="false">IF(F186="Active",A186&amp;"|"&amp;COUNTIFS(A$2:A186,A186,F$2:F186,"Active"),"")</f>
        <v/>
      </c>
      <c r="I186" s="18" t="str">
        <f aca="false">IF(B186="","",IF(SUMPRODUCT(MAX((A$1:A185=A186)*(B$1:B185=B186)*ROW(A$1:A185)))=0,C186&amp;"",IF(C186="",INDEX(I$1:I185,SUMPRODUCT(MAX((A$1:A185=A186)*(B$1:B185=B186)*ROW(A$1:A185)))),IF(INDEX(I$1:I185,SUMPRODUCT(MAX((A$1:A185=A186)*(B$1:B185=B186)*ROW(A$1:A185))))="",C186&amp;"",INDEX(I$1:I185,SUMPRODUCT(MAX((A$1:A185=A186)*(B$1:B185=B186)*ROW(A$1:A185))))&amp;"; "&amp;C186))))</f>
        <v/>
      </c>
      <c r="J186" s="18" t="str">
        <f aca="false">IF(A186="","",A186&amp;"|"&amp;COUNTIF(A$2:A186,A186))</f>
        <v/>
      </c>
      <c r="K186" s="18" t="n">
        <f aca="false">IF(OR(A186="",B186=""),0,IF(COUNTIFS(A$2:A186,A186,B$2:B186,B186)=1,1,0))</f>
        <v>0</v>
      </c>
    </row>
    <row r="187" customFormat="false" ht="15" hidden="false" customHeight="false" outlineLevel="0" collapsed="false">
      <c r="A187" s="15"/>
      <c r="B187" s="15"/>
      <c r="C187" s="15"/>
      <c r="D187" s="15"/>
      <c r="F187" s="18" t="str">
        <f aca="false">IF(B187="","",IFERROR(INDEX(Materials!$B$2:$B$201,MATCH(B187,Materials!$A$2:$A$201,0)),""))</f>
        <v/>
      </c>
      <c r="G187" s="18" t="str">
        <f aca="true">IF(AND(A187="",B187=""),"",IF(A187="","Missing product",IF(B187="","Missing material",IF(COUNTIF(ProductList,A187)=0,"Product not in Products list",IF(COUNTIF(MaterialList,B187)=0,"Material not in Materials list","OK")))))</f>
        <v/>
      </c>
      <c r="H187" s="18" t="str">
        <f aca="false">IF(F187="Active",A187&amp;"|"&amp;COUNTIFS(A$2:A187,A187,F$2:F187,"Active"),"")</f>
        <v/>
      </c>
      <c r="I187" s="18" t="str">
        <f aca="false">IF(B187="","",IF(SUMPRODUCT(MAX((A$1:A186=A187)*(B$1:B186=B187)*ROW(A$1:A186)))=0,C187&amp;"",IF(C187="",INDEX(I$1:I186,SUMPRODUCT(MAX((A$1:A186=A187)*(B$1:B186=B187)*ROW(A$1:A186)))),IF(INDEX(I$1:I186,SUMPRODUCT(MAX((A$1:A186=A187)*(B$1:B186=B187)*ROW(A$1:A186))))="",C187&amp;"",INDEX(I$1:I186,SUMPRODUCT(MAX((A$1:A186=A187)*(B$1:B186=B187)*ROW(A$1:A186))))&amp;"; "&amp;C187))))</f>
        <v/>
      </c>
      <c r="J187" s="18" t="str">
        <f aca="false">IF(A187="","",A187&amp;"|"&amp;COUNTIF(A$2:A187,A187))</f>
        <v/>
      </c>
      <c r="K187" s="18" t="n">
        <f aca="false">IF(OR(A187="",B187=""),0,IF(COUNTIFS(A$2:A187,A187,B$2:B187,B187)=1,1,0))</f>
        <v>0</v>
      </c>
    </row>
    <row r="188" customFormat="false" ht="15" hidden="false" customHeight="false" outlineLevel="0" collapsed="false">
      <c r="A188" s="15"/>
      <c r="B188" s="15"/>
      <c r="C188" s="15"/>
      <c r="D188" s="15"/>
      <c r="F188" s="18" t="str">
        <f aca="false">IF(B188="","",IFERROR(INDEX(Materials!$B$2:$B$201,MATCH(B188,Materials!$A$2:$A$201,0)),""))</f>
        <v/>
      </c>
      <c r="G188" s="18" t="str">
        <f aca="true">IF(AND(A188="",B188=""),"",IF(A188="","Missing product",IF(B188="","Missing material",IF(COUNTIF(ProductList,A188)=0,"Product not in Products list",IF(COUNTIF(MaterialList,B188)=0,"Material not in Materials list","OK")))))</f>
        <v/>
      </c>
      <c r="H188" s="18" t="str">
        <f aca="false">IF(F188="Active",A188&amp;"|"&amp;COUNTIFS(A$2:A188,A188,F$2:F188,"Active"),"")</f>
        <v/>
      </c>
      <c r="I188" s="18" t="str">
        <f aca="false">IF(B188="","",IF(SUMPRODUCT(MAX((A$1:A187=A188)*(B$1:B187=B188)*ROW(A$1:A187)))=0,C188&amp;"",IF(C188="",INDEX(I$1:I187,SUMPRODUCT(MAX((A$1:A187=A188)*(B$1:B187=B188)*ROW(A$1:A187)))),IF(INDEX(I$1:I187,SUMPRODUCT(MAX((A$1:A187=A188)*(B$1:B187=B188)*ROW(A$1:A187))))="",C188&amp;"",INDEX(I$1:I187,SUMPRODUCT(MAX((A$1:A187=A188)*(B$1:B187=B188)*ROW(A$1:A187))))&amp;"; "&amp;C188))))</f>
        <v/>
      </c>
      <c r="J188" s="18" t="str">
        <f aca="false">IF(A188="","",A188&amp;"|"&amp;COUNTIF(A$2:A188,A188))</f>
        <v/>
      </c>
      <c r="K188" s="18" t="n">
        <f aca="false">IF(OR(A188="",B188=""),0,IF(COUNTIFS(A$2:A188,A188,B$2:B188,B188)=1,1,0))</f>
        <v>0</v>
      </c>
    </row>
    <row r="189" customFormat="false" ht="15" hidden="false" customHeight="false" outlineLevel="0" collapsed="false">
      <c r="A189" s="15"/>
      <c r="B189" s="15"/>
      <c r="C189" s="15"/>
      <c r="D189" s="15"/>
      <c r="F189" s="18" t="str">
        <f aca="false">IF(B189="","",IFERROR(INDEX(Materials!$B$2:$B$201,MATCH(B189,Materials!$A$2:$A$201,0)),""))</f>
        <v/>
      </c>
      <c r="G189" s="18" t="str">
        <f aca="true">IF(AND(A189="",B189=""),"",IF(A189="","Missing product",IF(B189="","Missing material",IF(COUNTIF(ProductList,A189)=0,"Product not in Products list",IF(COUNTIF(MaterialList,B189)=0,"Material not in Materials list","OK")))))</f>
        <v/>
      </c>
      <c r="H189" s="18" t="str">
        <f aca="false">IF(F189="Active",A189&amp;"|"&amp;COUNTIFS(A$2:A189,A189,F$2:F189,"Active"),"")</f>
        <v/>
      </c>
      <c r="I189" s="18" t="str">
        <f aca="false">IF(B189="","",IF(SUMPRODUCT(MAX((A$1:A188=A189)*(B$1:B188=B189)*ROW(A$1:A188)))=0,C189&amp;"",IF(C189="",INDEX(I$1:I188,SUMPRODUCT(MAX((A$1:A188=A189)*(B$1:B188=B189)*ROW(A$1:A188)))),IF(INDEX(I$1:I188,SUMPRODUCT(MAX((A$1:A188=A189)*(B$1:B188=B189)*ROW(A$1:A188))))="",C189&amp;"",INDEX(I$1:I188,SUMPRODUCT(MAX((A$1:A188=A189)*(B$1:B188=B189)*ROW(A$1:A188))))&amp;"; "&amp;C189))))</f>
        <v/>
      </c>
      <c r="J189" s="18" t="str">
        <f aca="false">IF(A189="","",A189&amp;"|"&amp;COUNTIF(A$2:A189,A189))</f>
        <v/>
      </c>
      <c r="K189" s="18" t="n">
        <f aca="false">IF(OR(A189="",B189=""),0,IF(COUNTIFS(A$2:A189,A189,B$2:B189,B189)=1,1,0))</f>
        <v>0</v>
      </c>
    </row>
    <row r="190" customFormat="false" ht="15" hidden="false" customHeight="false" outlineLevel="0" collapsed="false">
      <c r="A190" s="15"/>
      <c r="B190" s="15"/>
      <c r="C190" s="15"/>
      <c r="D190" s="15"/>
      <c r="F190" s="18" t="str">
        <f aca="false">IF(B190="","",IFERROR(INDEX(Materials!$B$2:$B$201,MATCH(B190,Materials!$A$2:$A$201,0)),""))</f>
        <v/>
      </c>
      <c r="G190" s="18" t="str">
        <f aca="true">IF(AND(A190="",B190=""),"",IF(A190="","Missing product",IF(B190="","Missing material",IF(COUNTIF(ProductList,A190)=0,"Product not in Products list",IF(COUNTIF(MaterialList,B190)=0,"Material not in Materials list","OK")))))</f>
        <v/>
      </c>
      <c r="H190" s="18" t="str">
        <f aca="false">IF(F190="Active",A190&amp;"|"&amp;COUNTIFS(A$2:A190,A190,F$2:F190,"Active"),"")</f>
        <v/>
      </c>
      <c r="I190" s="18" t="str">
        <f aca="false">IF(B190="","",IF(SUMPRODUCT(MAX((A$1:A189=A190)*(B$1:B189=B190)*ROW(A$1:A189)))=0,C190&amp;"",IF(C190="",INDEX(I$1:I189,SUMPRODUCT(MAX((A$1:A189=A190)*(B$1:B189=B190)*ROW(A$1:A189)))),IF(INDEX(I$1:I189,SUMPRODUCT(MAX((A$1:A189=A190)*(B$1:B189=B190)*ROW(A$1:A189))))="",C190&amp;"",INDEX(I$1:I189,SUMPRODUCT(MAX((A$1:A189=A190)*(B$1:B189=B190)*ROW(A$1:A189))))&amp;"; "&amp;C190))))</f>
        <v/>
      </c>
      <c r="J190" s="18" t="str">
        <f aca="false">IF(A190="","",A190&amp;"|"&amp;COUNTIF(A$2:A190,A190))</f>
        <v/>
      </c>
      <c r="K190" s="18" t="n">
        <f aca="false">IF(OR(A190="",B190=""),0,IF(COUNTIFS(A$2:A190,A190,B$2:B190,B190)=1,1,0))</f>
        <v>0</v>
      </c>
    </row>
    <row r="191" customFormat="false" ht="15" hidden="false" customHeight="false" outlineLevel="0" collapsed="false">
      <c r="A191" s="15"/>
      <c r="B191" s="15"/>
      <c r="C191" s="15"/>
      <c r="D191" s="15"/>
      <c r="F191" s="18" t="str">
        <f aca="false">IF(B191="","",IFERROR(INDEX(Materials!$B$2:$B$201,MATCH(B191,Materials!$A$2:$A$201,0)),""))</f>
        <v/>
      </c>
      <c r="G191" s="18" t="str">
        <f aca="true">IF(AND(A191="",B191=""),"",IF(A191="","Missing product",IF(B191="","Missing material",IF(COUNTIF(ProductList,A191)=0,"Product not in Products list",IF(COUNTIF(MaterialList,B191)=0,"Material not in Materials list","OK")))))</f>
        <v/>
      </c>
      <c r="H191" s="18" t="str">
        <f aca="false">IF(F191="Active",A191&amp;"|"&amp;COUNTIFS(A$2:A191,A191,F$2:F191,"Active"),"")</f>
        <v/>
      </c>
      <c r="I191" s="18" t="str">
        <f aca="false">IF(B191="","",IF(SUMPRODUCT(MAX((A$1:A190=A191)*(B$1:B190=B191)*ROW(A$1:A190)))=0,C191&amp;"",IF(C191="",INDEX(I$1:I190,SUMPRODUCT(MAX((A$1:A190=A191)*(B$1:B190=B191)*ROW(A$1:A190)))),IF(INDEX(I$1:I190,SUMPRODUCT(MAX((A$1:A190=A191)*(B$1:B190=B191)*ROW(A$1:A190))))="",C191&amp;"",INDEX(I$1:I190,SUMPRODUCT(MAX((A$1:A190=A191)*(B$1:B190=B191)*ROW(A$1:A190))))&amp;"; "&amp;C191))))</f>
        <v/>
      </c>
      <c r="J191" s="18" t="str">
        <f aca="false">IF(A191="","",A191&amp;"|"&amp;COUNTIF(A$2:A191,A191))</f>
        <v/>
      </c>
      <c r="K191" s="18" t="n">
        <f aca="false">IF(OR(A191="",B191=""),0,IF(COUNTIFS(A$2:A191,A191,B$2:B191,B191)=1,1,0))</f>
        <v>0</v>
      </c>
    </row>
    <row r="192" customFormat="false" ht="15" hidden="false" customHeight="false" outlineLevel="0" collapsed="false">
      <c r="A192" s="15"/>
      <c r="B192" s="15"/>
      <c r="C192" s="15"/>
      <c r="D192" s="15"/>
      <c r="F192" s="18" t="str">
        <f aca="false">IF(B192="","",IFERROR(INDEX(Materials!$B$2:$B$201,MATCH(B192,Materials!$A$2:$A$201,0)),""))</f>
        <v/>
      </c>
      <c r="G192" s="18" t="str">
        <f aca="true">IF(AND(A192="",B192=""),"",IF(A192="","Missing product",IF(B192="","Missing material",IF(COUNTIF(ProductList,A192)=0,"Product not in Products list",IF(COUNTIF(MaterialList,B192)=0,"Material not in Materials list","OK")))))</f>
        <v/>
      </c>
      <c r="H192" s="18" t="str">
        <f aca="false">IF(F192="Active",A192&amp;"|"&amp;COUNTIFS(A$2:A192,A192,F$2:F192,"Active"),"")</f>
        <v/>
      </c>
      <c r="I192" s="18" t="str">
        <f aca="false">IF(B192="","",IF(SUMPRODUCT(MAX((A$1:A191=A192)*(B$1:B191=B192)*ROW(A$1:A191)))=0,C192&amp;"",IF(C192="",INDEX(I$1:I191,SUMPRODUCT(MAX((A$1:A191=A192)*(B$1:B191=B192)*ROW(A$1:A191)))),IF(INDEX(I$1:I191,SUMPRODUCT(MAX((A$1:A191=A192)*(B$1:B191=B192)*ROW(A$1:A191))))="",C192&amp;"",INDEX(I$1:I191,SUMPRODUCT(MAX((A$1:A191=A192)*(B$1:B191=B192)*ROW(A$1:A191))))&amp;"; "&amp;C192))))</f>
        <v/>
      </c>
      <c r="J192" s="18" t="str">
        <f aca="false">IF(A192="","",A192&amp;"|"&amp;COUNTIF(A$2:A192,A192))</f>
        <v/>
      </c>
      <c r="K192" s="18" t="n">
        <f aca="false">IF(OR(A192="",B192=""),0,IF(COUNTIFS(A$2:A192,A192,B$2:B192,B192)=1,1,0))</f>
        <v>0</v>
      </c>
    </row>
    <row r="193" customFormat="false" ht="15" hidden="false" customHeight="false" outlineLevel="0" collapsed="false">
      <c r="A193" s="15"/>
      <c r="B193" s="15"/>
      <c r="C193" s="15"/>
      <c r="D193" s="15"/>
      <c r="F193" s="18" t="str">
        <f aca="false">IF(B193="","",IFERROR(INDEX(Materials!$B$2:$B$201,MATCH(B193,Materials!$A$2:$A$201,0)),""))</f>
        <v/>
      </c>
      <c r="G193" s="18" t="str">
        <f aca="true">IF(AND(A193="",B193=""),"",IF(A193="","Missing product",IF(B193="","Missing material",IF(COUNTIF(ProductList,A193)=0,"Product not in Products list",IF(COUNTIF(MaterialList,B193)=0,"Material not in Materials list","OK")))))</f>
        <v/>
      </c>
      <c r="H193" s="18" t="str">
        <f aca="false">IF(F193="Active",A193&amp;"|"&amp;COUNTIFS(A$2:A193,A193,F$2:F193,"Active"),"")</f>
        <v/>
      </c>
      <c r="I193" s="18" t="str">
        <f aca="false">IF(B193="","",IF(SUMPRODUCT(MAX((A$1:A192=A193)*(B$1:B192=B193)*ROW(A$1:A192)))=0,C193&amp;"",IF(C193="",INDEX(I$1:I192,SUMPRODUCT(MAX((A$1:A192=A193)*(B$1:B192=B193)*ROW(A$1:A192)))),IF(INDEX(I$1:I192,SUMPRODUCT(MAX((A$1:A192=A193)*(B$1:B192=B193)*ROW(A$1:A192))))="",C193&amp;"",INDEX(I$1:I192,SUMPRODUCT(MAX((A$1:A192=A193)*(B$1:B192=B193)*ROW(A$1:A192))))&amp;"; "&amp;C193))))</f>
        <v/>
      </c>
      <c r="J193" s="18" t="str">
        <f aca="false">IF(A193="","",A193&amp;"|"&amp;COUNTIF(A$2:A193,A193))</f>
        <v/>
      </c>
      <c r="K193" s="18" t="n">
        <f aca="false">IF(OR(A193="",B193=""),0,IF(COUNTIFS(A$2:A193,A193,B$2:B193,B193)=1,1,0))</f>
        <v>0</v>
      </c>
    </row>
    <row r="194" customFormat="false" ht="15" hidden="false" customHeight="false" outlineLevel="0" collapsed="false">
      <c r="A194" s="15"/>
      <c r="B194" s="15"/>
      <c r="C194" s="15"/>
      <c r="D194" s="15"/>
      <c r="F194" s="18" t="str">
        <f aca="false">IF(B194="","",IFERROR(INDEX(Materials!$B$2:$B$201,MATCH(B194,Materials!$A$2:$A$201,0)),""))</f>
        <v/>
      </c>
      <c r="G194" s="18" t="str">
        <f aca="true">IF(AND(A194="",B194=""),"",IF(A194="","Missing product",IF(B194="","Missing material",IF(COUNTIF(ProductList,A194)=0,"Product not in Products list",IF(COUNTIF(MaterialList,B194)=0,"Material not in Materials list","OK")))))</f>
        <v/>
      </c>
      <c r="H194" s="18" t="str">
        <f aca="false">IF(F194="Active",A194&amp;"|"&amp;COUNTIFS(A$2:A194,A194,F$2:F194,"Active"),"")</f>
        <v/>
      </c>
      <c r="I194" s="18" t="str">
        <f aca="false">IF(B194="","",IF(SUMPRODUCT(MAX((A$1:A193=A194)*(B$1:B193=B194)*ROW(A$1:A193)))=0,C194&amp;"",IF(C194="",INDEX(I$1:I193,SUMPRODUCT(MAX((A$1:A193=A194)*(B$1:B193=B194)*ROW(A$1:A193)))),IF(INDEX(I$1:I193,SUMPRODUCT(MAX((A$1:A193=A194)*(B$1:B193=B194)*ROW(A$1:A193))))="",C194&amp;"",INDEX(I$1:I193,SUMPRODUCT(MAX((A$1:A193=A194)*(B$1:B193=B194)*ROW(A$1:A193))))&amp;"; "&amp;C194))))</f>
        <v/>
      </c>
      <c r="J194" s="18" t="str">
        <f aca="false">IF(A194="","",A194&amp;"|"&amp;COUNTIF(A$2:A194,A194))</f>
        <v/>
      </c>
      <c r="K194" s="18" t="n">
        <f aca="false">IF(OR(A194="",B194=""),0,IF(COUNTIFS(A$2:A194,A194,B$2:B194,B194)=1,1,0))</f>
        <v>0</v>
      </c>
    </row>
    <row r="195" customFormat="false" ht="15" hidden="false" customHeight="false" outlineLevel="0" collapsed="false">
      <c r="A195" s="15"/>
      <c r="B195" s="15"/>
      <c r="C195" s="15"/>
      <c r="D195" s="15"/>
      <c r="F195" s="18" t="str">
        <f aca="false">IF(B195="","",IFERROR(INDEX(Materials!$B$2:$B$201,MATCH(B195,Materials!$A$2:$A$201,0)),""))</f>
        <v/>
      </c>
      <c r="G195" s="18" t="str">
        <f aca="true">IF(AND(A195="",B195=""),"",IF(A195="","Missing product",IF(B195="","Missing material",IF(COUNTIF(ProductList,A195)=0,"Product not in Products list",IF(COUNTIF(MaterialList,B195)=0,"Material not in Materials list","OK")))))</f>
        <v/>
      </c>
      <c r="H195" s="18" t="str">
        <f aca="false">IF(F195="Active",A195&amp;"|"&amp;COUNTIFS(A$2:A195,A195,F$2:F195,"Active"),"")</f>
        <v/>
      </c>
      <c r="I195" s="18" t="str">
        <f aca="false">IF(B195="","",IF(SUMPRODUCT(MAX((A$1:A194=A195)*(B$1:B194=B195)*ROW(A$1:A194)))=0,C195&amp;"",IF(C195="",INDEX(I$1:I194,SUMPRODUCT(MAX((A$1:A194=A195)*(B$1:B194=B195)*ROW(A$1:A194)))),IF(INDEX(I$1:I194,SUMPRODUCT(MAX((A$1:A194=A195)*(B$1:B194=B195)*ROW(A$1:A194))))="",C195&amp;"",INDEX(I$1:I194,SUMPRODUCT(MAX((A$1:A194=A195)*(B$1:B194=B195)*ROW(A$1:A194))))&amp;"; "&amp;C195))))</f>
        <v/>
      </c>
      <c r="J195" s="18" t="str">
        <f aca="false">IF(A195="","",A195&amp;"|"&amp;COUNTIF(A$2:A195,A195))</f>
        <v/>
      </c>
      <c r="K195" s="18" t="n">
        <f aca="false">IF(OR(A195="",B195=""),0,IF(COUNTIFS(A$2:A195,A195,B$2:B195,B195)=1,1,0))</f>
        <v>0</v>
      </c>
    </row>
    <row r="196" customFormat="false" ht="15" hidden="false" customHeight="false" outlineLevel="0" collapsed="false">
      <c r="A196" s="15"/>
      <c r="B196" s="15"/>
      <c r="C196" s="15"/>
      <c r="D196" s="15"/>
      <c r="F196" s="18" t="str">
        <f aca="false">IF(B196="","",IFERROR(INDEX(Materials!$B$2:$B$201,MATCH(B196,Materials!$A$2:$A$201,0)),""))</f>
        <v/>
      </c>
      <c r="G196" s="18" t="str">
        <f aca="true">IF(AND(A196="",B196=""),"",IF(A196="","Missing product",IF(B196="","Missing material",IF(COUNTIF(ProductList,A196)=0,"Product not in Products list",IF(COUNTIF(MaterialList,B196)=0,"Material not in Materials list","OK")))))</f>
        <v/>
      </c>
      <c r="H196" s="18" t="str">
        <f aca="false">IF(F196="Active",A196&amp;"|"&amp;COUNTIFS(A$2:A196,A196,F$2:F196,"Active"),"")</f>
        <v/>
      </c>
      <c r="I196" s="18" t="str">
        <f aca="false">IF(B196="","",IF(SUMPRODUCT(MAX((A$1:A195=A196)*(B$1:B195=B196)*ROW(A$1:A195)))=0,C196&amp;"",IF(C196="",INDEX(I$1:I195,SUMPRODUCT(MAX((A$1:A195=A196)*(B$1:B195=B196)*ROW(A$1:A195)))),IF(INDEX(I$1:I195,SUMPRODUCT(MAX((A$1:A195=A196)*(B$1:B195=B196)*ROW(A$1:A195))))="",C196&amp;"",INDEX(I$1:I195,SUMPRODUCT(MAX((A$1:A195=A196)*(B$1:B195=B196)*ROW(A$1:A195))))&amp;"; "&amp;C196))))</f>
        <v/>
      </c>
      <c r="J196" s="18" t="str">
        <f aca="false">IF(A196="","",A196&amp;"|"&amp;COUNTIF(A$2:A196,A196))</f>
        <v/>
      </c>
      <c r="K196" s="18" t="n">
        <f aca="false">IF(OR(A196="",B196=""),0,IF(COUNTIFS(A$2:A196,A196,B$2:B196,B196)=1,1,0))</f>
        <v>0</v>
      </c>
    </row>
    <row r="197" customFormat="false" ht="15" hidden="false" customHeight="false" outlineLevel="0" collapsed="false">
      <c r="A197" s="15"/>
      <c r="B197" s="15"/>
      <c r="C197" s="15"/>
      <c r="D197" s="15"/>
      <c r="F197" s="18" t="str">
        <f aca="false">IF(B197="","",IFERROR(INDEX(Materials!$B$2:$B$201,MATCH(B197,Materials!$A$2:$A$201,0)),""))</f>
        <v/>
      </c>
      <c r="G197" s="18" t="str">
        <f aca="true">IF(AND(A197="",B197=""),"",IF(A197="","Missing product",IF(B197="","Missing material",IF(COUNTIF(ProductList,A197)=0,"Product not in Products list",IF(COUNTIF(MaterialList,B197)=0,"Material not in Materials list","OK")))))</f>
        <v/>
      </c>
      <c r="H197" s="18" t="str">
        <f aca="false">IF(F197="Active",A197&amp;"|"&amp;COUNTIFS(A$2:A197,A197,F$2:F197,"Active"),"")</f>
        <v/>
      </c>
      <c r="I197" s="18" t="str">
        <f aca="false">IF(B197="","",IF(SUMPRODUCT(MAX((A$1:A196=A197)*(B$1:B196=B197)*ROW(A$1:A196)))=0,C197&amp;"",IF(C197="",INDEX(I$1:I196,SUMPRODUCT(MAX((A$1:A196=A197)*(B$1:B196=B197)*ROW(A$1:A196)))),IF(INDEX(I$1:I196,SUMPRODUCT(MAX((A$1:A196=A197)*(B$1:B196=B197)*ROW(A$1:A196))))="",C197&amp;"",INDEX(I$1:I196,SUMPRODUCT(MAX((A$1:A196=A197)*(B$1:B196=B197)*ROW(A$1:A196))))&amp;"; "&amp;C197))))</f>
        <v/>
      </c>
      <c r="J197" s="18" t="str">
        <f aca="false">IF(A197="","",A197&amp;"|"&amp;COUNTIF(A$2:A197,A197))</f>
        <v/>
      </c>
      <c r="K197" s="18" t="n">
        <f aca="false">IF(OR(A197="",B197=""),0,IF(COUNTIFS(A$2:A197,A197,B$2:B197,B197)=1,1,0))</f>
        <v>0</v>
      </c>
    </row>
    <row r="198" customFormat="false" ht="15" hidden="false" customHeight="false" outlineLevel="0" collapsed="false">
      <c r="A198" s="15"/>
      <c r="B198" s="15"/>
      <c r="C198" s="15"/>
      <c r="D198" s="15"/>
      <c r="F198" s="18" t="str">
        <f aca="false">IF(B198="","",IFERROR(INDEX(Materials!$B$2:$B$201,MATCH(B198,Materials!$A$2:$A$201,0)),""))</f>
        <v/>
      </c>
      <c r="G198" s="18" t="str">
        <f aca="true">IF(AND(A198="",B198=""),"",IF(A198="","Missing product",IF(B198="","Missing material",IF(COUNTIF(ProductList,A198)=0,"Product not in Products list",IF(COUNTIF(MaterialList,B198)=0,"Material not in Materials list","OK")))))</f>
        <v/>
      </c>
      <c r="H198" s="18" t="str">
        <f aca="false">IF(F198="Active",A198&amp;"|"&amp;COUNTIFS(A$2:A198,A198,F$2:F198,"Active"),"")</f>
        <v/>
      </c>
      <c r="I198" s="18" t="str">
        <f aca="false">IF(B198="","",IF(SUMPRODUCT(MAX((A$1:A197=A198)*(B$1:B197=B198)*ROW(A$1:A197)))=0,C198&amp;"",IF(C198="",INDEX(I$1:I197,SUMPRODUCT(MAX((A$1:A197=A198)*(B$1:B197=B198)*ROW(A$1:A197)))),IF(INDEX(I$1:I197,SUMPRODUCT(MAX((A$1:A197=A198)*(B$1:B197=B198)*ROW(A$1:A197))))="",C198&amp;"",INDEX(I$1:I197,SUMPRODUCT(MAX((A$1:A197=A198)*(B$1:B197=B198)*ROW(A$1:A197))))&amp;"; "&amp;C198))))</f>
        <v/>
      </c>
      <c r="J198" s="18" t="str">
        <f aca="false">IF(A198="","",A198&amp;"|"&amp;COUNTIF(A$2:A198,A198))</f>
        <v/>
      </c>
      <c r="K198" s="18" t="n">
        <f aca="false">IF(OR(A198="",B198=""),0,IF(COUNTIFS(A$2:A198,A198,B$2:B198,B198)=1,1,0))</f>
        <v>0</v>
      </c>
    </row>
    <row r="199" customFormat="false" ht="15" hidden="false" customHeight="false" outlineLevel="0" collapsed="false">
      <c r="A199" s="15"/>
      <c r="B199" s="15"/>
      <c r="C199" s="15"/>
      <c r="D199" s="15"/>
      <c r="F199" s="18" t="str">
        <f aca="false">IF(B199="","",IFERROR(INDEX(Materials!$B$2:$B$201,MATCH(B199,Materials!$A$2:$A$201,0)),""))</f>
        <v/>
      </c>
      <c r="G199" s="18" t="str">
        <f aca="true">IF(AND(A199="",B199=""),"",IF(A199="","Missing product",IF(B199="","Missing material",IF(COUNTIF(ProductList,A199)=0,"Product not in Products list",IF(COUNTIF(MaterialList,B199)=0,"Material not in Materials list","OK")))))</f>
        <v/>
      </c>
      <c r="H199" s="18" t="str">
        <f aca="false">IF(F199="Active",A199&amp;"|"&amp;COUNTIFS(A$2:A199,A199,F$2:F199,"Active"),"")</f>
        <v/>
      </c>
      <c r="I199" s="18" t="str">
        <f aca="false">IF(B199="","",IF(SUMPRODUCT(MAX((A$1:A198=A199)*(B$1:B198=B199)*ROW(A$1:A198)))=0,C199&amp;"",IF(C199="",INDEX(I$1:I198,SUMPRODUCT(MAX((A$1:A198=A199)*(B$1:B198=B199)*ROW(A$1:A198)))),IF(INDEX(I$1:I198,SUMPRODUCT(MAX((A$1:A198=A199)*(B$1:B198=B199)*ROW(A$1:A198))))="",C199&amp;"",INDEX(I$1:I198,SUMPRODUCT(MAX((A$1:A198=A199)*(B$1:B198=B199)*ROW(A$1:A198))))&amp;"; "&amp;C199))))</f>
        <v/>
      </c>
      <c r="J199" s="18" t="str">
        <f aca="false">IF(A199="","",A199&amp;"|"&amp;COUNTIF(A$2:A199,A199))</f>
        <v/>
      </c>
      <c r="K199" s="18" t="n">
        <f aca="false">IF(OR(A199="",B199=""),0,IF(COUNTIFS(A$2:A199,A199,B$2:B199,B199)=1,1,0))</f>
        <v>0</v>
      </c>
    </row>
    <row r="200" customFormat="false" ht="15" hidden="false" customHeight="false" outlineLevel="0" collapsed="false">
      <c r="A200" s="15"/>
      <c r="B200" s="15"/>
      <c r="C200" s="15"/>
      <c r="D200" s="15"/>
      <c r="F200" s="18" t="str">
        <f aca="false">IF(B200="","",IFERROR(INDEX(Materials!$B$2:$B$201,MATCH(B200,Materials!$A$2:$A$201,0)),""))</f>
        <v/>
      </c>
      <c r="G200" s="18" t="str">
        <f aca="true">IF(AND(A200="",B200=""),"",IF(A200="","Missing product",IF(B200="","Missing material",IF(COUNTIF(ProductList,A200)=0,"Product not in Products list",IF(COUNTIF(MaterialList,B200)=0,"Material not in Materials list","OK")))))</f>
        <v/>
      </c>
      <c r="H200" s="18" t="str">
        <f aca="false">IF(F200="Active",A200&amp;"|"&amp;COUNTIFS(A$2:A200,A200,F$2:F200,"Active"),"")</f>
        <v/>
      </c>
      <c r="I200" s="18" t="str">
        <f aca="false">IF(B200="","",IF(SUMPRODUCT(MAX((A$1:A199=A200)*(B$1:B199=B200)*ROW(A$1:A199)))=0,C200&amp;"",IF(C200="",INDEX(I$1:I199,SUMPRODUCT(MAX((A$1:A199=A200)*(B$1:B199=B200)*ROW(A$1:A199)))),IF(INDEX(I$1:I199,SUMPRODUCT(MAX((A$1:A199=A200)*(B$1:B199=B200)*ROW(A$1:A199))))="",C200&amp;"",INDEX(I$1:I199,SUMPRODUCT(MAX((A$1:A199=A200)*(B$1:B199=B200)*ROW(A$1:A199))))&amp;"; "&amp;C200))))</f>
        <v/>
      </c>
      <c r="J200" s="18" t="str">
        <f aca="false">IF(A200="","",A200&amp;"|"&amp;COUNTIF(A$2:A200,A200))</f>
        <v/>
      </c>
      <c r="K200" s="18" t="n">
        <f aca="false">IF(OR(A200="",B200=""),0,IF(COUNTIFS(A$2:A200,A200,B$2:B200,B200)=1,1,0))</f>
        <v>0</v>
      </c>
    </row>
    <row r="201" customFormat="false" ht="15" hidden="false" customHeight="false" outlineLevel="0" collapsed="false">
      <c r="A201" s="15"/>
      <c r="B201" s="15"/>
      <c r="C201" s="15"/>
      <c r="D201" s="15"/>
      <c r="F201" s="18" t="str">
        <f aca="false">IF(B201="","",IFERROR(INDEX(Materials!$B$2:$B$201,MATCH(B201,Materials!$A$2:$A$201,0)),""))</f>
        <v/>
      </c>
      <c r="G201" s="18" t="str">
        <f aca="true">IF(AND(A201="",B201=""),"",IF(A201="","Missing product",IF(B201="","Missing material",IF(COUNTIF(ProductList,A201)=0,"Product not in Products list",IF(COUNTIF(MaterialList,B201)=0,"Material not in Materials list","OK")))))</f>
        <v/>
      </c>
      <c r="H201" s="18" t="str">
        <f aca="false">IF(F201="Active",A201&amp;"|"&amp;COUNTIFS(A$2:A201,A201,F$2:F201,"Active"),"")</f>
        <v/>
      </c>
      <c r="I201" s="18" t="str">
        <f aca="false">IF(B201="","",IF(SUMPRODUCT(MAX((A$1:A200=A201)*(B$1:B200=B201)*ROW(A$1:A200)))=0,C201&amp;"",IF(C201="",INDEX(I$1:I200,SUMPRODUCT(MAX((A$1:A200=A201)*(B$1:B200=B201)*ROW(A$1:A200)))),IF(INDEX(I$1:I200,SUMPRODUCT(MAX((A$1:A200=A201)*(B$1:B200=B201)*ROW(A$1:A200))))="",C201&amp;"",INDEX(I$1:I200,SUMPRODUCT(MAX((A$1:A200=A201)*(B$1:B200=B201)*ROW(A$1:A200))))&amp;"; "&amp;C201))))</f>
        <v/>
      </c>
      <c r="J201" s="18" t="str">
        <f aca="false">IF(A201="","",A201&amp;"|"&amp;COUNTIF(A$2:A201,A201))</f>
        <v/>
      </c>
      <c r="K201" s="18" t="n">
        <f aca="false">IF(OR(A201="",B201=""),0,IF(COUNTIFS(A$2:A201,A201,B$2:B201,B201)=1,1,0))</f>
        <v>0</v>
      </c>
    </row>
    <row r="202" customFormat="false" ht="15" hidden="false" customHeight="false" outlineLevel="0" collapsed="false">
      <c r="A202" s="15"/>
      <c r="B202" s="15"/>
      <c r="C202" s="15"/>
      <c r="D202" s="15"/>
      <c r="F202" s="18" t="str">
        <f aca="false">IF(B202="","",IFERROR(INDEX(Materials!$B$2:$B$201,MATCH(B202,Materials!$A$2:$A$201,0)),""))</f>
        <v/>
      </c>
      <c r="G202" s="18" t="str">
        <f aca="true">IF(AND(A202="",B202=""),"",IF(A202="","Missing product",IF(B202="","Missing material",IF(COUNTIF(ProductList,A202)=0,"Product not in Products list",IF(COUNTIF(MaterialList,B202)=0,"Material not in Materials list","OK")))))</f>
        <v/>
      </c>
      <c r="H202" s="18" t="str">
        <f aca="false">IF(F202="Active",A202&amp;"|"&amp;COUNTIFS(A$2:A202,A202,F$2:F202,"Active"),"")</f>
        <v/>
      </c>
      <c r="I202" s="18" t="str">
        <f aca="false">IF(B202="","",IF(SUMPRODUCT(MAX((A$1:A201=A202)*(B$1:B201=B202)*ROW(A$1:A201)))=0,C202&amp;"",IF(C202="",INDEX(I$1:I201,SUMPRODUCT(MAX((A$1:A201=A202)*(B$1:B201=B202)*ROW(A$1:A201)))),IF(INDEX(I$1:I201,SUMPRODUCT(MAX((A$1:A201=A202)*(B$1:B201=B202)*ROW(A$1:A201))))="",C202&amp;"",INDEX(I$1:I201,SUMPRODUCT(MAX((A$1:A201=A202)*(B$1:B201=B202)*ROW(A$1:A201))))&amp;"; "&amp;C202))))</f>
        <v/>
      </c>
      <c r="J202" s="18" t="str">
        <f aca="false">IF(A202="","",A202&amp;"|"&amp;COUNTIF(A$2:A202,A202))</f>
        <v/>
      </c>
      <c r="K202" s="18" t="n">
        <f aca="false">IF(OR(A202="",B202=""),0,IF(COUNTIFS(A$2:A202,A202,B$2:B202,B202)=1,1,0))</f>
        <v>0</v>
      </c>
    </row>
    <row r="203" customFormat="false" ht="15" hidden="false" customHeight="false" outlineLevel="0" collapsed="false">
      <c r="A203" s="15"/>
      <c r="B203" s="15"/>
      <c r="C203" s="15"/>
      <c r="D203" s="15"/>
      <c r="F203" s="18" t="str">
        <f aca="false">IF(B203="","",IFERROR(INDEX(Materials!$B$2:$B$201,MATCH(B203,Materials!$A$2:$A$201,0)),""))</f>
        <v/>
      </c>
      <c r="G203" s="18" t="str">
        <f aca="true">IF(AND(A203="",B203=""),"",IF(A203="","Missing product",IF(B203="","Missing material",IF(COUNTIF(ProductList,A203)=0,"Product not in Products list",IF(COUNTIF(MaterialList,B203)=0,"Material not in Materials list","OK")))))</f>
        <v/>
      </c>
      <c r="H203" s="18" t="str">
        <f aca="false">IF(F203="Active",A203&amp;"|"&amp;COUNTIFS(A$2:A203,A203,F$2:F203,"Active"),"")</f>
        <v/>
      </c>
      <c r="I203" s="18" t="str">
        <f aca="false">IF(B203="","",IF(SUMPRODUCT(MAX((A$1:A202=A203)*(B$1:B202=B203)*ROW(A$1:A202)))=0,C203&amp;"",IF(C203="",INDEX(I$1:I202,SUMPRODUCT(MAX((A$1:A202=A203)*(B$1:B202=B203)*ROW(A$1:A202)))),IF(INDEX(I$1:I202,SUMPRODUCT(MAX((A$1:A202=A203)*(B$1:B202=B203)*ROW(A$1:A202))))="",C203&amp;"",INDEX(I$1:I202,SUMPRODUCT(MAX((A$1:A202=A203)*(B$1:B202=B203)*ROW(A$1:A202))))&amp;"; "&amp;C203))))</f>
        <v/>
      </c>
      <c r="J203" s="18" t="str">
        <f aca="false">IF(A203="","",A203&amp;"|"&amp;COUNTIF(A$2:A203,A203))</f>
        <v/>
      </c>
      <c r="K203" s="18" t="n">
        <f aca="false">IF(OR(A203="",B203=""),0,IF(COUNTIFS(A$2:A203,A203,B$2:B203,B203)=1,1,0))</f>
        <v>0</v>
      </c>
    </row>
    <row r="204" customFormat="false" ht="15" hidden="false" customHeight="false" outlineLevel="0" collapsed="false">
      <c r="A204" s="15"/>
      <c r="B204" s="15"/>
      <c r="C204" s="15"/>
      <c r="D204" s="15"/>
      <c r="F204" s="18" t="str">
        <f aca="false">IF(B204="","",IFERROR(INDEX(Materials!$B$2:$B$201,MATCH(B204,Materials!$A$2:$A$201,0)),""))</f>
        <v/>
      </c>
      <c r="G204" s="18" t="str">
        <f aca="true">IF(AND(A204="",B204=""),"",IF(A204="","Missing product",IF(B204="","Missing material",IF(COUNTIF(ProductList,A204)=0,"Product not in Products list",IF(COUNTIF(MaterialList,B204)=0,"Material not in Materials list","OK")))))</f>
        <v/>
      </c>
      <c r="H204" s="18" t="str">
        <f aca="false">IF(F204="Active",A204&amp;"|"&amp;COUNTIFS(A$2:A204,A204,F$2:F204,"Active"),"")</f>
        <v/>
      </c>
      <c r="I204" s="18" t="str">
        <f aca="false">IF(B204="","",IF(SUMPRODUCT(MAX((A$1:A203=A204)*(B$1:B203=B204)*ROW(A$1:A203)))=0,C204&amp;"",IF(C204="",INDEX(I$1:I203,SUMPRODUCT(MAX((A$1:A203=A204)*(B$1:B203=B204)*ROW(A$1:A203)))),IF(INDEX(I$1:I203,SUMPRODUCT(MAX((A$1:A203=A204)*(B$1:B203=B204)*ROW(A$1:A203))))="",C204&amp;"",INDEX(I$1:I203,SUMPRODUCT(MAX((A$1:A203=A204)*(B$1:B203=B204)*ROW(A$1:A203))))&amp;"; "&amp;C204))))</f>
        <v/>
      </c>
      <c r="J204" s="18" t="str">
        <f aca="false">IF(A204="","",A204&amp;"|"&amp;COUNTIF(A$2:A204,A204))</f>
        <v/>
      </c>
      <c r="K204" s="18" t="n">
        <f aca="false">IF(OR(A204="",B204=""),0,IF(COUNTIFS(A$2:A204,A204,B$2:B204,B204)=1,1,0))</f>
        <v>0</v>
      </c>
    </row>
    <row r="205" customFormat="false" ht="15" hidden="false" customHeight="false" outlineLevel="0" collapsed="false">
      <c r="A205" s="15"/>
      <c r="B205" s="15"/>
      <c r="C205" s="15"/>
      <c r="D205" s="15"/>
      <c r="F205" s="18" t="str">
        <f aca="false">IF(B205="","",IFERROR(INDEX(Materials!$B$2:$B$201,MATCH(B205,Materials!$A$2:$A$201,0)),""))</f>
        <v/>
      </c>
      <c r="G205" s="18" t="str">
        <f aca="true">IF(AND(A205="",B205=""),"",IF(A205="","Missing product",IF(B205="","Missing material",IF(COUNTIF(ProductList,A205)=0,"Product not in Products list",IF(COUNTIF(MaterialList,B205)=0,"Material not in Materials list","OK")))))</f>
        <v/>
      </c>
      <c r="H205" s="18" t="str">
        <f aca="false">IF(F205="Active",A205&amp;"|"&amp;COUNTIFS(A$2:A205,A205,F$2:F205,"Active"),"")</f>
        <v/>
      </c>
      <c r="I205" s="18" t="str">
        <f aca="false">IF(B205="","",IF(SUMPRODUCT(MAX((A$1:A204=A205)*(B$1:B204=B205)*ROW(A$1:A204)))=0,C205&amp;"",IF(C205="",INDEX(I$1:I204,SUMPRODUCT(MAX((A$1:A204=A205)*(B$1:B204=B205)*ROW(A$1:A204)))),IF(INDEX(I$1:I204,SUMPRODUCT(MAX((A$1:A204=A205)*(B$1:B204=B205)*ROW(A$1:A204))))="",C205&amp;"",INDEX(I$1:I204,SUMPRODUCT(MAX((A$1:A204=A205)*(B$1:B204=B205)*ROW(A$1:A204))))&amp;"; "&amp;C205))))</f>
        <v/>
      </c>
      <c r="J205" s="18" t="str">
        <f aca="false">IF(A205="","",A205&amp;"|"&amp;COUNTIF(A$2:A205,A205))</f>
        <v/>
      </c>
      <c r="K205" s="18" t="n">
        <f aca="false">IF(OR(A205="",B205=""),0,IF(COUNTIFS(A$2:A205,A205,B$2:B205,B205)=1,1,0))</f>
        <v>0</v>
      </c>
    </row>
    <row r="206" customFormat="false" ht="15" hidden="false" customHeight="false" outlineLevel="0" collapsed="false">
      <c r="A206" s="15"/>
      <c r="B206" s="15"/>
      <c r="C206" s="15"/>
      <c r="D206" s="15"/>
      <c r="F206" s="18" t="str">
        <f aca="false">IF(B206="","",IFERROR(INDEX(Materials!$B$2:$B$201,MATCH(B206,Materials!$A$2:$A$201,0)),""))</f>
        <v/>
      </c>
      <c r="G206" s="18" t="str">
        <f aca="true">IF(AND(A206="",B206=""),"",IF(A206="","Missing product",IF(B206="","Missing material",IF(COUNTIF(ProductList,A206)=0,"Product not in Products list",IF(COUNTIF(MaterialList,B206)=0,"Material not in Materials list","OK")))))</f>
        <v/>
      </c>
      <c r="H206" s="18" t="str">
        <f aca="false">IF(F206="Active",A206&amp;"|"&amp;COUNTIFS(A$2:A206,A206,F$2:F206,"Active"),"")</f>
        <v/>
      </c>
      <c r="I206" s="18" t="str">
        <f aca="false">IF(B206="","",IF(SUMPRODUCT(MAX((A$1:A205=A206)*(B$1:B205=B206)*ROW(A$1:A205)))=0,C206&amp;"",IF(C206="",INDEX(I$1:I205,SUMPRODUCT(MAX((A$1:A205=A206)*(B$1:B205=B206)*ROW(A$1:A205)))),IF(INDEX(I$1:I205,SUMPRODUCT(MAX((A$1:A205=A206)*(B$1:B205=B206)*ROW(A$1:A205))))="",C206&amp;"",INDEX(I$1:I205,SUMPRODUCT(MAX((A$1:A205=A206)*(B$1:B205=B206)*ROW(A$1:A205))))&amp;"; "&amp;C206))))</f>
        <v/>
      </c>
      <c r="J206" s="18" t="str">
        <f aca="false">IF(A206="","",A206&amp;"|"&amp;COUNTIF(A$2:A206,A206))</f>
        <v/>
      </c>
      <c r="K206" s="18" t="n">
        <f aca="false">IF(OR(A206="",B206=""),0,IF(COUNTIFS(A$2:A206,A206,B$2:B206,B206)=1,1,0))</f>
        <v>0</v>
      </c>
    </row>
    <row r="207" customFormat="false" ht="15" hidden="false" customHeight="false" outlineLevel="0" collapsed="false">
      <c r="A207" s="15"/>
      <c r="B207" s="15"/>
      <c r="C207" s="15"/>
      <c r="D207" s="15"/>
      <c r="F207" s="18" t="str">
        <f aca="false">IF(B207="","",IFERROR(INDEX(Materials!$B$2:$B$201,MATCH(B207,Materials!$A$2:$A$201,0)),""))</f>
        <v/>
      </c>
      <c r="G207" s="18" t="str">
        <f aca="true">IF(AND(A207="",B207=""),"",IF(A207="","Missing product",IF(B207="","Missing material",IF(COUNTIF(ProductList,A207)=0,"Product not in Products list",IF(COUNTIF(MaterialList,B207)=0,"Material not in Materials list","OK")))))</f>
        <v/>
      </c>
      <c r="H207" s="18" t="str">
        <f aca="false">IF(F207="Active",A207&amp;"|"&amp;COUNTIFS(A$2:A207,A207,F$2:F207,"Active"),"")</f>
        <v/>
      </c>
      <c r="I207" s="18" t="str">
        <f aca="false">IF(B207="","",IF(SUMPRODUCT(MAX((A$1:A206=A207)*(B$1:B206=B207)*ROW(A$1:A206)))=0,C207&amp;"",IF(C207="",INDEX(I$1:I206,SUMPRODUCT(MAX((A$1:A206=A207)*(B$1:B206=B207)*ROW(A$1:A206)))),IF(INDEX(I$1:I206,SUMPRODUCT(MAX((A$1:A206=A207)*(B$1:B206=B207)*ROW(A$1:A206))))="",C207&amp;"",INDEX(I$1:I206,SUMPRODUCT(MAX((A$1:A206=A207)*(B$1:B206=B207)*ROW(A$1:A206))))&amp;"; "&amp;C207))))</f>
        <v/>
      </c>
      <c r="J207" s="18" t="str">
        <f aca="false">IF(A207="","",A207&amp;"|"&amp;COUNTIF(A$2:A207,A207))</f>
        <v/>
      </c>
      <c r="K207" s="18" t="n">
        <f aca="false">IF(OR(A207="",B207=""),0,IF(COUNTIFS(A$2:A207,A207,B$2:B207,B207)=1,1,0))</f>
        <v>0</v>
      </c>
    </row>
    <row r="208" customFormat="false" ht="15" hidden="false" customHeight="false" outlineLevel="0" collapsed="false">
      <c r="A208" s="15"/>
      <c r="B208" s="15"/>
      <c r="C208" s="15"/>
      <c r="D208" s="15"/>
      <c r="F208" s="18" t="str">
        <f aca="false">IF(B208="","",IFERROR(INDEX(Materials!$B$2:$B$201,MATCH(B208,Materials!$A$2:$A$201,0)),""))</f>
        <v/>
      </c>
      <c r="G208" s="18" t="str">
        <f aca="true">IF(AND(A208="",B208=""),"",IF(A208="","Missing product",IF(B208="","Missing material",IF(COUNTIF(ProductList,A208)=0,"Product not in Products list",IF(COUNTIF(MaterialList,B208)=0,"Material not in Materials list","OK")))))</f>
        <v/>
      </c>
      <c r="H208" s="18" t="str">
        <f aca="false">IF(F208="Active",A208&amp;"|"&amp;COUNTIFS(A$2:A208,A208,F$2:F208,"Active"),"")</f>
        <v/>
      </c>
      <c r="I208" s="18" t="str">
        <f aca="false">IF(B208="","",IF(SUMPRODUCT(MAX((A$1:A207=A208)*(B$1:B207=B208)*ROW(A$1:A207)))=0,C208&amp;"",IF(C208="",INDEX(I$1:I207,SUMPRODUCT(MAX((A$1:A207=A208)*(B$1:B207=B208)*ROW(A$1:A207)))),IF(INDEX(I$1:I207,SUMPRODUCT(MAX((A$1:A207=A208)*(B$1:B207=B208)*ROW(A$1:A207))))="",C208&amp;"",INDEX(I$1:I207,SUMPRODUCT(MAX((A$1:A207=A208)*(B$1:B207=B208)*ROW(A$1:A207))))&amp;"; "&amp;C208))))</f>
        <v/>
      </c>
      <c r="J208" s="18" t="str">
        <f aca="false">IF(A208="","",A208&amp;"|"&amp;COUNTIF(A$2:A208,A208))</f>
        <v/>
      </c>
      <c r="K208" s="18" t="n">
        <f aca="false">IF(OR(A208="",B208=""),0,IF(COUNTIFS(A$2:A208,A208,B$2:B208,B208)=1,1,0))</f>
        <v>0</v>
      </c>
    </row>
    <row r="209" customFormat="false" ht="15" hidden="false" customHeight="false" outlineLevel="0" collapsed="false">
      <c r="A209" s="15"/>
      <c r="B209" s="15"/>
      <c r="C209" s="15"/>
      <c r="D209" s="15"/>
      <c r="F209" s="18" t="str">
        <f aca="false">IF(B209="","",IFERROR(INDEX(Materials!$B$2:$B$201,MATCH(B209,Materials!$A$2:$A$201,0)),""))</f>
        <v/>
      </c>
      <c r="G209" s="18" t="str">
        <f aca="true">IF(AND(A209="",B209=""),"",IF(A209="","Missing product",IF(B209="","Missing material",IF(COUNTIF(ProductList,A209)=0,"Product not in Products list",IF(COUNTIF(MaterialList,B209)=0,"Material not in Materials list","OK")))))</f>
        <v/>
      </c>
      <c r="H209" s="18" t="str">
        <f aca="false">IF(F209="Active",A209&amp;"|"&amp;COUNTIFS(A$2:A209,A209,F$2:F209,"Active"),"")</f>
        <v/>
      </c>
      <c r="I209" s="18" t="str">
        <f aca="false">IF(B209="","",IF(SUMPRODUCT(MAX((A$1:A208=A209)*(B$1:B208=B209)*ROW(A$1:A208)))=0,C209&amp;"",IF(C209="",INDEX(I$1:I208,SUMPRODUCT(MAX((A$1:A208=A209)*(B$1:B208=B209)*ROW(A$1:A208)))),IF(INDEX(I$1:I208,SUMPRODUCT(MAX((A$1:A208=A209)*(B$1:B208=B209)*ROW(A$1:A208))))="",C209&amp;"",INDEX(I$1:I208,SUMPRODUCT(MAX((A$1:A208=A209)*(B$1:B208=B209)*ROW(A$1:A208))))&amp;"; "&amp;C209))))</f>
        <v/>
      </c>
      <c r="J209" s="18" t="str">
        <f aca="false">IF(A209="","",A209&amp;"|"&amp;COUNTIF(A$2:A209,A209))</f>
        <v/>
      </c>
      <c r="K209" s="18" t="n">
        <f aca="false">IF(OR(A209="",B209=""),0,IF(COUNTIFS(A$2:A209,A209,B$2:B209,B209)=1,1,0))</f>
        <v>0</v>
      </c>
    </row>
    <row r="210" customFormat="false" ht="15" hidden="false" customHeight="false" outlineLevel="0" collapsed="false">
      <c r="A210" s="15"/>
      <c r="B210" s="15"/>
      <c r="C210" s="15"/>
      <c r="D210" s="15"/>
      <c r="F210" s="18" t="str">
        <f aca="false">IF(B210="","",IFERROR(INDEX(Materials!$B$2:$B$201,MATCH(B210,Materials!$A$2:$A$201,0)),""))</f>
        <v/>
      </c>
      <c r="G210" s="18" t="str">
        <f aca="true">IF(AND(A210="",B210=""),"",IF(A210="","Missing product",IF(B210="","Missing material",IF(COUNTIF(ProductList,A210)=0,"Product not in Products list",IF(COUNTIF(MaterialList,B210)=0,"Material not in Materials list","OK")))))</f>
        <v/>
      </c>
      <c r="H210" s="18" t="str">
        <f aca="false">IF(F210="Active",A210&amp;"|"&amp;COUNTIFS(A$2:A210,A210,F$2:F210,"Active"),"")</f>
        <v/>
      </c>
      <c r="I210" s="18" t="str">
        <f aca="false">IF(B210="","",IF(SUMPRODUCT(MAX((A$1:A209=A210)*(B$1:B209=B210)*ROW(A$1:A209)))=0,C210&amp;"",IF(C210="",INDEX(I$1:I209,SUMPRODUCT(MAX((A$1:A209=A210)*(B$1:B209=B210)*ROW(A$1:A209)))),IF(INDEX(I$1:I209,SUMPRODUCT(MAX((A$1:A209=A210)*(B$1:B209=B210)*ROW(A$1:A209))))="",C210&amp;"",INDEX(I$1:I209,SUMPRODUCT(MAX((A$1:A209=A210)*(B$1:B209=B210)*ROW(A$1:A209))))&amp;"; "&amp;C210))))</f>
        <v/>
      </c>
      <c r="J210" s="18" t="str">
        <f aca="false">IF(A210="","",A210&amp;"|"&amp;COUNTIF(A$2:A210,A210))</f>
        <v/>
      </c>
      <c r="K210" s="18" t="n">
        <f aca="false">IF(OR(A210="",B210=""),0,IF(COUNTIFS(A$2:A210,A210,B$2:B210,B210)=1,1,0))</f>
        <v>0</v>
      </c>
    </row>
    <row r="211" customFormat="false" ht="15" hidden="false" customHeight="false" outlineLevel="0" collapsed="false">
      <c r="A211" s="15"/>
      <c r="B211" s="15"/>
      <c r="C211" s="15"/>
      <c r="D211" s="15"/>
      <c r="F211" s="18" t="str">
        <f aca="false">IF(B211="","",IFERROR(INDEX(Materials!$B$2:$B$201,MATCH(B211,Materials!$A$2:$A$201,0)),""))</f>
        <v/>
      </c>
      <c r="G211" s="18" t="str">
        <f aca="true">IF(AND(A211="",B211=""),"",IF(A211="","Missing product",IF(B211="","Missing material",IF(COUNTIF(ProductList,A211)=0,"Product not in Products list",IF(COUNTIF(MaterialList,B211)=0,"Material not in Materials list","OK")))))</f>
        <v/>
      </c>
      <c r="H211" s="18" t="str">
        <f aca="false">IF(F211="Active",A211&amp;"|"&amp;COUNTIFS(A$2:A211,A211,F$2:F211,"Active"),"")</f>
        <v/>
      </c>
      <c r="I211" s="18" t="str">
        <f aca="false">IF(B211="","",IF(SUMPRODUCT(MAX((A$1:A210=A211)*(B$1:B210=B211)*ROW(A$1:A210)))=0,C211&amp;"",IF(C211="",INDEX(I$1:I210,SUMPRODUCT(MAX((A$1:A210=A211)*(B$1:B210=B211)*ROW(A$1:A210)))),IF(INDEX(I$1:I210,SUMPRODUCT(MAX((A$1:A210=A211)*(B$1:B210=B211)*ROW(A$1:A210))))="",C211&amp;"",INDEX(I$1:I210,SUMPRODUCT(MAX((A$1:A210=A211)*(B$1:B210=B211)*ROW(A$1:A210))))&amp;"; "&amp;C211))))</f>
        <v/>
      </c>
      <c r="J211" s="18" t="str">
        <f aca="false">IF(A211="","",A211&amp;"|"&amp;COUNTIF(A$2:A211,A211))</f>
        <v/>
      </c>
      <c r="K211" s="18" t="n">
        <f aca="false">IF(OR(A211="",B211=""),0,IF(COUNTIFS(A$2:A211,A211,B$2:B211,B211)=1,1,0))</f>
        <v>0</v>
      </c>
    </row>
    <row r="212" customFormat="false" ht="15" hidden="false" customHeight="false" outlineLevel="0" collapsed="false">
      <c r="A212" s="15"/>
      <c r="B212" s="15"/>
      <c r="C212" s="15"/>
      <c r="D212" s="15"/>
      <c r="F212" s="18" t="str">
        <f aca="false">IF(B212="","",IFERROR(INDEX(Materials!$B$2:$B$201,MATCH(B212,Materials!$A$2:$A$201,0)),""))</f>
        <v/>
      </c>
      <c r="G212" s="18" t="str">
        <f aca="true">IF(AND(A212="",B212=""),"",IF(A212="","Missing product",IF(B212="","Missing material",IF(COUNTIF(ProductList,A212)=0,"Product not in Products list",IF(COUNTIF(MaterialList,B212)=0,"Material not in Materials list","OK")))))</f>
        <v/>
      </c>
      <c r="H212" s="18" t="str">
        <f aca="false">IF(F212="Active",A212&amp;"|"&amp;COUNTIFS(A$2:A212,A212,F$2:F212,"Active"),"")</f>
        <v/>
      </c>
      <c r="I212" s="18" t="str">
        <f aca="false">IF(B212="","",IF(SUMPRODUCT(MAX((A$1:A211=A212)*(B$1:B211=B212)*ROW(A$1:A211)))=0,C212&amp;"",IF(C212="",INDEX(I$1:I211,SUMPRODUCT(MAX((A$1:A211=A212)*(B$1:B211=B212)*ROW(A$1:A211)))),IF(INDEX(I$1:I211,SUMPRODUCT(MAX((A$1:A211=A212)*(B$1:B211=B212)*ROW(A$1:A211))))="",C212&amp;"",INDEX(I$1:I211,SUMPRODUCT(MAX((A$1:A211=A212)*(B$1:B211=B212)*ROW(A$1:A211))))&amp;"; "&amp;C212))))</f>
        <v/>
      </c>
      <c r="J212" s="18" t="str">
        <f aca="false">IF(A212="","",A212&amp;"|"&amp;COUNTIF(A$2:A212,A212))</f>
        <v/>
      </c>
      <c r="K212" s="18" t="n">
        <f aca="false">IF(OR(A212="",B212=""),0,IF(COUNTIFS(A$2:A212,A212,B$2:B212,B212)=1,1,0))</f>
        <v>0</v>
      </c>
    </row>
    <row r="213" customFormat="false" ht="15" hidden="false" customHeight="false" outlineLevel="0" collapsed="false">
      <c r="A213" s="15"/>
      <c r="B213" s="15"/>
      <c r="C213" s="15"/>
      <c r="D213" s="15"/>
      <c r="F213" s="18" t="str">
        <f aca="false">IF(B213="","",IFERROR(INDEX(Materials!$B$2:$B$201,MATCH(B213,Materials!$A$2:$A$201,0)),""))</f>
        <v/>
      </c>
      <c r="G213" s="18" t="str">
        <f aca="true">IF(AND(A213="",B213=""),"",IF(A213="","Missing product",IF(B213="","Missing material",IF(COUNTIF(ProductList,A213)=0,"Product not in Products list",IF(COUNTIF(MaterialList,B213)=0,"Material not in Materials list","OK")))))</f>
        <v/>
      </c>
      <c r="H213" s="18" t="str">
        <f aca="false">IF(F213="Active",A213&amp;"|"&amp;COUNTIFS(A$2:A213,A213,F$2:F213,"Active"),"")</f>
        <v/>
      </c>
      <c r="I213" s="18" t="str">
        <f aca="false">IF(B213="","",IF(SUMPRODUCT(MAX((A$1:A212=A213)*(B$1:B212=B213)*ROW(A$1:A212)))=0,C213&amp;"",IF(C213="",INDEX(I$1:I212,SUMPRODUCT(MAX((A$1:A212=A213)*(B$1:B212=B213)*ROW(A$1:A212)))),IF(INDEX(I$1:I212,SUMPRODUCT(MAX((A$1:A212=A213)*(B$1:B212=B213)*ROW(A$1:A212))))="",C213&amp;"",INDEX(I$1:I212,SUMPRODUCT(MAX((A$1:A212=A213)*(B$1:B212=B213)*ROW(A$1:A212))))&amp;"; "&amp;C213))))</f>
        <v/>
      </c>
      <c r="J213" s="18" t="str">
        <f aca="false">IF(A213="","",A213&amp;"|"&amp;COUNTIF(A$2:A213,A213))</f>
        <v/>
      </c>
      <c r="K213" s="18" t="n">
        <f aca="false">IF(OR(A213="",B213=""),0,IF(COUNTIFS(A$2:A213,A213,B$2:B213,B213)=1,1,0))</f>
        <v>0</v>
      </c>
    </row>
    <row r="214" customFormat="false" ht="15" hidden="false" customHeight="false" outlineLevel="0" collapsed="false">
      <c r="A214" s="15"/>
      <c r="B214" s="15"/>
      <c r="C214" s="15"/>
      <c r="D214" s="15"/>
      <c r="F214" s="18" t="str">
        <f aca="false">IF(B214="","",IFERROR(INDEX(Materials!$B$2:$B$201,MATCH(B214,Materials!$A$2:$A$201,0)),""))</f>
        <v/>
      </c>
      <c r="G214" s="18" t="str">
        <f aca="true">IF(AND(A214="",B214=""),"",IF(A214="","Missing product",IF(B214="","Missing material",IF(COUNTIF(ProductList,A214)=0,"Product not in Products list",IF(COUNTIF(MaterialList,B214)=0,"Material not in Materials list","OK")))))</f>
        <v/>
      </c>
      <c r="H214" s="18" t="str">
        <f aca="false">IF(F214="Active",A214&amp;"|"&amp;COUNTIFS(A$2:A214,A214,F$2:F214,"Active"),"")</f>
        <v/>
      </c>
      <c r="I214" s="18" t="str">
        <f aca="false">IF(B214="","",IF(SUMPRODUCT(MAX((A$1:A213=A214)*(B$1:B213=B214)*ROW(A$1:A213)))=0,C214&amp;"",IF(C214="",INDEX(I$1:I213,SUMPRODUCT(MAX((A$1:A213=A214)*(B$1:B213=B214)*ROW(A$1:A213)))),IF(INDEX(I$1:I213,SUMPRODUCT(MAX((A$1:A213=A214)*(B$1:B213=B214)*ROW(A$1:A213))))="",C214&amp;"",INDEX(I$1:I213,SUMPRODUCT(MAX((A$1:A213=A214)*(B$1:B213=B214)*ROW(A$1:A213))))&amp;"; "&amp;C214))))</f>
        <v/>
      </c>
      <c r="J214" s="18" t="str">
        <f aca="false">IF(A214="","",A214&amp;"|"&amp;COUNTIF(A$2:A214,A214))</f>
        <v/>
      </c>
      <c r="K214" s="18" t="n">
        <f aca="false">IF(OR(A214="",B214=""),0,IF(COUNTIFS(A$2:A214,A214,B$2:B214,B214)=1,1,0))</f>
        <v>0</v>
      </c>
    </row>
    <row r="215" customFormat="false" ht="15" hidden="false" customHeight="false" outlineLevel="0" collapsed="false">
      <c r="A215" s="15"/>
      <c r="B215" s="15"/>
      <c r="C215" s="15"/>
      <c r="D215" s="15"/>
      <c r="F215" s="18" t="str">
        <f aca="false">IF(B215="","",IFERROR(INDEX(Materials!$B$2:$B$201,MATCH(B215,Materials!$A$2:$A$201,0)),""))</f>
        <v/>
      </c>
      <c r="G215" s="18" t="str">
        <f aca="true">IF(AND(A215="",B215=""),"",IF(A215="","Missing product",IF(B215="","Missing material",IF(COUNTIF(ProductList,A215)=0,"Product not in Products list",IF(COUNTIF(MaterialList,B215)=0,"Material not in Materials list","OK")))))</f>
        <v/>
      </c>
      <c r="H215" s="18" t="str">
        <f aca="false">IF(F215="Active",A215&amp;"|"&amp;COUNTIFS(A$2:A215,A215,F$2:F215,"Active"),"")</f>
        <v/>
      </c>
      <c r="I215" s="18" t="str">
        <f aca="false">IF(B215="","",IF(SUMPRODUCT(MAX((A$1:A214=A215)*(B$1:B214=B215)*ROW(A$1:A214)))=0,C215&amp;"",IF(C215="",INDEX(I$1:I214,SUMPRODUCT(MAX((A$1:A214=A215)*(B$1:B214=B215)*ROW(A$1:A214)))),IF(INDEX(I$1:I214,SUMPRODUCT(MAX((A$1:A214=A215)*(B$1:B214=B215)*ROW(A$1:A214))))="",C215&amp;"",INDEX(I$1:I214,SUMPRODUCT(MAX((A$1:A214=A215)*(B$1:B214=B215)*ROW(A$1:A214))))&amp;"; "&amp;C215))))</f>
        <v/>
      </c>
      <c r="J215" s="18" t="str">
        <f aca="false">IF(A215="","",A215&amp;"|"&amp;COUNTIF(A$2:A215,A215))</f>
        <v/>
      </c>
      <c r="K215" s="18" t="n">
        <f aca="false">IF(OR(A215="",B215=""),0,IF(COUNTIFS(A$2:A215,A215,B$2:B215,B215)=1,1,0))</f>
        <v>0</v>
      </c>
    </row>
    <row r="216" customFormat="false" ht="15" hidden="false" customHeight="false" outlineLevel="0" collapsed="false">
      <c r="A216" s="15"/>
      <c r="B216" s="15"/>
      <c r="C216" s="15"/>
      <c r="D216" s="15"/>
      <c r="F216" s="18" t="str">
        <f aca="false">IF(B216="","",IFERROR(INDEX(Materials!$B$2:$B$201,MATCH(B216,Materials!$A$2:$A$201,0)),""))</f>
        <v/>
      </c>
      <c r="G216" s="18" t="str">
        <f aca="true">IF(AND(A216="",B216=""),"",IF(A216="","Missing product",IF(B216="","Missing material",IF(COUNTIF(ProductList,A216)=0,"Product not in Products list",IF(COUNTIF(MaterialList,B216)=0,"Material not in Materials list","OK")))))</f>
        <v/>
      </c>
      <c r="H216" s="18" t="str">
        <f aca="false">IF(F216="Active",A216&amp;"|"&amp;COUNTIFS(A$2:A216,A216,F$2:F216,"Active"),"")</f>
        <v/>
      </c>
      <c r="I216" s="18" t="str">
        <f aca="false">IF(B216="","",IF(SUMPRODUCT(MAX((A$1:A215=A216)*(B$1:B215=B216)*ROW(A$1:A215)))=0,C216&amp;"",IF(C216="",INDEX(I$1:I215,SUMPRODUCT(MAX((A$1:A215=A216)*(B$1:B215=B216)*ROW(A$1:A215)))),IF(INDEX(I$1:I215,SUMPRODUCT(MAX((A$1:A215=A216)*(B$1:B215=B216)*ROW(A$1:A215))))="",C216&amp;"",INDEX(I$1:I215,SUMPRODUCT(MAX((A$1:A215=A216)*(B$1:B215=B216)*ROW(A$1:A215))))&amp;"; "&amp;C216))))</f>
        <v/>
      </c>
      <c r="J216" s="18" t="str">
        <f aca="false">IF(A216="","",A216&amp;"|"&amp;COUNTIF(A$2:A216,A216))</f>
        <v/>
      </c>
      <c r="K216" s="18" t="n">
        <f aca="false">IF(OR(A216="",B216=""),0,IF(COUNTIFS(A$2:A216,A216,B$2:B216,B216)=1,1,0))</f>
        <v>0</v>
      </c>
    </row>
    <row r="217" customFormat="false" ht="15" hidden="false" customHeight="false" outlineLevel="0" collapsed="false">
      <c r="A217" s="15"/>
      <c r="B217" s="15"/>
      <c r="C217" s="15"/>
      <c r="D217" s="15"/>
      <c r="F217" s="18" t="str">
        <f aca="false">IF(B217="","",IFERROR(INDEX(Materials!$B$2:$B$201,MATCH(B217,Materials!$A$2:$A$201,0)),""))</f>
        <v/>
      </c>
      <c r="G217" s="18" t="str">
        <f aca="true">IF(AND(A217="",B217=""),"",IF(A217="","Missing product",IF(B217="","Missing material",IF(COUNTIF(ProductList,A217)=0,"Product not in Products list",IF(COUNTIF(MaterialList,B217)=0,"Material not in Materials list","OK")))))</f>
        <v/>
      </c>
      <c r="H217" s="18" t="str">
        <f aca="false">IF(F217="Active",A217&amp;"|"&amp;COUNTIFS(A$2:A217,A217,F$2:F217,"Active"),"")</f>
        <v/>
      </c>
      <c r="I217" s="18" t="str">
        <f aca="false">IF(B217="","",IF(SUMPRODUCT(MAX((A$1:A216=A217)*(B$1:B216=B217)*ROW(A$1:A216)))=0,C217&amp;"",IF(C217="",INDEX(I$1:I216,SUMPRODUCT(MAX((A$1:A216=A217)*(B$1:B216=B217)*ROW(A$1:A216)))),IF(INDEX(I$1:I216,SUMPRODUCT(MAX((A$1:A216=A217)*(B$1:B216=B217)*ROW(A$1:A216))))="",C217&amp;"",INDEX(I$1:I216,SUMPRODUCT(MAX((A$1:A216=A217)*(B$1:B216=B217)*ROW(A$1:A216))))&amp;"; "&amp;C217))))</f>
        <v/>
      </c>
      <c r="J217" s="18" t="str">
        <f aca="false">IF(A217="","",A217&amp;"|"&amp;COUNTIF(A$2:A217,A217))</f>
        <v/>
      </c>
      <c r="K217" s="18" t="n">
        <f aca="false">IF(OR(A217="",B217=""),0,IF(COUNTIFS(A$2:A217,A217,B$2:B217,B217)=1,1,0))</f>
        <v>0</v>
      </c>
    </row>
    <row r="218" customFormat="false" ht="15" hidden="false" customHeight="false" outlineLevel="0" collapsed="false">
      <c r="A218" s="15"/>
      <c r="B218" s="15"/>
      <c r="C218" s="15"/>
      <c r="D218" s="15"/>
      <c r="F218" s="18" t="str">
        <f aca="false">IF(B218="","",IFERROR(INDEX(Materials!$B$2:$B$201,MATCH(B218,Materials!$A$2:$A$201,0)),""))</f>
        <v/>
      </c>
      <c r="G218" s="18" t="str">
        <f aca="true">IF(AND(A218="",B218=""),"",IF(A218="","Missing product",IF(B218="","Missing material",IF(COUNTIF(ProductList,A218)=0,"Product not in Products list",IF(COUNTIF(MaterialList,B218)=0,"Material not in Materials list","OK")))))</f>
        <v/>
      </c>
      <c r="H218" s="18" t="str">
        <f aca="false">IF(F218="Active",A218&amp;"|"&amp;COUNTIFS(A$2:A218,A218,F$2:F218,"Active"),"")</f>
        <v/>
      </c>
      <c r="I218" s="18" t="str">
        <f aca="false">IF(B218="","",IF(SUMPRODUCT(MAX((A$1:A217=A218)*(B$1:B217=B218)*ROW(A$1:A217)))=0,C218&amp;"",IF(C218="",INDEX(I$1:I217,SUMPRODUCT(MAX((A$1:A217=A218)*(B$1:B217=B218)*ROW(A$1:A217)))),IF(INDEX(I$1:I217,SUMPRODUCT(MAX((A$1:A217=A218)*(B$1:B217=B218)*ROW(A$1:A217))))="",C218&amp;"",INDEX(I$1:I217,SUMPRODUCT(MAX((A$1:A217=A218)*(B$1:B217=B218)*ROW(A$1:A217))))&amp;"; "&amp;C218))))</f>
        <v/>
      </c>
      <c r="J218" s="18" t="str">
        <f aca="false">IF(A218="","",A218&amp;"|"&amp;COUNTIF(A$2:A218,A218))</f>
        <v/>
      </c>
      <c r="K218" s="18" t="n">
        <f aca="false">IF(OR(A218="",B218=""),0,IF(COUNTIFS(A$2:A218,A218,B$2:B218,B218)=1,1,0))</f>
        <v>0</v>
      </c>
    </row>
    <row r="219" customFormat="false" ht="15" hidden="false" customHeight="false" outlineLevel="0" collapsed="false">
      <c r="A219" s="15"/>
      <c r="B219" s="15"/>
      <c r="C219" s="15"/>
      <c r="D219" s="15"/>
      <c r="F219" s="18" t="str">
        <f aca="false">IF(B219="","",IFERROR(INDEX(Materials!$B$2:$B$201,MATCH(B219,Materials!$A$2:$A$201,0)),""))</f>
        <v/>
      </c>
      <c r="G219" s="18" t="str">
        <f aca="true">IF(AND(A219="",B219=""),"",IF(A219="","Missing product",IF(B219="","Missing material",IF(COUNTIF(ProductList,A219)=0,"Product not in Products list",IF(COUNTIF(MaterialList,B219)=0,"Material not in Materials list","OK")))))</f>
        <v/>
      </c>
      <c r="H219" s="18" t="str">
        <f aca="false">IF(F219="Active",A219&amp;"|"&amp;COUNTIFS(A$2:A219,A219,F$2:F219,"Active"),"")</f>
        <v/>
      </c>
      <c r="I219" s="18" t="str">
        <f aca="false">IF(B219="","",IF(SUMPRODUCT(MAX((A$1:A218=A219)*(B$1:B218=B219)*ROW(A$1:A218)))=0,C219&amp;"",IF(C219="",INDEX(I$1:I218,SUMPRODUCT(MAX((A$1:A218=A219)*(B$1:B218=B219)*ROW(A$1:A218)))),IF(INDEX(I$1:I218,SUMPRODUCT(MAX((A$1:A218=A219)*(B$1:B218=B219)*ROW(A$1:A218))))="",C219&amp;"",INDEX(I$1:I218,SUMPRODUCT(MAX((A$1:A218=A219)*(B$1:B218=B219)*ROW(A$1:A218))))&amp;"; "&amp;C219))))</f>
        <v/>
      </c>
      <c r="J219" s="18" t="str">
        <f aca="false">IF(A219="","",A219&amp;"|"&amp;COUNTIF(A$2:A219,A219))</f>
        <v/>
      </c>
      <c r="K219" s="18" t="n">
        <f aca="false">IF(OR(A219="",B219=""),0,IF(COUNTIFS(A$2:A219,A219,B$2:B219,B219)=1,1,0))</f>
        <v>0</v>
      </c>
    </row>
    <row r="220" customFormat="false" ht="15" hidden="false" customHeight="false" outlineLevel="0" collapsed="false">
      <c r="A220" s="15"/>
      <c r="B220" s="15"/>
      <c r="C220" s="15"/>
      <c r="D220" s="15"/>
      <c r="F220" s="18" t="str">
        <f aca="false">IF(B220="","",IFERROR(INDEX(Materials!$B$2:$B$201,MATCH(B220,Materials!$A$2:$A$201,0)),""))</f>
        <v/>
      </c>
      <c r="G220" s="18" t="str">
        <f aca="true">IF(AND(A220="",B220=""),"",IF(A220="","Missing product",IF(B220="","Missing material",IF(COUNTIF(ProductList,A220)=0,"Product not in Products list",IF(COUNTIF(MaterialList,B220)=0,"Material not in Materials list","OK")))))</f>
        <v/>
      </c>
      <c r="H220" s="18" t="str">
        <f aca="false">IF(F220="Active",A220&amp;"|"&amp;COUNTIFS(A$2:A220,A220,F$2:F220,"Active"),"")</f>
        <v/>
      </c>
      <c r="I220" s="18" t="str">
        <f aca="false">IF(B220="","",IF(SUMPRODUCT(MAX((A$1:A219=A220)*(B$1:B219=B220)*ROW(A$1:A219)))=0,C220&amp;"",IF(C220="",INDEX(I$1:I219,SUMPRODUCT(MAX((A$1:A219=A220)*(B$1:B219=B220)*ROW(A$1:A219)))),IF(INDEX(I$1:I219,SUMPRODUCT(MAX((A$1:A219=A220)*(B$1:B219=B220)*ROW(A$1:A219))))="",C220&amp;"",INDEX(I$1:I219,SUMPRODUCT(MAX((A$1:A219=A220)*(B$1:B219=B220)*ROW(A$1:A219))))&amp;"; "&amp;C220))))</f>
        <v/>
      </c>
      <c r="J220" s="18" t="str">
        <f aca="false">IF(A220="","",A220&amp;"|"&amp;COUNTIF(A$2:A220,A220))</f>
        <v/>
      </c>
      <c r="K220" s="18" t="n">
        <f aca="false">IF(OR(A220="",B220=""),0,IF(COUNTIFS(A$2:A220,A220,B$2:B220,B220)=1,1,0))</f>
        <v>0</v>
      </c>
    </row>
    <row r="221" customFormat="false" ht="15" hidden="false" customHeight="false" outlineLevel="0" collapsed="false">
      <c r="A221" s="15"/>
      <c r="B221" s="15"/>
      <c r="C221" s="15"/>
      <c r="D221" s="15"/>
      <c r="F221" s="18" t="str">
        <f aca="false">IF(B221="","",IFERROR(INDEX(Materials!$B$2:$B$201,MATCH(B221,Materials!$A$2:$A$201,0)),""))</f>
        <v/>
      </c>
      <c r="G221" s="18" t="str">
        <f aca="true">IF(AND(A221="",B221=""),"",IF(A221="","Missing product",IF(B221="","Missing material",IF(COUNTIF(ProductList,A221)=0,"Product not in Products list",IF(COUNTIF(MaterialList,B221)=0,"Material not in Materials list","OK")))))</f>
        <v/>
      </c>
      <c r="H221" s="18" t="str">
        <f aca="false">IF(F221="Active",A221&amp;"|"&amp;COUNTIFS(A$2:A221,A221,F$2:F221,"Active"),"")</f>
        <v/>
      </c>
      <c r="I221" s="18" t="str">
        <f aca="false">IF(B221="","",IF(SUMPRODUCT(MAX((A$1:A220=A221)*(B$1:B220=B221)*ROW(A$1:A220)))=0,C221&amp;"",IF(C221="",INDEX(I$1:I220,SUMPRODUCT(MAX((A$1:A220=A221)*(B$1:B220=B221)*ROW(A$1:A220)))),IF(INDEX(I$1:I220,SUMPRODUCT(MAX((A$1:A220=A221)*(B$1:B220=B221)*ROW(A$1:A220))))="",C221&amp;"",INDEX(I$1:I220,SUMPRODUCT(MAX((A$1:A220=A221)*(B$1:B220=B221)*ROW(A$1:A220))))&amp;"; "&amp;C221))))</f>
        <v/>
      </c>
      <c r="J221" s="18" t="str">
        <f aca="false">IF(A221="","",A221&amp;"|"&amp;COUNTIF(A$2:A221,A221))</f>
        <v/>
      </c>
      <c r="K221" s="18" t="n">
        <f aca="false">IF(OR(A221="",B221=""),0,IF(COUNTIFS(A$2:A221,A221,B$2:B221,B221)=1,1,0))</f>
        <v>0</v>
      </c>
    </row>
    <row r="222" customFormat="false" ht="15" hidden="false" customHeight="false" outlineLevel="0" collapsed="false">
      <c r="A222" s="15"/>
      <c r="B222" s="15"/>
      <c r="C222" s="15"/>
      <c r="D222" s="15"/>
      <c r="F222" s="18" t="str">
        <f aca="false">IF(B222="","",IFERROR(INDEX(Materials!$B$2:$B$201,MATCH(B222,Materials!$A$2:$A$201,0)),""))</f>
        <v/>
      </c>
      <c r="G222" s="18" t="str">
        <f aca="true">IF(AND(A222="",B222=""),"",IF(A222="","Missing product",IF(B222="","Missing material",IF(COUNTIF(ProductList,A222)=0,"Product not in Products list",IF(COUNTIF(MaterialList,B222)=0,"Material not in Materials list","OK")))))</f>
        <v/>
      </c>
      <c r="H222" s="18" t="str">
        <f aca="false">IF(F222="Active",A222&amp;"|"&amp;COUNTIFS(A$2:A222,A222,F$2:F222,"Active"),"")</f>
        <v/>
      </c>
      <c r="I222" s="18" t="str">
        <f aca="false">IF(B222="","",IF(SUMPRODUCT(MAX((A$1:A221=A222)*(B$1:B221=B222)*ROW(A$1:A221)))=0,C222&amp;"",IF(C222="",INDEX(I$1:I221,SUMPRODUCT(MAX((A$1:A221=A222)*(B$1:B221=B222)*ROW(A$1:A221)))),IF(INDEX(I$1:I221,SUMPRODUCT(MAX((A$1:A221=A222)*(B$1:B221=B222)*ROW(A$1:A221))))="",C222&amp;"",INDEX(I$1:I221,SUMPRODUCT(MAX((A$1:A221=A222)*(B$1:B221=B222)*ROW(A$1:A221))))&amp;"; "&amp;C222))))</f>
        <v/>
      </c>
      <c r="J222" s="18" t="str">
        <f aca="false">IF(A222="","",A222&amp;"|"&amp;COUNTIF(A$2:A222,A222))</f>
        <v/>
      </c>
      <c r="K222" s="18" t="n">
        <f aca="false">IF(OR(A222="",B222=""),0,IF(COUNTIFS(A$2:A222,A222,B$2:B222,B222)=1,1,0))</f>
        <v>0</v>
      </c>
    </row>
    <row r="223" customFormat="false" ht="15" hidden="false" customHeight="false" outlineLevel="0" collapsed="false">
      <c r="A223" s="15"/>
      <c r="B223" s="15"/>
      <c r="C223" s="15"/>
      <c r="D223" s="15"/>
      <c r="F223" s="18" t="str">
        <f aca="false">IF(B223="","",IFERROR(INDEX(Materials!$B$2:$B$201,MATCH(B223,Materials!$A$2:$A$201,0)),""))</f>
        <v/>
      </c>
      <c r="G223" s="18" t="str">
        <f aca="true">IF(AND(A223="",B223=""),"",IF(A223="","Missing product",IF(B223="","Missing material",IF(COUNTIF(ProductList,A223)=0,"Product not in Products list",IF(COUNTIF(MaterialList,B223)=0,"Material not in Materials list","OK")))))</f>
        <v/>
      </c>
      <c r="H223" s="18" t="str">
        <f aca="false">IF(F223="Active",A223&amp;"|"&amp;COUNTIFS(A$2:A223,A223,F$2:F223,"Active"),"")</f>
        <v/>
      </c>
      <c r="I223" s="18" t="str">
        <f aca="false">IF(B223="","",IF(SUMPRODUCT(MAX((A$1:A222=A223)*(B$1:B222=B223)*ROW(A$1:A222)))=0,C223&amp;"",IF(C223="",INDEX(I$1:I222,SUMPRODUCT(MAX((A$1:A222=A223)*(B$1:B222=B223)*ROW(A$1:A222)))),IF(INDEX(I$1:I222,SUMPRODUCT(MAX((A$1:A222=A223)*(B$1:B222=B223)*ROW(A$1:A222))))="",C223&amp;"",INDEX(I$1:I222,SUMPRODUCT(MAX((A$1:A222=A223)*(B$1:B222=B223)*ROW(A$1:A222))))&amp;"; "&amp;C223))))</f>
        <v/>
      </c>
      <c r="J223" s="18" t="str">
        <f aca="false">IF(A223="","",A223&amp;"|"&amp;COUNTIF(A$2:A223,A223))</f>
        <v/>
      </c>
      <c r="K223" s="18" t="n">
        <f aca="false">IF(OR(A223="",B223=""),0,IF(COUNTIFS(A$2:A223,A223,B$2:B223,B223)=1,1,0))</f>
        <v>0</v>
      </c>
    </row>
    <row r="224" customFormat="false" ht="15" hidden="false" customHeight="false" outlineLevel="0" collapsed="false">
      <c r="A224" s="15"/>
      <c r="B224" s="15"/>
      <c r="C224" s="15"/>
      <c r="D224" s="15"/>
      <c r="F224" s="18" t="str">
        <f aca="false">IF(B224="","",IFERROR(INDEX(Materials!$B$2:$B$201,MATCH(B224,Materials!$A$2:$A$201,0)),""))</f>
        <v/>
      </c>
      <c r="G224" s="18" t="str">
        <f aca="true">IF(AND(A224="",B224=""),"",IF(A224="","Missing product",IF(B224="","Missing material",IF(COUNTIF(ProductList,A224)=0,"Product not in Products list",IF(COUNTIF(MaterialList,B224)=0,"Material not in Materials list","OK")))))</f>
        <v/>
      </c>
      <c r="H224" s="18" t="str">
        <f aca="false">IF(F224="Active",A224&amp;"|"&amp;COUNTIFS(A$2:A224,A224,F$2:F224,"Active"),"")</f>
        <v/>
      </c>
      <c r="I224" s="18" t="str">
        <f aca="false">IF(B224="","",IF(SUMPRODUCT(MAX((A$1:A223=A224)*(B$1:B223=B224)*ROW(A$1:A223)))=0,C224&amp;"",IF(C224="",INDEX(I$1:I223,SUMPRODUCT(MAX((A$1:A223=A224)*(B$1:B223=B224)*ROW(A$1:A223)))),IF(INDEX(I$1:I223,SUMPRODUCT(MAX((A$1:A223=A224)*(B$1:B223=B224)*ROW(A$1:A223))))="",C224&amp;"",INDEX(I$1:I223,SUMPRODUCT(MAX((A$1:A223=A224)*(B$1:B223=B224)*ROW(A$1:A223))))&amp;"; "&amp;C224))))</f>
        <v/>
      </c>
      <c r="J224" s="18" t="str">
        <f aca="false">IF(A224="","",A224&amp;"|"&amp;COUNTIF(A$2:A224,A224))</f>
        <v/>
      </c>
      <c r="K224" s="18" t="n">
        <f aca="false">IF(OR(A224="",B224=""),0,IF(COUNTIFS(A$2:A224,A224,B$2:B224,B224)=1,1,0))</f>
        <v>0</v>
      </c>
    </row>
    <row r="225" customFormat="false" ht="15" hidden="false" customHeight="false" outlineLevel="0" collapsed="false">
      <c r="A225" s="15"/>
      <c r="B225" s="15"/>
      <c r="C225" s="15"/>
      <c r="D225" s="15"/>
      <c r="F225" s="18" t="str">
        <f aca="false">IF(B225="","",IFERROR(INDEX(Materials!$B$2:$B$201,MATCH(B225,Materials!$A$2:$A$201,0)),""))</f>
        <v/>
      </c>
      <c r="G225" s="18" t="str">
        <f aca="true">IF(AND(A225="",B225=""),"",IF(A225="","Missing product",IF(B225="","Missing material",IF(COUNTIF(ProductList,A225)=0,"Product not in Products list",IF(COUNTIF(MaterialList,B225)=0,"Material not in Materials list","OK")))))</f>
        <v/>
      </c>
      <c r="H225" s="18" t="str">
        <f aca="false">IF(F225="Active",A225&amp;"|"&amp;COUNTIFS(A$2:A225,A225,F$2:F225,"Active"),"")</f>
        <v/>
      </c>
      <c r="I225" s="18" t="str">
        <f aca="false">IF(B225="","",IF(SUMPRODUCT(MAX((A$1:A224=A225)*(B$1:B224=B225)*ROW(A$1:A224)))=0,C225&amp;"",IF(C225="",INDEX(I$1:I224,SUMPRODUCT(MAX((A$1:A224=A225)*(B$1:B224=B225)*ROW(A$1:A224)))),IF(INDEX(I$1:I224,SUMPRODUCT(MAX((A$1:A224=A225)*(B$1:B224=B225)*ROW(A$1:A224))))="",C225&amp;"",INDEX(I$1:I224,SUMPRODUCT(MAX((A$1:A224=A225)*(B$1:B224=B225)*ROW(A$1:A224))))&amp;"; "&amp;C225))))</f>
        <v/>
      </c>
      <c r="J225" s="18" t="str">
        <f aca="false">IF(A225="","",A225&amp;"|"&amp;COUNTIF(A$2:A225,A225))</f>
        <v/>
      </c>
      <c r="K225" s="18" t="n">
        <f aca="false">IF(OR(A225="",B225=""),0,IF(COUNTIFS(A$2:A225,A225,B$2:B225,B225)=1,1,0))</f>
        <v>0</v>
      </c>
    </row>
    <row r="226" customFormat="false" ht="15" hidden="false" customHeight="false" outlineLevel="0" collapsed="false">
      <c r="A226" s="15"/>
      <c r="B226" s="15"/>
      <c r="C226" s="15"/>
      <c r="D226" s="15"/>
      <c r="F226" s="18" t="str">
        <f aca="false">IF(B226="","",IFERROR(INDEX(Materials!$B$2:$B$201,MATCH(B226,Materials!$A$2:$A$201,0)),""))</f>
        <v/>
      </c>
      <c r="G226" s="18" t="str">
        <f aca="true">IF(AND(A226="",B226=""),"",IF(A226="","Missing product",IF(B226="","Missing material",IF(COUNTIF(ProductList,A226)=0,"Product not in Products list",IF(COUNTIF(MaterialList,B226)=0,"Material not in Materials list","OK")))))</f>
        <v/>
      </c>
      <c r="H226" s="18" t="str">
        <f aca="false">IF(F226="Active",A226&amp;"|"&amp;COUNTIFS(A$2:A226,A226,F$2:F226,"Active"),"")</f>
        <v/>
      </c>
      <c r="I226" s="18" t="str">
        <f aca="false">IF(B226="","",IF(SUMPRODUCT(MAX((A$1:A225=A226)*(B$1:B225=B226)*ROW(A$1:A225)))=0,C226&amp;"",IF(C226="",INDEX(I$1:I225,SUMPRODUCT(MAX((A$1:A225=A226)*(B$1:B225=B226)*ROW(A$1:A225)))),IF(INDEX(I$1:I225,SUMPRODUCT(MAX((A$1:A225=A226)*(B$1:B225=B226)*ROW(A$1:A225))))="",C226&amp;"",INDEX(I$1:I225,SUMPRODUCT(MAX((A$1:A225=A226)*(B$1:B225=B226)*ROW(A$1:A225))))&amp;"; "&amp;C226))))</f>
        <v/>
      </c>
      <c r="J226" s="18" t="str">
        <f aca="false">IF(A226="","",A226&amp;"|"&amp;COUNTIF(A$2:A226,A226))</f>
        <v/>
      </c>
      <c r="K226" s="18" t="n">
        <f aca="false">IF(OR(A226="",B226=""),0,IF(COUNTIFS(A$2:A226,A226,B$2:B226,B226)=1,1,0))</f>
        <v>0</v>
      </c>
    </row>
    <row r="227" customFormat="false" ht="15" hidden="false" customHeight="false" outlineLevel="0" collapsed="false">
      <c r="A227" s="15"/>
      <c r="B227" s="15"/>
      <c r="C227" s="15"/>
      <c r="D227" s="15"/>
      <c r="F227" s="18" t="str">
        <f aca="false">IF(B227="","",IFERROR(INDEX(Materials!$B$2:$B$201,MATCH(B227,Materials!$A$2:$A$201,0)),""))</f>
        <v/>
      </c>
      <c r="G227" s="18" t="str">
        <f aca="true">IF(AND(A227="",B227=""),"",IF(A227="","Missing product",IF(B227="","Missing material",IF(COUNTIF(ProductList,A227)=0,"Product not in Products list",IF(COUNTIF(MaterialList,B227)=0,"Material not in Materials list","OK")))))</f>
        <v/>
      </c>
      <c r="H227" s="18" t="str">
        <f aca="false">IF(F227="Active",A227&amp;"|"&amp;COUNTIFS(A$2:A227,A227,F$2:F227,"Active"),"")</f>
        <v/>
      </c>
      <c r="I227" s="18" t="str">
        <f aca="false">IF(B227="","",IF(SUMPRODUCT(MAX((A$1:A226=A227)*(B$1:B226=B227)*ROW(A$1:A226)))=0,C227&amp;"",IF(C227="",INDEX(I$1:I226,SUMPRODUCT(MAX((A$1:A226=A227)*(B$1:B226=B227)*ROW(A$1:A226)))),IF(INDEX(I$1:I226,SUMPRODUCT(MAX((A$1:A226=A227)*(B$1:B226=B227)*ROW(A$1:A226))))="",C227&amp;"",INDEX(I$1:I226,SUMPRODUCT(MAX((A$1:A226=A227)*(B$1:B226=B227)*ROW(A$1:A226))))&amp;"; "&amp;C227))))</f>
        <v/>
      </c>
      <c r="J227" s="18" t="str">
        <f aca="false">IF(A227="","",A227&amp;"|"&amp;COUNTIF(A$2:A227,A227))</f>
        <v/>
      </c>
      <c r="K227" s="18" t="n">
        <f aca="false">IF(OR(A227="",B227=""),0,IF(COUNTIFS(A$2:A227,A227,B$2:B227,B227)=1,1,0))</f>
        <v>0</v>
      </c>
    </row>
    <row r="228" customFormat="false" ht="15" hidden="false" customHeight="false" outlineLevel="0" collapsed="false">
      <c r="A228" s="15"/>
      <c r="B228" s="15"/>
      <c r="C228" s="15"/>
      <c r="D228" s="15"/>
      <c r="F228" s="18" t="str">
        <f aca="false">IF(B228="","",IFERROR(INDEX(Materials!$B$2:$B$201,MATCH(B228,Materials!$A$2:$A$201,0)),""))</f>
        <v/>
      </c>
      <c r="G228" s="18" t="str">
        <f aca="true">IF(AND(A228="",B228=""),"",IF(A228="","Missing product",IF(B228="","Missing material",IF(COUNTIF(ProductList,A228)=0,"Product not in Products list",IF(COUNTIF(MaterialList,B228)=0,"Material not in Materials list","OK")))))</f>
        <v/>
      </c>
      <c r="H228" s="18" t="str">
        <f aca="false">IF(F228="Active",A228&amp;"|"&amp;COUNTIFS(A$2:A228,A228,F$2:F228,"Active"),"")</f>
        <v/>
      </c>
      <c r="I228" s="18" t="str">
        <f aca="false">IF(B228="","",IF(SUMPRODUCT(MAX((A$1:A227=A228)*(B$1:B227=B228)*ROW(A$1:A227)))=0,C228&amp;"",IF(C228="",INDEX(I$1:I227,SUMPRODUCT(MAX((A$1:A227=A228)*(B$1:B227=B228)*ROW(A$1:A227)))),IF(INDEX(I$1:I227,SUMPRODUCT(MAX((A$1:A227=A228)*(B$1:B227=B228)*ROW(A$1:A227))))="",C228&amp;"",INDEX(I$1:I227,SUMPRODUCT(MAX((A$1:A227=A228)*(B$1:B227=B228)*ROW(A$1:A227))))&amp;"; "&amp;C228))))</f>
        <v/>
      </c>
      <c r="J228" s="18" t="str">
        <f aca="false">IF(A228="","",A228&amp;"|"&amp;COUNTIF(A$2:A228,A228))</f>
        <v/>
      </c>
      <c r="K228" s="18" t="n">
        <f aca="false">IF(OR(A228="",B228=""),0,IF(COUNTIFS(A$2:A228,A228,B$2:B228,B228)=1,1,0))</f>
        <v>0</v>
      </c>
    </row>
    <row r="229" customFormat="false" ht="15" hidden="false" customHeight="false" outlineLevel="0" collapsed="false">
      <c r="A229" s="15"/>
      <c r="B229" s="15"/>
      <c r="C229" s="15"/>
      <c r="D229" s="15"/>
      <c r="F229" s="18" t="str">
        <f aca="false">IF(B229="","",IFERROR(INDEX(Materials!$B$2:$B$201,MATCH(B229,Materials!$A$2:$A$201,0)),""))</f>
        <v/>
      </c>
      <c r="G229" s="18" t="str">
        <f aca="true">IF(AND(A229="",B229=""),"",IF(A229="","Missing product",IF(B229="","Missing material",IF(COUNTIF(ProductList,A229)=0,"Product not in Products list",IF(COUNTIF(MaterialList,B229)=0,"Material not in Materials list","OK")))))</f>
        <v/>
      </c>
      <c r="H229" s="18" t="str">
        <f aca="false">IF(F229="Active",A229&amp;"|"&amp;COUNTIFS(A$2:A229,A229,F$2:F229,"Active"),"")</f>
        <v/>
      </c>
      <c r="I229" s="18" t="str">
        <f aca="false">IF(B229="","",IF(SUMPRODUCT(MAX((A$1:A228=A229)*(B$1:B228=B229)*ROW(A$1:A228)))=0,C229&amp;"",IF(C229="",INDEX(I$1:I228,SUMPRODUCT(MAX((A$1:A228=A229)*(B$1:B228=B229)*ROW(A$1:A228)))),IF(INDEX(I$1:I228,SUMPRODUCT(MAX((A$1:A228=A229)*(B$1:B228=B229)*ROW(A$1:A228))))="",C229&amp;"",INDEX(I$1:I228,SUMPRODUCT(MAX((A$1:A228=A229)*(B$1:B228=B229)*ROW(A$1:A228))))&amp;"; "&amp;C229))))</f>
        <v/>
      </c>
      <c r="J229" s="18" t="str">
        <f aca="false">IF(A229="","",A229&amp;"|"&amp;COUNTIF(A$2:A229,A229))</f>
        <v/>
      </c>
      <c r="K229" s="18" t="n">
        <f aca="false">IF(OR(A229="",B229=""),0,IF(COUNTIFS(A$2:A229,A229,B$2:B229,B229)=1,1,0))</f>
        <v>0</v>
      </c>
    </row>
    <row r="230" customFormat="false" ht="15" hidden="false" customHeight="false" outlineLevel="0" collapsed="false">
      <c r="A230" s="15"/>
      <c r="B230" s="15"/>
      <c r="C230" s="15"/>
      <c r="D230" s="15"/>
      <c r="F230" s="18" t="str">
        <f aca="false">IF(B230="","",IFERROR(INDEX(Materials!$B$2:$B$201,MATCH(B230,Materials!$A$2:$A$201,0)),""))</f>
        <v/>
      </c>
      <c r="G230" s="18" t="str">
        <f aca="true">IF(AND(A230="",B230=""),"",IF(A230="","Missing product",IF(B230="","Missing material",IF(COUNTIF(ProductList,A230)=0,"Product not in Products list",IF(COUNTIF(MaterialList,B230)=0,"Material not in Materials list","OK")))))</f>
        <v/>
      </c>
      <c r="H230" s="18" t="str">
        <f aca="false">IF(F230="Active",A230&amp;"|"&amp;COUNTIFS(A$2:A230,A230,F$2:F230,"Active"),"")</f>
        <v/>
      </c>
      <c r="I230" s="18" t="str">
        <f aca="false">IF(B230="","",IF(SUMPRODUCT(MAX((A$1:A229=A230)*(B$1:B229=B230)*ROW(A$1:A229)))=0,C230&amp;"",IF(C230="",INDEX(I$1:I229,SUMPRODUCT(MAX((A$1:A229=A230)*(B$1:B229=B230)*ROW(A$1:A229)))),IF(INDEX(I$1:I229,SUMPRODUCT(MAX((A$1:A229=A230)*(B$1:B229=B230)*ROW(A$1:A229))))="",C230&amp;"",INDEX(I$1:I229,SUMPRODUCT(MAX((A$1:A229=A230)*(B$1:B229=B230)*ROW(A$1:A229))))&amp;"; "&amp;C230))))</f>
        <v/>
      </c>
      <c r="J230" s="18" t="str">
        <f aca="false">IF(A230="","",A230&amp;"|"&amp;COUNTIF(A$2:A230,A230))</f>
        <v/>
      </c>
      <c r="K230" s="18" t="n">
        <f aca="false">IF(OR(A230="",B230=""),0,IF(COUNTIFS(A$2:A230,A230,B$2:B230,B230)=1,1,0))</f>
        <v>0</v>
      </c>
    </row>
    <row r="231" customFormat="false" ht="15" hidden="false" customHeight="false" outlineLevel="0" collapsed="false">
      <c r="A231" s="15"/>
      <c r="B231" s="15"/>
      <c r="C231" s="15"/>
      <c r="D231" s="15"/>
      <c r="F231" s="18" t="str">
        <f aca="false">IF(B231="","",IFERROR(INDEX(Materials!$B$2:$B$201,MATCH(B231,Materials!$A$2:$A$201,0)),""))</f>
        <v/>
      </c>
      <c r="G231" s="18" t="str">
        <f aca="true">IF(AND(A231="",B231=""),"",IF(A231="","Missing product",IF(B231="","Missing material",IF(COUNTIF(ProductList,A231)=0,"Product not in Products list",IF(COUNTIF(MaterialList,B231)=0,"Material not in Materials list","OK")))))</f>
        <v/>
      </c>
      <c r="H231" s="18" t="str">
        <f aca="false">IF(F231="Active",A231&amp;"|"&amp;COUNTIFS(A$2:A231,A231,F$2:F231,"Active"),"")</f>
        <v/>
      </c>
      <c r="I231" s="18" t="str">
        <f aca="false">IF(B231="","",IF(SUMPRODUCT(MAX((A$1:A230=A231)*(B$1:B230=B231)*ROW(A$1:A230)))=0,C231&amp;"",IF(C231="",INDEX(I$1:I230,SUMPRODUCT(MAX((A$1:A230=A231)*(B$1:B230=B231)*ROW(A$1:A230)))),IF(INDEX(I$1:I230,SUMPRODUCT(MAX((A$1:A230=A231)*(B$1:B230=B231)*ROW(A$1:A230))))="",C231&amp;"",INDEX(I$1:I230,SUMPRODUCT(MAX((A$1:A230=A231)*(B$1:B230=B231)*ROW(A$1:A230))))&amp;"; "&amp;C231))))</f>
        <v/>
      </c>
      <c r="J231" s="18" t="str">
        <f aca="false">IF(A231="","",A231&amp;"|"&amp;COUNTIF(A$2:A231,A231))</f>
        <v/>
      </c>
      <c r="K231" s="18" t="n">
        <f aca="false">IF(OR(A231="",B231=""),0,IF(COUNTIFS(A$2:A231,A231,B$2:B231,B231)=1,1,0))</f>
        <v>0</v>
      </c>
    </row>
    <row r="232" customFormat="false" ht="15" hidden="false" customHeight="false" outlineLevel="0" collapsed="false">
      <c r="A232" s="15"/>
      <c r="B232" s="15"/>
      <c r="C232" s="15"/>
      <c r="D232" s="15"/>
      <c r="F232" s="18" t="str">
        <f aca="false">IF(B232="","",IFERROR(INDEX(Materials!$B$2:$B$201,MATCH(B232,Materials!$A$2:$A$201,0)),""))</f>
        <v/>
      </c>
      <c r="G232" s="18" t="str">
        <f aca="true">IF(AND(A232="",B232=""),"",IF(A232="","Missing product",IF(B232="","Missing material",IF(COUNTIF(ProductList,A232)=0,"Product not in Products list",IF(COUNTIF(MaterialList,B232)=0,"Material not in Materials list","OK")))))</f>
        <v/>
      </c>
      <c r="H232" s="18" t="str">
        <f aca="false">IF(F232="Active",A232&amp;"|"&amp;COUNTIFS(A$2:A232,A232,F$2:F232,"Active"),"")</f>
        <v/>
      </c>
      <c r="I232" s="18" t="str">
        <f aca="false">IF(B232="","",IF(SUMPRODUCT(MAX((A$1:A231=A232)*(B$1:B231=B232)*ROW(A$1:A231)))=0,C232&amp;"",IF(C232="",INDEX(I$1:I231,SUMPRODUCT(MAX((A$1:A231=A232)*(B$1:B231=B232)*ROW(A$1:A231)))),IF(INDEX(I$1:I231,SUMPRODUCT(MAX((A$1:A231=A232)*(B$1:B231=B232)*ROW(A$1:A231))))="",C232&amp;"",INDEX(I$1:I231,SUMPRODUCT(MAX((A$1:A231=A232)*(B$1:B231=B232)*ROW(A$1:A231))))&amp;"; "&amp;C232))))</f>
        <v/>
      </c>
      <c r="J232" s="18" t="str">
        <f aca="false">IF(A232="","",A232&amp;"|"&amp;COUNTIF(A$2:A232,A232))</f>
        <v/>
      </c>
      <c r="K232" s="18" t="n">
        <f aca="false">IF(OR(A232="",B232=""),0,IF(COUNTIFS(A$2:A232,A232,B$2:B232,B232)=1,1,0))</f>
        <v>0</v>
      </c>
    </row>
    <row r="233" customFormat="false" ht="15" hidden="false" customHeight="false" outlineLevel="0" collapsed="false">
      <c r="A233" s="15"/>
      <c r="B233" s="15"/>
      <c r="C233" s="15"/>
      <c r="D233" s="15"/>
      <c r="F233" s="18" t="str">
        <f aca="false">IF(B233="","",IFERROR(INDEX(Materials!$B$2:$B$201,MATCH(B233,Materials!$A$2:$A$201,0)),""))</f>
        <v/>
      </c>
      <c r="G233" s="18" t="str">
        <f aca="true">IF(AND(A233="",B233=""),"",IF(A233="","Missing product",IF(B233="","Missing material",IF(COUNTIF(ProductList,A233)=0,"Product not in Products list",IF(COUNTIF(MaterialList,B233)=0,"Material not in Materials list","OK")))))</f>
        <v/>
      </c>
      <c r="H233" s="18" t="str">
        <f aca="false">IF(F233="Active",A233&amp;"|"&amp;COUNTIFS(A$2:A233,A233,F$2:F233,"Active"),"")</f>
        <v/>
      </c>
      <c r="I233" s="18" t="str">
        <f aca="false">IF(B233="","",IF(SUMPRODUCT(MAX((A$1:A232=A233)*(B$1:B232=B233)*ROW(A$1:A232)))=0,C233&amp;"",IF(C233="",INDEX(I$1:I232,SUMPRODUCT(MAX((A$1:A232=A233)*(B$1:B232=B233)*ROW(A$1:A232)))),IF(INDEX(I$1:I232,SUMPRODUCT(MAX((A$1:A232=A233)*(B$1:B232=B233)*ROW(A$1:A232))))="",C233&amp;"",INDEX(I$1:I232,SUMPRODUCT(MAX((A$1:A232=A233)*(B$1:B232=B233)*ROW(A$1:A232))))&amp;"; "&amp;C233))))</f>
        <v/>
      </c>
      <c r="J233" s="18" t="str">
        <f aca="false">IF(A233="","",A233&amp;"|"&amp;COUNTIF(A$2:A233,A233))</f>
        <v/>
      </c>
      <c r="K233" s="18" t="n">
        <f aca="false">IF(OR(A233="",B233=""),0,IF(COUNTIFS(A$2:A233,A233,B$2:B233,B233)=1,1,0))</f>
        <v>0</v>
      </c>
    </row>
    <row r="234" customFormat="false" ht="15" hidden="false" customHeight="false" outlineLevel="0" collapsed="false">
      <c r="A234" s="15"/>
      <c r="B234" s="15"/>
      <c r="C234" s="15"/>
      <c r="D234" s="15"/>
      <c r="F234" s="18" t="str">
        <f aca="false">IF(B234="","",IFERROR(INDEX(Materials!$B$2:$B$201,MATCH(B234,Materials!$A$2:$A$201,0)),""))</f>
        <v/>
      </c>
      <c r="G234" s="18" t="str">
        <f aca="true">IF(AND(A234="",B234=""),"",IF(A234="","Missing product",IF(B234="","Missing material",IF(COUNTIF(ProductList,A234)=0,"Product not in Products list",IF(COUNTIF(MaterialList,B234)=0,"Material not in Materials list","OK")))))</f>
        <v/>
      </c>
      <c r="H234" s="18" t="str">
        <f aca="false">IF(F234="Active",A234&amp;"|"&amp;COUNTIFS(A$2:A234,A234,F$2:F234,"Active"),"")</f>
        <v/>
      </c>
      <c r="I234" s="18" t="str">
        <f aca="false">IF(B234="","",IF(SUMPRODUCT(MAX((A$1:A233=A234)*(B$1:B233=B234)*ROW(A$1:A233)))=0,C234&amp;"",IF(C234="",INDEX(I$1:I233,SUMPRODUCT(MAX((A$1:A233=A234)*(B$1:B233=B234)*ROW(A$1:A233)))),IF(INDEX(I$1:I233,SUMPRODUCT(MAX((A$1:A233=A234)*(B$1:B233=B234)*ROW(A$1:A233))))="",C234&amp;"",INDEX(I$1:I233,SUMPRODUCT(MAX((A$1:A233=A234)*(B$1:B233=B234)*ROW(A$1:A233))))&amp;"; "&amp;C234))))</f>
        <v/>
      </c>
      <c r="J234" s="18" t="str">
        <f aca="false">IF(A234="","",A234&amp;"|"&amp;COUNTIF(A$2:A234,A234))</f>
        <v/>
      </c>
      <c r="K234" s="18" t="n">
        <f aca="false">IF(OR(A234="",B234=""),0,IF(COUNTIFS(A$2:A234,A234,B$2:B234,B234)=1,1,0))</f>
        <v>0</v>
      </c>
    </row>
    <row r="235" customFormat="false" ht="15" hidden="false" customHeight="false" outlineLevel="0" collapsed="false">
      <c r="A235" s="15"/>
      <c r="B235" s="15"/>
      <c r="C235" s="15"/>
      <c r="D235" s="15"/>
      <c r="F235" s="18" t="str">
        <f aca="false">IF(B235="","",IFERROR(INDEX(Materials!$B$2:$B$201,MATCH(B235,Materials!$A$2:$A$201,0)),""))</f>
        <v/>
      </c>
      <c r="G235" s="18" t="str">
        <f aca="true">IF(AND(A235="",B235=""),"",IF(A235="","Missing product",IF(B235="","Missing material",IF(COUNTIF(ProductList,A235)=0,"Product not in Products list",IF(COUNTIF(MaterialList,B235)=0,"Material not in Materials list","OK")))))</f>
        <v/>
      </c>
      <c r="H235" s="18" t="str">
        <f aca="false">IF(F235="Active",A235&amp;"|"&amp;COUNTIFS(A$2:A235,A235,F$2:F235,"Active"),"")</f>
        <v/>
      </c>
      <c r="I235" s="18" t="str">
        <f aca="false">IF(B235="","",IF(SUMPRODUCT(MAX((A$1:A234=A235)*(B$1:B234=B235)*ROW(A$1:A234)))=0,C235&amp;"",IF(C235="",INDEX(I$1:I234,SUMPRODUCT(MAX((A$1:A234=A235)*(B$1:B234=B235)*ROW(A$1:A234)))),IF(INDEX(I$1:I234,SUMPRODUCT(MAX((A$1:A234=A235)*(B$1:B234=B235)*ROW(A$1:A234))))="",C235&amp;"",INDEX(I$1:I234,SUMPRODUCT(MAX((A$1:A234=A235)*(B$1:B234=B235)*ROW(A$1:A234))))&amp;"; "&amp;C235))))</f>
        <v/>
      </c>
      <c r="J235" s="18" t="str">
        <f aca="false">IF(A235="","",A235&amp;"|"&amp;COUNTIF(A$2:A235,A235))</f>
        <v/>
      </c>
      <c r="K235" s="18" t="n">
        <f aca="false">IF(OR(A235="",B235=""),0,IF(COUNTIFS(A$2:A235,A235,B$2:B235,B235)=1,1,0))</f>
        <v>0</v>
      </c>
    </row>
    <row r="236" customFormat="false" ht="15" hidden="false" customHeight="false" outlineLevel="0" collapsed="false">
      <c r="A236" s="15"/>
      <c r="B236" s="15"/>
      <c r="C236" s="15"/>
      <c r="D236" s="15"/>
      <c r="F236" s="18" t="str">
        <f aca="false">IF(B236="","",IFERROR(INDEX(Materials!$B$2:$B$201,MATCH(B236,Materials!$A$2:$A$201,0)),""))</f>
        <v/>
      </c>
      <c r="G236" s="18" t="str">
        <f aca="true">IF(AND(A236="",B236=""),"",IF(A236="","Missing product",IF(B236="","Missing material",IF(COUNTIF(ProductList,A236)=0,"Product not in Products list",IF(COUNTIF(MaterialList,B236)=0,"Material not in Materials list","OK")))))</f>
        <v/>
      </c>
      <c r="H236" s="18" t="str">
        <f aca="false">IF(F236="Active",A236&amp;"|"&amp;COUNTIFS(A$2:A236,A236,F$2:F236,"Active"),"")</f>
        <v/>
      </c>
      <c r="I236" s="18" t="str">
        <f aca="false">IF(B236="","",IF(SUMPRODUCT(MAX((A$1:A235=A236)*(B$1:B235=B236)*ROW(A$1:A235)))=0,C236&amp;"",IF(C236="",INDEX(I$1:I235,SUMPRODUCT(MAX((A$1:A235=A236)*(B$1:B235=B236)*ROW(A$1:A235)))),IF(INDEX(I$1:I235,SUMPRODUCT(MAX((A$1:A235=A236)*(B$1:B235=B236)*ROW(A$1:A235))))="",C236&amp;"",INDEX(I$1:I235,SUMPRODUCT(MAX((A$1:A235=A236)*(B$1:B235=B236)*ROW(A$1:A235))))&amp;"; "&amp;C236))))</f>
        <v/>
      </c>
      <c r="J236" s="18" t="str">
        <f aca="false">IF(A236="","",A236&amp;"|"&amp;COUNTIF(A$2:A236,A236))</f>
        <v/>
      </c>
      <c r="K236" s="18" t="n">
        <f aca="false">IF(OR(A236="",B236=""),0,IF(COUNTIFS(A$2:A236,A236,B$2:B236,B236)=1,1,0))</f>
        <v>0</v>
      </c>
    </row>
    <row r="237" customFormat="false" ht="15" hidden="false" customHeight="false" outlineLevel="0" collapsed="false">
      <c r="A237" s="15"/>
      <c r="B237" s="15"/>
      <c r="C237" s="15"/>
      <c r="D237" s="15"/>
      <c r="F237" s="18" t="str">
        <f aca="false">IF(B237="","",IFERROR(INDEX(Materials!$B$2:$B$201,MATCH(B237,Materials!$A$2:$A$201,0)),""))</f>
        <v/>
      </c>
      <c r="G237" s="18" t="str">
        <f aca="true">IF(AND(A237="",B237=""),"",IF(A237="","Missing product",IF(B237="","Missing material",IF(COUNTIF(ProductList,A237)=0,"Product not in Products list",IF(COUNTIF(MaterialList,B237)=0,"Material not in Materials list","OK")))))</f>
        <v/>
      </c>
      <c r="H237" s="18" t="str">
        <f aca="false">IF(F237="Active",A237&amp;"|"&amp;COUNTIFS(A$2:A237,A237,F$2:F237,"Active"),"")</f>
        <v/>
      </c>
      <c r="I237" s="18" t="str">
        <f aca="false">IF(B237="","",IF(SUMPRODUCT(MAX((A$1:A236=A237)*(B$1:B236=B237)*ROW(A$1:A236)))=0,C237&amp;"",IF(C237="",INDEX(I$1:I236,SUMPRODUCT(MAX((A$1:A236=A237)*(B$1:B236=B237)*ROW(A$1:A236)))),IF(INDEX(I$1:I236,SUMPRODUCT(MAX((A$1:A236=A237)*(B$1:B236=B237)*ROW(A$1:A236))))="",C237&amp;"",INDEX(I$1:I236,SUMPRODUCT(MAX((A$1:A236=A237)*(B$1:B236=B237)*ROW(A$1:A236))))&amp;"; "&amp;C237))))</f>
        <v/>
      </c>
      <c r="J237" s="18" t="str">
        <f aca="false">IF(A237="","",A237&amp;"|"&amp;COUNTIF(A$2:A237,A237))</f>
        <v/>
      </c>
      <c r="K237" s="18" t="n">
        <f aca="false">IF(OR(A237="",B237=""),0,IF(COUNTIFS(A$2:A237,A237,B$2:B237,B237)=1,1,0))</f>
        <v>0</v>
      </c>
    </row>
    <row r="238" customFormat="false" ht="15" hidden="false" customHeight="false" outlineLevel="0" collapsed="false">
      <c r="A238" s="15"/>
      <c r="B238" s="15"/>
      <c r="C238" s="15"/>
      <c r="D238" s="15"/>
      <c r="F238" s="18" t="str">
        <f aca="false">IF(B238="","",IFERROR(INDEX(Materials!$B$2:$B$201,MATCH(B238,Materials!$A$2:$A$201,0)),""))</f>
        <v/>
      </c>
      <c r="G238" s="18" t="str">
        <f aca="true">IF(AND(A238="",B238=""),"",IF(A238="","Missing product",IF(B238="","Missing material",IF(COUNTIF(ProductList,A238)=0,"Product not in Products list",IF(COUNTIF(MaterialList,B238)=0,"Material not in Materials list","OK")))))</f>
        <v/>
      </c>
      <c r="H238" s="18" t="str">
        <f aca="false">IF(F238="Active",A238&amp;"|"&amp;COUNTIFS(A$2:A238,A238,F$2:F238,"Active"),"")</f>
        <v/>
      </c>
      <c r="I238" s="18" t="str">
        <f aca="false">IF(B238="","",IF(SUMPRODUCT(MAX((A$1:A237=A238)*(B$1:B237=B238)*ROW(A$1:A237)))=0,C238&amp;"",IF(C238="",INDEX(I$1:I237,SUMPRODUCT(MAX((A$1:A237=A238)*(B$1:B237=B238)*ROW(A$1:A237)))),IF(INDEX(I$1:I237,SUMPRODUCT(MAX((A$1:A237=A238)*(B$1:B237=B238)*ROW(A$1:A237))))="",C238&amp;"",INDEX(I$1:I237,SUMPRODUCT(MAX((A$1:A237=A238)*(B$1:B237=B238)*ROW(A$1:A237))))&amp;"; "&amp;C238))))</f>
        <v/>
      </c>
      <c r="J238" s="18" t="str">
        <f aca="false">IF(A238="","",A238&amp;"|"&amp;COUNTIF(A$2:A238,A238))</f>
        <v/>
      </c>
      <c r="K238" s="18" t="n">
        <f aca="false">IF(OR(A238="",B238=""),0,IF(COUNTIFS(A$2:A238,A238,B$2:B238,B238)=1,1,0))</f>
        <v>0</v>
      </c>
    </row>
    <row r="239" customFormat="false" ht="15" hidden="false" customHeight="false" outlineLevel="0" collapsed="false">
      <c r="A239" s="15"/>
      <c r="B239" s="15"/>
      <c r="C239" s="15"/>
      <c r="D239" s="15"/>
      <c r="F239" s="18" t="str">
        <f aca="false">IF(B239="","",IFERROR(INDEX(Materials!$B$2:$B$201,MATCH(B239,Materials!$A$2:$A$201,0)),""))</f>
        <v/>
      </c>
      <c r="G239" s="18" t="str">
        <f aca="true">IF(AND(A239="",B239=""),"",IF(A239="","Missing product",IF(B239="","Missing material",IF(COUNTIF(ProductList,A239)=0,"Product not in Products list",IF(COUNTIF(MaterialList,B239)=0,"Material not in Materials list","OK")))))</f>
        <v/>
      </c>
      <c r="H239" s="18" t="str">
        <f aca="false">IF(F239="Active",A239&amp;"|"&amp;COUNTIFS(A$2:A239,A239,F$2:F239,"Active"),"")</f>
        <v/>
      </c>
      <c r="I239" s="18" t="str">
        <f aca="false">IF(B239="","",IF(SUMPRODUCT(MAX((A$1:A238=A239)*(B$1:B238=B239)*ROW(A$1:A238)))=0,C239&amp;"",IF(C239="",INDEX(I$1:I238,SUMPRODUCT(MAX((A$1:A238=A239)*(B$1:B238=B239)*ROW(A$1:A238)))),IF(INDEX(I$1:I238,SUMPRODUCT(MAX((A$1:A238=A239)*(B$1:B238=B239)*ROW(A$1:A238))))="",C239&amp;"",INDEX(I$1:I238,SUMPRODUCT(MAX((A$1:A238=A239)*(B$1:B238=B239)*ROW(A$1:A238))))&amp;"; "&amp;C239))))</f>
        <v/>
      </c>
      <c r="J239" s="18" t="str">
        <f aca="false">IF(A239="","",A239&amp;"|"&amp;COUNTIF(A$2:A239,A239))</f>
        <v/>
      </c>
      <c r="K239" s="18" t="n">
        <f aca="false">IF(OR(A239="",B239=""),0,IF(COUNTIFS(A$2:A239,A239,B$2:B239,B239)=1,1,0))</f>
        <v>0</v>
      </c>
    </row>
    <row r="240" customFormat="false" ht="15" hidden="false" customHeight="false" outlineLevel="0" collapsed="false">
      <c r="A240" s="15"/>
      <c r="B240" s="15"/>
      <c r="C240" s="15"/>
      <c r="D240" s="15"/>
      <c r="F240" s="18" t="str">
        <f aca="false">IF(B240="","",IFERROR(INDEX(Materials!$B$2:$B$201,MATCH(B240,Materials!$A$2:$A$201,0)),""))</f>
        <v/>
      </c>
      <c r="G240" s="18" t="str">
        <f aca="true">IF(AND(A240="",B240=""),"",IF(A240="","Missing product",IF(B240="","Missing material",IF(COUNTIF(ProductList,A240)=0,"Product not in Products list",IF(COUNTIF(MaterialList,B240)=0,"Material not in Materials list","OK")))))</f>
        <v/>
      </c>
      <c r="H240" s="18" t="str">
        <f aca="false">IF(F240="Active",A240&amp;"|"&amp;COUNTIFS(A$2:A240,A240,F$2:F240,"Active"),"")</f>
        <v/>
      </c>
      <c r="I240" s="18" t="str">
        <f aca="false">IF(B240="","",IF(SUMPRODUCT(MAX((A$1:A239=A240)*(B$1:B239=B240)*ROW(A$1:A239)))=0,C240&amp;"",IF(C240="",INDEX(I$1:I239,SUMPRODUCT(MAX((A$1:A239=A240)*(B$1:B239=B240)*ROW(A$1:A239)))),IF(INDEX(I$1:I239,SUMPRODUCT(MAX((A$1:A239=A240)*(B$1:B239=B240)*ROW(A$1:A239))))="",C240&amp;"",INDEX(I$1:I239,SUMPRODUCT(MAX((A$1:A239=A240)*(B$1:B239=B240)*ROW(A$1:A239))))&amp;"; "&amp;C240))))</f>
        <v/>
      </c>
      <c r="J240" s="18" t="str">
        <f aca="false">IF(A240="","",A240&amp;"|"&amp;COUNTIF(A$2:A240,A240))</f>
        <v/>
      </c>
      <c r="K240" s="18" t="n">
        <f aca="false">IF(OR(A240="",B240=""),0,IF(COUNTIFS(A$2:A240,A240,B$2:B240,B240)=1,1,0))</f>
        <v>0</v>
      </c>
    </row>
    <row r="241" customFormat="false" ht="15" hidden="false" customHeight="false" outlineLevel="0" collapsed="false">
      <c r="A241" s="15"/>
      <c r="B241" s="15"/>
      <c r="C241" s="15"/>
      <c r="D241" s="15"/>
      <c r="F241" s="18" t="str">
        <f aca="false">IF(B241="","",IFERROR(INDEX(Materials!$B$2:$B$201,MATCH(B241,Materials!$A$2:$A$201,0)),""))</f>
        <v/>
      </c>
      <c r="G241" s="18" t="str">
        <f aca="true">IF(AND(A241="",B241=""),"",IF(A241="","Missing product",IF(B241="","Missing material",IF(COUNTIF(ProductList,A241)=0,"Product not in Products list",IF(COUNTIF(MaterialList,B241)=0,"Material not in Materials list","OK")))))</f>
        <v/>
      </c>
      <c r="H241" s="18" t="str">
        <f aca="false">IF(F241="Active",A241&amp;"|"&amp;COUNTIFS(A$2:A241,A241,F$2:F241,"Active"),"")</f>
        <v/>
      </c>
      <c r="I241" s="18" t="str">
        <f aca="false">IF(B241="","",IF(SUMPRODUCT(MAX((A$1:A240=A241)*(B$1:B240=B241)*ROW(A$1:A240)))=0,C241&amp;"",IF(C241="",INDEX(I$1:I240,SUMPRODUCT(MAX((A$1:A240=A241)*(B$1:B240=B241)*ROW(A$1:A240)))),IF(INDEX(I$1:I240,SUMPRODUCT(MAX((A$1:A240=A241)*(B$1:B240=B241)*ROW(A$1:A240))))="",C241&amp;"",INDEX(I$1:I240,SUMPRODUCT(MAX((A$1:A240=A241)*(B$1:B240=B241)*ROW(A$1:A240))))&amp;"; "&amp;C241))))</f>
        <v/>
      </c>
      <c r="J241" s="18" t="str">
        <f aca="false">IF(A241="","",A241&amp;"|"&amp;COUNTIF(A$2:A241,A241))</f>
        <v/>
      </c>
      <c r="K241" s="18" t="n">
        <f aca="false">IF(OR(A241="",B241=""),0,IF(COUNTIFS(A$2:A241,A241,B$2:B241,B241)=1,1,0))</f>
        <v>0</v>
      </c>
    </row>
    <row r="242" customFormat="false" ht="15" hidden="false" customHeight="false" outlineLevel="0" collapsed="false">
      <c r="A242" s="15"/>
      <c r="B242" s="15"/>
      <c r="C242" s="15"/>
      <c r="D242" s="15"/>
      <c r="F242" s="18" t="str">
        <f aca="false">IF(B242="","",IFERROR(INDEX(Materials!$B$2:$B$201,MATCH(B242,Materials!$A$2:$A$201,0)),""))</f>
        <v/>
      </c>
      <c r="G242" s="18" t="str">
        <f aca="true">IF(AND(A242="",B242=""),"",IF(A242="","Missing product",IF(B242="","Missing material",IF(COUNTIF(ProductList,A242)=0,"Product not in Products list",IF(COUNTIF(MaterialList,B242)=0,"Material not in Materials list","OK")))))</f>
        <v/>
      </c>
      <c r="H242" s="18" t="str">
        <f aca="false">IF(F242="Active",A242&amp;"|"&amp;COUNTIFS(A$2:A242,A242,F$2:F242,"Active"),"")</f>
        <v/>
      </c>
      <c r="I242" s="18" t="str">
        <f aca="false">IF(B242="","",IF(SUMPRODUCT(MAX((A$1:A241=A242)*(B$1:B241=B242)*ROW(A$1:A241)))=0,C242&amp;"",IF(C242="",INDEX(I$1:I241,SUMPRODUCT(MAX((A$1:A241=A242)*(B$1:B241=B242)*ROW(A$1:A241)))),IF(INDEX(I$1:I241,SUMPRODUCT(MAX((A$1:A241=A242)*(B$1:B241=B242)*ROW(A$1:A241))))="",C242&amp;"",INDEX(I$1:I241,SUMPRODUCT(MAX((A$1:A241=A242)*(B$1:B241=B242)*ROW(A$1:A241))))&amp;"; "&amp;C242))))</f>
        <v/>
      </c>
      <c r="J242" s="18" t="str">
        <f aca="false">IF(A242="","",A242&amp;"|"&amp;COUNTIF(A$2:A242,A242))</f>
        <v/>
      </c>
      <c r="K242" s="18" t="n">
        <f aca="false">IF(OR(A242="",B242=""),0,IF(COUNTIFS(A$2:A242,A242,B$2:B242,B242)=1,1,0))</f>
        <v>0</v>
      </c>
    </row>
    <row r="243" customFormat="false" ht="15" hidden="false" customHeight="false" outlineLevel="0" collapsed="false">
      <c r="A243" s="15"/>
      <c r="B243" s="15"/>
      <c r="C243" s="15"/>
      <c r="D243" s="15"/>
      <c r="F243" s="18" t="str">
        <f aca="false">IF(B243="","",IFERROR(INDEX(Materials!$B$2:$B$201,MATCH(B243,Materials!$A$2:$A$201,0)),""))</f>
        <v/>
      </c>
      <c r="G243" s="18" t="str">
        <f aca="true">IF(AND(A243="",B243=""),"",IF(A243="","Missing product",IF(B243="","Missing material",IF(COUNTIF(ProductList,A243)=0,"Product not in Products list",IF(COUNTIF(MaterialList,B243)=0,"Material not in Materials list","OK")))))</f>
        <v/>
      </c>
      <c r="H243" s="18" t="str">
        <f aca="false">IF(F243="Active",A243&amp;"|"&amp;COUNTIFS(A$2:A243,A243,F$2:F243,"Active"),"")</f>
        <v/>
      </c>
      <c r="I243" s="18" t="str">
        <f aca="false">IF(B243="","",IF(SUMPRODUCT(MAX((A$1:A242=A243)*(B$1:B242=B243)*ROW(A$1:A242)))=0,C243&amp;"",IF(C243="",INDEX(I$1:I242,SUMPRODUCT(MAX((A$1:A242=A243)*(B$1:B242=B243)*ROW(A$1:A242)))),IF(INDEX(I$1:I242,SUMPRODUCT(MAX((A$1:A242=A243)*(B$1:B242=B243)*ROW(A$1:A242))))="",C243&amp;"",INDEX(I$1:I242,SUMPRODUCT(MAX((A$1:A242=A243)*(B$1:B242=B243)*ROW(A$1:A242))))&amp;"; "&amp;C243))))</f>
        <v/>
      </c>
      <c r="J243" s="18" t="str">
        <f aca="false">IF(A243="","",A243&amp;"|"&amp;COUNTIF(A$2:A243,A243))</f>
        <v/>
      </c>
      <c r="K243" s="18" t="n">
        <f aca="false">IF(OR(A243="",B243=""),0,IF(COUNTIFS(A$2:A243,A243,B$2:B243,B243)=1,1,0))</f>
        <v>0</v>
      </c>
    </row>
    <row r="244" customFormat="false" ht="15" hidden="false" customHeight="false" outlineLevel="0" collapsed="false">
      <c r="A244" s="15"/>
      <c r="B244" s="15"/>
      <c r="C244" s="15"/>
      <c r="D244" s="15"/>
      <c r="F244" s="18" t="str">
        <f aca="false">IF(B244="","",IFERROR(INDEX(Materials!$B$2:$B$201,MATCH(B244,Materials!$A$2:$A$201,0)),""))</f>
        <v/>
      </c>
      <c r="G244" s="18" t="str">
        <f aca="true">IF(AND(A244="",B244=""),"",IF(A244="","Missing product",IF(B244="","Missing material",IF(COUNTIF(ProductList,A244)=0,"Product not in Products list",IF(COUNTIF(MaterialList,B244)=0,"Material not in Materials list","OK")))))</f>
        <v/>
      </c>
      <c r="H244" s="18" t="str">
        <f aca="false">IF(F244="Active",A244&amp;"|"&amp;COUNTIFS(A$2:A244,A244,F$2:F244,"Active"),"")</f>
        <v/>
      </c>
      <c r="I244" s="18" t="str">
        <f aca="false">IF(B244="","",IF(SUMPRODUCT(MAX((A$1:A243=A244)*(B$1:B243=B244)*ROW(A$1:A243)))=0,C244&amp;"",IF(C244="",INDEX(I$1:I243,SUMPRODUCT(MAX((A$1:A243=A244)*(B$1:B243=B244)*ROW(A$1:A243)))),IF(INDEX(I$1:I243,SUMPRODUCT(MAX((A$1:A243=A244)*(B$1:B243=B244)*ROW(A$1:A243))))="",C244&amp;"",INDEX(I$1:I243,SUMPRODUCT(MAX((A$1:A243=A244)*(B$1:B243=B244)*ROW(A$1:A243))))&amp;"; "&amp;C244))))</f>
        <v/>
      </c>
      <c r="J244" s="18" t="str">
        <f aca="false">IF(A244="","",A244&amp;"|"&amp;COUNTIF(A$2:A244,A244))</f>
        <v/>
      </c>
      <c r="K244" s="18" t="n">
        <f aca="false">IF(OR(A244="",B244=""),0,IF(COUNTIFS(A$2:A244,A244,B$2:B244,B244)=1,1,0))</f>
        <v>0</v>
      </c>
    </row>
    <row r="245" customFormat="false" ht="15" hidden="false" customHeight="false" outlineLevel="0" collapsed="false">
      <c r="A245" s="15"/>
      <c r="B245" s="15"/>
      <c r="C245" s="15"/>
      <c r="D245" s="15"/>
      <c r="F245" s="18" t="str">
        <f aca="false">IF(B245="","",IFERROR(INDEX(Materials!$B$2:$B$201,MATCH(B245,Materials!$A$2:$A$201,0)),""))</f>
        <v/>
      </c>
      <c r="G245" s="18" t="str">
        <f aca="true">IF(AND(A245="",B245=""),"",IF(A245="","Missing product",IF(B245="","Missing material",IF(COUNTIF(ProductList,A245)=0,"Product not in Products list",IF(COUNTIF(MaterialList,B245)=0,"Material not in Materials list","OK")))))</f>
        <v/>
      </c>
      <c r="H245" s="18" t="str">
        <f aca="false">IF(F245="Active",A245&amp;"|"&amp;COUNTIFS(A$2:A245,A245,F$2:F245,"Active"),"")</f>
        <v/>
      </c>
      <c r="I245" s="18" t="str">
        <f aca="false">IF(B245="","",IF(SUMPRODUCT(MAX((A$1:A244=A245)*(B$1:B244=B245)*ROW(A$1:A244)))=0,C245&amp;"",IF(C245="",INDEX(I$1:I244,SUMPRODUCT(MAX((A$1:A244=A245)*(B$1:B244=B245)*ROW(A$1:A244)))),IF(INDEX(I$1:I244,SUMPRODUCT(MAX((A$1:A244=A245)*(B$1:B244=B245)*ROW(A$1:A244))))="",C245&amp;"",INDEX(I$1:I244,SUMPRODUCT(MAX((A$1:A244=A245)*(B$1:B244=B245)*ROW(A$1:A244))))&amp;"; "&amp;C245))))</f>
        <v/>
      </c>
      <c r="J245" s="18" t="str">
        <f aca="false">IF(A245="","",A245&amp;"|"&amp;COUNTIF(A$2:A245,A245))</f>
        <v/>
      </c>
      <c r="K245" s="18" t="n">
        <f aca="false">IF(OR(A245="",B245=""),0,IF(COUNTIFS(A$2:A245,A245,B$2:B245,B245)=1,1,0))</f>
        <v>0</v>
      </c>
    </row>
    <row r="246" customFormat="false" ht="15" hidden="false" customHeight="false" outlineLevel="0" collapsed="false">
      <c r="A246" s="15"/>
      <c r="B246" s="15"/>
      <c r="C246" s="15"/>
      <c r="D246" s="15"/>
      <c r="F246" s="18" t="str">
        <f aca="false">IF(B246="","",IFERROR(INDEX(Materials!$B$2:$B$201,MATCH(B246,Materials!$A$2:$A$201,0)),""))</f>
        <v/>
      </c>
      <c r="G246" s="18" t="str">
        <f aca="true">IF(AND(A246="",B246=""),"",IF(A246="","Missing product",IF(B246="","Missing material",IF(COUNTIF(ProductList,A246)=0,"Product not in Products list",IF(COUNTIF(MaterialList,B246)=0,"Material not in Materials list","OK")))))</f>
        <v/>
      </c>
      <c r="H246" s="18" t="str">
        <f aca="false">IF(F246="Active",A246&amp;"|"&amp;COUNTIFS(A$2:A246,A246,F$2:F246,"Active"),"")</f>
        <v/>
      </c>
      <c r="I246" s="18" t="str">
        <f aca="false">IF(B246="","",IF(SUMPRODUCT(MAX((A$1:A245=A246)*(B$1:B245=B246)*ROW(A$1:A245)))=0,C246&amp;"",IF(C246="",INDEX(I$1:I245,SUMPRODUCT(MAX((A$1:A245=A246)*(B$1:B245=B246)*ROW(A$1:A245)))),IF(INDEX(I$1:I245,SUMPRODUCT(MAX((A$1:A245=A246)*(B$1:B245=B246)*ROW(A$1:A245))))="",C246&amp;"",INDEX(I$1:I245,SUMPRODUCT(MAX((A$1:A245=A246)*(B$1:B245=B246)*ROW(A$1:A245))))&amp;"; "&amp;C246))))</f>
        <v/>
      </c>
      <c r="J246" s="18" t="str">
        <f aca="false">IF(A246="","",A246&amp;"|"&amp;COUNTIF(A$2:A246,A246))</f>
        <v/>
      </c>
      <c r="K246" s="18" t="n">
        <f aca="false">IF(OR(A246="",B246=""),0,IF(COUNTIFS(A$2:A246,A246,B$2:B246,B246)=1,1,0))</f>
        <v>0</v>
      </c>
    </row>
    <row r="247" customFormat="false" ht="15" hidden="false" customHeight="false" outlineLevel="0" collapsed="false">
      <c r="A247" s="15"/>
      <c r="B247" s="15"/>
      <c r="C247" s="15"/>
      <c r="D247" s="15"/>
      <c r="F247" s="18" t="str">
        <f aca="false">IF(B247="","",IFERROR(INDEX(Materials!$B$2:$B$201,MATCH(B247,Materials!$A$2:$A$201,0)),""))</f>
        <v/>
      </c>
      <c r="G247" s="18" t="str">
        <f aca="true">IF(AND(A247="",B247=""),"",IF(A247="","Missing product",IF(B247="","Missing material",IF(COUNTIF(ProductList,A247)=0,"Product not in Products list",IF(COUNTIF(MaterialList,B247)=0,"Material not in Materials list","OK")))))</f>
        <v/>
      </c>
      <c r="H247" s="18" t="str">
        <f aca="false">IF(F247="Active",A247&amp;"|"&amp;COUNTIFS(A$2:A247,A247,F$2:F247,"Active"),"")</f>
        <v/>
      </c>
      <c r="I247" s="18" t="str">
        <f aca="false">IF(B247="","",IF(SUMPRODUCT(MAX((A$1:A246=A247)*(B$1:B246=B247)*ROW(A$1:A246)))=0,C247&amp;"",IF(C247="",INDEX(I$1:I246,SUMPRODUCT(MAX((A$1:A246=A247)*(B$1:B246=B247)*ROW(A$1:A246)))),IF(INDEX(I$1:I246,SUMPRODUCT(MAX((A$1:A246=A247)*(B$1:B246=B247)*ROW(A$1:A246))))="",C247&amp;"",INDEX(I$1:I246,SUMPRODUCT(MAX((A$1:A246=A247)*(B$1:B246=B247)*ROW(A$1:A246))))&amp;"; "&amp;C247))))</f>
        <v/>
      </c>
      <c r="J247" s="18" t="str">
        <f aca="false">IF(A247="","",A247&amp;"|"&amp;COUNTIF(A$2:A247,A247))</f>
        <v/>
      </c>
      <c r="K247" s="18" t="n">
        <f aca="false">IF(OR(A247="",B247=""),0,IF(COUNTIFS(A$2:A247,A247,B$2:B247,B247)=1,1,0))</f>
        <v>0</v>
      </c>
    </row>
    <row r="248" customFormat="false" ht="15" hidden="false" customHeight="false" outlineLevel="0" collapsed="false">
      <c r="A248" s="15"/>
      <c r="B248" s="15"/>
      <c r="C248" s="15"/>
      <c r="D248" s="15"/>
      <c r="F248" s="18" t="str">
        <f aca="false">IF(B248="","",IFERROR(INDEX(Materials!$B$2:$B$201,MATCH(B248,Materials!$A$2:$A$201,0)),""))</f>
        <v/>
      </c>
      <c r="G248" s="18" t="str">
        <f aca="true">IF(AND(A248="",B248=""),"",IF(A248="","Missing product",IF(B248="","Missing material",IF(COUNTIF(ProductList,A248)=0,"Product not in Products list",IF(COUNTIF(MaterialList,B248)=0,"Material not in Materials list","OK")))))</f>
        <v/>
      </c>
      <c r="H248" s="18" t="str">
        <f aca="false">IF(F248="Active",A248&amp;"|"&amp;COUNTIFS(A$2:A248,A248,F$2:F248,"Active"),"")</f>
        <v/>
      </c>
      <c r="I248" s="18" t="str">
        <f aca="false">IF(B248="","",IF(SUMPRODUCT(MAX((A$1:A247=A248)*(B$1:B247=B248)*ROW(A$1:A247)))=0,C248&amp;"",IF(C248="",INDEX(I$1:I247,SUMPRODUCT(MAX((A$1:A247=A248)*(B$1:B247=B248)*ROW(A$1:A247)))),IF(INDEX(I$1:I247,SUMPRODUCT(MAX((A$1:A247=A248)*(B$1:B247=B248)*ROW(A$1:A247))))="",C248&amp;"",INDEX(I$1:I247,SUMPRODUCT(MAX((A$1:A247=A248)*(B$1:B247=B248)*ROW(A$1:A247))))&amp;"; "&amp;C248))))</f>
        <v/>
      </c>
      <c r="J248" s="18" t="str">
        <f aca="false">IF(A248="","",A248&amp;"|"&amp;COUNTIF(A$2:A248,A248))</f>
        <v/>
      </c>
      <c r="K248" s="18" t="n">
        <f aca="false">IF(OR(A248="",B248=""),0,IF(COUNTIFS(A$2:A248,A248,B$2:B248,B248)=1,1,0))</f>
        <v>0</v>
      </c>
    </row>
    <row r="249" customFormat="false" ht="15" hidden="false" customHeight="false" outlineLevel="0" collapsed="false">
      <c r="A249" s="15"/>
      <c r="B249" s="15"/>
      <c r="C249" s="15"/>
      <c r="D249" s="15"/>
      <c r="F249" s="18" t="str">
        <f aca="false">IF(B249="","",IFERROR(INDEX(Materials!$B$2:$B$201,MATCH(B249,Materials!$A$2:$A$201,0)),""))</f>
        <v/>
      </c>
      <c r="G249" s="18" t="str">
        <f aca="true">IF(AND(A249="",B249=""),"",IF(A249="","Missing product",IF(B249="","Missing material",IF(COUNTIF(ProductList,A249)=0,"Product not in Products list",IF(COUNTIF(MaterialList,B249)=0,"Material not in Materials list","OK")))))</f>
        <v/>
      </c>
      <c r="H249" s="18" t="str">
        <f aca="false">IF(F249="Active",A249&amp;"|"&amp;COUNTIFS(A$2:A249,A249,F$2:F249,"Active"),"")</f>
        <v/>
      </c>
      <c r="I249" s="18" t="str">
        <f aca="false">IF(B249="","",IF(SUMPRODUCT(MAX((A$1:A248=A249)*(B$1:B248=B249)*ROW(A$1:A248)))=0,C249&amp;"",IF(C249="",INDEX(I$1:I248,SUMPRODUCT(MAX((A$1:A248=A249)*(B$1:B248=B249)*ROW(A$1:A248)))),IF(INDEX(I$1:I248,SUMPRODUCT(MAX((A$1:A248=A249)*(B$1:B248=B249)*ROW(A$1:A248))))="",C249&amp;"",INDEX(I$1:I248,SUMPRODUCT(MAX((A$1:A248=A249)*(B$1:B248=B249)*ROW(A$1:A248))))&amp;"; "&amp;C249))))</f>
        <v/>
      </c>
      <c r="J249" s="18" t="str">
        <f aca="false">IF(A249="","",A249&amp;"|"&amp;COUNTIF(A$2:A249,A249))</f>
        <v/>
      </c>
      <c r="K249" s="18" t="n">
        <f aca="false">IF(OR(A249="",B249=""),0,IF(COUNTIFS(A$2:A249,A249,B$2:B249,B249)=1,1,0))</f>
        <v>0</v>
      </c>
    </row>
    <row r="250" customFormat="false" ht="15" hidden="false" customHeight="false" outlineLevel="0" collapsed="false">
      <c r="A250" s="15"/>
      <c r="B250" s="15"/>
      <c r="C250" s="15"/>
      <c r="D250" s="15"/>
      <c r="F250" s="18" t="str">
        <f aca="false">IF(B250="","",IFERROR(INDEX(Materials!$B$2:$B$201,MATCH(B250,Materials!$A$2:$A$201,0)),""))</f>
        <v/>
      </c>
      <c r="G250" s="18" t="str">
        <f aca="true">IF(AND(A250="",B250=""),"",IF(A250="","Missing product",IF(B250="","Missing material",IF(COUNTIF(ProductList,A250)=0,"Product not in Products list",IF(COUNTIF(MaterialList,B250)=0,"Material not in Materials list","OK")))))</f>
        <v/>
      </c>
      <c r="H250" s="18" t="str">
        <f aca="false">IF(F250="Active",A250&amp;"|"&amp;COUNTIFS(A$2:A250,A250,F$2:F250,"Active"),"")</f>
        <v/>
      </c>
      <c r="I250" s="18" t="str">
        <f aca="false">IF(B250="","",IF(SUMPRODUCT(MAX((A$1:A249=A250)*(B$1:B249=B250)*ROW(A$1:A249)))=0,C250&amp;"",IF(C250="",INDEX(I$1:I249,SUMPRODUCT(MAX((A$1:A249=A250)*(B$1:B249=B250)*ROW(A$1:A249)))),IF(INDEX(I$1:I249,SUMPRODUCT(MAX((A$1:A249=A250)*(B$1:B249=B250)*ROW(A$1:A249))))="",C250&amp;"",INDEX(I$1:I249,SUMPRODUCT(MAX((A$1:A249=A250)*(B$1:B249=B250)*ROW(A$1:A249))))&amp;"; "&amp;C250))))</f>
        <v/>
      </c>
      <c r="J250" s="18" t="str">
        <f aca="false">IF(A250="","",A250&amp;"|"&amp;COUNTIF(A$2:A250,A250))</f>
        <v/>
      </c>
      <c r="K250" s="18" t="n">
        <f aca="false">IF(OR(A250="",B250=""),0,IF(COUNTIFS(A$2:A250,A250,B$2:B250,B250)=1,1,0))</f>
        <v>0</v>
      </c>
    </row>
    <row r="251" customFormat="false" ht="15" hidden="false" customHeight="false" outlineLevel="0" collapsed="false">
      <c r="A251" s="15"/>
      <c r="B251" s="15"/>
      <c r="C251" s="15"/>
      <c r="D251" s="15"/>
      <c r="F251" s="18" t="str">
        <f aca="false">IF(B251="","",IFERROR(INDEX(Materials!$B$2:$B$201,MATCH(B251,Materials!$A$2:$A$201,0)),""))</f>
        <v/>
      </c>
      <c r="G251" s="18" t="str">
        <f aca="true">IF(AND(A251="",B251=""),"",IF(A251="","Missing product",IF(B251="","Missing material",IF(COUNTIF(ProductList,A251)=0,"Product not in Products list",IF(COUNTIF(MaterialList,B251)=0,"Material not in Materials list","OK")))))</f>
        <v/>
      </c>
      <c r="H251" s="18" t="str">
        <f aca="false">IF(F251="Active",A251&amp;"|"&amp;COUNTIFS(A$2:A251,A251,F$2:F251,"Active"),"")</f>
        <v/>
      </c>
      <c r="I251" s="18" t="str">
        <f aca="false">IF(B251="","",IF(SUMPRODUCT(MAX((A$1:A250=A251)*(B$1:B250=B251)*ROW(A$1:A250)))=0,C251&amp;"",IF(C251="",INDEX(I$1:I250,SUMPRODUCT(MAX((A$1:A250=A251)*(B$1:B250=B251)*ROW(A$1:A250)))),IF(INDEX(I$1:I250,SUMPRODUCT(MAX((A$1:A250=A251)*(B$1:B250=B251)*ROW(A$1:A250))))="",C251&amp;"",INDEX(I$1:I250,SUMPRODUCT(MAX((A$1:A250=A251)*(B$1:B250=B251)*ROW(A$1:A250))))&amp;"; "&amp;C251))))</f>
        <v/>
      </c>
      <c r="J251" s="18" t="str">
        <f aca="false">IF(A251="","",A251&amp;"|"&amp;COUNTIF(A$2:A251,A251))</f>
        <v/>
      </c>
      <c r="K251" s="18" t="n">
        <f aca="false">IF(OR(A251="",B251=""),0,IF(COUNTIFS(A$2:A251,A251,B$2:B251,B251)=1,1,0))</f>
        <v>0</v>
      </c>
    </row>
    <row r="252" customFormat="false" ht="15" hidden="false" customHeight="false" outlineLevel="0" collapsed="false">
      <c r="A252" s="15"/>
      <c r="B252" s="15"/>
      <c r="C252" s="15"/>
      <c r="D252" s="15"/>
      <c r="F252" s="18" t="str">
        <f aca="false">IF(B252="","",IFERROR(INDEX(Materials!$B$2:$B$201,MATCH(B252,Materials!$A$2:$A$201,0)),""))</f>
        <v/>
      </c>
      <c r="G252" s="18" t="str">
        <f aca="true">IF(AND(A252="",B252=""),"",IF(A252="","Missing product",IF(B252="","Missing material",IF(COUNTIF(ProductList,A252)=0,"Product not in Products list",IF(COUNTIF(MaterialList,B252)=0,"Material not in Materials list","OK")))))</f>
        <v/>
      </c>
      <c r="H252" s="18" t="str">
        <f aca="false">IF(F252="Active",A252&amp;"|"&amp;COUNTIFS(A$2:A252,A252,F$2:F252,"Active"),"")</f>
        <v/>
      </c>
      <c r="I252" s="18" t="str">
        <f aca="false">IF(B252="","",IF(SUMPRODUCT(MAX((A$1:A251=A252)*(B$1:B251=B252)*ROW(A$1:A251)))=0,C252&amp;"",IF(C252="",INDEX(I$1:I251,SUMPRODUCT(MAX((A$1:A251=A252)*(B$1:B251=B252)*ROW(A$1:A251)))),IF(INDEX(I$1:I251,SUMPRODUCT(MAX((A$1:A251=A252)*(B$1:B251=B252)*ROW(A$1:A251))))="",C252&amp;"",INDEX(I$1:I251,SUMPRODUCT(MAX((A$1:A251=A252)*(B$1:B251=B252)*ROW(A$1:A251))))&amp;"; "&amp;C252))))</f>
        <v/>
      </c>
      <c r="J252" s="18" t="str">
        <f aca="false">IF(A252="","",A252&amp;"|"&amp;COUNTIF(A$2:A252,A252))</f>
        <v/>
      </c>
      <c r="K252" s="18" t="n">
        <f aca="false">IF(OR(A252="",B252=""),0,IF(COUNTIFS(A$2:A252,A252,B$2:B252,B252)=1,1,0))</f>
        <v>0</v>
      </c>
    </row>
    <row r="253" customFormat="false" ht="15" hidden="false" customHeight="false" outlineLevel="0" collapsed="false">
      <c r="A253" s="15"/>
      <c r="B253" s="15"/>
      <c r="C253" s="15"/>
      <c r="D253" s="15"/>
      <c r="F253" s="18" t="str">
        <f aca="false">IF(B253="","",IFERROR(INDEX(Materials!$B$2:$B$201,MATCH(B253,Materials!$A$2:$A$201,0)),""))</f>
        <v/>
      </c>
      <c r="G253" s="18" t="str">
        <f aca="true">IF(AND(A253="",B253=""),"",IF(A253="","Missing product",IF(B253="","Missing material",IF(COUNTIF(ProductList,A253)=0,"Product not in Products list",IF(COUNTIF(MaterialList,B253)=0,"Material not in Materials list","OK")))))</f>
        <v/>
      </c>
      <c r="H253" s="18" t="str">
        <f aca="false">IF(F253="Active",A253&amp;"|"&amp;COUNTIFS(A$2:A253,A253,F$2:F253,"Active"),"")</f>
        <v/>
      </c>
      <c r="I253" s="18" t="str">
        <f aca="false">IF(B253="","",IF(SUMPRODUCT(MAX((A$1:A252=A253)*(B$1:B252=B253)*ROW(A$1:A252)))=0,C253&amp;"",IF(C253="",INDEX(I$1:I252,SUMPRODUCT(MAX((A$1:A252=A253)*(B$1:B252=B253)*ROW(A$1:A252)))),IF(INDEX(I$1:I252,SUMPRODUCT(MAX((A$1:A252=A253)*(B$1:B252=B253)*ROW(A$1:A252))))="",C253&amp;"",INDEX(I$1:I252,SUMPRODUCT(MAX((A$1:A252=A253)*(B$1:B252=B253)*ROW(A$1:A252))))&amp;"; "&amp;C253))))</f>
        <v/>
      </c>
      <c r="J253" s="18" t="str">
        <f aca="false">IF(A253="","",A253&amp;"|"&amp;COUNTIF(A$2:A253,A253))</f>
        <v/>
      </c>
      <c r="K253" s="18" t="n">
        <f aca="false">IF(OR(A253="",B253=""),0,IF(COUNTIFS(A$2:A253,A253,B$2:B253,B253)=1,1,0))</f>
        <v>0</v>
      </c>
    </row>
    <row r="254" customFormat="false" ht="15" hidden="false" customHeight="false" outlineLevel="0" collapsed="false">
      <c r="A254" s="15"/>
      <c r="B254" s="15"/>
      <c r="C254" s="15"/>
      <c r="D254" s="15"/>
      <c r="F254" s="18" t="str">
        <f aca="false">IF(B254="","",IFERROR(INDEX(Materials!$B$2:$B$201,MATCH(B254,Materials!$A$2:$A$201,0)),""))</f>
        <v/>
      </c>
      <c r="G254" s="18" t="str">
        <f aca="true">IF(AND(A254="",B254=""),"",IF(A254="","Missing product",IF(B254="","Missing material",IF(COUNTIF(ProductList,A254)=0,"Product not in Products list",IF(COUNTIF(MaterialList,B254)=0,"Material not in Materials list","OK")))))</f>
        <v/>
      </c>
      <c r="H254" s="18" t="str">
        <f aca="false">IF(F254="Active",A254&amp;"|"&amp;COUNTIFS(A$2:A254,A254,F$2:F254,"Active"),"")</f>
        <v/>
      </c>
      <c r="I254" s="18" t="str">
        <f aca="false">IF(B254="","",IF(SUMPRODUCT(MAX((A$1:A253=A254)*(B$1:B253=B254)*ROW(A$1:A253)))=0,C254&amp;"",IF(C254="",INDEX(I$1:I253,SUMPRODUCT(MAX((A$1:A253=A254)*(B$1:B253=B254)*ROW(A$1:A253)))),IF(INDEX(I$1:I253,SUMPRODUCT(MAX((A$1:A253=A254)*(B$1:B253=B254)*ROW(A$1:A253))))="",C254&amp;"",INDEX(I$1:I253,SUMPRODUCT(MAX((A$1:A253=A254)*(B$1:B253=B254)*ROW(A$1:A253))))&amp;"; "&amp;C254))))</f>
        <v/>
      </c>
      <c r="J254" s="18" t="str">
        <f aca="false">IF(A254="","",A254&amp;"|"&amp;COUNTIF(A$2:A254,A254))</f>
        <v/>
      </c>
      <c r="K254" s="18" t="n">
        <f aca="false">IF(OR(A254="",B254=""),0,IF(COUNTIFS(A$2:A254,A254,B$2:B254,B254)=1,1,0))</f>
        <v>0</v>
      </c>
    </row>
    <row r="255" customFormat="false" ht="15" hidden="false" customHeight="false" outlineLevel="0" collapsed="false">
      <c r="A255" s="15"/>
      <c r="B255" s="15"/>
      <c r="C255" s="15"/>
      <c r="D255" s="15"/>
      <c r="F255" s="18" t="str">
        <f aca="false">IF(B255="","",IFERROR(INDEX(Materials!$B$2:$B$201,MATCH(B255,Materials!$A$2:$A$201,0)),""))</f>
        <v/>
      </c>
      <c r="G255" s="18" t="str">
        <f aca="true">IF(AND(A255="",B255=""),"",IF(A255="","Missing product",IF(B255="","Missing material",IF(COUNTIF(ProductList,A255)=0,"Product not in Products list",IF(COUNTIF(MaterialList,B255)=0,"Material not in Materials list","OK")))))</f>
        <v/>
      </c>
      <c r="H255" s="18" t="str">
        <f aca="false">IF(F255="Active",A255&amp;"|"&amp;COUNTIFS(A$2:A255,A255,F$2:F255,"Active"),"")</f>
        <v/>
      </c>
      <c r="I255" s="18" t="str">
        <f aca="false">IF(B255="","",IF(SUMPRODUCT(MAX((A$1:A254=A255)*(B$1:B254=B255)*ROW(A$1:A254)))=0,C255&amp;"",IF(C255="",INDEX(I$1:I254,SUMPRODUCT(MAX((A$1:A254=A255)*(B$1:B254=B255)*ROW(A$1:A254)))),IF(INDEX(I$1:I254,SUMPRODUCT(MAX((A$1:A254=A255)*(B$1:B254=B255)*ROW(A$1:A254))))="",C255&amp;"",INDEX(I$1:I254,SUMPRODUCT(MAX((A$1:A254=A255)*(B$1:B254=B255)*ROW(A$1:A254))))&amp;"; "&amp;C255))))</f>
        <v/>
      </c>
      <c r="J255" s="18" t="str">
        <f aca="false">IF(A255="","",A255&amp;"|"&amp;COUNTIF(A$2:A255,A255))</f>
        <v/>
      </c>
      <c r="K255" s="18" t="n">
        <f aca="false">IF(OR(A255="",B255=""),0,IF(COUNTIFS(A$2:A255,A255,B$2:B255,B255)=1,1,0))</f>
        <v>0</v>
      </c>
    </row>
    <row r="256" customFormat="false" ht="15" hidden="false" customHeight="false" outlineLevel="0" collapsed="false">
      <c r="A256" s="15"/>
      <c r="B256" s="15"/>
      <c r="C256" s="15"/>
      <c r="D256" s="15"/>
      <c r="F256" s="18" t="str">
        <f aca="false">IF(B256="","",IFERROR(INDEX(Materials!$B$2:$B$201,MATCH(B256,Materials!$A$2:$A$201,0)),""))</f>
        <v/>
      </c>
      <c r="G256" s="18" t="str">
        <f aca="true">IF(AND(A256="",B256=""),"",IF(A256="","Missing product",IF(B256="","Missing material",IF(COUNTIF(ProductList,A256)=0,"Product not in Products list",IF(COUNTIF(MaterialList,B256)=0,"Material not in Materials list","OK")))))</f>
        <v/>
      </c>
      <c r="H256" s="18" t="str">
        <f aca="false">IF(F256="Active",A256&amp;"|"&amp;COUNTIFS(A$2:A256,A256,F$2:F256,"Active"),"")</f>
        <v/>
      </c>
      <c r="I256" s="18" t="str">
        <f aca="false">IF(B256="","",IF(SUMPRODUCT(MAX((A$1:A255=A256)*(B$1:B255=B256)*ROW(A$1:A255)))=0,C256&amp;"",IF(C256="",INDEX(I$1:I255,SUMPRODUCT(MAX((A$1:A255=A256)*(B$1:B255=B256)*ROW(A$1:A255)))),IF(INDEX(I$1:I255,SUMPRODUCT(MAX((A$1:A255=A256)*(B$1:B255=B256)*ROW(A$1:A255))))="",C256&amp;"",INDEX(I$1:I255,SUMPRODUCT(MAX((A$1:A255=A256)*(B$1:B255=B256)*ROW(A$1:A255))))&amp;"; "&amp;C256))))</f>
        <v/>
      </c>
      <c r="J256" s="18" t="str">
        <f aca="false">IF(A256="","",A256&amp;"|"&amp;COUNTIF(A$2:A256,A256))</f>
        <v/>
      </c>
      <c r="K256" s="18" t="n">
        <f aca="false">IF(OR(A256="",B256=""),0,IF(COUNTIFS(A$2:A256,A256,B$2:B256,B256)=1,1,0))</f>
        <v>0</v>
      </c>
    </row>
    <row r="257" customFormat="false" ht="15" hidden="false" customHeight="false" outlineLevel="0" collapsed="false">
      <c r="A257" s="15"/>
      <c r="B257" s="15"/>
      <c r="C257" s="15"/>
      <c r="D257" s="15"/>
      <c r="F257" s="18" t="str">
        <f aca="false">IF(B257="","",IFERROR(INDEX(Materials!$B$2:$B$201,MATCH(B257,Materials!$A$2:$A$201,0)),""))</f>
        <v/>
      </c>
      <c r="G257" s="18" t="str">
        <f aca="true">IF(AND(A257="",B257=""),"",IF(A257="","Missing product",IF(B257="","Missing material",IF(COUNTIF(ProductList,A257)=0,"Product not in Products list",IF(COUNTIF(MaterialList,B257)=0,"Material not in Materials list","OK")))))</f>
        <v/>
      </c>
      <c r="H257" s="18" t="str">
        <f aca="false">IF(F257="Active",A257&amp;"|"&amp;COUNTIFS(A$2:A257,A257,F$2:F257,"Active"),"")</f>
        <v/>
      </c>
      <c r="I257" s="18" t="str">
        <f aca="false">IF(B257="","",IF(SUMPRODUCT(MAX((A$1:A256=A257)*(B$1:B256=B257)*ROW(A$1:A256)))=0,C257&amp;"",IF(C257="",INDEX(I$1:I256,SUMPRODUCT(MAX((A$1:A256=A257)*(B$1:B256=B257)*ROW(A$1:A256)))),IF(INDEX(I$1:I256,SUMPRODUCT(MAX((A$1:A256=A257)*(B$1:B256=B257)*ROW(A$1:A256))))="",C257&amp;"",INDEX(I$1:I256,SUMPRODUCT(MAX((A$1:A256=A257)*(B$1:B256=B257)*ROW(A$1:A256))))&amp;"; "&amp;C257))))</f>
        <v/>
      </c>
      <c r="J257" s="18" t="str">
        <f aca="false">IF(A257="","",A257&amp;"|"&amp;COUNTIF(A$2:A257,A257))</f>
        <v/>
      </c>
      <c r="K257" s="18" t="n">
        <f aca="false">IF(OR(A257="",B257=""),0,IF(COUNTIFS(A$2:A257,A257,B$2:B257,B257)=1,1,0))</f>
        <v>0</v>
      </c>
    </row>
    <row r="258" customFormat="false" ht="15" hidden="false" customHeight="false" outlineLevel="0" collapsed="false">
      <c r="A258" s="15"/>
      <c r="B258" s="15"/>
      <c r="C258" s="15"/>
      <c r="D258" s="15"/>
      <c r="F258" s="18" t="str">
        <f aca="false">IF(B258="","",IFERROR(INDEX(Materials!$B$2:$B$201,MATCH(B258,Materials!$A$2:$A$201,0)),""))</f>
        <v/>
      </c>
      <c r="G258" s="18" t="str">
        <f aca="true">IF(AND(A258="",B258=""),"",IF(A258="","Missing product",IF(B258="","Missing material",IF(COUNTIF(ProductList,A258)=0,"Product not in Products list",IF(COUNTIF(MaterialList,B258)=0,"Material not in Materials list","OK")))))</f>
        <v/>
      </c>
      <c r="H258" s="18" t="str">
        <f aca="false">IF(F258="Active",A258&amp;"|"&amp;COUNTIFS(A$2:A258,A258,F$2:F258,"Active"),"")</f>
        <v/>
      </c>
      <c r="I258" s="18" t="str">
        <f aca="false">IF(B258="","",IF(SUMPRODUCT(MAX((A$1:A257=A258)*(B$1:B257=B258)*ROW(A$1:A257)))=0,C258&amp;"",IF(C258="",INDEX(I$1:I257,SUMPRODUCT(MAX((A$1:A257=A258)*(B$1:B257=B258)*ROW(A$1:A257)))),IF(INDEX(I$1:I257,SUMPRODUCT(MAX((A$1:A257=A258)*(B$1:B257=B258)*ROW(A$1:A257))))="",C258&amp;"",INDEX(I$1:I257,SUMPRODUCT(MAX((A$1:A257=A258)*(B$1:B257=B258)*ROW(A$1:A257))))&amp;"; "&amp;C258))))</f>
        <v/>
      </c>
      <c r="J258" s="18" t="str">
        <f aca="false">IF(A258="","",A258&amp;"|"&amp;COUNTIF(A$2:A258,A258))</f>
        <v/>
      </c>
      <c r="K258" s="18" t="n">
        <f aca="false">IF(OR(A258="",B258=""),0,IF(COUNTIFS(A$2:A258,A258,B$2:B258,B258)=1,1,0))</f>
        <v>0</v>
      </c>
    </row>
    <row r="259" customFormat="false" ht="15" hidden="false" customHeight="false" outlineLevel="0" collapsed="false">
      <c r="A259" s="15"/>
      <c r="B259" s="15"/>
      <c r="C259" s="15"/>
      <c r="D259" s="15"/>
      <c r="F259" s="18" t="str">
        <f aca="false">IF(B259="","",IFERROR(INDEX(Materials!$B$2:$B$201,MATCH(B259,Materials!$A$2:$A$201,0)),""))</f>
        <v/>
      </c>
      <c r="G259" s="18" t="str">
        <f aca="true">IF(AND(A259="",B259=""),"",IF(A259="","Missing product",IF(B259="","Missing material",IF(COUNTIF(ProductList,A259)=0,"Product not in Products list",IF(COUNTIF(MaterialList,B259)=0,"Material not in Materials list","OK")))))</f>
        <v/>
      </c>
      <c r="H259" s="18" t="str">
        <f aca="false">IF(F259="Active",A259&amp;"|"&amp;COUNTIFS(A$2:A259,A259,F$2:F259,"Active"),"")</f>
        <v/>
      </c>
      <c r="I259" s="18" t="str">
        <f aca="false">IF(B259="","",IF(SUMPRODUCT(MAX((A$1:A258=A259)*(B$1:B258=B259)*ROW(A$1:A258)))=0,C259&amp;"",IF(C259="",INDEX(I$1:I258,SUMPRODUCT(MAX((A$1:A258=A259)*(B$1:B258=B259)*ROW(A$1:A258)))),IF(INDEX(I$1:I258,SUMPRODUCT(MAX((A$1:A258=A259)*(B$1:B258=B259)*ROW(A$1:A258))))="",C259&amp;"",INDEX(I$1:I258,SUMPRODUCT(MAX((A$1:A258=A259)*(B$1:B258=B259)*ROW(A$1:A258))))&amp;"; "&amp;C259))))</f>
        <v/>
      </c>
      <c r="J259" s="18" t="str">
        <f aca="false">IF(A259="","",A259&amp;"|"&amp;COUNTIF(A$2:A259,A259))</f>
        <v/>
      </c>
      <c r="K259" s="18" t="n">
        <f aca="false">IF(OR(A259="",B259=""),0,IF(COUNTIFS(A$2:A259,A259,B$2:B259,B259)=1,1,0))</f>
        <v>0</v>
      </c>
    </row>
    <row r="260" customFormat="false" ht="15" hidden="false" customHeight="false" outlineLevel="0" collapsed="false">
      <c r="A260" s="15"/>
      <c r="B260" s="15"/>
      <c r="C260" s="15"/>
      <c r="D260" s="15"/>
      <c r="F260" s="18" t="str">
        <f aca="false">IF(B260="","",IFERROR(INDEX(Materials!$B$2:$B$201,MATCH(B260,Materials!$A$2:$A$201,0)),""))</f>
        <v/>
      </c>
      <c r="G260" s="18" t="str">
        <f aca="true">IF(AND(A260="",B260=""),"",IF(A260="","Missing product",IF(B260="","Missing material",IF(COUNTIF(ProductList,A260)=0,"Product not in Products list",IF(COUNTIF(MaterialList,B260)=0,"Material not in Materials list","OK")))))</f>
        <v/>
      </c>
      <c r="H260" s="18" t="str">
        <f aca="false">IF(F260="Active",A260&amp;"|"&amp;COUNTIFS(A$2:A260,A260,F$2:F260,"Active"),"")</f>
        <v/>
      </c>
      <c r="I260" s="18" t="str">
        <f aca="false">IF(B260="","",IF(SUMPRODUCT(MAX((A$1:A259=A260)*(B$1:B259=B260)*ROW(A$1:A259)))=0,C260&amp;"",IF(C260="",INDEX(I$1:I259,SUMPRODUCT(MAX((A$1:A259=A260)*(B$1:B259=B260)*ROW(A$1:A259)))),IF(INDEX(I$1:I259,SUMPRODUCT(MAX((A$1:A259=A260)*(B$1:B259=B260)*ROW(A$1:A259))))="",C260&amp;"",INDEX(I$1:I259,SUMPRODUCT(MAX((A$1:A259=A260)*(B$1:B259=B260)*ROW(A$1:A259))))&amp;"; "&amp;C260))))</f>
        <v/>
      </c>
      <c r="J260" s="18" t="str">
        <f aca="false">IF(A260="","",A260&amp;"|"&amp;COUNTIF(A$2:A260,A260))</f>
        <v/>
      </c>
      <c r="K260" s="18" t="n">
        <f aca="false">IF(OR(A260="",B260=""),0,IF(COUNTIFS(A$2:A260,A260,B$2:B260,B260)=1,1,0))</f>
        <v>0</v>
      </c>
    </row>
    <row r="261" customFormat="false" ht="15" hidden="false" customHeight="false" outlineLevel="0" collapsed="false">
      <c r="A261" s="15"/>
      <c r="B261" s="15"/>
      <c r="C261" s="15"/>
      <c r="D261" s="15"/>
      <c r="F261" s="18" t="str">
        <f aca="false">IF(B261="","",IFERROR(INDEX(Materials!$B$2:$B$201,MATCH(B261,Materials!$A$2:$A$201,0)),""))</f>
        <v/>
      </c>
      <c r="G261" s="18" t="str">
        <f aca="true">IF(AND(A261="",B261=""),"",IF(A261="","Missing product",IF(B261="","Missing material",IF(COUNTIF(ProductList,A261)=0,"Product not in Products list",IF(COUNTIF(MaterialList,B261)=0,"Material not in Materials list","OK")))))</f>
        <v/>
      </c>
      <c r="H261" s="18" t="str">
        <f aca="false">IF(F261="Active",A261&amp;"|"&amp;COUNTIFS(A$2:A261,A261,F$2:F261,"Active"),"")</f>
        <v/>
      </c>
      <c r="I261" s="18" t="str">
        <f aca="false">IF(B261="","",IF(SUMPRODUCT(MAX((A$1:A260=A261)*(B$1:B260=B261)*ROW(A$1:A260)))=0,C261&amp;"",IF(C261="",INDEX(I$1:I260,SUMPRODUCT(MAX((A$1:A260=A261)*(B$1:B260=B261)*ROW(A$1:A260)))),IF(INDEX(I$1:I260,SUMPRODUCT(MAX((A$1:A260=A261)*(B$1:B260=B261)*ROW(A$1:A260))))="",C261&amp;"",INDEX(I$1:I260,SUMPRODUCT(MAX((A$1:A260=A261)*(B$1:B260=B261)*ROW(A$1:A260))))&amp;"; "&amp;C261))))</f>
        <v/>
      </c>
      <c r="J261" s="18" t="str">
        <f aca="false">IF(A261="","",A261&amp;"|"&amp;COUNTIF(A$2:A261,A261))</f>
        <v/>
      </c>
      <c r="K261" s="18" t="n">
        <f aca="false">IF(OR(A261="",B261=""),0,IF(COUNTIFS(A$2:A261,A261,B$2:B261,B261)=1,1,0))</f>
        <v>0</v>
      </c>
    </row>
    <row r="262" customFormat="false" ht="15" hidden="false" customHeight="false" outlineLevel="0" collapsed="false">
      <c r="A262" s="15"/>
      <c r="B262" s="15"/>
      <c r="C262" s="15"/>
      <c r="D262" s="15"/>
      <c r="F262" s="18" t="str">
        <f aca="false">IF(B262="","",IFERROR(INDEX(Materials!$B$2:$B$201,MATCH(B262,Materials!$A$2:$A$201,0)),""))</f>
        <v/>
      </c>
      <c r="G262" s="18" t="str">
        <f aca="true">IF(AND(A262="",B262=""),"",IF(A262="","Missing product",IF(B262="","Missing material",IF(COUNTIF(ProductList,A262)=0,"Product not in Products list",IF(COUNTIF(MaterialList,B262)=0,"Material not in Materials list","OK")))))</f>
        <v/>
      </c>
      <c r="H262" s="18" t="str">
        <f aca="false">IF(F262="Active",A262&amp;"|"&amp;COUNTIFS(A$2:A262,A262,F$2:F262,"Active"),"")</f>
        <v/>
      </c>
      <c r="I262" s="18" t="str">
        <f aca="false">IF(B262="","",IF(SUMPRODUCT(MAX((A$1:A261=A262)*(B$1:B261=B262)*ROW(A$1:A261)))=0,C262&amp;"",IF(C262="",INDEX(I$1:I261,SUMPRODUCT(MAX((A$1:A261=A262)*(B$1:B261=B262)*ROW(A$1:A261)))),IF(INDEX(I$1:I261,SUMPRODUCT(MAX((A$1:A261=A262)*(B$1:B261=B262)*ROW(A$1:A261))))="",C262&amp;"",INDEX(I$1:I261,SUMPRODUCT(MAX((A$1:A261=A262)*(B$1:B261=B262)*ROW(A$1:A261))))&amp;"; "&amp;C262))))</f>
        <v/>
      </c>
      <c r="J262" s="18" t="str">
        <f aca="false">IF(A262="","",A262&amp;"|"&amp;COUNTIF(A$2:A262,A262))</f>
        <v/>
      </c>
      <c r="K262" s="18" t="n">
        <f aca="false">IF(OR(A262="",B262=""),0,IF(COUNTIFS(A$2:A262,A262,B$2:B262,B262)=1,1,0))</f>
        <v>0</v>
      </c>
    </row>
    <row r="263" customFormat="false" ht="15" hidden="false" customHeight="false" outlineLevel="0" collapsed="false">
      <c r="A263" s="15"/>
      <c r="B263" s="15"/>
      <c r="C263" s="15"/>
      <c r="D263" s="15"/>
      <c r="F263" s="18" t="str">
        <f aca="false">IF(B263="","",IFERROR(INDEX(Materials!$B$2:$B$201,MATCH(B263,Materials!$A$2:$A$201,0)),""))</f>
        <v/>
      </c>
      <c r="G263" s="18" t="str">
        <f aca="true">IF(AND(A263="",B263=""),"",IF(A263="","Missing product",IF(B263="","Missing material",IF(COUNTIF(ProductList,A263)=0,"Product not in Products list",IF(COUNTIF(MaterialList,B263)=0,"Material not in Materials list","OK")))))</f>
        <v/>
      </c>
      <c r="H263" s="18" t="str">
        <f aca="false">IF(F263="Active",A263&amp;"|"&amp;COUNTIFS(A$2:A263,A263,F$2:F263,"Active"),"")</f>
        <v/>
      </c>
      <c r="I263" s="18" t="str">
        <f aca="false">IF(B263="","",IF(SUMPRODUCT(MAX((A$1:A262=A263)*(B$1:B262=B263)*ROW(A$1:A262)))=0,C263&amp;"",IF(C263="",INDEX(I$1:I262,SUMPRODUCT(MAX((A$1:A262=A263)*(B$1:B262=B263)*ROW(A$1:A262)))),IF(INDEX(I$1:I262,SUMPRODUCT(MAX((A$1:A262=A263)*(B$1:B262=B263)*ROW(A$1:A262))))="",C263&amp;"",INDEX(I$1:I262,SUMPRODUCT(MAX((A$1:A262=A263)*(B$1:B262=B263)*ROW(A$1:A262))))&amp;"; "&amp;C263))))</f>
        <v/>
      </c>
      <c r="J263" s="18" t="str">
        <f aca="false">IF(A263="","",A263&amp;"|"&amp;COUNTIF(A$2:A263,A263))</f>
        <v/>
      </c>
      <c r="K263" s="18" t="n">
        <f aca="false">IF(OR(A263="",B263=""),0,IF(COUNTIFS(A$2:A263,A263,B$2:B263,B263)=1,1,0))</f>
        <v>0</v>
      </c>
    </row>
    <row r="264" customFormat="false" ht="15" hidden="false" customHeight="false" outlineLevel="0" collapsed="false">
      <c r="A264" s="15"/>
      <c r="B264" s="15"/>
      <c r="C264" s="15"/>
      <c r="D264" s="15"/>
      <c r="F264" s="18" t="str">
        <f aca="false">IF(B264="","",IFERROR(INDEX(Materials!$B$2:$B$201,MATCH(B264,Materials!$A$2:$A$201,0)),""))</f>
        <v/>
      </c>
      <c r="G264" s="18" t="str">
        <f aca="true">IF(AND(A264="",B264=""),"",IF(A264="","Missing product",IF(B264="","Missing material",IF(COUNTIF(ProductList,A264)=0,"Product not in Products list",IF(COUNTIF(MaterialList,B264)=0,"Material not in Materials list","OK")))))</f>
        <v/>
      </c>
      <c r="H264" s="18" t="str">
        <f aca="false">IF(F264="Active",A264&amp;"|"&amp;COUNTIFS(A$2:A264,A264,F$2:F264,"Active"),"")</f>
        <v/>
      </c>
      <c r="I264" s="18" t="str">
        <f aca="false">IF(B264="","",IF(SUMPRODUCT(MAX((A$1:A263=A264)*(B$1:B263=B264)*ROW(A$1:A263)))=0,C264&amp;"",IF(C264="",INDEX(I$1:I263,SUMPRODUCT(MAX((A$1:A263=A264)*(B$1:B263=B264)*ROW(A$1:A263)))),IF(INDEX(I$1:I263,SUMPRODUCT(MAX((A$1:A263=A264)*(B$1:B263=B264)*ROW(A$1:A263))))="",C264&amp;"",INDEX(I$1:I263,SUMPRODUCT(MAX((A$1:A263=A264)*(B$1:B263=B264)*ROW(A$1:A263))))&amp;"; "&amp;C264))))</f>
        <v/>
      </c>
      <c r="J264" s="18" t="str">
        <f aca="false">IF(A264="","",A264&amp;"|"&amp;COUNTIF(A$2:A264,A264))</f>
        <v/>
      </c>
      <c r="K264" s="18" t="n">
        <f aca="false">IF(OR(A264="",B264=""),0,IF(COUNTIFS(A$2:A264,A264,B$2:B264,B264)=1,1,0))</f>
        <v>0</v>
      </c>
    </row>
    <row r="265" customFormat="false" ht="15" hidden="false" customHeight="false" outlineLevel="0" collapsed="false">
      <c r="A265" s="15"/>
      <c r="B265" s="15"/>
      <c r="C265" s="15"/>
      <c r="D265" s="15"/>
      <c r="F265" s="18" t="str">
        <f aca="false">IF(B265="","",IFERROR(INDEX(Materials!$B$2:$B$201,MATCH(B265,Materials!$A$2:$A$201,0)),""))</f>
        <v/>
      </c>
      <c r="G265" s="18" t="str">
        <f aca="true">IF(AND(A265="",B265=""),"",IF(A265="","Missing product",IF(B265="","Missing material",IF(COUNTIF(ProductList,A265)=0,"Product not in Products list",IF(COUNTIF(MaterialList,B265)=0,"Material not in Materials list","OK")))))</f>
        <v/>
      </c>
      <c r="H265" s="18" t="str">
        <f aca="false">IF(F265="Active",A265&amp;"|"&amp;COUNTIFS(A$2:A265,A265,F$2:F265,"Active"),"")</f>
        <v/>
      </c>
      <c r="I265" s="18" t="str">
        <f aca="false">IF(B265="","",IF(SUMPRODUCT(MAX((A$1:A264=A265)*(B$1:B264=B265)*ROW(A$1:A264)))=0,C265&amp;"",IF(C265="",INDEX(I$1:I264,SUMPRODUCT(MAX((A$1:A264=A265)*(B$1:B264=B265)*ROW(A$1:A264)))),IF(INDEX(I$1:I264,SUMPRODUCT(MAX((A$1:A264=A265)*(B$1:B264=B265)*ROW(A$1:A264))))="",C265&amp;"",INDEX(I$1:I264,SUMPRODUCT(MAX((A$1:A264=A265)*(B$1:B264=B265)*ROW(A$1:A264))))&amp;"; "&amp;C265))))</f>
        <v/>
      </c>
      <c r="J265" s="18" t="str">
        <f aca="false">IF(A265="","",A265&amp;"|"&amp;COUNTIF(A$2:A265,A265))</f>
        <v/>
      </c>
      <c r="K265" s="18" t="n">
        <f aca="false">IF(OR(A265="",B265=""),0,IF(COUNTIFS(A$2:A265,A265,B$2:B265,B265)=1,1,0))</f>
        <v>0</v>
      </c>
    </row>
    <row r="266" customFormat="false" ht="15" hidden="false" customHeight="false" outlineLevel="0" collapsed="false">
      <c r="A266" s="15"/>
      <c r="B266" s="15"/>
      <c r="C266" s="15"/>
      <c r="D266" s="15"/>
      <c r="F266" s="18" t="str">
        <f aca="false">IF(B266="","",IFERROR(INDEX(Materials!$B$2:$B$201,MATCH(B266,Materials!$A$2:$A$201,0)),""))</f>
        <v/>
      </c>
      <c r="G266" s="18" t="str">
        <f aca="true">IF(AND(A266="",B266=""),"",IF(A266="","Missing product",IF(B266="","Missing material",IF(COUNTIF(ProductList,A266)=0,"Product not in Products list",IF(COUNTIF(MaterialList,B266)=0,"Material not in Materials list","OK")))))</f>
        <v/>
      </c>
      <c r="H266" s="18" t="str">
        <f aca="false">IF(F266="Active",A266&amp;"|"&amp;COUNTIFS(A$2:A266,A266,F$2:F266,"Active"),"")</f>
        <v/>
      </c>
      <c r="I266" s="18" t="str">
        <f aca="false">IF(B266="","",IF(SUMPRODUCT(MAX((A$1:A265=A266)*(B$1:B265=B266)*ROW(A$1:A265)))=0,C266&amp;"",IF(C266="",INDEX(I$1:I265,SUMPRODUCT(MAX((A$1:A265=A266)*(B$1:B265=B266)*ROW(A$1:A265)))),IF(INDEX(I$1:I265,SUMPRODUCT(MAX((A$1:A265=A266)*(B$1:B265=B266)*ROW(A$1:A265))))="",C266&amp;"",INDEX(I$1:I265,SUMPRODUCT(MAX((A$1:A265=A266)*(B$1:B265=B266)*ROW(A$1:A265))))&amp;"; "&amp;C266))))</f>
        <v/>
      </c>
      <c r="J266" s="18" t="str">
        <f aca="false">IF(A266="","",A266&amp;"|"&amp;COUNTIF(A$2:A266,A266))</f>
        <v/>
      </c>
      <c r="K266" s="18" t="n">
        <f aca="false">IF(OR(A266="",B266=""),0,IF(COUNTIFS(A$2:A266,A266,B$2:B266,B266)=1,1,0))</f>
        <v>0</v>
      </c>
    </row>
    <row r="267" customFormat="false" ht="15" hidden="false" customHeight="false" outlineLevel="0" collapsed="false">
      <c r="A267" s="15"/>
      <c r="B267" s="15"/>
      <c r="C267" s="15"/>
      <c r="D267" s="15"/>
      <c r="F267" s="18" t="str">
        <f aca="false">IF(B267="","",IFERROR(INDEX(Materials!$B$2:$B$201,MATCH(B267,Materials!$A$2:$A$201,0)),""))</f>
        <v/>
      </c>
      <c r="G267" s="18" t="str">
        <f aca="true">IF(AND(A267="",B267=""),"",IF(A267="","Missing product",IF(B267="","Missing material",IF(COUNTIF(ProductList,A267)=0,"Product not in Products list",IF(COUNTIF(MaterialList,B267)=0,"Material not in Materials list","OK")))))</f>
        <v/>
      </c>
      <c r="H267" s="18" t="str">
        <f aca="false">IF(F267="Active",A267&amp;"|"&amp;COUNTIFS(A$2:A267,A267,F$2:F267,"Active"),"")</f>
        <v/>
      </c>
      <c r="I267" s="18" t="str">
        <f aca="false">IF(B267="","",IF(SUMPRODUCT(MAX((A$1:A266=A267)*(B$1:B266=B267)*ROW(A$1:A266)))=0,C267&amp;"",IF(C267="",INDEX(I$1:I266,SUMPRODUCT(MAX((A$1:A266=A267)*(B$1:B266=B267)*ROW(A$1:A266)))),IF(INDEX(I$1:I266,SUMPRODUCT(MAX((A$1:A266=A267)*(B$1:B266=B267)*ROW(A$1:A266))))="",C267&amp;"",INDEX(I$1:I266,SUMPRODUCT(MAX((A$1:A266=A267)*(B$1:B266=B267)*ROW(A$1:A266))))&amp;"; "&amp;C267))))</f>
        <v/>
      </c>
      <c r="J267" s="18" t="str">
        <f aca="false">IF(A267="","",A267&amp;"|"&amp;COUNTIF(A$2:A267,A267))</f>
        <v/>
      </c>
      <c r="K267" s="18" t="n">
        <f aca="false">IF(OR(A267="",B267=""),0,IF(COUNTIFS(A$2:A267,A267,B$2:B267,B267)=1,1,0))</f>
        <v>0</v>
      </c>
    </row>
    <row r="268" customFormat="false" ht="15" hidden="false" customHeight="false" outlineLevel="0" collapsed="false">
      <c r="A268" s="15"/>
      <c r="B268" s="15"/>
      <c r="C268" s="15"/>
      <c r="D268" s="15"/>
      <c r="F268" s="18" t="str">
        <f aca="false">IF(B268="","",IFERROR(INDEX(Materials!$B$2:$B$201,MATCH(B268,Materials!$A$2:$A$201,0)),""))</f>
        <v/>
      </c>
      <c r="G268" s="18" t="str">
        <f aca="true">IF(AND(A268="",B268=""),"",IF(A268="","Missing product",IF(B268="","Missing material",IF(COUNTIF(ProductList,A268)=0,"Product not in Products list",IF(COUNTIF(MaterialList,B268)=0,"Material not in Materials list","OK")))))</f>
        <v/>
      </c>
      <c r="H268" s="18" t="str">
        <f aca="false">IF(F268="Active",A268&amp;"|"&amp;COUNTIFS(A$2:A268,A268,F$2:F268,"Active"),"")</f>
        <v/>
      </c>
      <c r="I268" s="18" t="str">
        <f aca="false">IF(B268="","",IF(SUMPRODUCT(MAX((A$1:A267=A268)*(B$1:B267=B268)*ROW(A$1:A267)))=0,C268&amp;"",IF(C268="",INDEX(I$1:I267,SUMPRODUCT(MAX((A$1:A267=A268)*(B$1:B267=B268)*ROW(A$1:A267)))),IF(INDEX(I$1:I267,SUMPRODUCT(MAX((A$1:A267=A268)*(B$1:B267=B268)*ROW(A$1:A267))))="",C268&amp;"",INDEX(I$1:I267,SUMPRODUCT(MAX((A$1:A267=A268)*(B$1:B267=B268)*ROW(A$1:A267))))&amp;"; "&amp;C268))))</f>
        <v/>
      </c>
      <c r="J268" s="18" t="str">
        <f aca="false">IF(A268="","",A268&amp;"|"&amp;COUNTIF(A$2:A268,A268))</f>
        <v/>
      </c>
      <c r="K268" s="18" t="n">
        <f aca="false">IF(OR(A268="",B268=""),0,IF(COUNTIFS(A$2:A268,A268,B$2:B268,B268)=1,1,0))</f>
        <v>0</v>
      </c>
    </row>
    <row r="269" customFormat="false" ht="15" hidden="false" customHeight="false" outlineLevel="0" collapsed="false">
      <c r="A269" s="15"/>
      <c r="B269" s="15"/>
      <c r="C269" s="15"/>
      <c r="D269" s="15"/>
      <c r="F269" s="18" t="str">
        <f aca="false">IF(B269="","",IFERROR(INDEX(Materials!$B$2:$B$201,MATCH(B269,Materials!$A$2:$A$201,0)),""))</f>
        <v/>
      </c>
      <c r="G269" s="18" t="str">
        <f aca="true">IF(AND(A269="",B269=""),"",IF(A269="","Missing product",IF(B269="","Missing material",IF(COUNTIF(ProductList,A269)=0,"Product not in Products list",IF(COUNTIF(MaterialList,B269)=0,"Material not in Materials list","OK")))))</f>
        <v/>
      </c>
      <c r="H269" s="18" t="str">
        <f aca="false">IF(F269="Active",A269&amp;"|"&amp;COUNTIFS(A$2:A269,A269,F$2:F269,"Active"),"")</f>
        <v/>
      </c>
      <c r="I269" s="18" t="str">
        <f aca="false">IF(B269="","",IF(SUMPRODUCT(MAX((A$1:A268=A269)*(B$1:B268=B269)*ROW(A$1:A268)))=0,C269&amp;"",IF(C269="",INDEX(I$1:I268,SUMPRODUCT(MAX((A$1:A268=A269)*(B$1:B268=B269)*ROW(A$1:A268)))),IF(INDEX(I$1:I268,SUMPRODUCT(MAX((A$1:A268=A269)*(B$1:B268=B269)*ROW(A$1:A268))))="",C269&amp;"",INDEX(I$1:I268,SUMPRODUCT(MAX((A$1:A268=A269)*(B$1:B268=B269)*ROW(A$1:A268))))&amp;"; "&amp;C269))))</f>
        <v/>
      </c>
      <c r="J269" s="18" t="str">
        <f aca="false">IF(A269="","",A269&amp;"|"&amp;COUNTIF(A$2:A269,A269))</f>
        <v/>
      </c>
      <c r="K269" s="18" t="n">
        <f aca="false">IF(OR(A269="",B269=""),0,IF(COUNTIFS(A$2:A269,A269,B$2:B269,B269)=1,1,0))</f>
        <v>0</v>
      </c>
    </row>
    <row r="270" customFormat="false" ht="15" hidden="false" customHeight="false" outlineLevel="0" collapsed="false">
      <c r="A270" s="15"/>
      <c r="B270" s="15"/>
      <c r="C270" s="15"/>
      <c r="D270" s="15"/>
      <c r="F270" s="18" t="str">
        <f aca="false">IF(B270="","",IFERROR(INDEX(Materials!$B$2:$B$201,MATCH(B270,Materials!$A$2:$A$201,0)),""))</f>
        <v/>
      </c>
      <c r="G270" s="18" t="str">
        <f aca="true">IF(AND(A270="",B270=""),"",IF(A270="","Missing product",IF(B270="","Missing material",IF(COUNTIF(ProductList,A270)=0,"Product not in Products list",IF(COUNTIF(MaterialList,B270)=0,"Material not in Materials list","OK")))))</f>
        <v/>
      </c>
      <c r="H270" s="18" t="str">
        <f aca="false">IF(F270="Active",A270&amp;"|"&amp;COUNTIFS(A$2:A270,A270,F$2:F270,"Active"),"")</f>
        <v/>
      </c>
      <c r="I270" s="18" t="str">
        <f aca="false">IF(B270="","",IF(SUMPRODUCT(MAX((A$1:A269=A270)*(B$1:B269=B270)*ROW(A$1:A269)))=0,C270&amp;"",IF(C270="",INDEX(I$1:I269,SUMPRODUCT(MAX((A$1:A269=A270)*(B$1:B269=B270)*ROW(A$1:A269)))),IF(INDEX(I$1:I269,SUMPRODUCT(MAX((A$1:A269=A270)*(B$1:B269=B270)*ROW(A$1:A269))))="",C270&amp;"",INDEX(I$1:I269,SUMPRODUCT(MAX((A$1:A269=A270)*(B$1:B269=B270)*ROW(A$1:A269))))&amp;"; "&amp;C270))))</f>
        <v/>
      </c>
      <c r="J270" s="18" t="str">
        <f aca="false">IF(A270="","",A270&amp;"|"&amp;COUNTIF(A$2:A270,A270))</f>
        <v/>
      </c>
      <c r="K270" s="18" t="n">
        <f aca="false">IF(OR(A270="",B270=""),0,IF(COUNTIFS(A$2:A270,A270,B$2:B270,B270)=1,1,0))</f>
        <v>0</v>
      </c>
    </row>
    <row r="271" customFormat="false" ht="15" hidden="false" customHeight="false" outlineLevel="0" collapsed="false">
      <c r="A271" s="15"/>
      <c r="B271" s="15"/>
      <c r="C271" s="15"/>
      <c r="D271" s="15"/>
      <c r="F271" s="18" t="str">
        <f aca="false">IF(B271="","",IFERROR(INDEX(Materials!$B$2:$B$201,MATCH(B271,Materials!$A$2:$A$201,0)),""))</f>
        <v/>
      </c>
      <c r="G271" s="18" t="str">
        <f aca="true">IF(AND(A271="",B271=""),"",IF(A271="","Missing product",IF(B271="","Missing material",IF(COUNTIF(ProductList,A271)=0,"Product not in Products list",IF(COUNTIF(MaterialList,B271)=0,"Material not in Materials list","OK")))))</f>
        <v/>
      </c>
      <c r="H271" s="18" t="str">
        <f aca="false">IF(F271="Active",A271&amp;"|"&amp;COUNTIFS(A$2:A271,A271,F$2:F271,"Active"),"")</f>
        <v/>
      </c>
      <c r="I271" s="18" t="str">
        <f aca="false">IF(B271="","",IF(SUMPRODUCT(MAX((A$1:A270=A271)*(B$1:B270=B271)*ROW(A$1:A270)))=0,C271&amp;"",IF(C271="",INDEX(I$1:I270,SUMPRODUCT(MAX((A$1:A270=A271)*(B$1:B270=B271)*ROW(A$1:A270)))),IF(INDEX(I$1:I270,SUMPRODUCT(MAX((A$1:A270=A271)*(B$1:B270=B271)*ROW(A$1:A270))))="",C271&amp;"",INDEX(I$1:I270,SUMPRODUCT(MAX((A$1:A270=A271)*(B$1:B270=B271)*ROW(A$1:A270))))&amp;"; "&amp;C271))))</f>
        <v/>
      </c>
      <c r="J271" s="18" t="str">
        <f aca="false">IF(A271="","",A271&amp;"|"&amp;COUNTIF(A$2:A271,A271))</f>
        <v/>
      </c>
      <c r="K271" s="18" t="n">
        <f aca="false">IF(OR(A271="",B271=""),0,IF(COUNTIFS(A$2:A271,A271,B$2:B271,B271)=1,1,0))</f>
        <v>0</v>
      </c>
    </row>
    <row r="272" customFormat="false" ht="15" hidden="false" customHeight="false" outlineLevel="0" collapsed="false">
      <c r="A272" s="15"/>
      <c r="B272" s="15"/>
      <c r="C272" s="15"/>
      <c r="D272" s="15"/>
      <c r="F272" s="18" t="str">
        <f aca="false">IF(B272="","",IFERROR(INDEX(Materials!$B$2:$B$201,MATCH(B272,Materials!$A$2:$A$201,0)),""))</f>
        <v/>
      </c>
      <c r="G272" s="18" t="str">
        <f aca="true">IF(AND(A272="",B272=""),"",IF(A272="","Missing product",IF(B272="","Missing material",IF(COUNTIF(ProductList,A272)=0,"Product not in Products list",IF(COUNTIF(MaterialList,B272)=0,"Material not in Materials list","OK")))))</f>
        <v/>
      </c>
      <c r="H272" s="18" t="str">
        <f aca="false">IF(F272="Active",A272&amp;"|"&amp;COUNTIFS(A$2:A272,A272,F$2:F272,"Active"),"")</f>
        <v/>
      </c>
      <c r="I272" s="18" t="str">
        <f aca="false">IF(B272="","",IF(SUMPRODUCT(MAX((A$1:A271=A272)*(B$1:B271=B272)*ROW(A$1:A271)))=0,C272&amp;"",IF(C272="",INDEX(I$1:I271,SUMPRODUCT(MAX((A$1:A271=A272)*(B$1:B271=B272)*ROW(A$1:A271)))),IF(INDEX(I$1:I271,SUMPRODUCT(MAX((A$1:A271=A272)*(B$1:B271=B272)*ROW(A$1:A271))))="",C272&amp;"",INDEX(I$1:I271,SUMPRODUCT(MAX((A$1:A271=A272)*(B$1:B271=B272)*ROW(A$1:A271))))&amp;"; "&amp;C272))))</f>
        <v/>
      </c>
      <c r="J272" s="18" t="str">
        <f aca="false">IF(A272="","",A272&amp;"|"&amp;COUNTIF(A$2:A272,A272))</f>
        <v/>
      </c>
      <c r="K272" s="18" t="n">
        <f aca="false">IF(OR(A272="",B272=""),0,IF(COUNTIFS(A$2:A272,A272,B$2:B272,B272)=1,1,0))</f>
        <v>0</v>
      </c>
    </row>
    <row r="273" customFormat="false" ht="15" hidden="false" customHeight="false" outlineLevel="0" collapsed="false">
      <c r="A273" s="15"/>
      <c r="B273" s="15"/>
      <c r="C273" s="15"/>
      <c r="D273" s="15"/>
      <c r="F273" s="18" t="str">
        <f aca="false">IF(B273="","",IFERROR(INDEX(Materials!$B$2:$B$201,MATCH(B273,Materials!$A$2:$A$201,0)),""))</f>
        <v/>
      </c>
      <c r="G273" s="18" t="str">
        <f aca="true">IF(AND(A273="",B273=""),"",IF(A273="","Missing product",IF(B273="","Missing material",IF(COUNTIF(ProductList,A273)=0,"Product not in Products list",IF(COUNTIF(MaterialList,B273)=0,"Material not in Materials list","OK")))))</f>
        <v/>
      </c>
      <c r="H273" s="18" t="str">
        <f aca="false">IF(F273="Active",A273&amp;"|"&amp;COUNTIFS(A$2:A273,A273,F$2:F273,"Active"),"")</f>
        <v/>
      </c>
      <c r="I273" s="18" t="str">
        <f aca="false">IF(B273="","",IF(SUMPRODUCT(MAX((A$1:A272=A273)*(B$1:B272=B273)*ROW(A$1:A272)))=0,C273&amp;"",IF(C273="",INDEX(I$1:I272,SUMPRODUCT(MAX((A$1:A272=A273)*(B$1:B272=B273)*ROW(A$1:A272)))),IF(INDEX(I$1:I272,SUMPRODUCT(MAX((A$1:A272=A273)*(B$1:B272=B273)*ROW(A$1:A272))))="",C273&amp;"",INDEX(I$1:I272,SUMPRODUCT(MAX((A$1:A272=A273)*(B$1:B272=B273)*ROW(A$1:A272))))&amp;"; "&amp;C273))))</f>
        <v/>
      </c>
      <c r="J273" s="18" t="str">
        <f aca="false">IF(A273="","",A273&amp;"|"&amp;COUNTIF(A$2:A273,A273))</f>
        <v/>
      </c>
      <c r="K273" s="18" t="n">
        <f aca="false">IF(OR(A273="",B273=""),0,IF(COUNTIFS(A$2:A273,A273,B$2:B273,B273)=1,1,0))</f>
        <v>0</v>
      </c>
    </row>
    <row r="274" customFormat="false" ht="15" hidden="false" customHeight="false" outlineLevel="0" collapsed="false">
      <c r="A274" s="15"/>
      <c r="B274" s="15"/>
      <c r="C274" s="15"/>
      <c r="D274" s="15"/>
      <c r="F274" s="18" t="str">
        <f aca="false">IF(B274="","",IFERROR(INDEX(Materials!$B$2:$B$201,MATCH(B274,Materials!$A$2:$A$201,0)),""))</f>
        <v/>
      </c>
      <c r="G274" s="18" t="str">
        <f aca="true">IF(AND(A274="",B274=""),"",IF(A274="","Missing product",IF(B274="","Missing material",IF(COUNTIF(ProductList,A274)=0,"Product not in Products list",IF(COUNTIF(MaterialList,B274)=0,"Material not in Materials list","OK")))))</f>
        <v/>
      </c>
      <c r="H274" s="18" t="str">
        <f aca="false">IF(F274="Active",A274&amp;"|"&amp;COUNTIFS(A$2:A274,A274,F$2:F274,"Active"),"")</f>
        <v/>
      </c>
      <c r="I274" s="18" t="str">
        <f aca="false">IF(B274="","",IF(SUMPRODUCT(MAX((A$1:A273=A274)*(B$1:B273=B274)*ROW(A$1:A273)))=0,C274&amp;"",IF(C274="",INDEX(I$1:I273,SUMPRODUCT(MAX((A$1:A273=A274)*(B$1:B273=B274)*ROW(A$1:A273)))),IF(INDEX(I$1:I273,SUMPRODUCT(MAX((A$1:A273=A274)*(B$1:B273=B274)*ROW(A$1:A273))))="",C274&amp;"",INDEX(I$1:I273,SUMPRODUCT(MAX((A$1:A273=A274)*(B$1:B273=B274)*ROW(A$1:A273))))&amp;"; "&amp;C274))))</f>
        <v/>
      </c>
      <c r="J274" s="18" t="str">
        <f aca="false">IF(A274="","",A274&amp;"|"&amp;COUNTIF(A$2:A274,A274))</f>
        <v/>
      </c>
      <c r="K274" s="18" t="n">
        <f aca="false">IF(OR(A274="",B274=""),0,IF(COUNTIFS(A$2:A274,A274,B$2:B274,B274)=1,1,0))</f>
        <v>0</v>
      </c>
    </row>
    <row r="275" customFormat="false" ht="15" hidden="false" customHeight="false" outlineLevel="0" collapsed="false">
      <c r="A275" s="15"/>
      <c r="B275" s="15"/>
      <c r="C275" s="15"/>
      <c r="D275" s="15"/>
      <c r="F275" s="18" t="str">
        <f aca="false">IF(B275="","",IFERROR(INDEX(Materials!$B$2:$B$201,MATCH(B275,Materials!$A$2:$A$201,0)),""))</f>
        <v/>
      </c>
      <c r="G275" s="18" t="str">
        <f aca="true">IF(AND(A275="",B275=""),"",IF(A275="","Missing product",IF(B275="","Missing material",IF(COUNTIF(ProductList,A275)=0,"Product not in Products list",IF(COUNTIF(MaterialList,B275)=0,"Material not in Materials list","OK")))))</f>
        <v/>
      </c>
      <c r="H275" s="18" t="str">
        <f aca="false">IF(F275="Active",A275&amp;"|"&amp;COUNTIFS(A$2:A275,A275,F$2:F275,"Active"),"")</f>
        <v/>
      </c>
      <c r="I275" s="18" t="str">
        <f aca="false">IF(B275="","",IF(SUMPRODUCT(MAX((A$1:A274=A275)*(B$1:B274=B275)*ROW(A$1:A274)))=0,C275&amp;"",IF(C275="",INDEX(I$1:I274,SUMPRODUCT(MAX((A$1:A274=A275)*(B$1:B274=B275)*ROW(A$1:A274)))),IF(INDEX(I$1:I274,SUMPRODUCT(MAX((A$1:A274=A275)*(B$1:B274=B275)*ROW(A$1:A274))))="",C275&amp;"",INDEX(I$1:I274,SUMPRODUCT(MAX((A$1:A274=A275)*(B$1:B274=B275)*ROW(A$1:A274))))&amp;"; "&amp;C275))))</f>
        <v/>
      </c>
      <c r="J275" s="18" t="str">
        <f aca="false">IF(A275="","",A275&amp;"|"&amp;COUNTIF(A$2:A275,A275))</f>
        <v/>
      </c>
      <c r="K275" s="18" t="n">
        <f aca="false">IF(OR(A275="",B275=""),0,IF(COUNTIFS(A$2:A275,A275,B$2:B275,B275)=1,1,0))</f>
        <v>0</v>
      </c>
    </row>
    <row r="276" customFormat="false" ht="15" hidden="false" customHeight="false" outlineLevel="0" collapsed="false">
      <c r="A276" s="15"/>
      <c r="B276" s="15"/>
      <c r="C276" s="15"/>
      <c r="D276" s="15"/>
      <c r="F276" s="18" t="str">
        <f aca="false">IF(B276="","",IFERROR(INDEX(Materials!$B$2:$B$201,MATCH(B276,Materials!$A$2:$A$201,0)),""))</f>
        <v/>
      </c>
      <c r="G276" s="18" t="str">
        <f aca="true">IF(AND(A276="",B276=""),"",IF(A276="","Missing product",IF(B276="","Missing material",IF(COUNTIF(ProductList,A276)=0,"Product not in Products list",IF(COUNTIF(MaterialList,B276)=0,"Material not in Materials list","OK")))))</f>
        <v/>
      </c>
      <c r="H276" s="18" t="str">
        <f aca="false">IF(F276="Active",A276&amp;"|"&amp;COUNTIFS(A$2:A276,A276,F$2:F276,"Active"),"")</f>
        <v/>
      </c>
      <c r="I276" s="18" t="str">
        <f aca="false">IF(B276="","",IF(SUMPRODUCT(MAX((A$1:A275=A276)*(B$1:B275=B276)*ROW(A$1:A275)))=0,C276&amp;"",IF(C276="",INDEX(I$1:I275,SUMPRODUCT(MAX((A$1:A275=A276)*(B$1:B275=B276)*ROW(A$1:A275)))),IF(INDEX(I$1:I275,SUMPRODUCT(MAX((A$1:A275=A276)*(B$1:B275=B276)*ROW(A$1:A275))))="",C276&amp;"",INDEX(I$1:I275,SUMPRODUCT(MAX((A$1:A275=A276)*(B$1:B275=B276)*ROW(A$1:A275))))&amp;"; "&amp;C276))))</f>
        <v/>
      </c>
      <c r="J276" s="18" t="str">
        <f aca="false">IF(A276="","",A276&amp;"|"&amp;COUNTIF(A$2:A276,A276))</f>
        <v/>
      </c>
      <c r="K276" s="18" t="n">
        <f aca="false">IF(OR(A276="",B276=""),0,IF(COUNTIFS(A$2:A276,A276,B$2:B276,B276)=1,1,0))</f>
        <v>0</v>
      </c>
    </row>
    <row r="277" customFormat="false" ht="15" hidden="false" customHeight="false" outlineLevel="0" collapsed="false">
      <c r="A277" s="15"/>
      <c r="B277" s="15"/>
      <c r="C277" s="15"/>
      <c r="D277" s="15"/>
      <c r="F277" s="18" t="str">
        <f aca="false">IF(B277="","",IFERROR(INDEX(Materials!$B$2:$B$201,MATCH(B277,Materials!$A$2:$A$201,0)),""))</f>
        <v/>
      </c>
      <c r="G277" s="18" t="str">
        <f aca="true">IF(AND(A277="",B277=""),"",IF(A277="","Missing product",IF(B277="","Missing material",IF(COUNTIF(ProductList,A277)=0,"Product not in Products list",IF(COUNTIF(MaterialList,B277)=0,"Material not in Materials list","OK")))))</f>
        <v/>
      </c>
      <c r="H277" s="18" t="str">
        <f aca="false">IF(F277="Active",A277&amp;"|"&amp;COUNTIFS(A$2:A277,A277,F$2:F277,"Active"),"")</f>
        <v/>
      </c>
      <c r="I277" s="18" t="str">
        <f aca="false">IF(B277="","",IF(SUMPRODUCT(MAX((A$1:A276=A277)*(B$1:B276=B277)*ROW(A$1:A276)))=0,C277&amp;"",IF(C277="",INDEX(I$1:I276,SUMPRODUCT(MAX((A$1:A276=A277)*(B$1:B276=B277)*ROW(A$1:A276)))),IF(INDEX(I$1:I276,SUMPRODUCT(MAX((A$1:A276=A277)*(B$1:B276=B277)*ROW(A$1:A276))))="",C277&amp;"",INDEX(I$1:I276,SUMPRODUCT(MAX((A$1:A276=A277)*(B$1:B276=B277)*ROW(A$1:A276))))&amp;"; "&amp;C277))))</f>
        <v/>
      </c>
      <c r="J277" s="18" t="str">
        <f aca="false">IF(A277="","",A277&amp;"|"&amp;COUNTIF(A$2:A277,A277))</f>
        <v/>
      </c>
      <c r="K277" s="18" t="n">
        <f aca="false">IF(OR(A277="",B277=""),0,IF(COUNTIFS(A$2:A277,A277,B$2:B277,B277)=1,1,0))</f>
        <v>0</v>
      </c>
    </row>
    <row r="278" customFormat="false" ht="15" hidden="false" customHeight="false" outlineLevel="0" collapsed="false">
      <c r="A278" s="15"/>
      <c r="B278" s="15"/>
      <c r="C278" s="15"/>
      <c r="D278" s="15"/>
      <c r="F278" s="18" t="str">
        <f aca="false">IF(B278="","",IFERROR(INDEX(Materials!$B$2:$B$201,MATCH(B278,Materials!$A$2:$A$201,0)),""))</f>
        <v/>
      </c>
      <c r="G278" s="18" t="str">
        <f aca="true">IF(AND(A278="",B278=""),"",IF(A278="","Missing product",IF(B278="","Missing material",IF(COUNTIF(ProductList,A278)=0,"Product not in Products list",IF(COUNTIF(MaterialList,B278)=0,"Material not in Materials list","OK")))))</f>
        <v/>
      </c>
      <c r="H278" s="18" t="str">
        <f aca="false">IF(F278="Active",A278&amp;"|"&amp;COUNTIFS(A$2:A278,A278,F$2:F278,"Active"),"")</f>
        <v/>
      </c>
      <c r="I278" s="18" t="str">
        <f aca="false">IF(B278="","",IF(SUMPRODUCT(MAX((A$1:A277=A278)*(B$1:B277=B278)*ROW(A$1:A277)))=0,C278&amp;"",IF(C278="",INDEX(I$1:I277,SUMPRODUCT(MAX((A$1:A277=A278)*(B$1:B277=B278)*ROW(A$1:A277)))),IF(INDEX(I$1:I277,SUMPRODUCT(MAX((A$1:A277=A278)*(B$1:B277=B278)*ROW(A$1:A277))))="",C278&amp;"",INDEX(I$1:I277,SUMPRODUCT(MAX((A$1:A277=A278)*(B$1:B277=B278)*ROW(A$1:A277))))&amp;"; "&amp;C278))))</f>
        <v/>
      </c>
      <c r="J278" s="18" t="str">
        <f aca="false">IF(A278="","",A278&amp;"|"&amp;COUNTIF(A$2:A278,A278))</f>
        <v/>
      </c>
      <c r="K278" s="18" t="n">
        <f aca="false">IF(OR(A278="",B278=""),0,IF(COUNTIFS(A$2:A278,A278,B$2:B278,B278)=1,1,0))</f>
        <v>0</v>
      </c>
    </row>
    <row r="279" customFormat="false" ht="15" hidden="false" customHeight="false" outlineLevel="0" collapsed="false">
      <c r="A279" s="15"/>
      <c r="B279" s="15"/>
      <c r="C279" s="15"/>
      <c r="D279" s="15"/>
      <c r="F279" s="18" t="str">
        <f aca="false">IF(B279="","",IFERROR(INDEX(Materials!$B$2:$B$201,MATCH(B279,Materials!$A$2:$A$201,0)),""))</f>
        <v/>
      </c>
      <c r="G279" s="18" t="str">
        <f aca="true">IF(AND(A279="",B279=""),"",IF(A279="","Missing product",IF(B279="","Missing material",IF(COUNTIF(ProductList,A279)=0,"Product not in Products list",IF(COUNTIF(MaterialList,B279)=0,"Material not in Materials list","OK")))))</f>
        <v/>
      </c>
      <c r="H279" s="18" t="str">
        <f aca="false">IF(F279="Active",A279&amp;"|"&amp;COUNTIFS(A$2:A279,A279,F$2:F279,"Active"),"")</f>
        <v/>
      </c>
      <c r="I279" s="18" t="str">
        <f aca="false">IF(B279="","",IF(SUMPRODUCT(MAX((A$1:A278=A279)*(B$1:B278=B279)*ROW(A$1:A278)))=0,C279&amp;"",IF(C279="",INDEX(I$1:I278,SUMPRODUCT(MAX((A$1:A278=A279)*(B$1:B278=B279)*ROW(A$1:A278)))),IF(INDEX(I$1:I278,SUMPRODUCT(MAX((A$1:A278=A279)*(B$1:B278=B279)*ROW(A$1:A278))))="",C279&amp;"",INDEX(I$1:I278,SUMPRODUCT(MAX((A$1:A278=A279)*(B$1:B278=B279)*ROW(A$1:A278))))&amp;"; "&amp;C279))))</f>
        <v/>
      </c>
      <c r="J279" s="18" t="str">
        <f aca="false">IF(A279="","",A279&amp;"|"&amp;COUNTIF(A$2:A279,A279))</f>
        <v/>
      </c>
      <c r="K279" s="18" t="n">
        <f aca="false">IF(OR(A279="",B279=""),0,IF(COUNTIFS(A$2:A279,A279,B$2:B279,B279)=1,1,0))</f>
        <v>0</v>
      </c>
    </row>
    <row r="280" customFormat="false" ht="15" hidden="false" customHeight="false" outlineLevel="0" collapsed="false">
      <c r="A280" s="15"/>
      <c r="B280" s="15"/>
      <c r="C280" s="15"/>
      <c r="D280" s="15"/>
      <c r="F280" s="18" t="str">
        <f aca="false">IF(B280="","",IFERROR(INDEX(Materials!$B$2:$B$201,MATCH(B280,Materials!$A$2:$A$201,0)),""))</f>
        <v/>
      </c>
      <c r="G280" s="18" t="str">
        <f aca="true">IF(AND(A280="",B280=""),"",IF(A280="","Missing product",IF(B280="","Missing material",IF(COUNTIF(ProductList,A280)=0,"Product not in Products list",IF(COUNTIF(MaterialList,B280)=0,"Material not in Materials list","OK")))))</f>
        <v/>
      </c>
      <c r="H280" s="18" t="str">
        <f aca="false">IF(F280="Active",A280&amp;"|"&amp;COUNTIFS(A$2:A280,A280,F$2:F280,"Active"),"")</f>
        <v/>
      </c>
      <c r="I280" s="18" t="str">
        <f aca="false">IF(B280="","",IF(SUMPRODUCT(MAX((A$1:A279=A280)*(B$1:B279=B280)*ROW(A$1:A279)))=0,C280&amp;"",IF(C280="",INDEX(I$1:I279,SUMPRODUCT(MAX((A$1:A279=A280)*(B$1:B279=B280)*ROW(A$1:A279)))),IF(INDEX(I$1:I279,SUMPRODUCT(MAX((A$1:A279=A280)*(B$1:B279=B280)*ROW(A$1:A279))))="",C280&amp;"",INDEX(I$1:I279,SUMPRODUCT(MAX((A$1:A279=A280)*(B$1:B279=B280)*ROW(A$1:A279))))&amp;"; "&amp;C280))))</f>
        <v/>
      </c>
      <c r="J280" s="18" t="str">
        <f aca="false">IF(A280="","",A280&amp;"|"&amp;COUNTIF(A$2:A280,A280))</f>
        <v/>
      </c>
      <c r="K280" s="18" t="n">
        <f aca="false">IF(OR(A280="",B280=""),0,IF(COUNTIFS(A$2:A280,A280,B$2:B280,B280)=1,1,0))</f>
        <v>0</v>
      </c>
    </row>
    <row r="281" customFormat="false" ht="15" hidden="false" customHeight="false" outlineLevel="0" collapsed="false">
      <c r="A281" s="15"/>
      <c r="B281" s="15"/>
      <c r="C281" s="15"/>
      <c r="D281" s="15"/>
      <c r="F281" s="18" t="str">
        <f aca="false">IF(B281="","",IFERROR(INDEX(Materials!$B$2:$B$201,MATCH(B281,Materials!$A$2:$A$201,0)),""))</f>
        <v/>
      </c>
      <c r="G281" s="18" t="str">
        <f aca="true">IF(AND(A281="",B281=""),"",IF(A281="","Missing product",IF(B281="","Missing material",IF(COUNTIF(ProductList,A281)=0,"Product not in Products list",IF(COUNTIF(MaterialList,B281)=0,"Material not in Materials list","OK")))))</f>
        <v/>
      </c>
      <c r="H281" s="18" t="str">
        <f aca="false">IF(F281="Active",A281&amp;"|"&amp;COUNTIFS(A$2:A281,A281,F$2:F281,"Active"),"")</f>
        <v/>
      </c>
      <c r="I281" s="18" t="str">
        <f aca="false">IF(B281="","",IF(SUMPRODUCT(MAX((A$1:A280=A281)*(B$1:B280=B281)*ROW(A$1:A280)))=0,C281&amp;"",IF(C281="",INDEX(I$1:I280,SUMPRODUCT(MAX((A$1:A280=A281)*(B$1:B280=B281)*ROW(A$1:A280)))),IF(INDEX(I$1:I280,SUMPRODUCT(MAX((A$1:A280=A281)*(B$1:B280=B281)*ROW(A$1:A280))))="",C281&amp;"",INDEX(I$1:I280,SUMPRODUCT(MAX((A$1:A280=A281)*(B$1:B280=B281)*ROW(A$1:A280))))&amp;"; "&amp;C281))))</f>
        <v/>
      </c>
      <c r="J281" s="18" t="str">
        <f aca="false">IF(A281="","",A281&amp;"|"&amp;COUNTIF(A$2:A281,A281))</f>
        <v/>
      </c>
      <c r="K281" s="18" t="n">
        <f aca="false">IF(OR(A281="",B281=""),0,IF(COUNTIFS(A$2:A281,A281,B$2:B281,B281)=1,1,0))</f>
        <v>0</v>
      </c>
    </row>
    <row r="282" customFormat="false" ht="15" hidden="false" customHeight="false" outlineLevel="0" collapsed="false">
      <c r="A282" s="15"/>
      <c r="B282" s="15"/>
      <c r="C282" s="15"/>
      <c r="D282" s="15"/>
      <c r="F282" s="18" t="str">
        <f aca="false">IF(B282="","",IFERROR(INDEX(Materials!$B$2:$B$201,MATCH(B282,Materials!$A$2:$A$201,0)),""))</f>
        <v/>
      </c>
      <c r="G282" s="18" t="str">
        <f aca="true">IF(AND(A282="",B282=""),"",IF(A282="","Missing product",IF(B282="","Missing material",IF(COUNTIF(ProductList,A282)=0,"Product not in Products list",IF(COUNTIF(MaterialList,B282)=0,"Material not in Materials list","OK")))))</f>
        <v/>
      </c>
      <c r="H282" s="18" t="str">
        <f aca="false">IF(F282="Active",A282&amp;"|"&amp;COUNTIFS(A$2:A282,A282,F$2:F282,"Active"),"")</f>
        <v/>
      </c>
      <c r="I282" s="18" t="str">
        <f aca="false">IF(B282="","",IF(SUMPRODUCT(MAX((A$1:A281=A282)*(B$1:B281=B282)*ROW(A$1:A281)))=0,C282&amp;"",IF(C282="",INDEX(I$1:I281,SUMPRODUCT(MAX((A$1:A281=A282)*(B$1:B281=B282)*ROW(A$1:A281)))),IF(INDEX(I$1:I281,SUMPRODUCT(MAX((A$1:A281=A282)*(B$1:B281=B282)*ROW(A$1:A281))))="",C282&amp;"",INDEX(I$1:I281,SUMPRODUCT(MAX((A$1:A281=A282)*(B$1:B281=B282)*ROW(A$1:A281))))&amp;"; "&amp;C282))))</f>
        <v/>
      </c>
      <c r="J282" s="18" t="str">
        <f aca="false">IF(A282="","",A282&amp;"|"&amp;COUNTIF(A$2:A282,A282))</f>
        <v/>
      </c>
      <c r="K282" s="18" t="n">
        <f aca="false">IF(OR(A282="",B282=""),0,IF(COUNTIFS(A$2:A282,A282,B$2:B282,B282)=1,1,0))</f>
        <v>0</v>
      </c>
    </row>
    <row r="283" customFormat="false" ht="15" hidden="false" customHeight="false" outlineLevel="0" collapsed="false">
      <c r="A283" s="15"/>
      <c r="B283" s="15"/>
      <c r="C283" s="15"/>
      <c r="D283" s="15"/>
      <c r="F283" s="18" t="str">
        <f aca="false">IF(B283="","",IFERROR(INDEX(Materials!$B$2:$B$201,MATCH(B283,Materials!$A$2:$A$201,0)),""))</f>
        <v/>
      </c>
      <c r="G283" s="18" t="str">
        <f aca="true">IF(AND(A283="",B283=""),"",IF(A283="","Missing product",IF(B283="","Missing material",IF(COUNTIF(ProductList,A283)=0,"Product not in Products list",IF(COUNTIF(MaterialList,B283)=0,"Material not in Materials list","OK")))))</f>
        <v/>
      </c>
      <c r="H283" s="18" t="str">
        <f aca="false">IF(F283="Active",A283&amp;"|"&amp;COUNTIFS(A$2:A283,A283,F$2:F283,"Active"),"")</f>
        <v/>
      </c>
      <c r="I283" s="18" t="str">
        <f aca="false">IF(B283="","",IF(SUMPRODUCT(MAX((A$1:A282=A283)*(B$1:B282=B283)*ROW(A$1:A282)))=0,C283&amp;"",IF(C283="",INDEX(I$1:I282,SUMPRODUCT(MAX((A$1:A282=A283)*(B$1:B282=B283)*ROW(A$1:A282)))),IF(INDEX(I$1:I282,SUMPRODUCT(MAX((A$1:A282=A283)*(B$1:B282=B283)*ROW(A$1:A282))))="",C283&amp;"",INDEX(I$1:I282,SUMPRODUCT(MAX((A$1:A282=A283)*(B$1:B282=B283)*ROW(A$1:A282))))&amp;"; "&amp;C283))))</f>
        <v/>
      </c>
      <c r="J283" s="18" t="str">
        <f aca="false">IF(A283="","",A283&amp;"|"&amp;COUNTIF(A$2:A283,A283))</f>
        <v/>
      </c>
      <c r="K283" s="18" t="n">
        <f aca="false">IF(OR(A283="",B283=""),0,IF(COUNTIFS(A$2:A283,A283,B$2:B283,B283)=1,1,0))</f>
        <v>0</v>
      </c>
    </row>
    <row r="284" customFormat="false" ht="15" hidden="false" customHeight="false" outlineLevel="0" collapsed="false">
      <c r="A284" s="15"/>
      <c r="B284" s="15"/>
      <c r="C284" s="15"/>
      <c r="D284" s="15"/>
      <c r="F284" s="18" t="str">
        <f aca="false">IF(B284="","",IFERROR(INDEX(Materials!$B$2:$B$201,MATCH(B284,Materials!$A$2:$A$201,0)),""))</f>
        <v/>
      </c>
      <c r="G284" s="18" t="str">
        <f aca="true">IF(AND(A284="",B284=""),"",IF(A284="","Missing product",IF(B284="","Missing material",IF(COUNTIF(ProductList,A284)=0,"Product not in Products list",IF(COUNTIF(MaterialList,B284)=0,"Material not in Materials list","OK")))))</f>
        <v/>
      </c>
      <c r="H284" s="18" t="str">
        <f aca="false">IF(F284="Active",A284&amp;"|"&amp;COUNTIFS(A$2:A284,A284,F$2:F284,"Active"),"")</f>
        <v/>
      </c>
      <c r="I284" s="18" t="str">
        <f aca="false">IF(B284="","",IF(SUMPRODUCT(MAX((A$1:A283=A284)*(B$1:B283=B284)*ROW(A$1:A283)))=0,C284&amp;"",IF(C284="",INDEX(I$1:I283,SUMPRODUCT(MAX((A$1:A283=A284)*(B$1:B283=B284)*ROW(A$1:A283)))),IF(INDEX(I$1:I283,SUMPRODUCT(MAX((A$1:A283=A284)*(B$1:B283=B284)*ROW(A$1:A283))))="",C284&amp;"",INDEX(I$1:I283,SUMPRODUCT(MAX((A$1:A283=A284)*(B$1:B283=B284)*ROW(A$1:A283))))&amp;"; "&amp;C284))))</f>
        <v/>
      </c>
      <c r="J284" s="18" t="str">
        <f aca="false">IF(A284="","",A284&amp;"|"&amp;COUNTIF(A$2:A284,A284))</f>
        <v/>
      </c>
      <c r="K284" s="18" t="n">
        <f aca="false">IF(OR(A284="",B284=""),0,IF(COUNTIFS(A$2:A284,A284,B$2:B284,B284)=1,1,0))</f>
        <v>0</v>
      </c>
    </row>
    <row r="285" customFormat="false" ht="15" hidden="false" customHeight="false" outlineLevel="0" collapsed="false">
      <c r="A285" s="15"/>
      <c r="B285" s="15"/>
      <c r="C285" s="15"/>
      <c r="D285" s="15"/>
      <c r="F285" s="18" t="str">
        <f aca="false">IF(B285="","",IFERROR(INDEX(Materials!$B$2:$B$201,MATCH(B285,Materials!$A$2:$A$201,0)),""))</f>
        <v/>
      </c>
      <c r="G285" s="18" t="str">
        <f aca="true">IF(AND(A285="",B285=""),"",IF(A285="","Missing product",IF(B285="","Missing material",IF(COUNTIF(ProductList,A285)=0,"Product not in Products list",IF(COUNTIF(MaterialList,B285)=0,"Material not in Materials list","OK")))))</f>
        <v/>
      </c>
      <c r="H285" s="18" t="str">
        <f aca="false">IF(F285="Active",A285&amp;"|"&amp;COUNTIFS(A$2:A285,A285,F$2:F285,"Active"),"")</f>
        <v/>
      </c>
      <c r="I285" s="18" t="str">
        <f aca="false">IF(B285="","",IF(SUMPRODUCT(MAX((A$1:A284=A285)*(B$1:B284=B285)*ROW(A$1:A284)))=0,C285&amp;"",IF(C285="",INDEX(I$1:I284,SUMPRODUCT(MAX((A$1:A284=A285)*(B$1:B284=B285)*ROW(A$1:A284)))),IF(INDEX(I$1:I284,SUMPRODUCT(MAX((A$1:A284=A285)*(B$1:B284=B285)*ROW(A$1:A284))))="",C285&amp;"",INDEX(I$1:I284,SUMPRODUCT(MAX((A$1:A284=A285)*(B$1:B284=B285)*ROW(A$1:A284))))&amp;"; "&amp;C285))))</f>
        <v/>
      </c>
      <c r="J285" s="18" t="str">
        <f aca="false">IF(A285="","",A285&amp;"|"&amp;COUNTIF(A$2:A285,A285))</f>
        <v/>
      </c>
      <c r="K285" s="18" t="n">
        <f aca="false">IF(OR(A285="",B285=""),0,IF(COUNTIFS(A$2:A285,A285,B$2:B285,B285)=1,1,0))</f>
        <v>0</v>
      </c>
    </row>
    <row r="286" customFormat="false" ht="15" hidden="false" customHeight="false" outlineLevel="0" collapsed="false">
      <c r="A286" s="15"/>
      <c r="B286" s="15"/>
      <c r="C286" s="15"/>
      <c r="D286" s="15"/>
      <c r="F286" s="18" t="str">
        <f aca="false">IF(B286="","",IFERROR(INDEX(Materials!$B$2:$B$201,MATCH(B286,Materials!$A$2:$A$201,0)),""))</f>
        <v/>
      </c>
      <c r="G286" s="18" t="str">
        <f aca="true">IF(AND(A286="",B286=""),"",IF(A286="","Missing product",IF(B286="","Missing material",IF(COUNTIF(ProductList,A286)=0,"Product not in Products list",IF(COUNTIF(MaterialList,B286)=0,"Material not in Materials list","OK")))))</f>
        <v/>
      </c>
      <c r="H286" s="18" t="str">
        <f aca="false">IF(F286="Active",A286&amp;"|"&amp;COUNTIFS(A$2:A286,A286,F$2:F286,"Active"),"")</f>
        <v/>
      </c>
      <c r="I286" s="18" t="str">
        <f aca="false">IF(B286="","",IF(SUMPRODUCT(MAX((A$1:A285=A286)*(B$1:B285=B286)*ROW(A$1:A285)))=0,C286&amp;"",IF(C286="",INDEX(I$1:I285,SUMPRODUCT(MAX((A$1:A285=A286)*(B$1:B285=B286)*ROW(A$1:A285)))),IF(INDEX(I$1:I285,SUMPRODUCT(MAX((A$1:A285=A286)*(B$1:B285=B286)*ROW(A$1:A285))))="",C286&amp;"",INDEX(I$1:I285,SUMPRODUCT(MAX((A$1:A285=A286)*(B$1:B285=B286)*ROW(A$1:A285))))&amp;"; "&amp;C286))))</f>
        <v/>
      </c>
      <c r="J286" s="18" t="str">
        <f aca="false">IF(A286="","",A286&amp;"|"&amp;COUNTIF(A$2:A286,A286))</f>
        <v/>
      </c>
      <c r="K286" s="18" t="n">
        <f aca="false">IF(OR(A286="",B286=""),0,IF(COUNTIFS(A$2:A286,A286,B$2:B286,B286)=1,1,0))</f>
        <v>0</v>
      </c>
    </row>
    <row r="287" customFormat="false" ht="15" hidden="false" customHeight="false" outlineLevel="0" collapsed="false">
      <c r="A287" s="15"/>
      <c r="B287" s="15"/>
      <c r="C287" s="15"/>
      <c r="D287" s="15"/>
      <c r="F287" s="18" t="str">
        <f aca="false">IF(B287="","",IFERROR(INDEX(Materials!$B$2:$B$201,MATCH(B287,Materials!$A$2:$A$201,0)),""))</f>
        <v/>
      </c>
      <c r="G287" s="18" t="str">
        <f aca="true">IF(AND(A287="",B287=""),"",IF(A287="","Missing product",IF(B287="","Missing material",IF(COUNTIF(ProductList,A287)=0,"Product not in Products list",IF(COUNTIF(MaterialList,B287)=0,"Material not in Materials list","OK")))))</f>
        <v/>
      </c>
      <c r="H287" s="18" t="str">
        <f aca="false">IF(F287="Active",A287&amp;"|"&amp;COUNTIFS(A$2:A287,A287,F$2:F287,"Active"),"")</f>
        <v/>
      </c>
      <c r="I287" s="18" t="str">
        <f aca="false">IF(B287="","",IF(SUMPRODUCT(MAX((A$1:A286=A287)*(B$1:B286=B287)*ROW(A$1:A286)))=0,C287&amp;"",IF(C287="",INDEX(I$1:I286,SUMPRODUCT(MAX((A$1:A286=A287)*(B$1:B286=B287)*ROW(A$1:A286)))),IF(INDEX(I$1:I286,SUMPRODUCT(MAX((A$1:A286=A287)*(B$1:B286=B287)*ROW(A$1:A286))))="",C287&amp;"",INDEX(I$1:I286,SUMPRODUCT(MAX((A$1:A286=A287)*(B$1:B286=B287)*ROW(A$1:A286))))&amp;"; "&amp;C287))))</f>
        <v/>
      </c>
      <c r="J287" s="18" t="str">
        <f aca="false">IF(A287="","",A287&amp;"|"&amp;COUNTIF(A$2:A287,A287))</f>
        <v/>
      </c>
      <c r="K287" s="18" t="n">
        <f aca="false">IF(OR(A287="",B287=""),0,IF(COUNTIFS(A$2:A287,A287,B$2:B287,B287)=1,1,0))</f>
        <v>0</v>
      </c>
    </row>
    <row r="288" customFormat="false" ht="15" hidden="false" customHeight="false" outlineLevel="0" collapsed="false">
      <c r="A288" s="15"/>
      <c r="B288" s="15"/>
      <c r="C288" s="15"/>
      <c r="D288" s="15"/>
      <c r="F288" s="18" t="str">
        <f aca="false">IF(B288="","",IFERROR(INDEX(Materials!$B$2:$B$201,MATCH(B288,Materials!$A$2:$A$201,0)),""))</f>
        <v/>
      </c>
      <c r="G288" s="18" t="str">
        <f aca="true">IF(AND(A288="",B288=""),"",IF(A288="","Missing product",IF(B288="","Missing material",IF(COUNTIF(ProductList,A288)=0,"Product not in Products list",IF(COUNTIF(MaterialList,B288)=0,"Material not in Materials list","OK")))))</f>
        <v/>
      </c>
      <c r="H288" s="18" t="str">
        <f aca="false">IF(F288="Active",A288&amp;"|"&amp;COUNTIFS(A$2:A288,A288,F$2:F288,"Active"),"")</f>
        <v/>
      </c>
      <c r="I288" s="18" t="str">
        <f aca="false">IF(B288="","",IF(SUMPRODUCT(MAX((A$1:A287=A288)*(B$1:B287=B288)*ROW(A$1:A287)))=0,C288&amp;"",IF(C288="",INDEX(I$1:I287,SUMPRODUCT(MAX((A$1:A287=A288)*(B$1:B287=B288)*ROW(A$1:A287)))),IF(INDEX(I$1:I287,SUMPRODUCT(MAX((A$1:A287=A288)*(B$1:B287=B288)*ROW(A$1:A287))))="",C288&amp;"",INDEX(I$1:I287,SUMPRODUCT(MAX((A$1:A287=A288)*(B$1:B287=B288)*ROW(A$1:A287))))&amp;"; "&amp;C288))))</f>
        <v/>
      </c>
      <c r="J288" s="18" t="str">
        <f aca="false">IF(A288="","",A288&amp;"|"&amp;COUNTIF(A$2:A288,A288))</f>
        <v/>
      </c>
      <c r="K288" s="18" t="n">
        <f aca="false">IF(OR(A288="",B288=""),0,IF(COUNTIFS(A$2:A288,A288,B$2:B288,B288)=1,1,0))</f>
        <v>0</v>
      </c>
    </row>
    <row r="289" customFormat="false" ht="15" hidden="false" customHeight="false" outlineLevel="0" collapsed="false">
      <c r="A289" s="15"/>
      <c r="B289" s="15"/>
      <c r="C289" s="15"/>
      <c r="D289" s="15"/>
      <c r="F289" s="18" t="str">
        <f aca="false">IF(B289="","",IFERROR(INDEX(Materials!$B$2:$B$201,MATCH(B289,Materials!$A$2:$A$201,0)),""))</f>
        <v/>
      </c>
      <c r="G289" s="18" t="str">
        <f aca="true">IF(AND(A289="",B289=""),"",IF(A289="","Missing product",IF(B289="","Missing material",IF(COUNTIF(ProductList,A289)=0,"Product not in Products list",IF(COUNTIF(MaterialList,B289)=0,"Material not in Materials list","OK")))))</f>
        <v/>
      </c>
      <c r="H289" s="18" t="str">
        <f aca="false">IF(F289="Active",A289&amp;"|"&amp;COUNTIFS(A$2:A289,A289,F$2:F289,"Active"),"")</f>
        <v/>
      </c>
      <c r="I289" s="18" t="str">
        <f aca="false">IF(B289="","",IF(SUMPRODUCT(MAX((A$1:A288=A289)*(B$1:B288=B289)*ROW(A$1:A288)))=0,C289&amp;"",IF(C289="",INDEX(I$1:I288,SUMPRODUCT(MAX((A$1:A288=A289)*(B$1:B288=B289)*ROW(A$1:A288)))),IF(INDEX(I$1:I288,SUMPRODUCT(MAX((A$1:A288=A289)*(B$1:B288=B289)*ROW(A$1:A288))))="",C289&amp;"",INDEX(I$1:I288,SUMPRODUCT(MAX((A$1:A288=A289)*(B$1:B288=B289)*ROW(A$1:A288))))&amp;"; "&amp;C289))))</f>
        <v/>
      </c>
      <c r="J289" s="18" t="str">
        <f aca="false">IF(A289="","",A289&amp;"|"&amp;COUNTIF(A$2:A289,A289))</f>
        <v/>
      </c>
      <c r="K289" s="18" t="n">
        <f aca="false">IF(OR(A289="",B289=""),0,IF(COUNTIFS(A$2:A289,A289,B$2:B289,B289)=1,1,0))</f>
        <v>0</v>
      </c>
    </row>
    <row r="290" customFormat="false" ht="15" hidden="false" customHeight="false" outlineLevel="0" collapsed="false">
      <c r="A290" s="15"/>
      <c r="B290" s="15"/>
      <c r="C290" s="15"/>
      <c r="D290" s="15"/>
      <c r="F290" s="18" t="str">
        <f aca="false">IF(B290="","",IFERROR(INDEX(Materials!$B$2:$B$201,MATCH(B290,Materials!$A$2:$A$201,0)),""))</f>
        <v/>
      </c>
      <c r="G290" s="18" t="str">
        <f aca="true">IF(AND(A290="",B290=""),"",IF(A290="","Missing product",IF(B290="","Missing material",IF(COUNTIF(ProductList,A290)=0,"Product not in Products list",IF(COUNTIF(MaterialList,B290)=0,"Material not in Materials list","OK")))))</f>
        <v/>
      </c>
      <c r="H290" s="18" t="str">
        <f aca="false">IF(F290="Active",A290&amp;"|"&amp;COUNTIFS(A$2:A290,A290,F$2:F290,"Active"),"")</f>
        <v/>
      </c>
      <c r="I290" s="18" t="str">
        <f aca="false">IF(B290="","",IF(SUMPRODUCT(MAX((A$1:A289=A290)*(B$1:B289=B290)*ROW(A$1:A289)))=0,C290&amp;"",IF(C290="",INDEX(I$1:I289,SUMPRODUCT(MAX((A$1:A289=A290)*(B$1:B289=B290)*ROW(A$1:A289)))),IF(INDEX(I$1:I289,SUMPRODUCT(MAX((A$1:A289=A290)*(B$1:B289=B290)*ROW(A$1:A289))))="",C290&amp;"",INDEX(I$1:I289,SUMPRODUCT(MAX((A$1:A289=A290)*(B$1:B289=B290)*ROW(A$1:A289))))&amp;"; "&amp;C290))))</f>
        <v/>
      </c>
      <c r="J290" s="18" t="str">
        <f aca="false">IF(A290="","",A290&amp;"|"&amp;COUNTIF(A$2:A290,A290))</f>
        <v/>
      </c>
      <c r="K290" s="18" t="n">
        <f aca="false">IF(OR(A290="",B290=""),0,IF(COUNTIFS(A$2:A290,A290,B$2:B290,B290)=1,1,0))</f>
        <v>0</v>
      </c>
    </row>
    <row r="291" customFormat="false" ht="15" hidden="false" customHeight="false" outlineLevel="0" collapsed="false">
      <c r="A291" s="15"/>
      <c r="B291" s="15"/>
      <c r="C291" s="15"/>
      <c r="D291" s="15"/>
      <c r="F291" s="18" t="str">
        <f aca="false">IF(B291="","",IFERROR(INDEX(Materials!$B$2:$B$201,MATCH(B291,Materials!$A$2:$A$201,0)),""))</f>
        <v/>
      </c>
      <c r="G291" s="18" t="str">
        <f aca="true">IF(AND(A291="",B291=""),"",IF(A291="","Missing product",IF(B291="","Missing material",IF(COUNTIF(ProductList,A291)=0,"Product not in Products list",IF(COUNTIF(MaterialList,B291)=0,"Material not in Materials list","OK")))))</f>
        <v/>
      </c>
      <c r="H291" s="18" t="str">
        <f aca="false">IF(F291="Active",A291&amp;"|"&amp;COUNTIFS(A$2:A291,A291,F$2:F291,"Active"),"")</f>
        <v/>
      </c>
      <c r="I291" s="18" t="str">
        <f aca="false">IF(B291="","",IF(SUMPRODUCT(MAX((A$1:A290=A291)*(B$1:B290=B291)*ROW(A$1:A290)))=0,C291&amp;"",IF(C291="",INDEX(I$1:I290,SUMPRODUCT(MAX((A$1:A290=A291)*(B$1:B290=B291)*ROW(A$1:A290)))),IF(INDEX(I$1:I290,SUMPRODUCT(MAX((A$1:A290=A291)*(B$1:B290=B291)*ROW(A$1:A290))))="",C291&amp;"",INDEX(I$1:I290,SUMPRODUCT(MAX((A$1:A290=A291)*(B$1:B290=B291)*ROW(A$1:A290))))&amp;"; "&amp;C291))))</f>
        <v/>
      </c>
      <c r="J291" s="18" t="str">
        <f aca="false">IF(A291="","",A291&amp;"|"&amp;COUNTIF(A$2:A291,A291))</f>
        <v/>
      </c>
      <c r="K291" s="18" t="n">
        <f aca="false">IF(OR(A291="",B291=""),0,IF(COUNTIFS(A$2:A291,A291,B$2:B291,B291)=1,1,0))</f>
        <v>0</v>
      </c>
    </row>
    <row r="292" customFormat="false" ht="15" hidden="false" customHeight="false" outlineLevel="0" collapsed="false">
      <c r="A292" s="15"/>
      <c r="B292" s="15"/>
      <c r="C292" s="15"/>
      <c r="D292" s="15"/>
      <c r="F292" s="18" t="str">
        <f aca="false">IF(B292="","",IFERROR(INDEX(Materials!$B$2:$B$201,MATCH(B292,Materials!$A$2:$A$201,0)),""))</f>
        <v/>
      </c>
      <c r="G292" s="18" t="str">
        <f aca="true">IF(AND(A292="",B292=""),"",IF(A292="","Missing product",IF(B292="","Missing material",IF(COUNTIF(ProductList,A292)=0,"Product not in Products list",IF(COUNTIF(MaterialList,B292)=0,"Material not in Materials list","OK")))))</f>
        <v/>
      </c>
      <c r="H292" s="18" t="str">
        <f aca="false">IF(F292="Active",A292&amp;"|"&amp;COUNTIFS(A$2:A292,A292,F$2:F292,"Active"),"")</f>
        <v/>
      </c>
      <c r="I292" s="18" t="str">
        <f aca="false">IF(B292="","",IF(SUMPRODUCT(MAX((A$1:A291=A292)*(B$1:B291=B292)*ROW(A$1:A291)))=0,C292&amp;"",IF(C292="",INDEX(I$1:I291,SUMPRODUCT(MAX((A$1:A291=A292)*(B$1:B291=B292)*ROW(A$1:A291)))),IF(INDEX(I$1:I291,SUMPRODUCT(MAX((A$1:A291=A292)*(B$1:B291=B292)*ROW(A$1:A291))))="",C292&amp;"",INDEX(I$1:I291,SUMPRODUCT(MAX((A$1:A291=A292)*(B$1:B291=B292)*ROW(A$1:A291))))&amp;"; "&amp;C292))))</f>
        <v/>
      </c>
      <c r="J292" s="18" t="str">
        <f aca="false">IF(A292="","",A292&amp;"|"&amp;COUNTIF(A$2:A292,A292))</f>
        <v/>
      </c>
      <c r="K292" s="18" t="n">
        <f aca="false">IF(OR(A292="",B292=""),0,IF(COUNTIFS(A$2:A292,A292,B$2:B292,B292)=1,1,0))</f>
        <v>0</v>
      </c>
    </row>
    <row r="293" customFormat="false" ht="15" hidden="false" customHeight="false" outlineLevel="0" collapsed="false">
      <c r="A293" s="15"/>
      <c r="B293" s="15"/>
      <c r="C293" s="15"/>
      <c r="D293" s="15"/>
      <c r="F293" s="18" t="str">
        <f aca="false">IF(B293="","",IFERROR(INDEX(Materials!$B$2:$B$201,MATCH(B293,Materials!$A$2:$A$201,0)),""))</f>
        <v/>
      </c>
      <c r="G293" s="18" t="str">
        <f aca="true">IF(AND(A293="",B293=""),"",IF(A293="","Missing product",IF(B293="","Missing material",IF(COUNTIF(ProductList,A293)=0,"Product not in Products list",IF(COUNTIF(MaterialList,B293)=0,"Material not in Materials list","OK")))))</f>
        <v/>
      </c>
      <c r="H293" s="18" t="str">
        <f aca="false">IF(F293="Active",A293&amp;"|"&amp;COUNTIFS(A$2:A293,A293,F$2:F293,"Active"),"")</f>
        <v/>
      </c>
      <c r="I293" s="18" t="str">
        <f aca="false">IF(B293="","",IF(SUMPRODUCT(MAX((A$1:A292=A293)*(B$1:B292=B293)*ROW(A$1:A292)))=0,C293&amp;"",IF(C293="",INDEX(I$1:I292,SUMPRODUCT(MAX((A$1:A292=A293)*(B$1:B292=B293)*ROW(A$1:A292)))),IF(INDEX(I$1:I292,SUMPRODUCT(MAX((A$1:A292=A293)*(B$1:B292=B293)*ROW(A$1:A292))))="",C293&amp;"",INDEX(I$1:I292,SUMPRODUCT(MAX((A$1:A292=A293)*(B$1:B292=B293)*ROW(A$1:A292))))&amp;"; "&amp;C293))))</f>
        <v/>
      </c>
      <c r="J293" s="18" t="str">
        <f aca="false">IF(A293="","",A293&amp;"|"&amp;COUNTIF(A$2:A293,A293))</f>
        <v/>
      </c>
      <c r="K293" s="18" t="n">
        <f aca="false">IF(OR(A293="",B293=""),0,IF(COUNTIFS(A$2:A293,A293,B$2:B293,B293)=1,1,0))</f>
        <v>0</v>
      </c>
    </row>
    <row r="294" customFormat="false" ht="15" hidden="false" customHeight="false" outlineLevel="0" collapsed="false">
      <c r="A294" s="15"/>
      <c r="B294" s="15"/>
      <c r="C294" s="15"/>
      <c r="D294" s="15"/>
      <c r="F294" s="18" t="str">
        <f aca="false">IF(B294="","",IFERROR(INDEX(Materials!$B$2:$B$201,MATCH(B294,Materials!$A$2:$A$201,0)),""))</f>
        <v/>
      </c>
      <c r="G294" s="18" t="str">
        <f aca="true">IF(AND(A294="",B294=""),"",IF(A294="","Missing product",IF(B294="","Missing material",IF(COUNTIF(ProductList,A294)=0,"Product not in Products list",IF(COUNTIF(MaterialList,B294)=0,"Material not in Materials list","OK")))))</f>
        <v/>
      </c>
      <c r="H294" s="18" t="str">
        <f aca="false">IF(F294="Active",A294&amp;"|"&amp;COUNTIFS(A$2:A294,A294,F$2:F294,"Active"),"")</f>
        <v/>
      </c>
      <c r="I294" s="18" t="str">
        <f aca="false">IF(B294="","",IF(SUMPRODUCT(MAX((A$1:A293=A294)*(B$1:B293=B294)*ROW(A$1:A293)))=0,C294&amp;"",IF(C294="",INDEX(I$1:I293,SUMPRODUCT(MAX((A$1:A293=A294)*(B$1:B293=B294)*ROW(A$1:A293)))),IF(INDEX(I$1:I293,SUMPRODUCT(MAX((A$1:A293=A294)*(B$1:B293=B294)*ROW(A$1:A293))))="",C294&amp;"",INDEX(I$1:I293,SUMPRODUCT(MAX((A$1:A293=A294)*(B$1:B293=B294)*ROW(A$1:A293))))&amp;"; "&amp;C294))))</f>
        <v/>
      </c>
      <c r="J294" s="18" t="str">
        <f aca="false">IF(A294="","",A294&amp;"|"&amp;COUNTIF(A$2:A294,A294))</f>
        <v/>
      </c>
      <c r="K294" s="18" t="n">
        <f aca="false">IF(OR(A294="",B294=""),0,IF(COUNTIFS(A$2:A294,A294,B$2:B294,B294)=1,1,0))</f>
        <v>0</v>
      </c>
    </row>
    <row r="295" customFormat="false" ht="15" hidden="false" customHeight="false" outlineLevel="0" collapsed="false">
      <c r="A295" s="15"/>
      <c r="B295" s="15"/>
      <c r="C295" s="15"/>
      <c r="D295" s="15"/>
      <c r="F295" s="18" t="str">
        <f aca="false">IF(B295="","",IFERROR(INDEX(Materials!$B$2:$B$201,MATCH(B295,Materials!$A$2:$A$201,0)),""))</f>
        <v/>
      </c>
      <c r="G295" s="18" t="str">
        <f aca="true">IF(AND(A295="",B295=""),"",IF(A295="","Missing product",IF(B295="","Missing material",IF(COUNTIF(ProductList,A295)=0,"Product not in Products list",IF(COUNTIF(MaterialList,B295)=0,"Material not in Materials list","OK")))))</f>
        <v/>
      </c>
      <c r="H295" s="18" t="str">
        <f aca="false">IF(F295="Active",A295&amp;"|"&amp;COUNTIFS(A$2:A295,A295,F$2:F295,"Active"),"")</f>
        <v/>
      </c>
      <c r="I295" s="18" t="str">
        <f aca="false">IF(B295="","",IF(SUMPRODUCT(MAX((A$1:A294=A295)*(B$1:B294=B295)*ROW(A$1:A294)))=0,C295&amp;"",IF(C295="",INDEX(I$1:I294,SUMPRODUCT(MAX((A$1:A294=A295)*(B$1:B294=B295)*ROW(A$1:A294)))),IF(INDEX(I$1:I294,SUMPRODUCT(MAX((A$1:A294=A295)*(B$1:B294=B295)*ROW(A$1:A294))))="",C295&amp;"",INDEX(I$1:I294,SUMPRODUCT(MAX((A$1:A294=A295)*(B$1:B294=B295)*ROW(A$1:A294))))&amp;"; "&amp;C295))))</f>
        <v/>
      </c>
      <c r="J295" s="18" t="str">
        <f aca="false">IF(A295="","",A295&amp;"|"&amp;COUNTIF(A$2:A295,A295))</f>
        <v/>
      </c>
      <c r="K295" s="18" t="n">
        <f aca="false">IF(OR(A295="",B295=""),0,IF(COUNTIFS(A$2:A295,A295,B$2:B295,B295)=1,1,0))</f>
        <v>0</v>
      </c>
    </row>
    <row r="296" customFormat="false" ht="15" hidden="false" customHeight="false" outlineLevel="0" collapsed="false">
      <c r="A296" s="15"/>
      <c r="B296" s="15"/>
      <c r="C296" s="15"/>
      <c r="D296" s="15"/>
      <c r="F296" s="18" t="str">
        <f aca="false">IF(B296="","",IFERROR(INDEX(Materials!$B$2:$B$201,MATCH(B296,Materials!$A$2:$A$201,0)),""))</f>
        <v/>
      </c>
      <c r="G296" s="18" t="str">
        <f aca="true">IF(AND(A296="",B296=""),"",IF(A296="","Missing product",IF(B296="","Missing material",IF(COUNTIF(ProductList,A296)=0,"Product not in Products list",IF(COUNTIF(MaterialList,B296)=0,"Material not in Materials list","OK")))))</f>
        <v/>
      </c>
      <c r="H296" s="18" t="str">
        <f aca="false">IF(F296="Active",A296&amp;"|"&amp;COUNTIFS(A$2:A296,A296,F$2:F296,"Active"),"")</f>
        <v/>
      </c>
      <c r="I296" s="18" t="str">
        <f aca="false">IF(B296="","",IF(SUMPRODUCT(MAX((A$1:A295=A296)*(B$1:B295=B296)*ROW(A$1:A295)))=0,C296&amp;"",IF(C296="",INDEX(I$1:I295,SUMPRODUCT(MAX((A$1:A295=A296)*(B$1:B295=B296)*ROW(A$1:A295)))),IF(INDEX(I$1:I295,SUMPRODUCT(MAX((A$1:A295=A296)*(B$1:B295=B296)*ROW(A$1:A295))))="",C296&amp;"",INDEX(I$1:I295,SUMPRODUCT(MAX((A$1:A295=A296)*(B$1:B295=B296)*ROW(A$1:A295))))&amp;"; "&amp;C296))))</f>
        <v/>
      </c>
      <c r="J296" s="18" t="str">
        <f aca="false">IF(A296="","",A296&amp;"|"&amp;COUNTIF(A$2:A296,A296))</f>
        <v/>
      </c>
      <c r="K296" s="18" t="n">
        <f aca="false">IF(OR(A296="",B296=""),0,IF(COUNTIFS(A$2:A296,A296,B$2:B296,B296)=1,1,0))</f>
        <v>0</v>
      </c>
    </row>
    <row r="297" customFormat="false" ht="15" hidden="false" customHeight="false" outlineLevel="0" collapsed="false">
      <c r="A297" s="15"/>
      <c r="B297" s="15"/>
      <c r="C297" s="15"/>
      <c r="D297" s="15"/>
      <c r="F297" s="18" t="str">
        <f aca="false">IF(B297="","",IFERROR(INDEX(Materials!$B$2:$B$201,MATCH(B297,Materials!$A$2:$A$201,0)),""))</f>
        <v/>
      </c>
      <c r="G297" s="18" t="str">
        <f aca="true">IF(AND(A297="",B297=""),"",IF(A297="","Missing product",IF(B297="","Missing material",IF(COUNTIF(ProductList,A297)=0,"Product not in Products list",IF(COUNTIF(MaterialList,B297)=0,"Material not in Materials list","OK")))))</f>
        <v/>
      </c>
      <c r="H297" s="18" t="str">
        <f aca="false">IF(F297="Active",A297&amp;"|"&amp;COUNTIFS(A$2:A297,A297,F$2:F297,"Active"),"")</f>
        <v/>
      </c>
      <c r="I297" s="18" t="str">
        <f aca="false">IF(B297="","",IF(SUMPRODUCT(MAX((A$1:A296=A297)*(B$1:B296=B297)*ROW(A$1:A296)))=0,C297&amp;"",IF(C297="",INDEX(I$1:I296,SUMPRODUCT(MAX((A$1:A296=A297)*(B$1:B296=B297)*ROW(A$1:A296)))),IF(INDEX(I$1:I296,SUMPRODUCT(MAX((A$1:A296=A297)*(B$1:B296=B297)*ROW(A$1:A296))))="",C297&amp;"",INDEX(I$1:I296,SUMPRODUCT(MAX((A$1:A296=A297)*(B$1:B296=B297)*ROW(A$1:A296))))&amp;"; "&amp;C297))))</f>
        <v/>
      </c>
      <c r="J297" s="18" t="str">
        <f aca="false">IF(A297="","",A297&amp;"|"&amp;COUNTIF(A$2:A297,A297))</f>
        <v/>
      </c>
      <c r="K297" s="18" t="n">
        <f aca="false">IF(OR(A297="",B297=""),0,IF(COUNTIFS(A$2:A297,A297,B$2:B297,B297)=1,1,0))</f>
        <v>0</v>
      </c>
    </row>
    <row r="298" customFormat="false" ht="15" hidden="false" customHeight="false" outlineLevel="0" collapsed="false">
      <c r="A298" s="15"/>
      <c r="B298" s="15"/>
      <c r="C298" s="15"/>
      <c r="D298" s="15"/>
      <c r="F298" s="18" t="str">
        <f aca="false">IF(B298="","",IFERROR(INDEX(Materials!$B$2:$B$201,MATCH(B298,Materials!$A$2:$A$201,0)),""))</f>
        <v/>
      </c>
      <c r="G298" s="18" t="str">
        <f aca="true">IF(AND(A298="",B298=""),"",IF(A298="","Missing product",IF(B298="","Missing material",IF(COUNTIF(ProductList,A298)=0,"Product not in Products list",IF(COUNTIF(MaterialList,B298)=0,"Material not in Materials list","OK")))))</f>
        <v/>
      </c>
      <c r="H298" s="18" t="str">
        <f aca="false">IF(F298="Active",A298&amp;"|"&amp;COUNTIFS(A$2:A298,A298,F$2:F298,"Active"),"")</f>
        <v/>
      </c>
      <c r="I298" s="18" t="str">
        <f aca="false">IF(B298="","",IF(SUMPRODUCT(MAX((A$1:A297=A298)*(B$1:B297=B298)*ROW(A$1:A297)))=0,C298&amp;"",IF(C298="",INDEX(I$1:I297,SUMPRODUCT(MAX((A$1:A297=A298)*(B$1:B297=B298)*ROW(A$1:A297)))),IF(INDEX(I$1:I297,SUMPRODUCT(MAX((A$1:A297=A298)*(B$1:B297=B298)*ROW(A$1:A297))))="",C298&amp;"",INDEX(I$1:I297,SUMPRODUCT(MAX((A$1:A297=A298)*(B$1:B297=B298)*ROW(A$1:A297))))&amp;"; "&amp;C298))))</f>
        <v/>
      </c>
      <c r="J298" s="18" t="str">
        <f aca="false">IF(A298="","",A298&amp;"|"&amp;COUNTIF(A$2:A298,A298))</f>
        <v/>
      </c>
      <c r="K298" s="18" t="n">
        <f aca="false">IF(OR(A298="",B298=""),0,IF(COUNTIFS(A$2:A298,A298,B$2:B298,B298)=1,1,0))</f>
        <v>0</v>
      </c>
    </row>
    <row r="299" customFormat="false" ht="15" hidden="false" customHeight="false" outlineLevel="0" collapsed="false">
      <c r="A299" s="15"/>
      <c r="B299" s="15"/>
      <c r="C299" s="15"/>
      <c r="D299" s="15"/>
      <c r="F299" s="18" t="str">
        <f aca="false">IF(B299="","",IFERROR(INDEX(Materials!$B$2:$B$201,MATCH(B299,Materials!$A$2:$A$201,0)),""))</f>
        <v/>
      </c>
      <c r="G299" s="18" t="str">
        <f aca="true">IF(AND(A299="",B299=""),"",IF(A299="","Missing product",IF(B299="","Missing material",IF(COUNTIF(ProductList,A299)=0,"Product not in Products list",IF(COUNTIF(MaterialList,B299)=0,"Material not in Materials list","OK")))))</f>
        <v/>
      </c>
      <c r="H299" s="18" t="str">
        <f aca="false">IF(F299="Active",A299&amp;"|"&amp;COUNTIFS(A$2:A299,A299,F$2:F299,"Active"),"")</f>
        <v/>
      </c>
      <c r="I299" s="18" t="str">
        <f aca="false">IF(B299="","",IF(SUMPRODUCT(MAX((A$1:A298=A299)*(B$1:B298=B299)*ROW(A$1:A298)))=0,C299&amp;"",IF(C299="",INDEX(I$1:I298,SUMPRODUCT(MAX((A$1:A298=A299)*(B$1:B298=B299)*ROW(A$1:A298)))),IF(INDEX(I$1:I298,SUMPRODUCT(MAX((A$1:A298=A299)*(B$1:B298=B299)*ROW(A$1:A298))))="",C299&amp;"",INDEX(I$1:I298,SUMPRODUCT(MAX((A$1:A298=A299)*(B$1:B298=B299)*ROW(A$1:A298))))&amp;"; "&amp;C299))))</f>
        <v/>
      </c>
      <c r="J299" s="18" t="str">
        <f aca="false">IF(A299="","",A299&amp;"|"&amp;COUNTIF(A$2:A299,A299))</f>
        <v/>
      </c>
      <c r="K299" s="18" t="n">
        <f aca="false">IF(OR(A299="",B299=""),0,IF(COUNTIFS(A$2:A299,A299,B$2:B299,B299)=1,1,0))</f>
        <v>0</v>
      </c>
    </row>
    <row r="300" customFormat="false" ht="15" hidden="false" customHeight="false" outlineLevel="0" collapsed="false">
      <c r="A300" s="15"/>
      <c r="B300" s="15"/>
      <c r="C300" s="15"/>
      <c r="D300" s="15"/>
      <c r="F300" s="18" t="str">
        <f aca="false">IF(B300="","",IFERROR(INDEX(Materials!$B$2:$B$201,MATCH(B300,Materials!$A$2:$A$201,0)),""))</f>
        <v/>
      </c>
      <c r="G300" s="18" t="str">
        <f aca="true">IF(AND(A300="",B300=""),"",IF(A300="","Missing product",IF(B300="","Missing material",IF(COUNTIF(ProductList,A300)=0,"Product not in Products list",IF(COUNTIF(MaterialList,B300)=0,"Material not in Materials list","OK")))))</f>
        <v/>
      </c>
      <c r="H300" s="18" t="str">
        <f aca="false">IF(F300="Active",A300&amp;"|"&amp;COUNTIFS(A$2:A300,A300,F$2:F300,"Active"),"")</f>
        <v/>
      </c>
      <c r="I300" s="18" t="str">
        <f aca="false">IF(B300="","",IF(SUMPRODUCT(MAX((A$1:A299=A300)*(B$1:B299=B300)*ROW(A$1:A299)))=0,C300&amp;"",IF(C300="",INDEX(I$1:I299,SUMPRODUCT(MAX((A$1:A299=A300)*(B$1:B299=B300)*ROW(A$1:A299)))),IF(INDEX(I$1:I299,SUMPRODUCT(MAX((A$1:A299=A300)*(B$1:B299=B300)*ROW(A$1:A299))))="",C300&amp;"",INDEX(I$1:I299,SUMPRODUCT(MAX((A$1:A299=A300)*(B$1:B299=B300)*ROW(A$1:A299))))&amp;"; "&amp;C300))))</f>
        <v/>
      </c>
      <c r="J300" s="18" t="str">
        <f aca="false">IF(A300="","",A300&amp;"|"&amp;COUNTIF(A$2:A300,A300))</f>
        <v/>
      </c>
      <c r="K300" s="18" t="n">
        <f aca="false">IF(OR(A300="",B300=""),0,IF(COUNTIFS(A$2:A300,A300,B$2:B300,B300)=1,1,0))</f>
        <v>0</v>
      </c>
    </row>
    <row r="301" customFormat="false" ht="15" hidden="false" customHeight="false" outlineLevel="0" collapsed="false">
      <c r="A301" s="15"/>
      <c r="B301" s="15"/>
      <c r="C301" s="15"/>
      <c r="D301" s="15"/>
      <c r="F301" s="18" t="str">
        <f aca="false">IF(B301="","",IFERROR(INDEX(Materials!$B$2:$B$201,MATCH(B301,Materials!$A$2:$A$201,0)),""))</f>
        <v/>
      </c>
      <c r="G301" s="18" t="str">
        <f aca="true">IF(AND(A301="",B301=""),"",IF(A301="","Missing product",IF(B301="","Missing material",IF(COUNTIF(ProductList,A301)=0,"Product not in Products list",IF(COUNTIF(MaterialList,B301)=0,"Material not in Materials list","OK")))))</f>
        <v/>
      </c>
      <c r="H301" s="18" t="str">
        <f aca="false">IF(F301="Active",A301&amp;"|"&amp;COUNTIFS(A$2:A301,A301,F$2:F301,"Active"),"")</f>
        <v/>
      </c>
      <c r="I301" s="18" t="str">
        <f aca="false">IF(B301="","",IF(SUMPRODUCT(MAX((A$1:A300=A301)*(B$1:B300=B301)*ROW(A$1:A300)))=0,C301&amp;"",IF(C301="",INDEX(I$1:I300,SUMPRODUCT(MAX((A$1:A300=A301)*(B$1:B300=B301)*ROW(A$1:A300)))),IF(INDEX(I$1:I300,SUMPRODUCT(MAX((A$1:A300=A301)*(B$1:B300=B301)*ROW(A$1:A300))))="",C301&amp;"",INDEX(I$1:I300,SUMPRODUCT(MAX((A$1:A300=A301)*(B$1:B300=B301)*ROW(A$1:A300))))&amp;"; "&amp;C301))))</f>
        <v/>
      </c>
      <c r="J301" s="18" t="str">
        <f aca="false">IF(A301="","",A301&amp;"|"&amp;COUNTIF(A$2:A301,A301))</f>
        <v/>
      </c>
      <c r="K301" s="18" t="n">
        <f aca="false">IF(OR(A301="",B301=""),0,IF(COUNTIFS(A$2:A301,A301,B$2:B301,B301)=1,1,0))</f>
        <v>0</v>
      </c>
    </row>
    <row r="302" customFormat="false" ht="15" hidden="false" customHeight="false" outlineLevel="0" collapsed="false">
      <c r="A302" s="15"/>
      <c r="B302" s="15"/>
      <c r="C302" s="15"/>
      <c r="D302" s="15"/>
      <c r="F302" s="18" t="str">
        <f aca="false">IF(B302="","",IFERROR(INDEX(Materials!$B$2:$B$201,MATCH(B302,Materials!$A$2:$A$201,0)),""))</f>
        <v/>
      </c>
      <c r="G302" s="18" t="str">
        <f aca="true">IF(AND(A302="",B302=""),"",IF(A302="","Missing product",IF(B302="","Missing material",IF(COUNTIF(ProductList,A302)=0,"Product not in Products list",IF(COUNTIF(MaterialList,B302)=0,"Material not in Materials list","OK")))))</f>
        <v/>
      </c>
      <c r="H302" s="18" t="str">
        <f aca="false">IF(F302="Active",A302&amp;"|"&amp;COUNTIFS(A$2:A302,A302,F$2:F302,"Active"),"")</f>
        <v/>
      </c>
      <c r="I302" s="18" t="str">
        <f aca="false">IF(B302="","",IF(SUMPRODUCT(MAX((A$1:A301=A302)*(B$1:B301=B302)*ROW(A$1:A301)))=0,C302&amp;"",IF(C302="",INDEX(I$1:I301,SUMPRODUCT(MAX((A$1:A301=A302)*(B$1:B301=B302)*ROW(A$1:A301)))),IF(INDEX(I$1:I301,SUMPRODUCT(MAX((A$1:A301=A302)*(B$1:B301=B302)*ROW(A$1:A301))))="",C302&amp;"",INDEX(I$1:I301,SUMPRODUCT(MAX((A$1:A301=A302)*(B$1:B301=B302)*ROW(A$1:A301))))&amp;"; "&amp;C302))))</f>
        <v/>
      </c>
      <c r="J302" s="18" t="str">
        <f aca="false">IF(A302="","",A302&amp;"|"&amp;COUNTIF(A$2:A302,A302))</f>
        <v/>
      </c>
      <c r="K302" s="18" t="n">
        <f aca="false">IF(OR(A302="",B302=""),0,IF(COUNTIFS(A$2:A302,A302,B$2:B302,B302)=1,1,0))</f>
        <v>0</v>
      </c>
    </row>
    <row r="303" customFormat="false" ht="15" hidden="false" customHeight="false" outlineLevel="0" collapsed="false">
      <c r="A303" s="15"/>
      <c r="B303" s="15"/>
      <c r="C303" s="15"/>
      <c r="D303" s="15"/>
      <c r="F303" s="18" t="str">
        <f aca="false">IF(B303="","",IFERROR(INDEX(Materials!$B$2:$B$201,MATCH(B303,Materials!$A$2:$A$201,0)),""))</f>
        <v/>
      </c>
      <c r="G303" s="18" t="str">
        <f aca="true">IF(AND(A303="",B303=""),"",IF(A303="","Missing product",IF(B303="","Missing material",IF(COUNTIF(ProductList,A303)=0,"Product not in Products list",IF(COUNTIF(MaterialList,B303)=0,"Material not in Materials list","OK")))))</f>
        <v/>
      </c>
      <c r="H303" s="18" t="str">
        <f aca="false">IF(F303="Active",A303&amp;"|"&amp;COUNTIFS(A$2:A303,A303,F$2:F303,"Active"),"")</f>
        <v/>
      </c>
      <c r="I303" s="18" t="str">
        <f aca="false">IF(B303="","",IF(SUMPRODUCT(MAX((A$1:A302=A303)*(B$1:B302=B303)*ROW(A$1:A302)))=0,C303&amp;"",IF(C303="",INDEX(I$1:I302,SUMPRODUCT(MAX((A$1:A302=A303)*(B$1:B302=B303)*ROW(A$1:A302)))),IF(INDEX(I$1:I302,SUMPRODUCT(MAX((A$1:A302=A303)*(B$1:B302=B303)*ROW(A$1:A302))))="",C303&amp;"",INDEX(I$1:I302,SUMPRODUCT(MAX((A$1:A302=A303)*(B$1:B302=B303)*ROW(A$1:A302))))&amp;"; "&amp;C303))))</f>
        <v/>
      </c>
      <c r="J303" s="18" t="str">
        <f aca="false">IF(A303="","",A303&amp;"|"&amp;COUNTIF(A$2:A303,A303))</f>
        <v/>
      </c>
      <c r="K303" s="18" t="n">
        <f aca="false">IF(OR(A303="",B303=""),0,IF(COUNTIFS(A$2:A303,A303,B$2:B303,B303)=1,1,0))</f>
        <v>0</v>
      </c>
    </row>
    <row r="304" customFormat="false" ht="15" hidden="false" customHeight="false" outlineLevel="0" collapsed="false">
      <c r="A304" s="15"/>
      <c r="B304" s="15"/>
      <c r="C304" s="15"/>
      <c r="D304" s="15"/>
      <c r="F304" s="18" t="str">
        <f aca="false">IF(B304="","",IFERROR(INDEX(Materials!$B$2:$B$201,MATCH(B304,Materials!$A$2:$A$201,0)),""))</f>
        <v/>
      </c>
      <c r="G304" s="18" t="str">
        <f aca="true">IF(AND(A304="",B304=""),"",IF(A304="","Missing product",IF(B304="","Missing material",IF(COUNTIF(ProductList,A304)=0,"Product not in Products list",IF(COUNTIF(MaterialList,B304)=0,"Material not in Materials list","OK")))))</f>
        <v/>
      </c>
      <c r="H304" s="18" t="str">
        <f aca="false">IF(F304="Active",A304&amp;"|"&amp;COUNTIFS(A$2:A304,A304,F$2:F304,"Active"),"")</f>
        <v/>
      </c>
      <c r="I304" s="18" t="str">
        <f aca="false">IF(B304="","",IF(SUMPRODUCT(MAX((A$1:A303=A304)*(B$1:B303=B304)*ROW(A$1:A303)))=0,C304&amp;"",IF(C304="",INDEX(I$1:I303,SUMPRODUCT(MAX((A$1:A303=A304)*(B$1:B303=B304)*ROW(A$1:A303)))),IF(INDEX(I$1:I303,SUMPRODUCT(MAX((A$1:A303=A304)*(B$1:B303=B304)*ROW(A$1:A303))))="",C304&amp;"",INDEX(I$1:I303,SUMPRODUCT(MAX((A$1:A303=A304)*(B$1:B303=B304)*ROW(A$1:A303))))&amp;"; "&amp;C304))))</f>
        <v/>
      </c>
      <c r="J304" s="18" t="str">
        <f aca="false">IF(A304="","",A304&amp;"|"&amp;COUNTIF(A$2:A304,A304))</f>
        <v/>
      </c>
      <c r="K304" s="18" t="n">
        <f aca="false">IF(OR(A304="",B304=""),0,IF(COUNTIFS(A$2:A304,A304,B$2:B304,B304)=1,1,0))</f>
        <v>0</v>
      </c>
    </row>
    <row r="305" customFormat="false" ht="15" hidden="false" customHeight="false" outlineLevel="0" collapsed="false">
      <c r="A305" s="15"/>
      <c r="B305" s="15"/>
      <c r="C305" s="15"/>
      <c r="D305" s="15"/>
      <c r="F305" s="18" t="str">
        <f aca="false">IF(B305="","",IFERROR(INDEX(Materials!$B$2:$B$201,MATCH(B305,Materials!$A$2:$A$201,0)),""))</f>
        <v/>
      </c>
      <c r="G305" s="18" t="str">
        <f aca="true">IF(AND(A305="",B305=""),"",IF(A305="","Missing product",IF(B305="","Missing material",IF(COUNTIF(ProductList,A305)=0,"Product not in Products list",IF(COUNTIF(MaterialList,B305)=0,"Material not in Materials list","OK")))))</f>
        <v/>
      </c>
      <c r="H305" s="18" t="str">
        <f aca="false">IF(F305="Active",A305&amp;"|"&amp;COUNTIFS(A$2:A305,A305,F$2:F305,"Active"),"")</f>
        <v/>
      </c>
      <c r="I305" s="18" t="str">
        <f aca="false">IF(B305="","",IF(SUMPRODUCT(MAX((A$1:A304=A305)*(B$1:B304=B305)*ROW(A$1:A304)))=0,C305&amp;"",IF(C305="",INDEX(I$1:I304,SUMPRODUCT(MAX((A$1:A304=A305)*(B$1:B304=B305)*ROW(A$1:A304)))),IF(INDEX(I$1:I304,SUMPRODUCT(MAX((A$1:A304=A305)*(B$1:B304=B305)*ROW(A$1:A304))))="",C305&amp;"",INDEX(I$1:I304,SUMPRODUCT(MAX((A$1:A304=A305)*(B$1:B304=B305)*ROW(A$1:A304))))&amp;"; "&amp;C305))))</f>
        <v/>
      </c>
      <c r="J305" s="18" t="str">
        <f aca="false">IF(A305="","",A305&amp;"|"&amp;COUNTIF(A$2:A305,A305))</f>
        <v/>
      </c>
      <c r="K305" s="18" t="n">
        <f aca="false">IF(OR(A305="",B305=""),0,IF(COUNTIFS(A$2:A305,A305,B$2:B305,B305)=1,1,0))</f>
        <v>0</v>
      </c>
    </row>
    <row r="306" customFormat="false" ht="15" hidden="false" customHeight="false" outlineLevel="0" collapsed="false">
      <c r="A306" s="15"/>
      <c r="B306" s="15"/>
      <c r="C306" s="15"/>
      <c r="D306" s="15"/>
      <c r="F306" s="18" t="str">
        <f aca="false">IF(B306="","",IFERROR(INDEX(Materials!$B$2:$B$201,MATCH(B306,Materials!$A$2:$A$201,0)),""))</f>
        <v/>
      </c>
      <c r="G306" s="18" t="str">
        <f aca="true">IF(AND(A306="",B306=""),"",IF(A306="","Missing product",IF(B306="","Missing material",IF(COUNTIF(ProductList,A306)=0,"Product not in Products list",IF(COUNTIF(MaterialList,B306)=0,"Material not in Materials list","OK")))))</f>
        <v/>
      </c>
      <c r="H306" s="18" t="str">
        <f aca="false">IF(F306="Active",A306&amp;"|"&amp;COUNTIFS(A$2:A306,A306,F$2:F306,"Active"),"")</f>
        <v/>
      </c>
      <c r="I306" s="18" t="str">
        <f aca="false">IF(B306="","",IF(SUMPRODUCT(MAX((A$1:A305=A306)*(B$1:B305=B306)*ROW(A$1:A305)))=0,C306&amp;"",IF(C306="",INDEX(I$1:I305,SUMPRODUCT(MAX((A$1:A305=A306)*(B$1:B305=B306)*ROW(A$1:A305)))),IF(INDEX(I$1:I305,SUMPRODUCT(MAX((A$1:A305=A306)*(B$1:B305=B306)*ROW(A$1:A305))))="",C306&amp;"",INDEX(I$1:I305,SUMPRODUCT(MAX((A$1:A305=A306)*(B$1:B305=B306)*ROW(A$1:A305))))&amp;"; "&amp;C306))))</f>
        <v/>
      </c>
      <c r="J306" s="18" t="str">
        <f aca="false">IF(A306="","",A306&amp;"|"&amp;COUNTIF(A$2:A306,A306))</f>
        <v/>
      </c>
      <c r="K306" s="18" t="n">
        <f aca="false">IF(OR(A306="",B306=""),0,IF(COUNTIFS(A$2:A306,A306,B$2:B306,B306)=1,1,0))</f>
        <v>0</v>
      </c>
    </row>
    <row r="307" customFormat="false" ht="15" hidden="false" customHeight="false" outlineLevel="0" collapsed="false">
      <c r="A307" s="15"/>
      <c r="B307" s="15"/>
      <c r="C307" s="15"/>
      <c r="D307" s="15"/>
      <c r="F307" s="18" t="str">
        <f aca="false">IF(B307="","",IFERROR(INDEX(Materials!$B$2:$B$201,MATCH(B307,Materials!$A$2:$A$201,0)),""))</f>
        <v/>
      </c>
      <c r="G307" s="18" t="str">
        <f aca="true">IF(AND(A307="",B307=""),"",IF(A307="","Missing product",IF(B307="","Missing material",IF(COUNTIF(ProductList,A307)=0,"Product not in Products list",IF(COUNTIF(MaterialList,B307)=0,"Material not in Materials list","OK")))))</f>
        <v/>
      </c>
      <c r="H307" s="18" t="str">
        <f aca="false">IF(F307="Active",A307&amp;"|"&amp;COUNTIFS(A$2:A307,A307,F$2:F307,"Active"),"")</f>
        <v/>
      </c>
      <c r="I307" s="18" t="str">
        <f aca="false">IF(B307="","",IF(SUMPRODUCT(MAX((A$1:A306=A307)*(B$1:B306=B307)*ROW(A$1:A306)))=0,C307&amp;"",IF(C307="",INDEX(I$1:I306,SUMPRODUCT(MAX((A$1:A306=A307)*(B$1:B306=B307)*ROW(A$1:A306)))),IF(INDEX(I$1:I306,SUMPRODUCT(MAX((A$1:A306=A307)*(B$1:B306=B307)*ROW(A$1:A306))))="",C307&amp;"",INDEX(I$1:I306,SUMPRODUCT(MAX((A$1:A306=A307)*(B$1:B306=B307)*ROW(A$1:A306))))&amp;"; "&amp;C307))))</f>
        <v/>
      </c>
      <c r="J307" s="18" t="str">
        <f aca="false">IF(A307="","",A307&amp;"|"&amp;COUNTIF(A$2:A307,A307))</f>
        <v/>
      </c>
      <c r="K307" s="18" t="n">
        <f aca="false">IF(OR(A307="",B307=""),0,IF(COUNTIFS(A$2:A307,A307,B$2:B307,B307)=1,1,0))</f>
        <v>0</v>
      </c>
    </row>
    <row r="308" customFormat="false" ht="15" hidden="false" customHeight="false" outlineLevel="0" collapsed="false">
      <c r="A308" s="15"/>
      <c r="B308" s="15"/>
      <c r="C308" s="15"/>
      <c r="D308" s="15"/>
      <c r="F308" s="18" t="str">
        <f aca="false">IF(B308="","",IFERROR(INDEX(Materials!$B$2:$B$201,MATCH(B308,Materials!$A$2:$A$201,0)),""))</f>
        <v/>
      </c>
      <c r="G308" s="18" t="str">
        <f aca="true">IF(AND(A308="",B308=""),"",IF(A308="","Missing product",IF(B308="","Missing material",IF(COUNTIF(ProductList,A308)=0,"Product not in Products list",IF(COUNTIF(MaterialList,B308)=0,"Material not in Materials list","OK")))))</f>
        <v/>
      </c>
      <c r="H308" s="18" t="str">
        <f aca="false">IF(F308="Active",A308&amp;"|"&amp;COUNTIFS(A$2:A308,A308,F$2:F308,"Active"),"")</f>
        <v/>
      </c>
      <c r="I308" s="18" t="str">
        <f aca="false">IF(B308="","",IF(SUMPRODUCT(MAX((A$1:A307=A308)*(B$1:B307=B308)*ROW(A$1:A307)))=0,C308&amp;"",IF(C308="",INDEX(I$1:I307,SUMPRODUCT(MAX((A$1:A307=A308)*(B$1:B307=B308)*ROW(A$1:A307)))),IF(INDEX(I$1:I307,SUMPRODUCT(MAX((A$1:A307=A308)*(B$1:B307=B308)*ROW(A$1:A307))))="",C308&amp;"",INDEX(I$1:I307,SUMPRODUCT(MAX((A$1:A307=A308)*(B$1:B307=B308)*ROW(A$1:A307))))&amp;"; "&amp;C308))))</f>
        <v/>
      </c>
      <c r="J308" s="18" t="str">
        <f aca="false">IF(A308="","",A308&amp;"|"&amp;COUNTIF(A$2:A308,A308))</f>
        <v/>
      </c>
      <c r="K308" s="18" t="n">
        <f aca="false">IF(OR(A308="",B308=""),0,IF(COUNTIFS(A$2:A308,A308,B$2:B308,B308)=1,1,0))</f>
        <v>0</v>
      </c>
    </row>
    <row r="309" customFormat="false" ht="15" hidden="false" customHeight="false" outlineLevel="0" collapsed="false">
      <c r="A309" s="15"/>
      <c r="B309" s="15"/>
      <c r="C309" s="15"/>
      <c r="D309" s="15"/>
      <c r="F309" s="18" t="str">
        <f aca="false">IF(B309="","",IFERROR(INDEX(Materials!$B$2:$B$201,MATCH(B309,Materials!$A$2:$A$201,0)),""))</f>
        <v/>
      </c>
      <c r="G309" s="18" t="str">
        <f aca="true">IF(AND(A309="",B309=""),"",IF(A309="","Missing product",IF(B309="","Missing material",IF(COUNTIF(ProductList,A309)=0,"Product not in Products list",IF(COUNTIF(MaterialList,B309)=0,"Material not in Materials list","OK")))))</f>
        <v/>
      </c>
      <c r="H309" s="18" t="str">
        <f aca="false">IF(F309="Active",A309&amp;"|"&amp;COUNTIFS(A$2:A309,A309,F$2:F309,"Active"),"")</f>
        <v/>
      </c>
      <c r="I309" s="18" t="str">
        <f aca="false">IF(B309="","",IF(SUMPRODUCT(MAX((A$1:A308=A309)*(B$1:B308=B309)*ROW(A$1:A308)))=0,C309&amp;"",IF(C309="",INDEX(I$1:I308,SUMPRODUCT(MAX((A$1:A308=A309)*(B$1:B308=B309)*ROW(A$1:A308)))),IF(INDEX(I$1:I308,SUMPRODUCT(MAX((A$1:A308=A309)*(B$1:B308=B309)*ROW(A$1:A308))))="",C309&amp;"",INDEX(I$1:I308,SUMPRODUCT(MAX((A$1:A308=A309)*(B$1:B308=B309)*ROW(A$1:A308))))&amp;"; "&amp;C309))))</f>
        <v/>
      </c>
      <c r="J309" s="18" t="str">
        <f aca="false">IF(A309="","",A309&amp;"|"&amp;COUNTIF(A$2:A309,A309))</f>
        <v/>
      </c>
      <c r="K309" s="18" t="n">
        <f aca="false">IF(OR(A309="",B309=""),0,IF(COUNTIFS(A$2:A309,A309,B$2:B309,B309)=1,1,0))</f>
        <v>0</v>
      </c>
    </row>
    <row r="310" customFormat="false" ht="15" hidden="false" customHeight="false" outlineLevel="0" collapsed="false">
      <c r="A310" s="15"/>
      <c r="B310" s="15"/>
      <c r="C310" s="15"/>
      <c r="D310" s="15"/>
      <c r="F310" s="18" t="str">
        <f aca="false">IF(B310="","",IFERROR(INDEX(Materials!$B$2:$B$201,MATCH(B310,Materials!$A$2:$A$201,0)),""))</f>
        <v/>
      </c>
      <c r="G310" s="18" t="str">
        <f aca="true">IF(AND(A310="",B310=""),"",IF(A310="","Missing product",IF(B310="","Missing material",IF(COUNTIF(ProductList,A310)=0,"Product not in Products list",IF(COUNTIF(MaterialList,B310)=0,"Material not in Materials list","OK")))))</f>
        <v/>
      </c>
      <c r="H310" s="18" t="str">
        <f aca="false">IF(F310="Active",A310&amp;"|"&amp;COUNTIFS(A$2:A310,A310,F$2:F310,"Active"),"")</f>
        <v/>
      </c>
      <c r="I310" s="18" t="str">
        <f aca="false">IF(B310="","",IF(SUMPRODUCT(MAX((A$1:A309=A310)*(B$1:B309=B310)*ROW(A$1:A309)))=0,C310&amp;"",IF(C310="",INDEX(I$1:I309,SUMPRODUCT(MAX((A$1:A309=A310)*(B$1:B309=B310)*ROW(A$1:A309)))),IF(INDEX(I$1:I309,SUMPRODUCT(MAX((A$1:A309=A310)*(B$1:B309=B310)*ROW(A$1:A309))))="",C310&amp;"",INDEX(I$1:I309,SUMPRODUCT(MAX((A$1:A309=A310)*(B$1:B309=B310)*ROW(A$1:A309))))&amp;"; "&amp;C310))))</f>
        <v/>
      </c>
      <c r="J310" s="18" t="str">
        <f aca="false">IF(A310="","",A310&amp;"|"&amp;COUNTIF(A$2:A310,A310))</f>
        <v/>
      </c>
      <c r="K310" s="18" t="n">
        <f aca="false">IF(OR(A310="",B310=""),0,IF(COUNTIFS(A$2:A310,A310,B$2:B310,B310)=1,1,0))</f>
        <v>0</v>
      </c>
    </row>
    <row r="311" customFormat="false" ht="15" hidden="false" customHeight="false" outlineLevel="0" collapsed="false">
      <c r="A311" s="15"/>
      <c r="B311" s="15"/>
      <c r="C311" s="15"/>
      <c r="D311" s="15"/>
      <c r="F311" s="18" t="str">
        <f aca="false">IF(B311="","",IFERROR(INDEX(Materials!$B$2:$B$201,MATCH(B311,Materials!$A$2:$A$201,0)),""))</f>
        <v/>
      </c>
      <c r="G311" s="18" t="str">
        <f aca="true">IF(AND(A311="",B311=""),"",IF(A311="","Missing product",IF(B311="","Missing material",IF(COUNTIF(ProductList,A311)=0,"Product not in Products list",IF(COUNTIF(MaterialList,B311)=0,"Material not in Materials list","OK")))))</f>
        <v/>
      </c>
      <c r="H311" s="18" t="str">
        <f aca="false">IF(F311="Active",A311&amp;"|"&amp;COUNTIFS(A$2:A311,A311,F$2:F311,"Active"),"")</f>
        <v/>
      </c>
      <c r="I311" s="18" t="str">
        <f aca="false">IF(B311="","",IF(SUMPRODUCT(MAX((A$1:A310=A311)*(B$1:B310=B311)*ROW(A$1:A310)))=0,C311&amp;"",IF(C311="",INDEX(I$1:I310,SUMPRODUCT(MAX((A$1:A310=A311)*(B$1:B310=B311)*ROW(A$1:A310)))),IF(INDEX(I$1:I310,SUMPRODUCT(MAX((A$1:A310=A311)*(B$1:B310=B311)*ROW(A$1:A310))))="",C311&amp;"",INDEX(I$1:I310,SUMPRODUCT(MAX((A$1:A310=A311)*(B$1:B310=B311)*ROW(A$1:A310))))&amp;"; "&amp;C311))))</f>
        <v/>
      </c>
      <c r="J311" s="18" t="str">
        <f aca="false">IF(A311="","",A311&amp;"|"&amp;COUNTIF(A$2:A311,A311))</f>
        <v/>
      </c>
      <c r="K311" s="18" t="n">
        <f aca="false">IF(OR(A311="",B311=""),0,IF(COUNTIFS(A$2:A311,A311,B$2:B311,B311)=1,1,0))</f>
        <v>0</v>
      </c>
    </row>
    <row r="312" customFormat="false" ht="15" hidden="false" customHeight="false" outlineLevel="0" collapsed="false">
      <c r="A312" s="15"/>
      <c r="B312" s="15"/>
      <c r="C312" s="15"/>
      <c r="D312" s="15"/>
      <c r="F312" s="18" t="str">
        <f aca="false">IF(B312="","",IFERROR(INDEX(Materials!$B$2:$B$201,MATCH(B312,Materials!$A$2:$A$201,0)),""))</f>
        <v/>
      </c>
      <c r="G312" s="18" t="str">
        <f aca="true">IF(AND(A312="",B312=""),"",IF(A312="","Missing product",IF(B312="","Missing material",IF(COUNTIF(ProductList,A312)=0,"Product not in Products list",IF(COUNTIF(MaterialList,B312)=0,"Material not in Materials list","OK")))))</f>
        <v/>
      </c>
      <c r="H312" s="18" t="str">
        <f aca="false">IF(F312="Active",A312&amp;"|"&amp;COUNTIFS(A$2:A312,A312,F$2:F312,"Active"),"")</f>
        <v/>
      </c>
      <c r="I312" s="18" t="str">
        <f aca="false">IF(B312="","",IF(SUMPRODUCT(MAX((A$1:A311=A312)*(B$1:B311=B312)*ROW(A$1:A311)))=0,C312&amp;"",IF(C312="",INDEX(I$1:I311,SUMPRODUCT(MAX((A$1:A311=A312)*(B$1:B311=B312)*ROW(A$1:A311)))),IF(INDEX(I$1:I311,SUMPRODUCT(MAX((A$1:A311=A312)*(B$1:B311=B312)*ROW(A$1:A311))))="",C312&amp;"",INDEX(I$1:I311,SUMPRODUCT(MAX((A$1:A311=A312)*(B$1:B311=B312)*ROW(A$1:A311))))&amp;"; "&amp;C312))))</f>
        <v/>
      </c>
      <c r="J312" s="18" t="str">
        <f aca="false">IF(A312="","",A312&amp;"|"&amp;COUNTIF(A$2:A312,A312))</f>
        <v/>
      </c>
      <c r="K312" s="18" t="n">
        <f aca="false">IF(OR(A312="",B312=""),0,IF(COUNTIFS(A$2:A312,A312,B$2:B312,B312)=1,1,0))</f>
        <v>0</v>
      </c>
    </row>
    <row r="313" customFormat="false" ht="15" hidden="false" customHeight="false" outlineLevel="0" collapsed="false">
      <c r="A313" s="15"/>
      <c r="B313" s="15"/>
      <c r="C313" s="15"/>
      <c r="D313" s="15"/>
      <c r="F313" s="18" t="str">
        <f aca="false">IF(B313="","",IFERROR(INDEX(Materials!$B$2:$B$201,MATCH(B313,Materials!$A$2:$A$201,0)),""))</f>
        <v/>
      </c>
      <c r="G313" s="18" t="str">
        <f aca="true">IF(AND(A313="",B313=""),"",IF(A313="","Missing product",IF(B313="","Missing material",IF(COUNTIF(ProductList,A313)=0,"Product not in Products list",IF(COUNTIF(MaterialList,B313)=0,"Material not in Materials list","OK")))))</f>
        <v/>
      </c>
      <c r="H313" s="18" t="str">
        <f aca="false">IF(F313="Active",A313&amp;"|"&amp;COUNTIFS(A$2:A313,A313,F$2:F313,"Active"),"")</f>
        <v/>
      </c>
      <c r="I313" s="18" t="str">
        <f aca="false">IF(B313="","",IF(SUMPRODUCT(MAX((A$1:A312=A313)*(B$1:B312=B313)*ROW(A$1:A312)))=0,C313&amp;"",IF(C313="",INDEX(I$1:I312,SUMPRODUCT(MAX((A$1:A312=A313)*(B$1:B312=B313)*ROW(A$1:A312)))),IF(INDEX(I$1:I312,SUMPRODUCT(MAX((A$1:A312=A313)*(B$1:B312=B313)*ROW(A$1:A312))))="",C313&amp;"",INDEX(I$1:I312,SUMPRODUCT(MAX((A$1:A312=A313)*(B$1:B312=B313)*ROW(A$1:A312))))&amp;"; "&amp;C313))))</f>
        <v/>
      </c>
      <c r="J313" s="18" t="str">
        <f aca="false">IF(A313="","",A313&amp;"|"&amp;COUNTIF(A$2:A313,A313))</f>
        <v/>
      </c>
      <c r="K313" s="18" t="n">
        <f aca="false">IF(OR(A313="",B313=""),0,IF(COUNTIFS(A$2:A313,A313,B$2:B313,B313)=1,1,0))</f>
        <v>0</v>
      </c>
    </row>
    <row r="314" customFormat="false" ht="15" hidden="false" customHeight="false" outlineLevel="0" collapsed="false">
      <c r="A314" s="15"/>
      <c r="B314" s="15"/>
      <c r="C314" s="15"/>
      <c r="D314" s="15"/>
      <c r="F314" s="18" t="str">
        <f aca="false">IF(B314="","",IFERROR(INDEX(Materials!$B$2:$B$201,MATCH(B314,Materials!$A$2:$A$201,0)),""))</f>
        <v/>
      </c>
      <c r="G314" s="18" t="str">
        <f aca="true">IF(AND(A314="",B314=""),"",IF(A314="","Missing product",IF(B314="","Missing material",IF(COUNTIF(ProductList,A314)=0,"Product not in Products list",IF(COUNTIF(MaterialList,B314)=0,"Material not in Materials list","OK")))))</f>
        <v/>
      </c>
      <c r="H314" s="18" t="str">
        <f aca="false">IF(F314="Active",A314&amp;"|"&amp;COUNTIFS(A$2:A314,A314,F$2:F314,"Active"),"")</f>
        <v/>
      </c>
      <c r="I314" s="18" t="str">
        <f aca="false">IF(B314="","",IF(SUMPRODUCT(MAX((A$1:A313=A314)*(B$1:B313=B314)*ROW(A$1:A313)))=0,C314&amp;"",IF(C314="",INDEX(I$1:I313,SUMPRODUCT(MAX((A$1:A313=A314)*(B$1:B313=B314)*ROW(A$1:A313)))),IF(INDEX(I$1:I313,SUMPRODUCT(MAX((A$1:A313=A314)*(B$1:B313=B314)*ROW(A$1:A313))))="",C314&amp;"",INDEX(I$1:I313,SUMPRODUCT(MAX((A$1:A313=A314)*(B$1:B313=B314)*ROW(A$1:A313))))&amp;"; "&amp;C314))))</f>
        <v/>
      </c>
      <c r="J314" s="18" t="str">
        <f aca="false">IF(A314="","",A314&amp;"|"&amp;COUNTIF(A$2:A314,A314))</f>
        <v/>
      </c>
      <c r="K314" s="18" t="n">
        <f aca="false">IF(OR(A314="",B314=""),0,IF(COUNTIFS(A$2:A314,A314,B$2:B314,B314)=1,1,0))</f>
        <v>0</v>
      </c>
    </row>
    <row r="315" customFormat="false" ht="15" hidden="false" customHeight="false" outlineLevel="0" collapsed="false">
      <c r="A315" s="15"/>
      <c r="B315" s="15"/>
      <c r="C315" s="15"/>
      <c r="D315" s="15"/>
      <c r="F315" s="18" t="str">
        <f aca="false">IF(B315="","",IFERROR(INDEX(Materials!$B$2:$B$201,MATCH(B315,Materials!$A$2:$A$201,0)),""))</f>
        <v/>
      </c>
      <c r="G315" s="18" t="str">
        <f aca="true">IF(AND(A315="",B315=""),"",IF(A315="","Missing product",IF(B315="","Missing material",IF(COUNTIF(ProductList,A315)=0,"Product not in Products list",IF(COUNTIF(MaterialList,B315)=0,"Material not in Materials list","OK")))))</f>
        <v/>
      </c>
      <c r="H315" s="18" t="str">
        <f aca="false">IF(F315="Active",A315&amp;"|"&amp;COUNTIFS(A$2:A315,A315,F$2:F315,"Active"),"")</f>
        <v/>
      </c>
      <c r="I315" s="18" t="str">
        <f aca="false">IF(B315="","",IF(SUMPRODUCT(MAX((A$1:A314=A315)*(B$1:B314=B315)*ROW(A$1:A314)))=0,C315&amp;"",IF(C315="",INDEX(I$1:I314,SUMPRODUCT(MAX((A$1:A314=A315)*(B$1:B314=B315)*ROW(A$1:A314)))),IF(INDEX(I$1:I314,SUMPRODUCT(MAX((A$1:A314=A315)*(B$1:B314=B315)*ROW(A$1:A314))))="",C315&amp;"",INDEX(I$1:I314,SUMPRODUCT(MAX((A$1:A314=A315)*(B$1:B314=B315)*ROW(A$1:A314))))&amp;"; "&amp;C315))))</f>
        <v/>
      </c>
      <c r="J315" s="18" t="str">
        <f aca="false">IF(A315="","",A315&amp;"|"&amp;COUNTIF(A$2:A315,A315))</f>
        <v/>
      </c>
      <c r="K315" s="18" t="n">
        <f aca="false">IF(OR(A315="",B315=""),0,IF(COUNTIFS(A$2:A315,A315,B$2:B315,B315)=1,1,0))</f>
        <v>0</v>
      </c>
    </row>
    <row r="316" customFormat="false" ht="15" hidden="false" customHeight="false" outlineLevel="0" collapsed="false">
      <c r="A316" s="15"/>
      <c r="B316" s="15"/>
      <c r="C316" s="15"/>
      <c r="D316" s="15"/>
      <c r="F316" s="18" t="str">
        <f aca="false">IF(B316="","",IFERROR(INDEX(Materials!$B$2:$B$201,MATCH(B316,Materials!$A$2:$A$201,0)),""))</f>
        <v/>
      </c>
      <c r="G316" s="18" t="str">
        <f aca="true">IF(AND(A316="",B316=""),"",IF(A316="","Missing product",IF(B316="","Missing material",IF(COUNTIF(ProductList,A316)=0,"Product not in Products list",IF(COUNTIF(MaterialList,B316)=0,"Material not in Materials list","OK")))))</f>
        <v/>
      </c>
      <c r="H316" s="18" t="str">
        <f aca="false">IF(F316="Active",A316&amp;"|"&amp;COUNTIFS(A$2:A316,A316,F$2:F316,"Active"),"")</f>
        <v/>
      </c>
      <c r="I316" s="18" t="str">
        <f aca="false">IF(B316="","",IF(SUMPRODUCT(MAX((A$1:A315=A316)*(B$1:B315=B316)*ROW(A$1:A315)))=0,C316&amp;"",IF(C316="",INDEX(I$1:I315,SUMPRODUCT(MAX((A$1:A315=A316)*(B$1:B315=B316)*ROW(A$1:A315)))),IF(INDEX(I$1:I315,SUMPRODUCT(MAX((A$1:A315=A316)*(B$1:B315=B316)*ROW(A$1:A315))))="",C316&amp;"",INDEX(I$1:I315,SUMPRODUCT(MAX((A$1:A315=A316)*(B$1:B315=B316)*ROW(A$1:A315))))&amp;"; "&amp;C316))))</f>
        <v/>
      </c>
      <c r="J316" s="18" t="str">
        <f aca="false">IF(A316="","",A316&amp;"|"&amp;COUNTIF(A$2:A316,A316))</f>
        <v/>
      </c>
      <c r="K316" s="18" t="n">
        <f aca="false">IF(OR(A316="",B316=""),0,IF(COUNTIFS(A$2:A316,A316,B$2:B316,B316)=1,1,0))</f>
        <v>0</v>
      </c>
    </row>
    <row r="317" customFormat="false" ht="15" hidden="false" customHeight="false" outlineLevel="0" collapsed="false">
      <c r="A317" s="15"/>
      <c r="B317" s="15"/>
      <c r="C317" s="15"/>
      <c r="D317" s="15"/>
      <c r="F317" s="18" t="str">
        <f aca="false">IF(B317="","",IFERROR(INDEX(Materials!$B$2:$B$201,MATCH(B317,Materials!$A$2:$A$201,0)),""))</f>
        <v/>
      </c>
      <c r="G317" s="18" t="str">
        <f aca="true">IF(AND(A317="",B317=""),"",IF(A317="","Missing product",IF(B317="","Missing material",IF(COUNTIF(ProductList,A317)=0,"Product not in Products list",IF(COUNTIF(MaterialList,B317)=0,"Material not in Materials list","OK")))))</f>
        <v/>
      </c>
      <c r="H317" s="18" t="str">
        <f aca="false">IF(F317="Active",A317&amp;"|"&amp;COUNTIFS(A$2:A317,A317,F$2:F317,"Active"),"")</f>
        <v/>
      </c>
      <c r="I317" s="18" t="str">
        <f aca="false">IF(B317="","",IF(SUMPRODUCT(MAX((A$1:A316=A317)*(B$1:B316=B317)*ROW(A$1:A316)))=0,C317&amp;"",IF(C317="",INDEX(I$1:I316,SUMPRODUCT(MAX((A$1:A316=A317)*(B$1:B316=B317)*ROW(A$1:A316)))),IF(INDEX(I$1:I316,SUMPRODUCT(MAX((A$1:A316=A317)*(B$1:B316=B317)*ROW(A$1:A316))))="",C317&amp;"",INDEX(I$1:I316,SUMPRODUCT(MAX((A$1:A316=A317)*(B$1:B316=B317)*ROW(A$1:A316))))&amp;"; "&amp;C317))))</f>
        <v/>
      </c>
      <c r="J317" s="18" t="str">
        <f aca="false">IF(A317="","",A317&amp;"|"&amp;COUNTIF(A$2:A317,A317))</f>
        <v/>
      </c>
      <c r="K317" s="18" t="n">
        <f aca="false">IF(OR(A317="",B317=""),0,IF(COUNTIFS(A$2:A317,A317,B$2:B317,B317)=1,1,0))</f>
        <v>0</v>
      </c>
    </row>
    <row r="318" customFormat="false" ht="15" hidden="false" customHeight="false" outlineLevel="0" collapsed="false">
      <c r="A318" s="15"/>
      <c r="B318" s="15"/>
      <c r="C318" s="15"/>
      <c r="D318" s="15"/>
      <c r="F318" s="18" t="str">
        <f aca="false">IF(B318="","",IFERROR(INDEX(Materials!$B$2:$B$201,MATCH(B318,Materials!$A$2:$A$201,0)),""))</f>
        <v/>
      </c>
      <c r="G318" s="18" t="str">
        <f aca="true">IF(AND(A318="",B318=""),"",IF(A318="","Missing product",IF(B318="","Missing material",IF(COUNTIF(ProductList,A318)=0,"Product not in Products list",IF(COUNTIF(MaterialList,B318)=0,"Material not in Materials list","OK")))))</f>
        <v/>
      </c>
      <c r="H318" s="18" t="str">
        <f aca="false">IF(F318="Active",A318&amp;"|"&amp;COUNTIFS(A$2:A318,A318,F$2:F318,"Active"),"")</f>
        <v/>
      </c>
      <c r="I318" s="18" t="str">
        <f aca="false">IF(B318="","",IF(SUMPRODUCT(MAX((A$1:A317=A318)*(B$1:B317=B318)*ROW(A$1:A317)))=0,C318&amp;"",IF(C318="",INDEX(I$1:I317,SUMPRODUCT(MAX((A$1:A317=A318)*(B$1:B317=B318)*ROW(A$1:A317)))),IF(INDEX(I$1:I317,SUMPRODUCT(MAX((A$1:A317=A318)*(B$1:B317=B318)*ROW(A$1:A317))))="",C318&amp;"",INDEX(I$1:I317,SUMPRODUCT(MAX((A$1:A317=A318)*(B$1:B317=B318)*ROW(A$1:A317))))&amp;"; "&amp;C318))))</f>
        <v/>
      </c>
      <c r="J318" s="18" t="str">
        <f aca="false">IF(A318="","",A318&amp;"|"&amp;COUNTIF(A$2:A318,A318))</f>
        <v/>
      </c>
      <c r="K318" s="18" t="n">
        <f aca="false">IF(OR(A318="",B318=""),0,IF(COUNTIFS(A$2:A318,A318,B$2:B318,B318)=1,1,0))</f>
        <v>0</v>
      </c>
    </row>
    <row r="319" customFormat="false" ht="15" hidden="false" customHeight="false" outlineLevel="0" collapsed="false">
      <c r="A319" s="15"/>
      <c r="B319" s="15"/>
      <c r="C319" s="15"/>
      <c r="D319" s="15"/>
      <c r="F319" s="18" t="str">
        <f aca="false">IF(B319="","",IFERROR(INDEX(Materials!$B$2:$B$201,MATCH(B319,Materials!$A$2:$A$201,0)),""))</f>
        <v/>
      </c>
      <c r="G319" s="18" t="str">
        <f aca="true">IF(AND(A319="",B319=""),"",IF(A319="","Missing product",IF(B319="","Missing material",IF(COUNTIF(ProductList,A319)=0,"Product not in Products list",IF(COUNTIF(MaterialList,B319)=0,"Material not in Materials list","OK")))))</f>
        <v/>
      </c>
      <c r="H319" s="18" t="str">
        <f aca="false">IF(F319="Active",A319&amp;"|"&amp;COUNTIFS(A$2:A319,A319,F$2:F319,"Active"),"")</f>
        <v/>
      </c>
      <c r="I319" s="18" t="str">
        <f aca="false">IF(B319="","",IF(SUMPRODUCT(MAX((A$1:A318=A319)*(B$1:B318=B319)*ROW(A$1:A318)))=0,C319&amp;"",IF(C319="",INDEX(I$1:I318,SUMPRODUCT(MAX((A$1:A318=A319)*(B$1:B318=B319)*ROW(A$1:A318)))),IF(INDEX(I$1:I318,SUMPRODUCT(MAX((A$1:A318=A319)*(B$1:B318=B319)*ROW(A$1:A318))))="",C319&amp;"",INDEX(I$1:I318,SUMPRODUCT(MAX((A$1:A318=A319)*(B$1:B318=B319)*ROW(A$1:A318))))&amp;"; "&amp;C319))))</f>
        <v/>
      </c>
      <c r="J319" s="18" t="str">
        <f aca="false">IF(A319="","",A319&amp;"|"&amp;COUNTIF(A$2:A319,A319))</f>
        <v/>
      </c>
      <c r="K319" s="18" t="n">
        <f aca="false">IF(OR(A319="",B319=""),0,IF(COUNTIFS(A$2:A319,A319,B$2:B319,B319)=1,1,0))</f>
        <v>0</v>
      </c>
    </row>
    <row r="320" customFormat="false" ht="15" hidden="false" customHeight="false" outlineLevel="0" collapsed="false">
      <c r="A320" s="15"/>
      <c r="B320" s="15"/>
      <c r="C320" s="15"/>
      <c r="D320" s="15"/>
      <c r="F320" s="18" t="str">
        <f aca="false">IF(B320="","",IFERROR(INDEX(Materials!$B$2:$B$201,MATCH(B320,Materials!$A$2:$A$201,0)),""))</f>
        <v/>
      </c>
      <c r="G320" s="18" t="str">
        <f aca="true">IF(AND(A320="",B320=""),"",IF(A320="","Missing product",IF(B320="","Missing material",IF(COUNTIF(ProductList,A320)=0,"Product not in Products list",IF(COUNTIF(MaterialList,B320)=0,"Material not in Materials list","OK")))))</f>
        <v/>
      </c>
      <c r="H320" s="18" t="str">
        <f aca="false">IF(F320="Active",A320&amp;"|"&amp;COUNTIFS(A$2:A320,A320,F$2:F320,"Active"),"")</f>
        <v/>
      </c>
      <c r="I320" s="18" t="str">
        <f aca="false">IF(B320="","",IF(SUMPRODUCT(MAX((A$1:A319=A320)*(B$1:B319=B320)*ROW(A$1:A319)))=0,C320&amp;"",IF(C320="",INDEX(I$1:I319,SUMPRODUCT(MAX((A$1:A319=A320)*(B$1:B319=B320)*ROW(A$1:A319)))),IF(INDEX(I$1:I319,SUMPRODUCT(MAX((A$1:A319=A320)*(B$1:B319=B320)*ROW(A$1:A319))))="",C320&amp;"",INDEX(I$1:I319,SUMPRODUCT(MAX((A$1:A319=A320)*(B$1:B319=B320)*ROW(A$1:A319))))&amp;"; "&amp;C320))))</f>
        <v/>
      </c>
      <c r="J320" s="18" t="str">
        <f aca="false">IF(A320="","",A320&amp;"|"&amp;COUNTIF(A$2:A320,A320))</f>
        <v/>
      </c>
      <c r="K320" s="18" t="n">
        <f aca="false">IF(OR(A320="",B320=""),0,IF(COUNTIFS(A$2:A320,A320,B$2:B320,B320)=1,1,0))</f>
        <v>0</v>
      </c>
    </row>
    <row r="321" customFormat="false" ht="15" hidden="false" customHeight="false" outlineLevel="0" collapsed="false">
      <c r="A321" s="15"/>
      <c r="B321" s="15"/>
      <c r="C321" s="15"/>
      <c r="D321" s="15"/>
      <c r="F321" s="18" t="str">
        <f aca="false">IF(B321="","",IFERROR(INDEX(Materials!$B$2:$B$201,MATCH(B321,Materials!$A$2:$A$201,0)),""))</f>
        <v/>
      </c>
      <c r="G321" s="18" t="str">
        <f aca="true">IF(AND(A321="",B321=""),"",IF(A321="","Missing product",IF(B321="","Missing material",IF(COUNTIF(ProductList,A321)=0,"Product not in Products list",IF(COUNTIF(MaterialList,B321)=0,"Material not in Materials list","OK")))))</f>
        <v/>
      </c>
      <c r="H321" s="18" t="str">
        <f aca="false">IF(F321="Active",A321&amp;"|"&amp;COUNTIFS(A$2:A321,A321,F$2:F321,"Active"),"")</f>
        <v/>
      </c>
      <c r="I321" s="18" t="str">
        <f aca="false">IF(B321="","",IF(SUMPRODUCT(MAX((A$1:A320=A321)*(B$1:B320=B321)*ROW(A$1:A320)))=0,C321&amp;"",IF(C321="",INDEX(I$1:I320,SUMPRODUCT(MAX((A$1:A320=A321)*(B$1:B320=B321)*ROW(A$1:A320)))),IF(INDEX(I$1:I320,SUMPRODUCT(MAX((A$1:A320=A321)*(B$1:B320=B321)*ROW(A$1:A320))))="",C321&amp;"",INDEX(I$1:I320,SUMPRODUCT(MAX((A$1:A320=A321)*(B$1:B320=B321)*ROW(A$1:A320))))&amp;"; "&amp;C321))))</f>
        <v/>
      </c>
      <c r="J321" s="18" t="str">
        <f aca="false">IF(A321="","",A321&amp;"|"&amp;COUNTIF(A$2:A321,A321))</f>
        <v/>
      </c>
      <c r="K321" s="18" t="n">
        <f aca="false">IF(OR(A321="",B321=""),0,IF(COUNTIFS(A$2:A321,A321,B$2:B321,B321)=1,1,0))</f>
        <v>0</v>
      </c>
    </row>
    <row r="322" customFormat="false" ht="15" hidden="false" customHeight="false" outlineLevel="0" collapsed="false">
      <c r="A322" s="15"/>
      <c r="B322" s="15"/>
      <c r="C322" s="15"/>
      <c r="D322" s="15"/>
      <c r="F322" s="18" t="str">
        <f aca="false">IF(B322="","",IFERROR(INDEX(Materials!$B$2:$B$201,MATCH(B322,Materials!$A$2:$A$201,0)),""))</f>
        <v/>
      </c>
      <c r="G322" s="18" t="str">
        <f aca="true">IF(AND(A322="",B322=""),"",IF(A322="","Missing product",IF(B322="","Missing material",IF(COUNTIF(ProductList,A322)=0,"Product not in Products list",IF(COUNTIF(MaterialList,B322)=0,"Material not in Materials list","OK")))))</f>
        <v/>
      </c>
      <c r="H322" s="18" t="str">
        <f aca="false">IF(F322="Active",A322&amp;"|"&amp;COUNTIFS(A$2:A322,A322,F$2:F322,"Active"),"")</f>
        <v/>
      </c>
      <c r="I322" s="18" t="str">
        <f aca="false">IF(B322="","",IF(SUMPRODUCT(MAX((A$1:A321=A322)*(B$1:B321=B322)*ROW(A$1:A321)))=0,C322&amp;"",IF(C322="",INDEX(I$1:I321,SUMPRODUCT(MAX((A$1:A321=A322)*(B$1:B321=B322)*ROW(A$1:A321)))),IF(INDEX(I$1:I321,SUMPRODUCT(MAX((A$1:A321=A322)*(B$1:B321=B322)*ROW(A$1:A321))))="",C322&amp;"",INDEX(I$1:I321,SUMPRODUCT(MAX((A$1:A321=A322)*(B$1:B321=B322)*ROW(A$1:A321))))&amp;"; "&amp;C322))))</f>
        <v/>
      </c>
      <c r="J322" s="18" t="str">
        <f aca="false">IF(A322="","",A322&amp;"|"&amp;COUNTIF(A$2:A322,A322))</f>
        <v/>
      </c>
      <c r="K322" s="18" t="n">
        <f aca="false">IF(OR(A322="",B322=""),0,IF(COUNTIFS(A$2:A322,A322,B$2:B322,B322)=1,1,0))</f>
        <v>0</v>
      </c>
    </row>
    <row r="323" customFormat="false" ht="15" hidden="false" customHeight="false" outlineLevel="0" collapsed="false">
      <c r="A323" s="15"/>
      <c r="B323" s="15"/>
      <c r="C323" s="15"/>
      <c r="D323" s="15"/>
      <c r="F323" s="18" t="str">
        <f aca="false">IF(B323="","",IFERROR(INDEX(Materials!$B$2:$B$201,MATCH(B323,Materials!$A$2:$A$201,0)),""))</f>
        <v/>
      </c>
      <c r="G323" s="18" t="str">
        <f aca="true">IF(AND(A323="",B323=""),"",IF(A323="","Missing product",IF(B323="","Missing material",IF(COUNTIF(ProductList,A323)=0,"Product not in Products list",IF(COUNTIF(MaterialList,B323)=0,"Material not in Materials list","OK")))))</f>
        <v/>
      </c>
      <c r="H323" s="18" t="str">
        <f aca="false">IF(F323="Active",A323&amp;"|"&amp;COUNTIFS(A$2:A323,A323,F$2:F323,"Active"),"")</f>
        <v/>
      </c>
      <c r="I323" s="18" t="str">
        <f aca="false">IF(B323="","",IF(SUMPRODUCT(MAX((A$1:A322=A323)*(B$1:B322=B323)*ROW(A$1:A322)))=0,C323&amp;"",IF(C323="",INDEX(I$1:I322,SUMPRODUCT(MAX((A$1:A322=A323)*(B$1:B322=B323)*ROW(A$1:A322)))),IF(INDEX(I$1:I322,SUMPRODUCT(MAX((A$1:A322=A323)*(B$1:B322=B323)*ROW(A$1:A322))))="",C323&amp;"",INDEX(I$1:I322,SUMPRODUCT(MAX((A$1:A322=A323)*(B$1:B322=B323)*ROW(A$1:A322))))&amp;"; "&amp;C323))))</f>
        <v/>
      </c>
      <c r="J323" s="18" t="str">
        <f aca="false">IF(A323="","",A323&amp;"|"&amp;COUNTIF(A$2:A323,A323))</f>
        <v/>
      </c>
      <c r="K323" s="18" t="n">
        <f aca="false">IF(OR(A323="",B323=""),0,IF(COUNTIFS(A$2:A323,A323,B$2:B323,B323)=1,1,0))</f>
        <v>0</v>
      </c>
    </row>
    <row r="324" customFormat="false" ht="15" hidden="false" customHeight="false" outlineLevel="0" collapsed="false">
      <c r="A324" s="15"/>
      <c r="B324" s="15"/>
      <c r="C324" s="15"/>
      <c r="D324" s="15"/>
      <c r="F324" s="18" t="str">
        <f aca="false">IF(B324="","",IFERROR(INDEX(Materials!$B$2:$B$201,MATCH(B324,Materials!$A$2:$A$201,0)),""))</f>
        <v/>
      </c>
      <c r="G324" s="18" t="str">
        <f aca="true">IF(AND(A324="",B324=""),"",IF(A324="","Missing product",IF(B324="","Missing material",IF(COUNTIF(ProductList,A324)=0,"Product not in Products list",IF(COUNTIF(MaterialList,B324)=0,"Material not in Materials list","OK")))))</f>
        <v/>
      </c>
      <c r="H324" s="18" t="str">
        <f aca="false">IF(F324="Active",A324&amp;"|"&amp;COUNTIFS(A$2:A324,A324,F$2:F324,"Active"),"")</f>
        <v/>
      </c>
      <c r="I324" s="18" t="str">
        <f aca="false">IF(B324="","",IF(SUMPRODUCT(MAX((A$1:A323=A324)*(B$1:B323=B324)*ROW(A$1:A323)))=0,C324&amp;"",IF(C324="",INDEX(I$1:I323,SUMPRODUCT(MAX((A$1:A323=A324)*(B$1:B323=B324)*ROW(A$1:A323)))),IF(INDEX(I$1:I323,SUMPRODUCT(MAX((A$1:A323=A324)*(B$1:B323=B324)*ROW(A$1:A323))))="",C324&amp;"",INDEX(I$1:I323,SUMPRODUCT(MAX((A$1:A323=A324)*(B$1:B323=B324)*ROW(A$1:A323))))&amp;"; "&amp;C324))))</f>
        <v/>
      </c>
      <c r="J324" s="18" t="str">
        <f aca="false">IF(A324="","",A324&amp;"|"&amp;COUNTIF(A$2:A324,A324))</f>
        <v/>
      </c>
      <c r="K324" s="18" t="n">
        <f aca="false">IF(OR(A324="",B324=""),0,IF(COUNTIFS(A$2:A324,A324,B$2:B324,B324)=1,1,0))</f>
        <v>0</v>
      </c>
    </row>
    <row r="325" customFormat="false" ht="15" hidden="false" customHeight="false" outlineLevel="0" collapsed="false">
      <c r="A325" s="15"/>
      <c r="B325" s="15"/>
      <c r="C325" s="15"/>
      <c r="D325" s="15"/>
      <c r="F325" s="18" t="str">
        <f aca="false">IF(B325="","",IFERROR(INDEX(Materials!$B$2:$B$201,MATCH(B325,Materials!$A$2:$A$201,0)),""))</f>
        <v/>
      </c>
      <c r="G325" s="18" t="str">
        <f aca="true">IF(AND(A325="",B325=""),"",IF(A325="","Missing product",IF(B325="","Missing material",IF(COUNTIF(ProductList,A325)=0,"Product not in Products list",IF(COUNTIF(MaterialList,B325)=0,"Material not in Materials list","OK")))))</f>
        <v/>
      </c>
      <c r="H325" s="18" t="str">
        <f aca="false">IF(F325="Active",A325&amp;"|"&amp;COUNTIFS(A$2:A325,A325,F$2:F325,"Active"),"")</f>
        <v/>
      </c>
      <c r="I325" s="18" t="str">
        <f aca="false">IF(B325="","",IF(SUMPRODUCT(MAX((A$1:A324=A325)*(B$1:B324=B325)*ROW(A$1:A324)))=0,C325&amp;"",IF(C325="",INDEX(I$1:I324,SUMPRODUCT(MAX((A$1:A324=A325)*(B$1:B324=B325)*ROW(A$1:A324)))),IF(INDEX(I$1:I324,SUMPRODUCT(MAX((A$1:A324=A325)*(B$1:B324=B325)*ROW(A$1:A324))))="",C325&amp;"",INDEX(I$1:I324,SUMPRODUCT(MAX((A$1:A324=A325)*(B$1:B324=B325)*ROW(A$1:A324))))&amp;"; "&amp;C325))))</f>
        <v/>
      </c>
      <c r="J325" s="18" t="str">
        <f aca="false">IF(A325="","",A325&amp;"|"&amp;COUNTIF(A$2:A325,A325))</f>
        <v/>
      </c>
      <c r="K325" s="18" t="n">
        <f aca="false">IF(OR(A325="",B325=""),0,IF(COUNTIFS(A$2:A325,A325,B$2:B325,B325)=1,1,0))</f>
        <v>0</v>
      </c>
    </row>
    <row r="326" customFormat="false" ht="15" hidden="false" customHeight="false" outlineLevel="0" collapsed="false">
      <c r="A326" s="15"/>
      <c r="B326" s="15"/>
      <c r="C326" s="15"/>
      <c r="D326" s="15"/>
      <c r="F326" s="18" t="str">
        <f aca="false">IF(B326="","",IFERROR(INDEX(Materials!$B$2:$B$201,MATCH(B326,Materials!$A$2:$A$201,0)),""))</f>
        <v/>
      </c>
      <c r="G326" s="18" t="str">
        <f aca="true">IF(AND(A326="",B326=""),"",IF(A326="","Missing product",IF(B326="","Missing material",IF(COUNTIF(ProductList,A326)=0,"Product not in Products list",IF(COUNTIF(MaterialList,B326)=0,"Material not in Materials list","OK")))))</f>
        <v/>
      </c>
      <c r="H326" s="18" t="str">
        <f aca="false">IF(F326="Active",A326&amp;"|"&amp;COUNTIFS(A$2:A326,A326,F$2:F326,"Active"),"")</f>
        <v/>
      </c>
      <c r="I326" s="18" t="str">
        <f aca="false">IF(B326="","",IF(SUMPRODUCT(MAX((A$1:A325=A326)*(B$1:B325=B326)*ROW(A$1:A325)))=0,C326&amp;"",IF(C326="",INDEX(I$1:I325,SUMPRODUCT(MAX((A$1:A325=A326)*(B$1:B325=B326)*ROW(A$1:A325)))),IF(INDEX(I$1:I325,SUMPRODUCT(MAX((A$1:A325=A326)*(B$1:B325=B326)*ROW(A$1:A325))))="",C326&amp;"",INDEX(I$1:I325,SUMPRODUCT(MAX((A$1:A325=A326)*(B$1:B325=B326)*ROW(A$1:A325))))&amp;"; "&amp;C326))))</f>
        <v/>
      </c>
      <c r="J326" s="18" t="str">
        <f aca="false">IF(A326="","",A326&amp;"|"&amp;COUNTIF(A$2:A326,A326))</f>
        <v/>
      </c>
      <c r="K326" s="18" t="n">
        <f aca="false">IF(OR(A326="",B326=""),0,IF(COUNTIFS(A$2:A326,A326,B$2:B326,B326)=1,1,0))</f>
        <v>0</v>
      </c>
    </row>
    <row r="327" customFormat="false" ht="15" hidden="false" customHeight="false" outlineLevel="0" collapsed="false">
      <c r="A327" s="15"/>
      <c r="B327" s="15"/>
      <c r="C327" s="15"/>
      <c r="D327" s="15"/>
      <c r="F327" s="18" t="str">
        <f aca="false">IF(B327="","",IFERROR(INDEX(Materials!$B$2:$B$201,MATCH(B327,Materials!$A$2:$A$201,0)),""))</f>
        <v/>
      </c>
      <c r="G327" s="18" t="str">
        <f aca="true">IF(AND(A327="",B327=""),"",IF(A327="","Missing product",IF(B327="","Missing material",IF(COUNTIF(ProductList,A327)=0,"Product not in Products list",IF(COUNTIF(MaterialList,B327)=0,"Material not in Materials list","OK")))))</f>
        <v/>
      </c>
      <c r="H327" s="18" t="str">
        <f aca="false">IF(F327="Active",A327&amp;"|"&amp;COUNTIFS(A$2:A327,A327,F$2:F327,"Active"),"")</f>
        <v/>
      </c>
      <c r="I327" s="18" t="str">
        <f aca="false">IF(B327="","",IF(SUMPRODUCT(MAX((A$1:A326=A327)*(B$1:B326=B327)*ROW(A$1:A326)))=0,C327&amp;"",IF(C327="",INDEX(I$1:I326,SUMPRODUCT(MAX((A$1:A326=A327)*(B$1:B326=B327)*ROW(A$1:A326)))),IF(INDEX(I$1:I326,SUMPRODUCT(MAX((A$1:A326=A327)*(B$1:B326=B327)*ROW(A$1:A326))))="",C327&amp;"",INDEX(I$1:I326,SUMPRODUCT(MAX((A$1:A326=A327)*(B$1:B326=B327)*ROW(A$1:A326))))&amp;"; "&amp;C327))))</f>
        <v/>
      </c>
      <c r="J327" s="18" t="str">
        <f aca="false">IF(A327="","",A327&amp;"|"&amp;COUNTIF(A$2:A327,A327))</f>
        <v/>
      </c>
      <c r="K327" s="18" t="n">
        <f aca="false">IF(OR(A327="",B327=""),0,IF(COUNTIFS(A$2:A327,A327,B$2:B327,B327)=1,1,0))</f>
        <v>0</v>
      </c>
    </row>
    <row r="328" customFormat="false" ht="15" hidden="false" customHeight="false" outlineLevel="0" collapsed="false">
      <c r="A328" s="15"/>
      <c r="B328" s="15"/>
      <c r="C328" s="15"/>
      <c r="D328" s="15"/>
      <c r="F328" s="18" t="str">
        <f aca="false">IF(B328="","",IFERROR(INDEX(Materials!$B$2:$B$201,MATCH(B328,Materials!$A$2:$A$201,0)),""))</f>
        <v/>
      </c>
      <c r="G328" s="18" t="str">
        <f aca="true">IF(AND(A328="",B328=""),"",IF(A328="","Missing product",IF(B328="","Missing material",IF(COUNTIF(ProductList,A328)=0,"Product not in Products list",IF(COUNTIF(MaterialList,B328)=0,"Material not in Materials list","OK")))))</f>
        <v/>
      </c>
      <c r="H328" s="18" t="str">
        <f aca="false">IF(F328="Active",A328&amp;"|"&amp;COUNTIFS(A$2:A328,A328,F$2:F328,"Active"),"")</f>
        <v/>
      </c>
      <c r="I328" s="18" t="str">
        <f aca="false">IF(B328="","",IF(SUMPRODUCT(MAX((A$1:A327=A328)*(B$1:B327=B328)*ROW(A$1:A327)))=0,C328&amp;"",IF(C328="",INDEX(I$1:I327,SUMPRODUCT(MAX((A$1:A327=A328)*(B$1:B327=B328)*ROW(A$1:A327)))),IF(INDEX(I$1:I327,SUMPRODUCT(MAX((A$1:A327=A328)*(B$1:B327=B328)*ROW(A$1:A327))))="",C328&amp;"",INDEX(I$1:I327,SUMPRODUCT(MAX((A$1:A327=A328)*(B$1:B327=B328)*ROW(A$1:A327))))&amp;"; "&amp;C328))))</f>
        <v/>
      </c>
      <c r="J328" s="18" t="str">
        <f aca="false">IF(A328="","",A328&amp;"|"&amp;COUNTIF(A$2:A328,A328))</f>
        <v/>
      </c>
      <c r="K328" s="18" t="n">
        <f aca="false">IF(OR(A328="",B328=""),0,IF(COUNTIFS(A$2:A328,A328,B$2:B328,B328)=1,1,0))</f>
        <v>0</v>
      </c>
    </row>
    <row r="329" customFormat="false" ht="15" hidden="false" customHeight="false" outlineLevel="0" collapsed="false">
      <c r="A329" s="15"/>
      <c r="B329" s="15"/>
      <c r="C329" s="15"/>
      <c r="D329" s="15"/>
      <c r="F329" s="18" t="str">
        <f aca="false">IF(B329="","",IFERROR(INDEX(Materials!$B$2:$B$201,MATCH(B329,Materials!$A$2:$A$201,0)),""))</f>
        <v/>
      </c>
      <c r="G329" s="18" t="str">
        <f aca="true">IF(AND(A329="",B329=""),"",IF(A329="","Missing product",IF(B329="","Missing material",IF(COUNTIF(ProductList,A329)=0,"Product not in Products list",IF(COUNTIF(MaterialList,B329)=0,"Material not in Materials list","OK")))))</f>
        <v/>
      </c>
      <c r="H329" s="18" t="str">
        <f aca="false">IF(F329="Active",A329&amp;"|"&amp;COUNTIFS(A$2:A329,A329,F$2:F329,"Active"),"")</f>
        <v/>
      </c>
      <c r="I329" s="18" t="str">
        <f aca="false">IF(B329="","",IF(SUMPRODUCT(MAX((A$1:A328=A329)*(B$1:B328=B329)*ROW(A$1:A328)))=0,C329&amp;"",IF(C329="",INDEX(I$1:I328,SUMPRODUCT(MAX((A$1:A328=A329)*(B$1:B328=B329)*ROW(A$1:A328)))),IF(INDEX(I$1:I328,SUMPRODUCT(MAX((A$1:A328=A329)*(B$1:B328=B329)*ROW(A$1:A328))))="",C329&amp;"",INDEX(I$1:I328,SUMPRODUCT(MAX((A$1:A328=A329)*(B$1:B328=B329)*ROW(A$1:A328))))&amp;"; "&amp;C329))))</f>
        <v/>
      </c>
      <c r="J329" s="18" t="str">
        <f aca="false">IF(A329="","",A329&amp;"|"&amp;COUNTIF(A$2:A329,A329))</f>
        <v/>
      </c>
      <c r="K329" s="18" t="n">
        <f aca="false">IF(OR(A329="",B329=""),0,IF(COUNTIFS(A$2:A329,A329,B$2:B329,B329)=1,1,0))</f>
        <v>0</v>
      </c>
    </row>
    <row r="330" customFormat="false" ht="15" hidden="false" customHeight="false" outlineLevel="0" collapsed="false">
      <c r="A330" s="15"/>
      <c r="B330" s="15"/>
      <c r="C330" s="15"/>
      <c r="D330" s="15"/>
      <c r="F330" s="18" t="str">
        <f aca="false">IF(B330="","",IFERROR(INDEX(Materials!$B$2:$B$201,MATCH(B330,Materials!$A$2:$A$201,0)),""))</f>
        <v/>
      </c>
      <c r="G330" s="18" t="str">
        <f aca="true">IF(AND(A330="",B330=""),"",IF(A330="","Missing product",IF(B330="","Missing material",IF(COUNTIF(ProductList,A330)=0,"Product not in Products list",IF(COUNTIF(MaterialList,B330)=0,"Material not in Materials list","OK")))))</f>
        <v/>
      </c>
      <c r="H330" s="18" t="str">
        <f aca="false">IF(F330="Active",A330&amp;"|"&amp;COUNTIFS(A$2:A330,A330,F$2:F330,"Active"),"")</f>
        <v/>
      </c>
      <c r="I330" s="18" t="str">
        <f aca="false">IF(B330="","",IF(SUMPRODUCT(MAX((A$1:A329=A330)*(B$1:B329=B330)*ROW(A$1:A329)))=0,C330&amp;"",IF(C330="",INDEX(I$1:I329,SUMPRODUCT(MAX((A$1:A329=A330)*(B$1:B329=B330)*ROW(A$1:A329)))),IF(INDEX(I$1:I329,SUMPRODUCT(MAX((A$1:A329=A330)*(B$1:B329=B330)*ROW(A$1:A329))))="",C330&amp;"",INDEX(I$1:I329,SUMPRODUCT(MAX((A$1:A329=A330)*(B$1:B329=B330)*ROW(A$1:A329))))&amp;"; "&amp;C330))))</f>
        <v/>
      </c>
      <c r="J330" s="18" t="str">
        <f aca="false">IF(A330="","",A330&amp;"|"&amp;COUNTIF(A$2:A330,A330))</f>
        <v/>
      </c>
      <c r="K330" s="18" t="n">
        <f aca="false">IF(OR(A330="",B330=""),0,IF(COUNTIFS(A$2:A330,A330,B$2:B330,B330)=1,1,0))</f>
        <v>0</v>
      </c>
    </row>
    <row r="331" customFormat="false" ht="15" hidden="false" customHeight="false" outlineLevel="0" collapsed="false">
      <c r="A331" s="15"/>
      <c r="B331" s="15"/>
      <c r="C331" s="15"/>
      <c r="D331" s="15"/>
      <c r="F331" s="18" t="str">
        <f aca="false">IF(B331="","",IFERROR(INDEX(Materials!$B$2:$B$201,MATCH(B331,Materials!$A$2:$A$201,0)),""))</f>
        <v/>
      </c>
      <c r="G331" s="18" t="str">
        <f aca="true">IF(AND(A331="",B331=""),"",IF(A331="","Missing product",IF(B331="","Missing material",IF(COUNTIF(ProductList,A331)=0,"Product not in Products list",IF(COUNTIF(MaterialList,B331)=0,"Material not in Materials list","OK")))))</f>
        <v/>
      </c>
      <c r="H331" s="18" t="str">
        <f aca="false">IF(F331="Active",A331&amp;"|"&amp;COUNTIFS(A$2:A331,A331,F$2:F331,"Active"),"")</f>
        <v/>
      </c>
      <c r="I331" s="18" t="str">
        <f aca="false">IF(B331="","",IF(SUMPRODUCT(MAX((A$1:A330=A331)*(B$1:B330=B331)*ROW(A$1:A330)))=0,C331&amp;"",IF(C331="",INDEX(I$1:I330,SUMPRODUCT(MAX((A$1:A330=A331)*(B$1:B330=B331)*ROW(A$1:A330)))),IF(INDEX(I$1:I330,SUMPRODUCT(MAX((A$1:A330=A331)*(B$1:B330=B331)*ROW(A$1:A330))))="",C331&amp;"",INDEX(I$1:I330,SUMPRODUCT(MAX((A$1:A330=A331)*(B$1:B330=B331)*ROW(A$1:A330))))&amp;"; "&amp;C331))))</f>
        <v/>
      </c>
      <c r="J331" s="18" t="str">
        <f aca="false">IF(A331="","",A331&amp;"|"&amp;COUNTIF(A$2:A331,A331))</f>
        <v/>
      </c>
      <c r="K331" s="18" t="n">
        <f aca="false">IF(OR(A331="",B331=""),0,IF(COUNTIFS(A$2:A331,A331,B$2:B331,B331)=1,1,0))</f>
        <v>0</v>
      </c>
    </row>
    <row r="332" customFormat="false" ht="15" hidden="false" customHeight="false" outlineLevel="0" collapsed="false">
      <c r="A332" s="15"/>
      <c r="B332" s="15"/>
      <c r="C332" s="15"/>
      <c r="D332" s="15"/>
      <c r="F332" s="18" t="str">
        <f aca="false">IF(B332="","",IFERROR(INDEX(Materials!$B$2:$B$201,MATCH(B332,Materials!$A$2:$A$201,0)),""))</f>
        <v/>
      </c>
      <c r="G332" s="18" t="str">
        <f aca="true">IF(AND(A332="",B332=""),"",IF(A332="","Missing product",IF(B332="","Missing material",IF(COUNTIF(ProductList,A332)=0,"Product not in Products list",IF(COUNTIF(MaterialList,B332)=0,"Material not in Materials list","OK")))))</f>
        <v/>
      </c>
      <c r="H332" s="18" t="str">
        <f aca="false">IF(F332="Active",A332&amp;"|"&amp;COUNTIFS(A$2:A332,A332,F$2:F332,"Active"),"")</f>
        <v/>
      </c>
      <c r="I332" s="18" t="str">
        <f aca="false">IF(B332="","",IF(SUMPRODUCT(MAX((A$1:A331=A332)*(B$1:B331=B332)*ROW(A$1:A331)))=0,C332&amp;"",IF(C332="",INDEX(I$1:I331,SUMPRODUCT(MAX((A$1:A331=A332)*(B$1:B331=B332)*ROW(A$1:A331)))),IF(INDEX(I$1:I331,SUMPRODUCT(MAX((A$1:A331=A332)*(B$1:B331=B332)*ROW(A$1:A331))))="",C332&amp;"",INDEX(I$1:I331,SUMPRODUCT(MAX((A$1:A331=A332)*(B$1:B331=B332)*ROW(A$1:A331))))&amp;"; "&amp;C332))))</f>
        <v/>
      </c>
      <c r="J332" s="18" t="str">
        <f aca="false">IF(A332="","",A332&amp;"|"&amp;COUNTIF(A$2:A332,A332))</f>
        <v/>
      </c>
      <c r="K332" s="18" t="n">
        <f aca="false">IF(OR(A332="",B332=""),0,IF(COUNTIFS(A$2:A332,A332,B$2:B332,B332)=1,1,0))</f>
        <v>0</v>
      </c>
    </row>
    <row r="333" customFormat="false" ht="15" hidden="false" customHeight="false" outlineLevel="0" collapsed="false">
      <c r="A333" s="15"/>
      <c r="B333" s="15"/>
      <c r="C333" s="15"/>
      <c r="D333" s="15"/>
      <c r="F333" s="18" t="str">
        <f aca="false">IF(B333="","",IFERROR(INDEX(Materials!$B$2:$B$201,MATCH(B333,Materials!$A$2:$A$201,0)),""))</f>
        <v/>
      </c>
      <c r="G333" s="18" t="str">
        <f aca="true">IF(AND(A333="",B333=""),"",IF(A333="","Missing product",IF(B333="","Missing material",IF(COUNTIF(ProductList,A333)=0,"Product not in Products list",IF(COUNTIF(MaterialList,B333)=0,"Material not in Materials list","OK")))))</f>
        <v/>
      </c>
      <c r="H333" s="18" t="str">
        <f aca="false">IF(F333="Active",A333&amp;"|"&amp;COUNTIFS(A$2:A333,A333,F$2:F333,"Active"),"")</f>
        <v/>
      </c>
      <c r="I333" s="18" t="str">
        <f aca="false">IF(B333="","",IF(SUMPRODUCT(MAX((A$1:A332=A333)*(B$1:B332=B333)*ROW(A$1:A332)))=0,C333&amp;"",IF(C333="",INDEX(I$1:I332,SUMPRODUCT(MAX((A$1:A332=A333)*(B$1:B332=B333)*ROW(A$1:A332)))),IF(INDEX(I$1:I332,SUMPRODUCT(MAX((A$1:A332=A333)*(B$1:B332=B333)*ROW(A$1:A332))))="",C333&amp;"",INDEX(I$1:I332,SUMPRODUCT(MAX((A$1:A332=A333)*(B$1:B332=B333)*ROW(A$1:A332))))&amp;"; "&amp;C333))))</f>
        <v/>
      </c>
      <c r="J333" s="18" t="str">
        <f aca="false">IF(A333="","",A333&amp;"|"&amp;COUNTIF(A$2:A333,A333))</f>
        <v/>
      </c>
      <c r="K333" s="18" t="n">
        <f aca="false">IF(OR(A333="",B333=""),0,IF(COUNTIFS(A$2:A333,A333,B$2:B333,B333)=1,1,0))</f>
        <v>0</v>
      </c>
    </row>
    <row r="334" customFormat="false" ht="15" hidden="false" customHeight="false" outlineLevel="0" collapsed="false">
      <c r="A334" s="15"/>
      <c r="B334" s="15"/>
      <c r="C334" s="15"/>
      <c r="D334" s="15"/>
      <c r="F334" s="18" t="str">
        <f aca="false">IF(B334="","",IFERROR(INDEX(Materials!$B$2:$B$201,MATCH(B334,Materials!$A$2:$A$201,0)),""))</f>
        <v/>
      </c>
      <c r="G334" s="18" t="str">
        <f aca="true">IF(AND(A334="",B334=""),"",IF(A334="","Missing product",IF(B334="","Missing material",IF(COUNTIF(ProductList,A334)=0,"Product not in Products list",IF(COUNTIF(MaterialList,B334)=0,"Material not in Materials list","OK")))))</f>
        <v/>
      </c>
      <c r="H334" s="18" t="str">
        <f aca="false">IF(F334="Active",A334&amp;"|"&amp;COUNTIFS(A$2:A334,A334,F$2:F334,"Active"),"")</f>
        <v/>
      </c>
      <c r="I334" s="18" t="str">
        <f aca="false">IF(B334="","",IF(SUMPRODUCT(MAX((A$1:A333=A334)*(B$1:B333=B334)*ROW(A$1:A333)))=0,C334&amp;"",IF(C334="",INDEX(I$1:I333,SUMPRODUCT(MAX((A$1:A333=A334)*(B$1:B333=B334)*ROW(A$1:A333)))),IF(INDEX(I$1:I333,SUMPRODUCT(MAX((A$1:A333=A334)*(B$1:B333=B334)*ROW(A$1:A333))))="",C334&amp;"",INDEX(I$1:I333,SUMPRODUCT(MAX((A$1:A333=A334)*(B$1:B333=B334)*ROW(A$1:A333))))&amp;"; "&amp;C334))))</f>
        <v/>
      </c>
      <c r="J334" s="18" t="str">
        <f aca="false">IF(A334="","",A334&amp;"|"&amp;COUNTIF(A$2:A334,A334))</f>
        <v/>
      </c>
      <c r="K334" s="18" t="n">
        <f aca="false">IF(OR(A334="",B334=""),0,IF(COUNTIFS(A$2:A334,A334,B$2:B334,B334)=1,1,0))</f>
        <v>0</v>
      </c>
    </row>
    <row r="335" customFormat="false" ht="15" hidden="false" customHeight="false" outlineLevel="0" collapsed="false">
      <c r="A335" s="15"/>
      <c r="B335" s="15"/>
      <c r="C335" s="15"/>
      <c r="D335" s="15"/>
      <c r="F335" s="18" t="str">
        <f aca="false">IF(B335="","",IFERROR(INDEX(Materials!$B$2:$B$201,MATCH(B335,Materials!$A$2:$A$201,0)),""))</f>
        <v/>
      </c>
      <c r="G335" s="18" t="str">
        <f aca="true">IF(AND(A335="",B335=""),"",IF(A335="","Missing product",IF(B335="","Missing material",IF(COUNTIF(ProductList,A335)=0,"Product not in Products list",IF(COUNTIF(MaterialList,B335)=0,"Material not in Materials list","OK")))))</f>
        <v/>
      </c>
      <c r="H335" s="18" t="str">
        <f aca="false">IF(F335="Active",A335&amp;"|"&amp;COUNTIFS(A$2:A335,A335,F$2:F335,"Active"),"")</f>
        <v/>
      </c>
      <c r="I335" s="18" t="str">
        <f aca="false">IF(B335="","",IF(SUMPRODUCT(MAX((A$1:A334=A335)*(B$1:B334=B335)*ROW(A$1:A334)))=0,C335&amp;"",IF(C335="",INDEX(I$1:I334,SUMPRODUCT(MAX((A$1:A334=A335)*(B$1:B334=B335)*ROW(A$1:A334)))),IF(INDEX(I$1:I334,SUMPRODUCT(MAX((A$1:A334=A335)*(B$1:B334=B335)*ROW(A$1:A334))))="",C335&amp;"",INDEX(I$1:I334,SUMPRODUCT(MAX((A$1:A334=A335)*(B$1:B334=B335)*ROW(A$1:A334))))&amp;"; "&amp;C335))))</f>
        <v/>
      </c>
      <c r="J335" s="18" t="str">
        <f aca="false">IF(A335="","",A335&amp;"|"&amp;COUNTIF(A$2:A335,A335))</f>
        <v/>
      </c>
      <c r="K335" s="18" t="n">
        <f aca="false">IF(OR(A335="",B335=""),0,IF(COUNTIFS(A$2:A335,A335,B$2:B335,B335)=1,1,0))</f>
        <v>0</v>
      </c>
    </row>
    <row r="336" customFormat="false" ht="15" hidden="false" customHeight="false" outlineLevel="0" collapsed="false">
      <c r="A336" s="15"/>
      <c r="B336" s="15"/>
      <c r="C336" s="15"/>
      <c r="D336" s="15"/>
      <c r="F336" s="18" t="str">
        <f aca="false">IF(B336="","",IFERROR(INDEX(Materials!$B$2:$B$201,MATCH(B336,Materials!$A$2:$A$201,0)),""))</f>
        <v/>
      </c>
      <c r="G336" s="18" t="str">
        <f aca="true">IF(AND(A336="",B336=""),"",IF(A336="","Missing product",IF(B336="","Missing material",IF(COUNTIF(ProductList,A336)=0,"Product not in Products list",IF(COUNTIF(MaterialList,B336)=0,"Material not in Materials list","OK")))))</f>
        <v/>
      </c>
      <c r="H336" s="18" t="str">
        <f aca="false">IF(F336="Active",A336&amp;"|"&amp;COUNTIFS(A$2:A336,A336,F$2:F336,"Active"),"")</f>
        <v/>
      </c>
      <c r="I336" s="18" t="str">
        <f aca="false">IF(B336="","",IF(SUMPRODUCT(MAX((A$1:A335=A336)*(B$1:B335=B336)*ROW(A$1:A335)))=0,C336&amp;"",IF(C336="",INDEX(I$1:I335,SUMPRODUCT(MAX((A$1:A335=A336)*(B$1:B335=B336)*ROW(A$1:A335)))),IF(INDEX(I$1:I335,SUMPRODUCT(MAX((A$1:A335=A336)*(B$1:B335=B336)*ROW(A$1:A335))))="",C336&amp;"",INDEX(I$1:I335,SUMPRODUCT(MAX((A$1:A335=A336)*(B$1:B335=B336)*ROW(A$1:A335))))&amp;"; "&amp;C336))))</f>
        <v/>
      </c>
      <c r="J336" s="18" t="str">
        <f aca="false">IF(A336="","",A336&amp;"|"&amp;COUNTIF(A$2:A336,A336))</f>
        <v/>
      </c>
      <c r="K336" s="18" t="n">
        <f aca="false">IF(OR(A336="",B336=""),0,IF(COUNTIFS(A$2:A336,A336,B$2:B336,B336)=1,1,0))</f>
        <v>0</v>
      </c>
    </row>
    <row r="337" customFormat="false" ht="15" hidden="false" customHeight="false" outlineLevel="0" collapsed="false">
      <c r="A337" s="15"/>
      <c r="B337" s="15"/>
      <c r="C337" s="15"/>
      <c r="D337" s="15"/>
      <c r="F337" s="18" t="str">
        <f aca="false">IF(B337="","",IFERROR(INDEX(Materials!$B$2:$B$201,MATCH(B337,Materials!$A$2:$A$201,0)),""))</f>
        <v/>
      </c>
      <c r="G337" s="18" t="str">
        <f aca="true">IF(AND(A337="",B337=""),"",IF(A337="","Missing product",IF(B337="","Missing material",IF(COUNTIF(ProductList,A337)=0,"Product not in Products list",IF(COUNTIF(MaterialList,B337)=0,"Material not in Materials list","OK")))))</f>
        <v/>
      </c>
      <c r="H337" s="18" t="str">
        <f aca="false">IF(F337="Active",A337&amp;"|"&amp;COUNTIFS(A$2:A337,A337,F$2:F337,"Active"),"")</f>
        <v/>
      </c>
      <c r="I337" s="18" t="str">
        <f aca="false">IF(B337="","",IF(SUMPRODUCT(MAX((A$1:A336=A337)*(B$1:B336=B337)*ROW(A$1:A336)))=0,C337&amp;"",IF(C337="",INDEX(I$1:I336,SUMPRODUCT(MAX((A$1:A336=A337)*(B$1:B336=B337)*ROW(A$1:A336)))),IF(INDEX(I$1:I336,SUMPRODUCT(MAX((A$1:A336=A337)*(B$1:B336=B337)*ROW(A$1:A336))))="",C337&amp;"",INDEX(I$1:I336,SUMPRODUCT(MAX((A$1:A336=A337)*(B$1:B336=B337)*ROW(A$1:A336))))&amp;"; "&amp;C337))))</f>
        <v/>
      </c>
      <c r="J337" s="18" t="str">
        <f aca="false">IF(A337="","",A337&amp;"|"&amp;COUNTIF(A$2:A337,A337))</f>
        <v/>
      </c>
      <c r="K337" s="18" t="n">
        <f aca="false">IF(OR(A337="",B337=""),0,IF(COUNTIFS(A$2:A337,A337,B$2:B337,B337)=1,1,0))</f>
        <v>0</v>
      </c>
    </row>
    <row r="338" customFormat="false" ht="15" hidden="false" customHeight="false" outlineLevel="0" collapsed="false">
      <c r="A338" s="15"/>
      <c r="B338" s="15"/>
      <c r="C338" s="15"/>
      <c r="D338" s="15"/>
      <c r="F338" s="18" t="str">
        <f aca="false">IF(B338="","",IFERROR(INDEX(Materials!$B$2:$B$201,MATCH(B338,Materials!$A$2:$A$201,0)),""))</f>
        <v/>
      </c>
      <c r="G338" s="18" t="str">
        <f aca="true">IF(AND(A338="",B338=""),"",IF(A338="","Missing product",IF(B338="","Missing material",IF(COUNTIF(ProductList,A338)=0,"Product not in Products list",IF(COUNTIF(MaterialList,B338)=0,"Material not in Materials list","OK")))))</f>
        <v/>
      </c>
      <c r="H338" s="18" t="str">
        <f aca="false">IF(F338="Active",A338&amp;"|"&amp;COUNTIFS(A$2:A338,A338,F$2:F338,"Active"),"")</f>
        <v/>
      </c>
      <c r="I338" s="18" t="str">
        <f aca="false">IF(B338="","",IF(SUMPRODUCT(MAX((A$1:A337=A338)*(B$1:B337=B338)*ROW(A$1:A337)))=0,C338&amp;"",IF(C338="",INDEX(I$1:I337,SUMPRODUCT(MAX((A$1:A337=A338)*(B$1:B337=B338)*ROW(A$1:A337)))),IF(INDEX(I$1:I337,SUMPRODUCT(MAX((A$1:A337=A338)*(B$1:B337=B338)*ROW(A$1:A337))))="",C338&amp;"",INDEX(I$1:I337,SUMPRODUCT(MAX((A$1:A337=A338)*(B$1:B337=B338)*ROW(A$1:A337))))&amp;"; "&amp;C338))))</f>
        <v/>
      </c>
      <c r="J338" s="18" t="str">
        <f aca="false">IF(A338="","",A338&amp;"|"&amp;COUNTIF(A$2:A338,A338))</f>
        <v/>
      </c>
      <c r="K338" s="18" t="n">
        <f aca="false">IF(OR(A338="",B338=""),0,IF(COUNTIFS(A$2:A338,A338,B$2:B338,B338)=1,1,0))</f>
        <v>0</v>
      </c>
    </row>
    <row r="339" customFormat="false" ht="15" hidden="false" customHeight="false" outlineLevel="0" collapsed="false">
      <c r="A339" s="15"/>
      <c r="B339" s="15"/>
      <c r="C339" s="15"/>
      <c r="D339" s="15"/>
      <c r="F339" s="18" t="str">
        <f aca="false">IF(B339="","",IFERROR(INDEX(Materials!$B$2:$B$201,MATCH(B339,Materials!$A$2:$A$201,0)),""))</f>
        <v/>
      </c>
      <c r="G339" s="18" t="str">
        <f aca="true">IF(AND(A339="",B339=""),"",IF(A339="","Missing product",IF(B339="","Missing material",IF(COUNTIF(ProductList,A339)=0,"Product not in Products list",IF(COUNTIF(MaterialList,B339)=0,"Material not in Materials list","OK")))))</f>
        <v/>
      </c>
      <c r="H339" s="18" t="str">
        <f aca="false">IF(F339="Active",A339&amp;"|"&amp;COUNTIFS(A$2:A339,A339,F$2:F339,"Active"),"")</f>
        <v/>
      </c>
      <c r="I339" s="18" t="str">
        <f aca="false">IF(B339="","",IF(SUMPRODUCT(MAX((A$1:A338=A339)*(B$1:B338=B339)*ROW(A$1:A338)))=0,C339&amp;"",IF(C339="",INDEX(I$1:I338,SUMPRODUCT(MAX((A$1:A338=A339)*(B$1:B338=B339)*ROW(A$1:A338)))),IF(INDEX(I$1:I338,SUMPRODUCT(MAX((A$1:A338=A339)*(B$1:B338=B339)*ROW(A$1:A338))))="",C339&amp;"",INDEX(I$1:I338,SUMPRODUCT(MAX((A$1:A338=A339)*(B$1:B338=B339)*ROW(A$1:A338))))&amp;"; "&amp;C339))))</f>
        <v/>
      </c>
      <c r="J339" s="18" t="str">
        <f aca="false">IF(A339="","",A339&amp;"|"&amp;COUNTIF(A$2:A339,A339))</f>
        <v/>
      </c>
      <c r="K339" s="18" t="n">
        <f aca="false">IF(OR(A339="",B339=""),0,IF(COUNTIFS(A$2:A339,A339,B$2:B339,B339)=1,1,0))</f>
        <v>0</v>
      </c>
    </row>
    <row r="340" customFormat="false" ht="15" hidden="false" customHeight="false" outlineLevel="0" collapsed="false">
      <c r="A340" s="15"/>
      <c r="B340" s="15"/>
      <c r="C340" s="15"/>
      <c r="D340" s="15"/>
      <c r="F340" s="18" t="str">
        <f aca="false">IF(B340="","",IFERROR(INDEX(Materials!$B$2:$B$201,MATCH(B340,Materials!$A$2:$A$201,0)),""))</f>
        <v/>
      </c>
      <c r="G340" s="18" t="str">
        <f aca="true">IF(AND(A340="",B340=""),"",IF(A340="","Missing product",IF(B340="","Missing material",IF(COUNTIF(ProductList,A340)=0,"Product not in Products list",IF(COUNTIF(MaterialList,B340)=0,"Material not in Materials list","OK")))))</f>
        <v/>
      </c>
      <c r="H340" s="18" t="str">
        <f aca="false">IF(F340="Active",A340&amp;"|"&amp;COUNTIFS(A$2:A340,A340,F$2:F340,"Active"),"")</f>
        <v/>
      </c>
      <c r="I340" s="18" t="str">
        <f aca="false">IF(B340="","",IF(SUMPRODUCT(MAX((A$1:A339=A340)*(B$1:B339=B340)*ROW(A$1:A339)))=0,C340&amp;"",IF(C340="",INDEX(I$1:I339,SUMPRODUCT(MAX((A$1:A339=A340)*(B$1:B339=B340)*ROW(A$1:A339)))),IF(INDEX(I$1:I339,SUMPRODUCT(MAX((A$1:A339=A340)*(B$1:B339=B340)*ROW(A$1:A339))))="",C340&amp;"",INDEX(I$1:I339,SUMPRODUCT(MAX((A$1:A339=A340)*(B$1:B339=B340)*ROW(A$1:A339))))&amp;"; "&amp;C340))))</f>
        <v/>
      </c>
      <c r="J340" s="18" t="str">
        <f aca="false">IF(A340="","",A340&amp;"|"&amp;COUNTIF(A$2:A340,A340))</f>
        <v/>
      </c>
      <c r="K340" s="18" t="n">
        <f aca="false">IF(OR(A340="",B340=""),0,IF(COUNTIFS(A$2:A340,A340,B$2:B340,B340)=1,1,0))</f>
        <v>0</v>
      </c>
    </row>
    <row r="341" customFormat="false" ht="15" hidden="false" customHeight="false" outlineLevel="0" collapsed="false">
      <c r="A341" s="15"/>
      <c r="B341" s="15"/>
      <c r="C341" s="15"/>
      <c r="D341" s="15"/>
      <c r="F341" s="18" t="str">
        <f aca="false">IF(B341="","",IFERROR(INDEX(Materials!$B$2:$B$201,MATCH(B341,Materials!$A$2:$A$201,0)),""))</f>
        <v/>
      </c>
      <c r="G341" s="18" t="str">
        <f aca="true">IF(AND(A341="",B341=""),"",IF(A341="","Missing product",IF(B341="","Missing material",IF(COUNTIF(ProductList,A341)=0,"Product not in Products list",IF(COUNTIF(MaterialList,B341)=0,"Material not in Materials list","OK")))))</f>
        <v/>
      </c>
      <c r="H341" s="18" t="str">
        <f aca="false">IF(F341="Active",A341&amp;"|"&amp;COUNTIFS(A$2:A341,A341,F$2:F341,"Active"),"")</f>
        <v/>
      </c>
      <c r="I341" s="18" t="str">
        <f aca="false">IF(B341="","",IF(SUMPRODUCT(MAX((A$1:A340=A341)*(B$1:B340=B341)*ROW(A$1:A340)))=0,C341&amp;"",IF(C341="",INDEX(I$1:I340,SUMPRODUCT(MAX((A$1:A340=A341)*(B$1:B340=B341)*ROW(A$1:A340)))),IF(INDEX(I$1:I340,SUMPRODUCT(MAX((A$1:A340=A341)*(B$1:B340=B341)*ROW(A$1:A340))))="",C341&amp;"",INDEX(I$1:I340,SUMPRODUCT(MAX((A$1:A340=A341)*(B$1:B340=B341)*ROW(A$1:A340))))&amp;"; "&amp;C341))))</f>
        <v/>
      </c>
      <c r="J341" s="18" t="str">
        <f aca="false">IF(A341="","",A341&amp;"|"&amp;COUNTIF(A$2:A341,A341))</f>
        <v/>
      </c>
      <c r="K341" s="18" t="n">
        <f aca="false">IF(OR(A341="",B341=""),0,IF(COUNTIFS(A$2:A341,A341,B$2:B341,B341)=1,1,0))</f>
        <v>0</v>
      </c>
    </row>
    <row r="342" customFormat="false" ht="15" hidden="false" customHeight="false" outlineLevel="0" collapsed="false">
      <c r="A342" s="15"/>
      <c r="B342" s="15"/>
      <c r="C342" s="15"/>
      <c r="D342" s="15"/>
      <c r="F342" s="18" t="str">
        <f aca="false">IF(B342="","",IFERROR(INDEX(Materials!$B$2:$B$201,MATCH(B342,Materials!$A$2:$A$201,0)),""))</f>
        <v/>
      </c>
      <c r="G342" s="18" t="str">
        <f aca="true">IF(AND(A342="",B342=""),"",IF(A342="","Missing product",IF(B342="","Missing material",IF(COUNTIF(ProductList,A342)=0,"Product not in Products list",IF(COUNTIF(MaterialList,B342)=0,"Material not in Materials list","OK")))))</f>
        <v/>
      </c>
      <c r="H342" s="18" t="str">
        <f aca="false">IF(F342="Active",A342&amp;"|"&amp;COUNTIFS(A$2:A342,A342,F$2:F342,"Active"),"")</f>
        <v/>
      </c>
      <c r="I342" s="18" t="str">
        <f aca="false">IF(B342="","",IF(SUMPRODUCT(MAX((A$1:A341=A342)*(B$1:B341=B342)*ROW(A$1:A341)))=0,C342&amp;"",IF(C342="",INDEX(I$1:I341,SUMPRODUCT(MAX((A$1:A341=A342)*(B$1:B341=B342)*ROW(A$1:A341)))),IF(INDEX(I$1:I341,SUMPRODUCT(MAX((A$1:A341=A342)*(B$1:B341=B342)*ROW(A$1:A341))))="",C342&amp;"",INDEX(I$1:I341,SUMPRODUCT(MAX((A$1:A341=A342)*(B$1:B341=B342)*ROW(A$1:A341))))&amp;"; "&amp;C342))))</f>
        <v/>
      </c>
      <c r="J342" s="18" t="str">
        <f aca="false">IF(A342="","",A342&amp;"|"&amp;COUNTIF(A$2:A342,A342))</f>
        <v/>
      </c>
      <c r="K342" s="18" t="n">
        <f aca="false">IF(OR(A342="",B342=""),0,IF(COUNTIFS(A$2:A342,A342,B$2:B342,B342)=1,1,0))</f>
        <v>0</v>
      </c>
    </row>
    <row r="343" customFormat="false" ht="15" hidden="false" customHeight="false" outlineLevel="0" collapsed="false">
      <c r="A343" s="15"/>
      <c r="B343" s="15"/>
      <c r="C343" s="15"/>
      <c r="D343" s="15"/>
      <c r="F343" s="18" t="str">
        <f aca="false">IF(B343="","",IFERROR(INDEX(Materials!$B$2:$B$201,MATCH(B343,Materials!$A$2:$A$201,0)),""))</f>
        <v/>
      </c>
      <c r="G343" s="18" t="str">
        <f aca="true">IF(AND(A343="",B343=""),"",IF(A343="","Missing product",IF(B343="","Missing material",IF(COUNTIF(ProductList,A343)=0,"Product not in Products list",IF(COUNTIF(MaterialList,B343)=0,"Material not in Materials list","OK")))))</f>
        <v/>
      </c>
      <c r="H343" s="18" t="str">
        <f aca="false">IF(F343="Active",A343&amp;"|"&amp;COUNTIFS(A$2:A343,A343,F$2:F343,"Active"),"")</f>
        <v/>
      </c>
      <c r="I343" s="18" t="str">
        <f aca="false">IF(B343="","",IF(SUMPRODUCT(MAX((A$1:A342=A343)*(B$1:B342=B343)*ROW(A$1:A342)))=0,C343&amp;"",IF(C343="",INDEX(I$1:I342,SUMPRODUCT(MAX((A$1:A342=A343)*(B$1:B342=B343)*ROW(A$1:A342)))),IF(INDEX(I$1:I342,SUMPRODUCT(MAX((A$1:A342=A343)*(B$1:B342=B343)*ROW(A$1:A342))))="",C343&amp;"",INDEX(I$1:I342,SUMPRODUCT(MAX((A$1:A342=A343)*(B$1:B342=B343)*ROW(A$1:A342))))&amp;"; "&amp;C343))))</f>
        <v/>
      </c>
      <c r="J343" s="18" t="str">
        <f aca="false">IF(A343="","",A343&amp;"|"&amp;COUNTIF(A$2:A343,A343))</f>
        <v/>
      </c>
      <c r="K343" s="18" t="n">
        <f aca="false">IF(OR(A343="",B343=""),0,IF(COUNTIFS(A$2:A343,A343,B$2:B343,B343)=1,1,0))</f>
        <v>0</v>
      </c>
    </row>
    <row r="344" customFormat="false" ht="15" hidden="false" customHeight="false" outlineLevel="0" collapsed="false">
      <c r="A344" s="15"/>
      <c r="B344" s="15"/>
      <c r="C344" s="15"/>
      <c r="D344" s="15"/>
      <c r="F344" s="18" t="str">
        <f aca="false">IF(B344="","",IFERROR(INDEX(Materials!$B$2:$B$201,MATCH(B344,Materials!$A$2:$A$201,0)),""))</f>
        <v/>
      </c>
      <c r="G344" s="18" t="str">
        <f aca="true">IF(AND(A344="",B344=""),"",IF(A344="","Missing product",IF(B344="","Missing material",IF(COUNTIF(ProductList,A344)=0,"Product not in Products list",IF(COUNTIF(MaterialList,B344)=0,"Material not in Materials list","OK")))))</f>
        <v/>
      </c>
      <c r="H344" s="18" t="str">
        <f aca="false">IF(F344="Active",A344&amp;"|"&amp;COUNTIFS(A$2:A344,A344,F$2:F344,"Active"),"")</f>
        <v/>
      </c>
      <c r="I344" s="18" t="str">
        <f aca="false">IF(B344="","",IF(SUMPRODUCT(MAX((A$1:A343=A344)*(B$1:B343=B344)*ROW(A$1:A343)))=0,C344&amp;"",IF(C344="",INDEX(I$1:I343,SUMPRODUCT(MAX((A$1:A343=A344)*(B$1:B343=B344)*ROW(A$1:A343)))),IF(INDEX(I$1:I343,SUMPRODUCT(MAX((A$1:A343=A344)*(B$1:B343=B344)*ROW(A$1:A343))))="",C344&amp;"",INDEX(I$1:I343,SUMPRODUCT(MAX((A$1:A343=A344)*(B$1:B343=B344)*ROW(A$1:A343))))&amp;"; "&amp;C344))))</f>
        <v/>
      </c>
      <c r="J344" s="18" t="str">
        <f aca="false">IF(A344="","",A344&amp;"|"&amp;COUNTIF(A$2:A344,A344))</f>
        <v/>
      </c>
      <c r="K344" s="18" t="n">
        <f aca="false">IF(OR(A344="",B344=""),0,IF(COUNTIFS(A$2:A344,A344,B$2:B344,B344)=1,1,0))</f>
        <v>0</v>
      </c>
    </row>
    <row r="345" customFormat="false" ht="15" hidden="false" customHeight="false" outlineLevel="0" collapsed="false">
      <c r="A345" s="15"/>
      <c r="B345" s="15"/>
      <c r="C345" s="15"/>
      <c r="D345" s="15"/>
      <c r="F345" s="18" t="str">
        <f aca="false">IF(B345="","",IFERROR(INDEX(Materials!$B$2:$B$201,MATCH(B345,Materials!$A$2:$A$201,0)),""))</f>
        <v/>
      </c>
      <c r="G345" s="18" t="str">
        <f aca="true">IF(AND(A345="",B345=""),"",IF(A345="","Missing product",IF(B345="","Missing material",IF(COUNTIF(ProductList,A345)=0,"Product not in Products list",IF(COUNTIF(MaterialList,B345)=0,"Material not in Materials list","OK")))))</f>
        <v/>
      </c>
      <c r="H345" s="18" t="str">
        <f aca="false">IF(F345="Active",A345&amp;"|"&amp;COUNTIFS(A$2:A345,A345,F$2:F345,"Active"),"")</f>
        <v/>
      </c>
      <c r="I345" s="18" t="str">
        <f aca="false">IF(B345="","",IF(SUMPRODUCT(MAX((A$1:A344=A345)*(B$1:B344=B345)*ROW(A$1:A344)))=0,C345&amp;"",IF(C345="",INDEX(I$1:I344,SUMPRODUCT(MAX((A$1:A344=A345)*(B$1:B344=B345)*ROW(A$1:A344)))),IF(INDEX(I$1:I344,SUMPRODUCT(MAX((A$1:A344=A345)*(B$1:B344=B345)*ROW(A$1:A344))))="",C345&amp;"",INDEX(I$1:I344,SUMPRODUCT(MAX((A$1:A344=A345)*(B$1:B344=B345)*ROW(A$1:A344))))&amp;"; "&amp;C345))))</f>
        <v/>
      </c>
      <c r="J345" s="18" t="str">
        <f aca="false">IF(A345="","",A345&amp;"|"&amp;COUNTIF(A$2:A345,A345))</f>
        <v/>
      </c>
      <c r="K345" s="18" t="n">
        <f aca="false">IF(OR(A345="",B345=""),0,IF(COUNTIFS(A$2:A345,A345,B$2:B345,B345)=1,1,0))</f>
        <v>0</v>
      </c>
    </row>
    <row r="346" customFormat="false" ht="15" hidden="false" customHeight="false" outlineLevel="0" collapsed="false">
      <c r="A346" s="15"/>
      <c r="B346" s="15"/>
      <c r="C346" s="15"/>
      <c r="D346" s="15"/>
      <c r="F346" s="18" t="str">
        <f aca="false">IF(B346="","",IFERROR(INDEX(Materials!$B$2:$B$201,MATCH(B346,Materials!$A$2:$A$201,0)),""))</f>
        <v/>
      </c>
      <c r="G346" s="18" t="str">
        <f aca="true">IF(AND(A346="",B346=""),"",IF(A346="","Missing product",IF(B346="","Missing material",IF(COUNTIF(ProductList,A346)=0,"Product not in Products list",IF(COUNTIF(MaterialList,B346)=0,"Material not in Materials list","OK")))))</f>
        <v/>
      </c>
      <c r="H346" s="18" t="str">
        <f aca="false">IF(F346="Active",A346&amp;"|"&amp;COUNTIFS(A$2:A346,A346,F$2:F346,"Active"),"")</f>
        <v/>
      </c>
      <c r="I346" s="18" t="str">
        <f aca="false">IF(B346="","",IF(SUMPRODUCT(MAX((A$1:A345=A346)*(B$1:B345=B346)*ROW(A$1:A345)))=0,C346&amp;"",IF(C346="",INDEX(I$1:I345,SUMPRODUCT(MAX((A$1:A345=A346)*(B$1:B345=B346)*ROW(A$1:A345)))),IF(INDEX(I$1:I345,SUMPRODUCT(MAX((A$1:A345=A346)*(B$1:B345=B346)*ROW(A$1:A345))))="",C346&amp;"",INDEX(I$1:I345,SUMPRODUCT(MAX((A$1:A345=A346)*(B$1:B345=B346)*ROW(A$1:A345))))&amp;"; "&amp;C346))))</f>
        <v/>
      </c>
      <c r="J346" s="18" t="str">
        <f aca="false">IF(A346="","",A346&amp;"|"&amp;COUNTIF(A$2:A346,A346))</f>
        <v/>
      </c>
      <c r="K346" s="18" t="n">
        <f aca="false">IF(OR(A346="",B346=""),0,IF(COUNTIFS(A$2:A346,A346,B$2:B346,B346)=1,1,0))</f>
        <v>0</v>
      </c>
    </row>
    <row r="347" customFormat="false" ht="15" hidden="false" customHeight="false" outlineLevel="0" collapsed="false">
      <c r="A347" s="15"/>
      <c r="B347" s="15"/>
      <c r="C347" s="15"/>
      <c r="D347" s="15"/>
      <c r="F347" s="18" t="str">
        <f aca="false">IF(B347="","",IFERROR(INDEX(Materials!$B$2:$B$201,MATCH(B347,Materials!$A$2:$A$201,0)),""))</f>
        <v/>
      </c>
      <c r="G347" s="18" t="str">
        <f aca="true">IF(AND(A347="",B347=""),"",IF(A347="","Missing product",IF(B347="","Missing material",IF(COUNTIF(ProductList,A347)=0,"Product not in Products list",IF(COUNTIF(MaterialList,B347)=0,"Material not in Materials list","OK")))))</f>
        <v/>
      </c>
      <c r="H347" s="18" t="str">
        <f aca="false">IF(F347="Active",A347&amp;"|"&amp;COUNTIFS(A$2:A347,A347,F$2:F347,"Active"),"")</f>
        <v/>
      </c>
      <c r="I347" s="18" t="str">
        <f aca="false">IF(B347="","",IF(SUMPRODUCT(MAX((A$1:A346=A347)*(B$1:B346=B347)*ROW(A$1:A346)))=0,C347&amp;"",IF(C347="",INDEX(I$1:I346,SUMPRODUCT(MAX((A$1:A346=A347)*(B$1:B346=B347)*ROW(A$1:A346)))),IF(INDEX(I$1:I346,SUMPRODUCT(MAX((A$1:A346=A347)*(B$1:B346=B347)*ROW(A$1:A346))))="",C347&amp;"",INDEX(I$1:I346,SUMPRODUCT(MAX((A$1:A346=A347)*(B$1:B346=B347)*ROW(A$1:A346))))&amp;"; "&amp;C347))))</f>
        <v/>
      </c>
      <c r="J347" s="18" t="str">
        <f aca="false">IF(A347="","",A347&amp;"|"&amp;COUNTIF(A$2:A347,A347))</f>
        <v/>
      </c>
      <c r="K347" s="18" t="n">
        <f aca="false">IF(OR(A347="",B347=""),0,IF(COUNTIFS(A$2:A347,A347,B$2:B347,B347)=1,1,0))</f>
        <v>0</v>
      </c>
    </row>
    <row r="348" customFormat="false" ht="15" hidden="false" customHeight="false" outlineLevel="0" collapsed="false">
      <c r="A348" s="15"/>
      <c r="B348" s="15"/>
      <c r="C348" s="15"/>
      <c r="D348" s="15"/>
      <c r="F348" s="18" t="str">
        <f aca="false">IF(B348="","",IFERROR(INDEX(Materials!$B$2:$B$201,MATCH(B348,Materials!$A$2:$A$201,0)),""))</f>
        <v/>
      </c>
      <c r="G348" s="18" t="str">
        <f aca="true">IF(AND(A348="",B348=""),"",IF(A348="","Missing product",IF(B348="","Missing material",IF(COUNTIF(ProductList,A348)=0,"Product not in Products list",IF(COUNTIF(MaterialList,B348)=0,"Material not in Materials list","OK")))))</f>
        <v/>
      </c>
      <c r="H348" s="18" t="str">
        <f aca="false">IF(F348="Active",A348&amp;"|"&amp;COUNTIFS(A$2:A348,A348,F$2:F348,"Active"),"")</f>
        <v/>
      </c>
      <c r="I348" s="18" t="str">
        <f aca="false">IF(B348="","",IF(SUMPRODUCT(MAX((A$1:A347=A348)*(B$1:B347=B348)*ROW(A$1:A347)))=0,C348&amp;"",IF(C348="",INDEX(I$1:I347,SUMPRODUCT(MAX((A$1:A347=A348)*(B$1:B347=B348)*ROW(A$1:A347)))),IF(INDEX(I$1:I347,SUMPRODUCT(MAX((A$1:A347=A348)*(B$1:B347=B348)*ROW(A$1:A347))))="",C348&amp;"",INDEX(I$1:I347,SUMPRODUCT(MAX((A$1:A347=A348)*(B$1:B347=B348)*ROW(A$1:A347))))&amp;"; "&amp;C348))))</f>
        <v/>
      </c>
      <c r="J348" s="18" t="str">
        <f aca="false">IF(A348="","",A348&amp;"|"&amp;COUNTIF(A$2:A348,A348))</f>
        <v/>
      </c>
      <c r="K348" s="18" t="n">
        <f aca="false">IF(OR(A348="",B348=""),0,IF(COUNTIFS(A$2:A348,A348,B$2:B348,B348)=1,1,0))</f>
        <v>0</v>
      </c>
    </row>
    <row r="349" customFormat="false" ht="15" hidden="false" customHeight="false" outlineLevel="0" collapsed="false">
      <c r="A349" s="15"/>
      <c r="B349" s="15"/>
      <c r="C349" s="15"/>
      <c r="D349" s="15"/>
      <c r="F349" s="18" t="str">
        <f aca="false">IF(B349="","",IFERROR(INDEX(Materials!$B$2:$B$201,MATCH(B349,Materials!$A$2:$A$201,0)),""))</f>
        <v/>
      </c>
      <c r="G349" s="18" t="str">
        <f aca="true">IF(AND(A349="",B349=""),"",IF(A349="","Missing product",IF(B349="","Missing material",IF(COUNTIF(ProductList,A349)=0,"Product not in Products list",IF(COUNTIF(MaterialList,B349)=0,"Material not in Materials list","OK")))))</f>
        <v/>
      </c>
      <c r="H349" s="18" t="str">
        <f aca="false">IF(F349="Active",A349&amp;"|"&amp;COUNTIFS(A$2:A349,A349,F$2:F349,"Active"),"")</f>
        <v/>
      </c>
      <c r="I349" s="18" t="str">
        <f aca="false">IF(B349="","",IF(SUMPRODUCT(MAX((A$1:A348=A349)*(B$1:B348=B349)*ROW(A$1:A348)))=0,C349&amp;"",IF(C349="",INDEX(I$1:I348,SUMPRODUCT(MAX((A$1:A348=A349)*(B$1:B348=B349)*ROW(A$1:A348)))),IF(INDEX(I$1:I348,SUMPRODUCT(MAX((A$1:A348=A349)*(B$1:B348=B349)*ROW(A$1:A348))))="",C349&amp;"",INDEX(I$1:I348,SUMPRODUCT(MAX((A$1:A348=A349)*(B$1:B348=B349)*ROW(A$1:A348))))&amp;"; "&amp;C349))))</f>
        <v/>
      </c>
      <c r="J349" s="18" t="str">
        <f aca="false">IF(A349="","",A349&amp;"|"&amp;COUNTIF(A$2:A349,A349))</f>
        <v/>
      </c>
      <c r="K349" s="18" t="n">
        <f aca="false">IF(OR(A349="",B349=""),0,IF(COUNTIFS(A$2:A349,A349,B$2:B349,B349)=1,1,0))</f>
        <v>0</v>
      </c>
    </row>
    <row r="350" customFormat="false" ht="15" hidden="false" customHeight="false" outlineLevel="0" collapsed="false">
      <c r="A350" s="15"/>
      <c r="B350" s="15"/>
      <c r="C350" s="15"/>
      <c r="D350" s="15"/>
      <c r="F350" s="18" t="str">
        <f aca="false">IF(B350="","",IFERROR(INDEX(Materials!$B$2:$B$201,MATCH(B350,Materials!$A$2:$A$201,0)),""))</f>
        <v/>
      </c>
      <c r="G350" s="18" t="str">
        <f aca="true">IF(AND(A350="",B350=""),"",IF(A350="","Missing product",IF(B350="","Missing material",IF(COUNTIF(ProductList,A350)=0,"Product not in Products list",IF(COUNTIF(MaterialList,B350)=0,"Material not in Materials list","OK")))))</f>
        <v/>
      </c>
      <c r="H350" s="18" t="str">
        <f aca="false">IF(F350="Active",A350&amp;"|"&amp;COUNTIFS(A$2:A350,A350,F$2:F350,"Active"),"")</f>
        <v/>
      </c>
      <c r="I350" s="18" t="str">
        <f aca="false">IF(B350="","",IF(SUMPRODUCT(MAX((A$1:A349=A350)*(B$1:B349=B350)*ROW(A$1:A349)))=0,C350&amp;"",IF(C350="",INDEX(I$1:I349,SUMPRODUCT(MAX((A$1:A349=A350)*(B$1:B349=B350)*ROW(A$1:A349)))),IF(INDEX(I$1:I349,SUMPRODUCT(MAX((A$1:A349=A350)*(B$1:B349=B350)*ROW(A$1:A349))))="",C350&amp;"",INDEX(I$1:I349,SUMPRODUCT(MAX((A$1:A349=A350)*(B$1:B349=B350)*ROW(A$1:A349))))&amp;"; "&amp;C350))))</f>
        <v/>
      </c>
      <c r="J350" s="18" t="str">
        <f aca="false">IF(A350="","",A350&amp;"|"&amp;COUNTIF(A$2:A350,A350))</f>
        <v/>
      </c>
      <c r="K350" s="18" t="n">
        <f aca="false">IF(OR(A350="",B350=""),0,IF(COUNTIFS(A$2:A350,A350,B$2:B350,B350)=1,1,0))</f>
        <v>0</v>
      </c>
    </row>
    <row r="351" customFormat="false" ht="15" hidden="false" customHeight="false" outlineLevel="0" collapsed="false">
      <c r="A351" s="15"/>
      <c r="B351" s="15"/>
      <c r="C351" s="15"/>
      <c r="D351" s="15"/>
      <c r="F351" s="18" t="str">
        <f aca="false">IF(B351="","",IFERROR(INDEX(Materials!$B$2:$B$201,MATCH(B351,Materials!$A$2:$A$201,0)),""))</f>
        <v/>
      </c>
      <c r="G351" s="18" t="str">
        <f aca="true">IF(AND(A351="",B351=""),"",IF(A351="","Missing product",IF(B351="","Missing material",IF(COUNTIF(ProductList,A351)=0,"Product not in Products list",IF(COUNTIF(MaterialList,B351)=0,"Material not in Materials list","OK")))))</f>
        <v/>
      </c>
      <c r="H351" s="18" t="str">
        <f aca="false">IF(F351="Active",A351&amp;"|"&amp;COUNTIFS(A$2:A351,A351,F$2:F351,"Active"),"")</f>
        <v/>
      </c>
      <c r="I351" s="18" t="str">
        <f aca="false">IF(B351="","",IF(SUMPRODUCT(MAX((A$1:A350=A351)*(B$1:B350=B351)*ROW(A$1:A350)))=0,C351&amp;"",IF(C351="",INDEX(I$1:I350,SUMPRODUCT(MAX((A$1:A350=A351)*(B$1:B350=B351)*ROW(A$1:A350)))),IF(INDEX(I$1:I350,SUMPRODUCT(MAX((A$1:A350=A351)*(B$1:B350=B351)*ROW(A$1:A350))))="",C351&amp;"",INDEX(I$1:I350,SUMPRODUCT(MAX((A$1:A350=A351)*(B$1:B350=B351)*ROW(A$1:A350))))&amp;"; "&amp;C351))))</f>
        <v/>
      </c>
      <c r="J351" s="18" t="str">
        <f aca="false">IF(A351="","",A351&amp;"|"&amp;COUNTIF(A$2:A351,A351))</f>
        <v/>
      </c>
      <c r="K351" s="18" t="n">
        <f aca="false">IF(OR(A351="",B351=""),0,IF(COUNTIFS(A$2:A351,A351,B$2:B351,B351)=1,1,0))</f>
        <v>0</v>
      </c>
    </row>
    <row r="352" customFormat="false" ht="15" hidden="false" customHeight="false" outlineLevel="0" collapsed="false">
      <c r="A352" s="15"/>
      <c r="B352" s="15"/>
      <c r="C352" s="15"/>
      <c r="D352" s="15"/>
      <c r="F352" s="18" t="str">
        <f aca="false">IF(B352="","",IFERROR(INDEX(Materials!$B$2:$B$201,MATCH(B352,Materials!$A$2:$A$201,0)),""))</f>
        <v/>
      </c>
      <c r="G352" s="18" t="str">
        <f aca="true">IF(AND(A352="",B352=""),"",IF(A352="","Missing product",IF(B352="","Missing material",IF(COUNTIF(ProductList,A352)=0,"Product not in Products list",IF(COUNTIF(MaterialList,B352)=0,"Material not in Materials list","OK")))))</f>
        <v/>
      </c>
      <c r="H352" s="18" t="str">
        <f aca="false">IF(F352="Active",A352&amp;"|"&amp;COUNTIFS(A$2:A352,A352,F$2:F352,"Active"),"")</f>
        <v/>
      </c>
      <c r="I352" s="18" t="str">
        <f aca="false">IF(B352="","",IF(SUMPRODUCT(MAX((A$1:A351=A352)*(B$1:B351=B352)*ROW(A$1:A351)))=0,C352&amp;"",IF(C352="",INDEX(I$1:I351,SUMPRODUCT(MAX((A$1:A351=A352)*(B$1:B351=B352)*ROW(A$1:A351)))),IF(INDEX(I$1:I351,SUMPRODUCT(MAX((A$1:A351=A352)*(B$1:B351=B352)*ROW(A$1:A351))))="",C352&amp;"",INDEX(I$1:I351,SUMPRODUCT(MAX((A$1:A351=A352)*(B$1:B351=B352)*ROW(A$1:A351))))&amp;"; "&amp;C352))))</f>
        <v/>
      </c>
      <c r="J352" s="18" t="str">
        <f aca="false">IF(A352="","",A352&amp;"|"&amp;COUNTIF(A$2:A352,A352))</f>
        <v/>
      </c>
      <c r="K352" s="18" t="n">
        <f aca="false">IF(OR(A352="",B352=""),0,IF(COUNTIFS(A$2:A352,A352,B$2:B352,B352)=1,1,0))</f>
        <v>0</v>
      </c>
    </row>
    <row r="353" customFormat="false" ht="15" hidden="false" customHeight="false" outlineLevel="0" collapsed="false">
      <c r="A353" s="15"/>
      <c r="B353" s="15"/>
      <c r="C353" s="15"/>
      <c r="D353" s="15"/>
      <c r="F353" s="18" t="str">
        <f aca="false">IF(B353="","",IFERROR(INDEX(Materials!$B$2:$B$201,MATCH(B353,Materials!$A$2:$A$201,0)),""))</f>
        <v/>
      </c>
      <c r="G353" s="18" t="str">
        <f aca="true">IF(AND(A353="",B353=""),"",IF(A353="","Missing product",IF(B353="","Missing material",IF(COUNTIF(ProductList,A353)=0,"Product not in Products list",IF(COUNTIF(MaterialList,B353)=0,"Material not in Materials list","OK")))))</f>
        <v/>
      </c>
      <c r="H353" s="18" t="str">
        <f aca="false">IF(F353="Active",A353&amp;"|"&amp;COUNTIFS(A$2:A353,A353,F$2:F353,"Active"),"")</f>
        <v/>
      </c>
      <c r="I353" s="18" t="str">
        <f aca="false">IF(B353="","",IF(SUMPRODUCT(MAX((A$1:A352=A353)*(B$1:B352=B353)*ROW(A$1:A352)))=0,C353&amp;"",IF(C353="",INDEX(I$1:I352,SUMPRODUCT(MAX((A$1:A352=A353)*(B$1:B352=B353)*ROW(A$1:A352)))),IF(INDEX(I$1:I352,SUMPRODUCT(MAX((A$1:A352=A353)*(B$1:B352=B353)*ROW(A$1:A352))))="",C353&amp;"",INDEX(I$1:I352,SUMPRODUCT(MAX((A$1:A352=A353)*(B$1:B352=B353)*ROW(A$1:A352))))&amp;"; "&amp;C353))))</f>
        <v/>
      </c>
      <c r="J353" s="18" t="str">
        <f aca="false">IF(A353="","",A353&amp;"|"&amp;COUNTIF(A$2:A353,A353))</f>
        <v/>
      </c>
      <c r="K353" s="18" t="n">
        <f aca="false">IF(OR(A353="",B353=""),0,IF(COUNTIFS(A$2:A353,A353,B$2:B353,B353)=1,1,0))</f>
        <v>0</v>
      </c>
    </row>
    <row r="354" customFormat="false" ht="15" hidden="false" customHeight="false" outlineLevel="0" collapsed="false">
      <c r="A354" s="15"/>
      <c r="B354" s="15"/>
      <c r="C354" s="15"/>
      <c r="D354" s="15"/>
      <c r="F354" s="18" t="str">
        <f aca="false">IF(B354="","",IFERROR(INDEX(Materials!$B$2:$B$201,MATCH(B354,Materials!$A$2:$A$201,0)),""))</f>
        <v/>
      </c>
      <c r="G354" s="18" t="str">
        <f aca="true">IF(AND(A354="",B354=""),"",IF(A354="","Missing product",IF(B354="","Missing material",IF(COUNTIF(ProductList,A354)=0,"Product not in Products list",IF(COUNTIF(MaterialList,B354)=0,"Material not in Materials list","OK")))))</f>
        <v/>
      </c>
      <c r="H354" s="18" t="str">
        <f aca="false">IF(F354="Active",A354&amp;"|"&amp;COUNTIFS(A$2:A354,A354,F$2:F354,"Active"),"")</f>
        <v/>
      </c>
      <c r="I354" s="18" t="str">
        <f aca="false">IF(B354="","",IF(SUMPRODUCT(MAX((A$1:A353=A354)*(B$1:B353=B354)*ROW(A$1:A353)))=0,C354&amp;"",IF(C354="",INDEX(I$1:I353,SUMPRODUCT(MAX((A$1:A353=A354)*(B$1:B353=B354)*ROW(A$1:A353)))),IF(INDEX(I$1:I353,SUMPRODUCT(MAX((A$1:A353=A354)*(B$1:B353=B354)*ROW(A$1:A353))))="",C354&amp;"",INDEX(I$1:I353,SUMPRODUCT(MAX((A$1:A353=A354)*(B$1:B353=B354)*ROW(A$1:A353))))&amp;"; "&amp;C354))))</f>
        <v/>
      </c>
      <c r="J354" s="18" t="str">
        <f aca="false">IF(A354="","",A354&amp;"|"&amp;COUNTIF(A$2:A354,A354))</f>
        <v/>
      </c>
      <c r="K354" s="18" t="n">
        <f aca="false">IF(OR(A354="",B354=""),0,IF(COUNTIFS(A$2:A354,A354,B$2:B354,B354)=1,1,0))</f>
        <v>0</v>
      </c>
    </row>
    <row r="355" customFormat="false" ht="15" hidden="false" customHeight="false" outlineLevel="0" collapsed="false">
      <c r="A355" s="15"/>
      <c r="B355" s="15"/>
      <c r="C355" s="15"/>
      <c r="D355" s="15"/>
      <c r="F355" s="18" t="str">
        <f aca="false">IF(B355="","",IFERROR(INDEX(Materials!$B$2:$B$201,MATCH(B355,Materials!$A$2:$A$201,0)),""))</f>
        <v/>
      </c>
      <c r="G355" s="18" t="str">
        <f aca="true">IF(AND(A355="",B355=""),"",IF(A355="","Missing product",IF(B355="","Missing material",IF(COUNTIF(ProductList,A355)=0,"Product not in Products list",IF(COUNTIF(MaterialList,B355)=0,"Material not in Materials list","OK")))))</f>
        <v/>
      </c>
      <c r="H355" s="18" t="str">
        <f aca="false">IF(F355="Active",A355&amp;"|"&amp;COUNTIFS(A$2:A355,A355,F$2:F355,"Active"),"")</f>
        <v/>
      </c>
      <c r="I355" s="18" t="str">
        <f aca="false">IF(B355="","",IF(SUMPRODUCT(MAX((A$1:A354=A355)*(B$1:B354=B355)*ROW(A$1:A354)))=0,C355&amp;"",IF(C355="",INDEX(I$1:I354,SUMPRODUCT(MAX((A$1:A354=A355)*(B$1:B354=B355)*ROW(A$1:A354)))),IF(INDEX(I$1:I354,SUMPRODUCT(MAX((A$1:A354=A355)*(B$1:B354=B355)*ROW(A$1:A354))))="",C355&amp;"",INDEX(I$1:I354,SUMPRODUCT(MAX((A$1:A354=A355)*(B$1:B354=B355)*ROW(A$1:A354))))&amp;"; "&amp;C355))))</f>
        <v/>
      </c>
      <c r="J355" s="18" t="str">
        <f aca="false">IF(A355="","",A355&amp;"|"&amp;COUNTIF(A$2:A355,A355))</f>
        <v/>
      </c>
      <c r="K355" s="18" t="n">
        <f aca="false">IF(OR(A355="",B355=""),0,IF(COUNTIFS(A$2:A355,A355,B$2:B355,B355)=1,1,0))</f>
        <v>0</v>
      </c>
    </row>
    <row r="356" customFormat="false" ht="15" hidden="false" customHeight="false" outlineLevel="0" collapsed="false">
      <c r="A356" s="15"/>
      <c r="B356" s="15"/>
      <c r="C356" s="15"/>
      <c r="D356" s="15"/>
      <c r="F356" s="18" t="str">
        <f aca="false">IF(B356="","",IFERROR(INDEX(Materials!$B$2:$B$201,MATCH(B356,Materials!$A$2:$A$201,0)),""))</f>
        <v/>
      </c>
      <c r="G356" s="18" t="str">
        <f aca="true">IF(AND(A356="",B356=""),"",IF(A356="","Missing product",IF(B356="","Missing material",IF(COUNTIF(ProductList,A356)=0,"Product not in Products list",IF(COUNTIF(MaterialList,B356)=0,"Material not in Materials list","OK")))))</f>
        <v/>
      </c>
      <c r="H356" s="18" t="str">
        <f aca="false">IF(F356="Active",A356&amp;"|"&amp;COUNTIFS(A$2:A356,A356,F$2:F356,"Active"),"")</f>
        <v/>
      </c>
      <c r="I356" s="18" t="str">
        <f aca="false">IF(B356="","",IF(SUMPRODUCT(MAX((A$1:A355=A356)*(B$1:B355=B356)*ROW(A$1:A355)))=0,C356&amp;"",IF(C356="",INDEX(I$1:I355,SUMPRODUCT(MAX((A$1:A355=A356)*(B$1:B355=B356)*ROW(A$1:A355)))),IF(INDEX(I$1:I355,SUMPRODUCT(MAX((A$1:A355=A356)*(B$1:B355=B356)*ROW(A$1:A355))))="",C356&amp;"",INDEX(I$1:I355,SUMPRODUCT(MAX((A$1:A355=A356)*(B$1:B355=B356)*ROW(A$1:A355))))&amp;"; "&amp;C356))))</f>
        <v/>
      </c>
      <c r="J356" s="18" t="str">
        <f aca="false">IF(A356="","",A356&amp;"|"&amp;COUNTIF(A$2:A356,A356))</f>
        <v/>
      </c>
      <c r="K356" s="18" t="n">
        <f aca="false">IF(OR(A356="",B356=""),0,IF(COUNTIFS(A$2:A356,A356,B$2:B356,B356)=1,1,0))</f>
        <v>0</v>
      </c>
    </row>
    <row r="357" customFormat="false" ht="15" hidden="false" customHeight="false" outlineLevel="0" collapsed="false">
      <c r="A357" s="15"/>
      <c r="B357" s="15"/>
      <c r="C357" s="15"/>
      <c r="D357" s="15"/>
      <c r="F357" s="18" t="str">
        <f aca="false">IF(B357="","",IFERROR(INDEX(Materials!$B$2:$B$201,MATCH(B357,Materials!$A$2:$A$201,0)),""))</f>
        <v/>
      </c>
      <c r="G357" s="18" t="str">
        <f aca="true">IF(AND(A357="",B357=""),"",IF(A357="","Missing product",IF(B357="","Missing material",IF(COUNTIF(ProductList,A357)=0,"Product not in Products list",IF(COUNTIF(MaterialList,B357)=0,"Material not in Materials list","OK")))))</f>
        <v/>
      </c>
      <c r="H357" s="18" t="str">
        <f aca="false">IF(F357="Active",A357&amp;"|"&amp;COUNTIFS(A$2:A357,A357,F$2:F357,"Active"),"")</f>
        <v/>
      </c>
      <c r="I357" s="18" t="str">
        <f aca="false">IF(B357="","",IF(SUMPRODUCT(MAX((A$1:A356=A357)*(B$1:B356=B357)*ROW(A$1:A356)))=0,C357&amp;"",IF(C357="",INDEX(I$1:I356,SUMPRODUCT(MAX((A$1:A356=A357)*(B$1:B356=B357)*ROW(A$1:A356)))),IF(INDEX(I$1:I356,SUMPRODUCT(MAX((A$1:A356=A357)*(B$1:B356=B357)*ROW(A$1:A356))))="",C357&amp;"",INDEX(I$1:I356,SUMPRODUCT(MAX((A$1:A356=A357)*(B$1:B356=B357)*ROW(A$1:A356))))&amp;"; "&amp;C357))))</f>
        <v/>
      </c>
      <c r="J357" s="18" t="str">
        <f aca="false">IF(A357="","",A357&amp;"|"&amp;COUNTIF(A$2:A357,A357))</f>
        <v/>
      </c>
      <c r="K357" s="18" t="n">
        <f aca="false">IF(OR(A357="",B357=""),0,IF(COUNTIFS(A$2:A357,A357,B$2:B357,B357)=1,1,0))</f>
        <v>0</v>
      </c>
    </row>
    <row r="358" customFormat="false" ht="15" hidden="false" customHeight="false" outlineLevel="0" collapsed="false">
      <c r="A358" s="15"/>
      <c r="B358" s="15"/>
      <c r="C358" s="15"/>
      <c r="D358" s="15"/>
      <c r="F358" s="18" t="str">
        <f aca="false">IF(B358="","",IFERROR(INDEX(Materials!$B$2:$B$201,MATCH(B358,Materials!$A$2:$A$201,0)),""))</f>
        <v/>
      </c>
      <c r="G358" s="18" t="str">
        <f aca="true">IF(AND(A358="",B358=""),"",IF(A358="","Missing product",IF(B358="","Missing material",IF(COUNTIF(ProductList,A358)=0,"Product not in Products list",IF(COUNTIF(MaterialList,B358)=0,"Material not in Materials list","OK")))))</f>
        <v/>
      </c>
      <c r="H358" s="18" t="str">
        <f aca="false">IF(F358="Active",A358&amp;"|"&amp;COUNTIFS(A$2:A358,A358,F$2:F358,"Active"),"")</f>
        <v/>
      </c>
      <c r="I358" s="18" t="str">
        <f aca="false">IF(B358="","",IF(SUMPRODUCT(MAX((A$1:A357=A358)*(B$1:B357=B358)*ROW(A$1:A357)))=0,C358&amp;"",IF(C358="",INDEX(I$1:I357,SUMPRODUCT(MAX((A$1:A357=A358)*(B$1:B357=B358)*ROW(A$1:A357)))),IF(INDEX(I$1:I357,SUMPRODUCT(MAX((A$1:A357=A358)*(B$1:B357=B358)*ROW(A$1:A357))))="",C358&amp;"",INDEX(I$1:I357,SUMPRODUCT(MAX((A$1:A357=A358)*(B$1:B357=B358)*ROW(A$1:A357))))&amp;"; "&amp;C358))))</f>
        <v/>
      </c>
      <c r="J358" s="18" t="str">
        <f aca="false">IF(A358="","",A358&amp;"|"&amp;COUNTIF(A$2:A358,A358))</f>
        <v/>
      </c>
      <c r="K358" s="18" t="n">
        <f aca="false">IF(OR(A358="",B358=""),0,IF(COUNTIFS(A$2:A358,A358,B$2:B358,B358)=1,1,0))</f>
        <v>0</v>
      </c>
    </row>
    <row r="359" customFormat="false" ht="15" hidden="false" customHeight="false" outlineLevel="0" collapsed="false">
      <c r="A359" s="15"/>
      <c r="B359" s="15"/>
      <c r="C359" s="15"/>
      <c r="D359" s="15"/>
      <c r="F359" s="18" t="str">
        <f aca="false">IF(B359="","",IFERROR(INDEX(Materials!$B$2:$B$201,MATCH(B359,Materials!$A$2:$A$201,0)),""))</f>
        <v/>
      </c>
      <c r="G359" s="18" t="str">
        <f aca="true">IF(AND(A359="",B359=""),"",IF(A359="","Missing product",IF(B359="","Missing material",IF(COUNTIF(ProductList,A359)=0,"Product not in Products list",IF(COUNTIF(MaterialList,B359)=0,"Material not in Materials list","OK")))))</f>
        <v/>
      </c>
      <c r="H359" s="18" t="str">
        <f aca="false">IF(F359="Active",A359&amp;"|"&amp;COUNTIFS(A$2:A359,A359,F$2:F359,"Active"),"")</f>
        <v/>
      </c>
      <c r="I359" s="18" t="str">
        <f aca="false">IF(B359="","",IF(SUMPRODUCT(MAX((A$1:A358=A359)*(B$1:B358=B359)*ROW(A$1:A358)))=0,C359&amp;"",IF(C359="",INDEX(I$1:I358,SUMPRODUCT(MAX((A$1:A358=A359)*(B$1:B358=B359)*ROW(A$1:A358)))),IF(INDEX(I$1:I358,SUMPRODUCT(MAX((A$1:A358=A359)*(B$1:B358=B359)*ROW(A$1:A358))))="",C359&amp;"",INDEX(I$1:I358,SUMPRODUCT(MAX((A$1:A358=A359)*(B$1:B358=B359)*ROW(A$1:A358))))&amp;"; "&amp;C359))))</f>
        <v/>
      </c>
      <c r="J359" s="18" t="str">
        <f aca="false">IF(A359="","",A359&amp;"|"&amp;COUNTIF(A$2:A359,A359))</f>
        <v/>
      </c>
      <c r="K359" s="18" t="n">
        <f aca="false">IF(OR(A359="",B359=""),0,IF(COUNTIFS(A$2:A359,A359,B$2:B359,B359)=1,1,0))</f>
        <v>0</v>
      </c>
    </row>
    <row r="360" customFormat="false" ht="15" hidden="false" customHeight="false" outlineLevel="0" collapsed="false">
      <c r="A360" s="15"/>
      <c r="B360" s="15"/>
      <c r="C360" s="15"/>
      <c r="D360" s="15"/>
      <c r="F360" s="18" t="str">
        <f aca="false">IF(B360="","",IFERROR(INDEX(Materials!$B$2:$B$201,MATCH(B360,Materials!$A$2:$A$201,0)),""))</f>
        <v/>
      </c>
      <c r="G360" s="18" t="str">
        <f aca="true">IF(AND(A360="",B360=""),"",IF(A360="","Missing product",IF(B360="","Missing material",IF(COUNTIF(ProductList,A360)=0,"Product not in Products list",IF(COUNTIF(MaterialList,B360)=0,"Material not in Materials list","OK")))))</f>
        <v/>
      </c>
      <c r="H360" s="18" t="str">
        <f aca="false">IF(F360="Active",A360&amp;"|"&amp;COUNTIFS(A$2:A360,A360,F$2:F360,"Active"),"")</f>
        <v/>
      </c>
      <c r="I360" s="18" t="str">
        <f aca="false">IF(B360="","",IF(SUMPRODUCT(MAX((A$1:A359=A360)*(B$1:B359=B360)*ROW(A$1:A359)))=0,C360&amp;"",IF(C360="",INDEX(I$1:I359,SUMPRODUCT(MAX((A$1:A359=A360)*(B$1:B359=B360)*ROW(A$1:A359)))),IF(INDEX(I$1:I359,SUMPRODUCT(MAX((A$1:A359=A360)*(B$1:B359=B360)*ROW(A$1:A359))))="",C360&amp;"",INDEX(I$1:I359,SUMPRODUCT(MAX((A$1:A359=A360)*(B$1:B359=B360)*ROW(A$1:A359))))&amp;"; "&amp;C360))))</f>
        <v/>
      </c>
      <c r="J360" s="18" t="str">
        <f aca="false">IF(A360="","",A360&amp;"|"&amp;COUNTIF(A$2:A360,A360))</f>
        <v/>
      </c>
      <c r="K360" s="18" t="n">
        <f aca="false">IF(OR(A360="",B360=""),0,IF(COUNTIFS(A$2:A360,A360,B$2:B360,B360)=1,1,0))</f>
        <v>0</v>
      </c>
    </row>
    <row r="361" customFormat="false" ht="15" hidden="false" customHeight="false" outlineLevel="0" collapsed="false">
      <c r="A361" s="15"/>
      <c r="B361" s="15"/>
      <c r="C361" s="15"/>
      <c r="D361" s="15"/>
      <c r="F361" s="18" t="str">
        <f aca="false">IF(B361="","",IFERROR(INDEX(Materials!$B$2:$B$201,MATCH(B361,Materials!$A$2:$A$201,0)),""))</f>
        <v/>
      </c>
      <c r="G361" s="18" t="str">
        <f aca="true">IF(AND(A361="",B361=""),"",IF(A361="","Missing product",IF(B361="","Missing material",IF(COUNTIF(ProductList,A361)=0,"Product not in Products list",IF(COUNTIF(MaterialList,B361)=0,"Material not in Materials list","OK")))))</f>
        <v/>
      </c>
      <c r="H361" s="18" t="str">
        <f aca="false">IF(F361="Active",A361&amp;"|"&amp;COUNTIFS(A$2:A361,A361,F$2:F361,"Active"),"")</f>
        <v/>
      </c>
      <c r="I361" s="18" t="str">
        <f aca="false">IF(B361="","",IF(SUMPRODUCT(MAX((A$1:A360=A361)*(B$1:B360=B361)*ROW(A$1:A360)))=0,C361&amp;"",IF(C361="",INDEX(I$1:I360,SUMPRODUCT(MAX((A$1:A360=A361)*(B$1:B360=B361)*ROW(A$1:A360)))),IF(INDEX(I$1:I360,SUMPRODUCT(MAX((A$1:A360=A361)*(B$1:B360=B361)*ROW(A$1:A360))))="",C361&amp;"",INDEX(I$1:I360,SUMPRODUCT(MAX((A$1:A360=A361)*(B$1:B360=B361)*ROW(A$1:A360))))&amp;"; "&amp;C361))))</f>
        <v/>
      </c>
      <c r="J361" s="18" t="str">
        <f aca="false">IF(A361="","",A361&amp;"|"&amp;COUNTIF(A$2:A361,A361))</f>
        <v/>
      </c>
      <c r="K361" s="18" t="n">
        <f aca="false">IF(OR(A361="",B361=""),0,IF(COUNTIFS(A$2:A361,A361,B$2:B361,B361)=1,1,0))</f>
        <v>0</v>
      </c>
    </row>
    <row r="362" customFormat="false" ht="15" hidden="false" customHeight="false" outlineLevel="0" collapsed="false">
      <c r="A362" s="15"/>
      <c r="B362" s="15"/>
      <c r="C362" s="15"/>
      <c r="D362" s="15"/>
      <c r="F362" s="18" t="str">
        <f aca="false">IF(B362="","",IFERROR(INDEX(Materials!$B$2:$B$201,MATCH(B362,Materials!$A$2:$A$201,0)),""))</f>
        <v/>
      </c>
      <c r="G362" s="18" t="str">
        <f aca="true">IF(AND(A362="",B362=""),"",IF(A362="","Missing product",IF(B362="","Missing material",IF(COUNTIF(ProductList,A362)=0,"Product not in Products list",IF(COUNTIF(MaterialList,B362)=0,"Material not in Materials list","OK")))))</f>
        <v/>
      </c>
      <c r="H362" s="18" t="str">
        <f aca="false">IF(F362="Active",A362&amp;"|"&amp;COUNTIFS(A$2:A362,A362,F$2:F362,"Active"),"")</f>
        <v/>
      </c>
      <c r="I362" s="18" t="str">
        <f aca="false">IF(B362="","",IF(SUMPRODUCT(MAX((A$1:A361=A362)*(B$1:B361=B362)*ROW(A$1:A361)))=0,C362&amp;"",IF(C362="",INDEX(I$1:I361,SUMPRODUCT(MAX((A$1:A361=A362)*(B$1:B361=B362)*ROW(A$1:A361)))),IF(INDEX(I$1:I361,SUMPRODUCT(MAX((A$1:A361=A362)*(B$1:B361=B362)*ROW(A$1:A361))))="",C362&amp;"",INDEX(I$1:I361,SUMPRODUCT(MAX((A$1:A361=A362)*(B$1:B361=B362)*ROW(A$1:A361))))&amp;"; "&amp;C362))))</f>
        <v/>
      </c>
      <c r="J362" s="18" t="str">
        <f aca="false">IF(A362="","",A362&amp;"|"&amp;COUNTIF(A$2:A362,A362))</f>
        <v/>
      </c>
      <c r="K362" s="18" t="n">
        <f aca="false">IF(OR(A362="",B362=""),0,IF(COUNTIFS(A$2:A362,A362,B$2:B362,B362)=1,1,0))</f>
        <v>0</v>
      </c>
    </row>
    <row r="363" customFormat="false" ht="15" hidden="false" customHeight="false" outlineLevel="0" collapsed="false">
      <c r="A363" s="15"/>
      <c r="B363" s="15"/>
      <c r="C363" s="15"/>
      <c r="D363" s="15"/>
      <c r="F363" s="18" t="str">
        <f aca="false">IF(B363="","",IFERROR(INDEX(Materials!$B$2:$B$201,MATCH(B363,Materials!$A$2:$A$201,0)),""))</f>
        <v/>
      </c>
      <c r="G363" s="18" t="str">
        <f aca="true">IF(AND(A363="",B363=""),"",IF(A363="","Missing product",IF(B363="","Missing material",IF(COUNTIF(ProductList,A363)=0,"Product not in Products list",IF(COUNTIF(MaterialList,B363)=0,"Material not in Materials list","OK")))))</f>
        <v/>
      </c>
      <c r="H363" s="18" t="str">
        <f aca="false">IF(F363="Active",A363&amp;"|"&amp;COUNTIFS(A$2:A363,A363,F$2:F363,"Active"),"")</f>
        <v/>
      </c>
      <c r="I363" s="18" t="str">
        <f aca="false">IF(B363="","",IF(SUMPRODUCT(MAX((A$1:A362=A363)*(B$1:B362=B363)*ROW(A$1:A362)))=0,C363&amp;"",IF(C363="",INDEX(I$1:I362,SUMPRODUCT(MAX((A$1:A362=A363)*(B$1:B362=B363)*ROW(A$1:A362)))),IF(INDEX(I$1:I362,SUMPRODUCT(MAX((A$1:A362=A363)*(B$1:B362=B363)*ROW(A$1:A362))))="",C363&amp;"",INDEX(I$1:I362,SUMPRODUCT(MAX((A$1:A362=A363)*(B$1:B362=B363)*ROW(A$1:A362))))&amp;"; "&amp;C363))))</f>
        <v/>
      </c>
      <c r="J363" s="18" t="str">
        <f aca="false">IF(A363="","",A363&amp;"|"&amp;COUNTIF(A$2:A363,A363))</f>
        <v/>
      </c>
      <c r="K363" s="18" t="n">
        <f aca="false">IF(OR(A363="",B363=""),0,IF(COUNTIFS(A$2:A363,A363,B$2:B363,B363)=1,1,0))</f>
        <v>0</v>
      </c>
    </row>
    <row r="364" customFormat="false" ht="15" hidden="false" customHeight="false" outlineLevel="0" collapsed="false">
      <c r="A364" s="15"/>
      <c r="B364" s="15"/>
      <c r="C364" s="15"/>
      <c r="D364" s="15"/>
      <c r="F364" s="18" t="str">
        <f aca="false">IF(B364="","",IFERROR(INDEX(Materials!$B$2:$B$201,MATCH(B364,Materials!$A$2:$A$201,0)),""))</f>
        <v/>
      </c>
      <c r="G364" s="18" t="str">
        <f aca="true">IF(AND(A364="",B364=""),"",IF(A364="","Missing product",IF(B364="","Missing material",IF(COUNTIF(ProductList,A364)=0,"Product not in Products list",IF(COUNTIF(MaterialList,B364)=0,"Material not in Materials list","OK")))))</f>
        <v/>
      </c>
      <c r="H364" s="18" t="str">
        <f aca="false">IF(F364="Active",A364&amp;"|"&amp;COUNTIFS(A$2:A364,A364,F$2:F364,"Active"),"")</f>
        <v/>
      </c>
      <c r="I364" s="18" t="str">
        <f aca="false">IF(B364="","",IF(SUMPRODUCT(MAX((A$1:A363=A364)*(B$1:B363=B364)*ROW(A$1:A363)))=0,C364&amp;"",IF(C364="",INDEX(I$1:I363,SUMPRODUCT(MAX((A$1:A363=A364)*(B$1:B363=B364)*ROW(A$1:A363)))),IF(INDEX(I$1:I363,SUMPRODUCT(MAX((A$1:A363=A364)*(B$1:B363=B364)*ROW(A$1:A363))))="",C364&amp;"",INDEX(I$1:I363,SUMPRODUCT(MAX((A$1:A363=A364)*(B$1:B363=B364)*ROW(A$1:A363))))&amp;"; "&amp;C364))))</f>
        <v/>
      </c>
      <c r="J364" s="18" t="str">
        <f aca="false">IF(A364="","",A364&amp;"|"&amp;COUNTIF(A$2:A364,A364))</f>
        <v/>
      </c>
      <c r="K364" s="18" t="n">
        <f aca="false">IF(OR(A364="",B364=""),0,IF(COUNTIFS(A$2:A364,A364,B$2:B364,B364)=1,1,0))</f>
        <v>0</v>
      </c>
    </row>
    <row r="365" customFormat="false" ht="15" hidden="false" customHeight="false" outlineLevel="0" collapsed="false">
      <c r="A365" s="15"/>
      <c r="B365" s="15"/>
      <c r="C365" s="15"/>
      <c r="D365" s="15"/>
      <c r="F365" s="18" t="str">
        <f aca="false">IF(B365="","",IFERROR(INDEX(Materials!$B$2:$B$201,MATCH(B365,Materials!$A$2:$A$201,0)),""))</f>
        <v/>
      </c>
      <c r="G365" s="18" t="str">
        <f aca="true">IF(AND(A365="",B365=""),"",IF(A365="","Missing product",IF(B365="","Missing material",IF(COUNTIF(ProductList,A365)=0,"Product not in Products list",IF(COUNTIF(MaterialList,B365)=0,"Material not in Materials list","OK")))))</f>
        <v/>
      </c>
      <c r="H365" s="18" t="str">
        <f aca="false">IF(F365="Active",A365&amp;"|"&amp;COUNTIFS(A$2:A365,A365,F$2:F365,"Active"),"")</f>
        <v/>
      </c>
      <c r="I365" s="18" t="str">
        <f aca="false">IF(B365="","",IF(SUMPRODUCT(MAX((A$1:A364=A365)*(B$1:B364=B365)*ROW(A$1:A364)))=0,C365&amp;"",IF(C365="",INDEX(I$1:I364,SUMPRODUCT(MAX((A$1:A364=A365)*(B$1:B364=B365)*ROW(A$1:A364)))),IF(INDEX(I$1:I364,SUMPRODUCT(MAX((A$1:A364=A365)*(B$1:B364=B365)*ROW(A$1:A364))))="",C365&amp;"",INDEX(I$1:I364,SUMPRODUCT(MAX((A$1:A364=A365)*(B$1:B364=B365)*ROW(A$1:A364))))&amp;"; "&amp;C365))))</f>
        <v/>
      </c>
      <c r="J365" s="18" t="str">
        <f aca="false">IF(A365="","",A365&amp;"|"&amp;COUNTIF(A$2:A365,A365))</f>
        <v/>
      </c>
      <c r="K365" s="18" t="n">
        <f aca="false">IF(OR(A365="",B365=""),0,IF(COUNTIFS(A$2:A365,A365,B$2:B365,B365)=1,1,0))</f>
        <v>0</v>
      </c>
    </row>
    <row r="366" customFormat="false" ht="15" hidden="false" customHeight="false" outlineLevel="0" collapsed="false">
      <c r="A366" s="15"/>
      <c r="B366" s="15"/>
      <c r="C366" s="15"/>
      <c r="D366" s="15"/>
      <c r="F366" s="18" t="str">
        <f aca="false">IF(B366="","",IFERROR(INDEX(Materials!$B$2:$B$201,MATCH(B366,Materials!$A$2:$A$201,0)),""))</f>
        <v/>
      </c>
      <c r="G366" s="18" t="str">
        <f aca="true">IF(AND(A366="",B366=""),"",IF(A366="","Missing product",IF(B366="","Missing material",IF(COUNTIF(ProductList,A366)=0,"Product not in Products list",IF(COUNTIF(MaterialList,B366)=0,"Material not in Materials list","OK")))))</f>
        <v/>
      </c>
      <c r="H366" s="18" t="str">
        <f aca="false">IF(F366="Active",A366&amp;"|"&amp;COUNTIFS(A$2:A366,A366,F$2:F366,"Active"),"")</f>
        <v/>
      </c>
      <c r="I366" s="18" t="str">
        <f aca="false">IF(B366="","",IF(SUMPRODUCT(MAX((A$1:A365=A366)*(B$1:B365=B366)*ROW(A$1:A365)))=0,C366&amp;"",IF(C366="",INDEX(I$1:I365,SUMPRODUCT(MAX((A$1:A365=A366)*(B$1:B365=B366)*ROW(A$1:A365)))),IF(INDEX(I$1:I365,SUMPRODUCT(MAX((A$1:A365=A366)*(B$1:B365=B366)*ROW(A$1:A365))))="",C366&amp;"",INDEX(I$1:I365,SUMPRODUCT(MAX((A$1:A365=A366)*(B$1:B365=B366)*ROW(A$1:A365))))&amp;"; "&amp;C366))))</f>
        <v/>
      </c>
      <c r="J366" s="18" t="str">
        <f aca="false">IF(A366="","",A366&amp;"|"&amp;COUNTIF(A$2:A366,A366))</f>
        <v/>
      </c>
      <c r="K366" s="18" t="n">
        <f aca="false">IF(OR(A366="",B366=""),0,IF(COUNTIFS(A$2:A366,A366,B$2:B366,B366)=1,1,0))</f>
        <v>0</v>
      </c>
    </row>
    <row r="367" customFormat="false" ht="15" hidden="false" customHeight="false" outlineLevel="0" collapsed="false">
      <c r="A367" s="15"/>
      <c r="B367" s="15"/>
      <c r="C367" s="15"/>
      <c r="D367" s="15"/>
      <c r="F367" s="18" t="str">
        <f aca="false">IF(B367="","",IFERROR(INDEX(Materials!$B$2:$B$201,MATCH(B367,Materials!$A$2:$A$201,0)),""))</f>
        <v/>
      </c>
      <c r="G367" s="18" t="str">
        <f aca="true">IF(AND(A367="",B367=""),"",IF(A367="","Missing product",IF(B367="","Missing material",IF(COUNTIF(ProductList,A367)=0,"Product not in Products list",IF(COUNTIF(MaterialList,B367)=0,"Material not in Materials list","OK")))))</f>
        <v/>
      </c>
      <c r="H367" s="18" t="str">
        <f aca="false">IF(F367="Active",A367&amp;"|"&amp;COUNTIFS(A$2:A367,A367,F$2:F367,"Active"),"")</f>
        <v/>
      </c>
      <c r="I367" s="18" t="str">
        <f aca="false">IF(B367="","",IF(SUMPRODUCT(MAX((A$1:A366=A367)*(B$1:B366=B367)*ROW(A$1:A366)))=0,C367&amp;"",IF(C367="",INDEX(I$1:I366,SUMPRODUCT(MAX((A$1:A366=A367)*(B$1:B366=B367)*ROW(A$1:A366)))),IF(INDEX(I$1:I366,SUMPRODUCT(MAX((A$1:A366=A367)*(B$1:B366=B367)*ROW(A$1:A366))))="",C367&amp;"",INDEX(I$1:I366,SUMPRODUCT(MAX((A$1:A366=A367)*(B$1:B366=B367)*ROW(A$1:A366))))&amp;"; "&amp;C367))))</f>
        <v/>
      </c>
      <c r="J367" s="18" t="str">
        <f aca="false">IF(A367="","",A367&amp;"|"&amp;COUNTIF(A$2:A367,A367))</f>
        <v/>
      </c>
      <c r="K367" s="18" t="n">
        <f aca="false">IF(OR(A367="",B367=""),0,IF(COUNTIFS(A$2:A367,A367,B$2:B367,B367)=1,1,0))</f>
        <v>0</v>
      </c>
    </row>
    <row r="368" customFormat="false" ht="15" hidden="false" customHeight="false" outlineLevel="0" collapsed="false">
      <c r="A368" s="15"/>
      <c r="B368" s="15"/>
      <c r="C368" s="15"/>
      <c r="D368" s="15"/>
      <c r="F368" s="18" t="str">
        <f aca="false">IF(B368="","",IFERROR(INDEX(Materials!$B$2:$B$201,MATCH(B368,Materials!$A$2:$A$201,0)),""))</f>
        <v/>
      </c>
      <c r="G368" s="18" t="str">
        <f aca="true">IF(AND(A368="",B368=""),"",IF(A368="","Missing product",IF(B368="","Missing material",IF(COUNTIF(ProductList,A368)=0,"Product not in Products list",IF(COUNTIF(MaterialList,B368)=0,"Material not in Materials list","OK")))))</f>
        <v/>
      </c>
      <c r="H368" s="18" t="str">
        <f aca="false">IF(F368="Active",A368&amp;"|"&amp;COUNTIFS(A$2:A368,A368,F$2:F368,"Active"),"")</f>
        <v/>
      </c>
      <c r="I368" s="18" t="str">
        <f aca="false">IF(B368="","",IF(SUMPRODUCT(MAX((A$1:A367=A368)*(B$1:B367=B368)*ROW(A$1:A367)))=0,C368&amp;"",IF(C368="",INDEX(I$1:I367,SUMPRODUCT(MAX((A$1:A367=A368)*(B$1:B367=B368)*ROW(A$1:A367)))),IF(INDEX(I$1:I367,SUMPRODUCT(MAX((A$1:A367=A368)*(B$1:B367=B368)*ROW(A$1:A367))))="",C368&amp;"",INDEX(I$1:I367,SUMPRODUCT(MAX((A$1:A367=A368)*(B$1:B367=B368)*ROW(A$1:A367))))&amp;"; "&amp;C368))))</f>
        <v/>
      </c>
      <c r="J368" s="18" t="str">
        <f aca="false">IF(A368="","",A368&amp;"|"&amp;COUNTIF(A$2:A368,A368))</f>
        <v/>
      </c>
      <c r="K368" s="18" t="n">
        <f aca="false">IF(OR(A368="",B368=""),0,IF(COUNTIFS(A$2:A368,A368,B$2:B368,B368)=1,1,0))</f>
        <v>0</v>
      </c>
    </row>
    <row r="369" customFormat="false" ht="15" hidden="false" customHeight="false" outlineLevel="0" collapsed="false">
      <c r="A369" s="15"/>
      <c r="B369" s="15"/>
      <c r="C369" s="15"/>
      <c r="D369" s="15"/>
      <c r="F369" s="18" t="str">
        <f aca="false">IF(B369="","",IFERROR(INDEX(Materials!$B$2:$B$201,MATCH(B369,Materials!$A$2:$A$201,0)),""))</f>
        <v/>
      </c>
      <c r="G369" s="18" t="str">
        <f aca="true">IF(AND(A369="",B369=""),"",IF(A369="","Missing product",IF(B369="","Missing material",IF(COUNTIF(ProductList,A369)=0,"Product not in Products list",IF(COUNTIF(MaterialList,B369)=0,"Material not in Materials list","OK")))))</f>
        <v/>
      </c>
      <c r="H369" s="18" t="str">
        <f aca="false">IF(F369="Active",A369&amp;"|"&amp;COUNTIFS(A$2:A369,A369,F$2:F369,"Active"),"")</f>
        <v/>
      </c>
      <c r="I369" s="18" t="str">
        <f aca="false">IF(B369="","",IF(SUMPRODUCT(MAX((A$1:A368=A369)*(B$1:B368=B369)*ROW(A$1:A368)))=0,C369&amp;"",IF(C369="",INDEX(I$1:I368,SUMPRODUCT(MAX((A$1:A368=A369)*(B$1:B368=B369)*ROW(A$1:A368)))),IF(INDEX(I$1:I368,SUMPRODUCT(MAX((A$1:A368=A369)*(B$1:B368=B369)*ROW(A$1:A368))))="",C369&amp;"",INDEX(I$1:I368,SUMPRODUCT(MAX((A$1:A368=A369)*(B$1:B368=B369)*ROW(A$1:A368))))&amp;"; "&amp;C369))))</f>
        <v/>
      </c>
      <c r="J369" s="18" t="str">
        <f aca="false">IF(A369="","",A369&amp;"|"&amp;COUNTIF(A$2:A369,A369))</f>
        <v/>
      </c>
      <c r="K369" s="18" t="n">
        <f aca="false">IF(OR(A369="",B369=""),0,IF(COUNTIFS(A$2:A369,A369,B$2:B369,B369)=1,1,0))</f>
        <v>0</v>
      </c>
    </row>
    <row r="370" customFormat="false" ht="15" hidden="false" customHeight="false" outlineLevel="0" collapsed="false">
      <c r="A370" s="15"/>
      <c r="B370" s="15"/>
      <c r="C370" s="15"/>
      <c r="D370" s="15"/>
      <c r="F370" s="18" t="str">
        <f aca="false">IF(B370="","",IFERROR(INDEX(Materials!$B$2:$B$201,MATCH(B370,Materials!$A$2:$A$201,0)),""))</f>
        <v/>
      </c>
      <c r="G370" s="18" t="str">
        <f aca="true">IF(AND(A370="",B370=""),"",IF(A370="","Missing product",IF(B370="","Missing material",IF(COUNTIF(ProductList,A370)=0,"Product not in Products list",IF(COUNTIF(MaterialList,B370)=0,"Material not in Materials list","OK")))))</f>
        <v/>
      </c>
      <c r="H370" s="18" t="str">
        <f aca="false">IF(F370="Active",A370&amp;"|"&amp;COUNTIFS(A$2:A370,A370,F$2:F370,"Active"),"")</f>
        <v/>
      </c>
      <c r="I370" s="18" t="str">
        <f aca="false">IF(B370="","",IF(SUMPRODUCT(MAX((A$1:A369=A370)*(B$1:B369=B370)*ROW(A$1:A369)))=0,C370&amp;"",IF(C370="",INDEX(I$1:I369,SUMPRODUCT(MAX((A$1:A369=A370)*(B$1:B369=B370)*ROW(A$1:A369)))),IF(INDEX(I$1:I369,SUMPRODUCT(MAX((A$1:A369=A370)*(B$1:B369=B370)*ROW(A$1:A369))))="",C370&amp;"",INDEX(I$1:I369,SUMPRODUCT(MAX((A$1:A369=A370)*(B$1:B369=B370)*ROW(A$1:A369))))&amp;"; "&amp;C370))))</f>
        <v/>
      </c>
      <c r="J370" s="18" t="str">
        <f aca="false">IF(A370="","",A370&amp;"|"&amp;COUNTIF(A$2:A370,A370))</f>
        <v/>
      </c>
      <c r="K370" s="18" t="n">
        <f aca="false">IF(OR(A370="",B370=""),0,IF(COUNTIFS(A$2:A370,A370,B$2:B370,B370)=1,1,0))</f>
        <v>0</v>
      </c>
    </row>
    <row r="371" customFormat="false" ht="15" hidden="false" customHeight="false" outlineLevel="0" collapsed="false">
      <c r="A371" s="15"/>
      <c r="B371" s="15"/>
      <c r="C371" s="15"/>
      <c r="D371" s="15"/>
      <c r="F371" s="18" t="str">
        <f aca="false">IF(B371="","",IFERROR(INDEX(Materials!$B$2:$B$201,MATCH(B371,Materials!$A$2:$A$201,0)),""))</f>
        <v/>
      </c>
      <c r="G371" s="18" t="str">
        <f aca="true">IF(AND(A371="",B371=""),"",IF(A371="","Missing product",IF(B371="","Missing material",IF(COUNTIF(ProductList,A371)=0,"Product not in Products list",IF(COUNTIF(MaterialList,B371)=0,"Material not in Materials list","OK")))))</f>
        <v/>
      </c>
      <c r="H371" s="18" t="str">
        <f aca="false">IF(F371="Active",A371&amp;"|"&amp;COUNTIFS(A$2:A371,A371,F$2:F371,"Active"),"")</f>
        <v/>
      </c>
      <c r="I371" s="18" t="str">
        <f aca="false">IF(B371="","",IF(SUMPRODUCT(MAX((A$1:A370=A371)*(B$1:B370=B371)*ROW(A$1:A370)))=0,C371&amp;"",IF(C371="",INDEX(I$1:I370,SUMPRODUCT(MAX((A$1:A370=A371)*(B$1:B370=B371)*ROW(A$1:A370)))),IF(INDEX(I$1:I370,SUMPRODUCT(MAX((A$1:A370=A371)*(B$1:B370=B371)*ROW(A$1:A370))))="",C371&amp;"",INDEX(I$1:I370,SUMPRODUCT(MAX((A$1:A370=A371)*(B$1:B370=B371)*ROW(A$1:A370))))&amp;"; "&amp;C371))))</f>
        <v/>
      </c>
      <c r="J371" s="18" t="str">
        <f aca="false">IF(A371="","",A371&amp;"|"&amp;COUNTIF(A$2:A371,A371))</f>
        <v/>
      </c>
      <c r="K371" s="18" t="n">
        <f aca="false">IF(OR(A371="",B371=""),0,IF(COUNTIFS(A$2:A371,A371,B$2:B371,B371)=1,1,0))</f>
        <v>0</v>
      </c>
    </row>
    <row r="372" customFormat="false" ht="15" hidden="false" customHeight="false" outlineLevel="0" collapsed="false">
      <c r="A372" s="15"/>
      <c r="B372" s="15"/>
      <c r="C372" s="15"/>
      <c r="D372" s="15"/>
      <c r="F372" s="18" t="str">
        <f aca="false">IF(B372="","",IFERROR(INDEX(Materials!$B$2:$B$201,MATCH(B372,Materials!$A$2:$A$201,0)),""))</f>
        <v/>
      </c>
      <c r="G372" s="18" t="str">
        <f aca="true">IF(AND(A372="",B372=""),"",IF(A372="","Missing product",IF(B372="","Missing material",IF(COUNTIF(ProductList,A372)=0,"Product not in Products list",IF(COUNTIF(MaterialList,B372)=0,"Material not in Materials list","OK")))))</f>
        <v/>
      </c>
      <c r="H372" s="18" t="str">
        <f aca="false">IF(F372="Active",A372&amp;"|"&amp;COUNTIFS(A$2:A372,A372,F$2:F372,"Active"),"")</f>
        <v/>
      </c>
      <c r="I372" s="18" t="str">
        <f aca="false">IF(B372="","",IF(SUMPRODUCT(MAX((A$1:A371=A372)*(B$1:B371=B372)*ROW(A$1:A371)))=0,C372&amp;"",IF(C372="",INDEX(I$1:I371,SUMPRODUCT(MAX((A$1:A371=A372)*(B$1:B371=B372)*ROW(A$1:A371)))),IF(INDEX(I$1:I371,SUMPRODUCT(MAX((A$1:A371=A372)*(B$1:B371=B372)*ROW(A$1:A371))))="",C372&amp;"",INDEX(I$1:I371,SUMPRODUCT(MAX((A$1:A371=A372)*(B$1:B371=B372)*ROW(A$1:A371))))&amp;"; "&amp;C372))))</f>
        <v/>
      </c>
      <c r="J372" s="18" t="str">
        <f aca="false">IF(A372="","",A372&amp;"|"&amp;COUNTIF(A$2:A372,A372))</f>
        <v/>
      </c>
      <c r="K372" s="18" t="n">
        <f aca="false">IF(OR(A372="",B372=""),0,IF(COUNTIFS(A$2:A372,A372,B$2:B372,B372)=1,1,0))</f>
        <v>0</v>
      </c>
    </row>
    <row r="373" customFormat="false" ht="15" hidden="false" customHeight="false" outlineLevel="0" collapsed="false">
      <c r="A373" s="15"/>
      <c r="B373" s="15"/>
      <c r="C373" s="15"/>
      <c r="D373" s="15"/>
      <c r="F373" s="18" t="str">
        <f aca="false">IF(B373="","",IFERROR(INDEX(Materials!$B$2:$B$201,MATCH(B373,Materials!$A$2:$A$201,0)),""))</f>
        <v/>
      </c>
      <c r="G373" s="18" t="str">
        <f aca="true">IF(AND(A373="",B373=""),"",IF(A373="","Missing product",IF(B373="","Missing material",IF(COUNTIF(ProductList,A373)=0,"Product not in Products list",IF(COUNTIF(MaterialList,B373)=0,"Material not in Materials list","OK")))))</f>
        <v/>
      </c>
      <c r="H373" s="18" t="str">
        <f aca="false">IF(F373="Active",A373&amp;"|"&amp;COUNTIFS(A$2:A373,A373,F$2:F373,"Active"),"")</f>
        <v/>
      </c>
      <c r="I373" s="18" t="str">
        <f aca="false">IF(B373="","",IF(SUMPRODUCT(MAX((A$1:A372=A373)*(B$1:B372=B373)*ROW(A$1:A372)))=0,C373&amp;"",IF(C373="",INDEX(I$1:I372,SUMPRODUCT(MAX((A$1:A372=A373)*(B$1:B372=B373)*ROW(A$1:A372)))),IF(INDEX(I$1:I372,SUMPRODUCT(MAX((A$1:A372=A373)*(B$1:B372=B373)*ROW(A$1:A372))))="",C373&amp;"",INDEX(I$1:I372,SUMPRODUCT(MAX((A$1:A372=A373)*(B$1:B372=B373)*ROW(A$1:A372))))&amp;"; "&amp;C373))))</f>
        <v/>
      </c>
      <c r="J373" s="18" t="str">
        <f aca="false">IF(A373="","",A373&amp;"|"&amp;COUNTIF(A$2:A373,A373))</f>
        <v/>
      </c>
      <c r="K373" s="18" t="n">
        <f aca="false">IF(OR(A373="",B373=""),0,IF(COUNTIFS(A$2:A373,A373,B$2:B373,B373)=1,1,0))</f>
        <v>0</v>
      </c>
    </row>
    <row r="374" customFormat="false" ht="15" hidden="false" customHeight="false" outlineLevel="0" collapsed="false">
      <c r="A374" s="15"/>
      <c r="B374" s="15"/>
      <c r="C374" s="15"/>
      <c r="D374" s="15"/>
      <c r="F374" s="18" t="str">
        <f aca="false">IF(B374="","",IFERROR(INDEX(Materials!$B$2:$B$201,MATCH(B374,Materials!$A$2:$A$201,0)),""))</f>
        <v/>
      </c>
      <c r="G374" s="18" t="str">
        <f aca="true">IF(AND(A374="",B374=""),"",IF(A374="","Missing product",IF(B374="","Missing material",IF(COUNTIF(ProductList,A374)=0,"Product not in Products list",IF(COUNTIF(MaterialList,B374)=0,"Material not in Materials list","OK")))))</f>
        <v/>
      </c>
      <c r="H374" s="18" t="str">
        <f aca="false">IF(F374="Active",A374&amp;"|"&amp;COUNTIFS(A$2:A374,A374,F$2:F374,"Active"),"")</f>
        <v/>
      </c>
      <c r="I374" s="18" t="str">
        <f aca="false">IF(B374="","",IF(SUMPRODUCT(MAX((A$1:A373=A374)*(B$1:B373=B374)*ROW(A$1:A373)))=0,C374&amp;"",IF(C374="",INDEX(I$1:I373,SUMPRODUCT(MAX((A$1:A373=A374)*(B$1:B373=B374)*ROW(A$1:A373)))),IF(INDEX(I$1:I373,SUMPRODUCT(MAX((A$1:A373=A374)*(B$1:B373=B374)*ROW(A$1:A373))))="",C374&amp;"",INDEX(I$1:I373,SUMPRODUCT(MAX((A$1:A373=A374)*(B$1:B373=B374)*ROW(A$1:A373))))&amp;"; "&amp;C374))))</f>
        <v/>
      </c>
      <c r="J374" s="18" t="str">
        <f aca="false">IF(A374="","",A374&amp;"|"&amp;COUNTIF(A$2:A374,A374))</f>
        <v/>
      </c>
      <c r="K374" s="18" t="n">
        <f aca="false">IF(OR(A374="",B374=""),0,IF(COUNTIFS(A$2:A374,A374,B$2:B374,B374)=1,1,0))</f>
        <v>0</v>
      </c>
    </row>
    <row r="375" customFormat="false" ht="15" hidden="false" customHeight="false" outlineLevel="0" collapsed="false">
      <c r="A375" s="15"/>
      <c r="B375" s="15"/>
      <c r="C375" s="15"/>
      <c r="D375" s="15"/>
      <c r="F375" s="18" t="str">
        <f aca="false">IF(B375="","",IFERROR(INDEX(Materials!$B$2:$B$201,MATCH(B375,Materials!$A$2:$A$201,0)),""))</f>
        <v/>
      </c>
      <c r="G375" s="18" t="str">
        <f aca="true">IF(AND(A375="",B375=""),"",IF(A375="","Missing product",IF(B375="","Missing material",IF(COUNTIF(ProductList,A375)=0,"Product not in Products list",IF(COUNTIF(MaterialList,B375)=0,"Material not in Materials list","OK")))))</f>
        <v/>
      </c>
      <c r="H375" s="18" t="str">
        <f aca="false">IF(F375="Active",A375&amp;"|"&amp;COUNTIFS(A$2:A375,A375,F$2:F375,"Active"),"")</f>
        <v/>
      </c>
      <c r="I375" s="18" t="str">
        <f aca="false">IF(B375="","",IF(SUMPRODUCT(MAX((A$1:A374=A375)*(B$1:B374=B375)*ROW(A$1:A374)))=0,C375&amp;"",IF(C375="",INDEX(I$1:I374,SUMPRODUCT(MAX((A$1:A374=A375)*(B$1:B374=B375)*ROW(A$1:A374)))),IF(INDEX(I$1:I374,SUMPRODUCT(MAX((A$1:A374=A375)*(B$1:B374=B375)*ROW(A$1:A374))))="",C375&amp;"",INDEX(I$1:I374,SUMPRODUCT(MAX((A$1:A374=A375)*(B$1:B374=B375)*ROW(A$1:A374))))&amp;"; "&amp;C375))))</f>
        <v/>
      </c>
      <c r="J375" s="18" t="str">
        <f aca="false">IF(A375="","",A375&amp;"|"&amp;COUNTIF(A$2:A375,A375))</f>
        <v/>
      </c>
      <c r="K375" s="18" t="n">
        <f aca="false">IF(OR(A375="",B375=""),0,IF(COUNTIFS(A$2:A375,A375,B$2:B375,B375)=1,1,0))</f>
        <v>0</v>
      </c>
    </row>
    <row r="376" customFormat="false" ht="15" hidden="false" customHeight="false" outlineLevel="0" collapsed="false">
      <c r="A376" s="15"/>
      <c r="B376" s="15"/>
      <c r="C376" s="15"/>
      <c r="D376" s="15"/>
      <c r="F376" s="18" t="str">
        <f aca="false">IF(B376="","",IFERROR(INDEX(Materials!$B$2:$B$201,MATCH(B376,Materials!$A$2:$A$201,0)),""))</f>
        <v/>
      </c>
      <c r="G376" s="18" t="str">
        <f aca="true">IF(AND(A376="",B376=""),"",IF(A376="","Missing product",IF(B376="","Missing material",IF(COUNTIF(ProductList,A376)=0,"Product not in Products list",IF(COUNTIF(MaterialList,B376)=0,"Material not in Materials list","OK")))))</f>
        <v/>
      </c>
      <c r="H376" s="18" t="str">
        <f aca="false">IF(F376="Active",A376&amp;"|"&amp;COUNTIFS(A$2:A376,A376,F$2:F376,"Active"),"")</f>
        <v/>
      </c>
      <c r="I376" s="18" t="str">
        <f aca="false">IF(B376="","",IF(SUMPRODUCT(MAX((A$1:A375=A376)*(B$1:B375=B376)*ROW(A$1:A375)))=0,C376&amp;"",IF(C376="",INDEX(I$1:I375,SUMPRODUCT(MAX((A$1:A375=A376)*(B$1:B375=B376)*ROW(A$1:A375)))),IF(INDEX(I$1:I375,SUMPRODUCT(MAX((A$1:A375=A376)*(B$1:B375=B376)*ROW(A$1:A375))))="",C376&amp;"",INDEX(I$1:I375,SUMPRODUCT(MAX((A$1:A375=A376)*(B$1:B375=B376)*ROW(A$1:A375))))&amp;"; "&amp;C376))))</f>
        <v/>
      </c>
      <c r="J376" s="18" t="str">
        <f aca="false">IF(A376="","",A376&amp;"|"&amp;COUNTIF(A$2:A376,A376))</f>
        <v/>
      </c>
      <c r="K376" s="18" t="n">
        <f aca="false">IF(OR(A376="",B376=""),0,IF(COUNTIFS(A$2:A376,A376,B$2:B376,B376)=1,1,0))</f>
        <v>0</v>
      </c>
    </row>
    <row r="377" customFormat="false" ht="15" hidden="false" customHeight="false" outlineLevel="0" collapsed="false">
      <c r="A377" s="15"/>
      <c r="B377" s="15"/>
      <c r="C377" s="15"/>
      <c r="D377" s="15"/>
      <c r="F377" s="18" t="str">
        <f aca="false">IF(B377="","",IFERROR(INDEX(Materials!$B$2:$B$201,MATCH(B377,Materials!$A$2:$A$201,0)),""))</f>
        <v/>
      </c>
      <c r="G377" s="18" t="str">
        <f aca="true">IF(AND(A377="",B377=""),"",IF(A377="","Missing product",IF(B377="","Missing material",IF(COUNTIF(ProductList,A377)=0,"Product not in Products list",IF(COUNTIF(MaterialList,B377)=0,"Material not in Materials list","OK")))))</f>
        <v/>
      </c>
      <c r="H377" s="18" t="str">
        <f aca="false">IF(F377="Active",A377&amp;"|"&amp;COUNTIFS(A$2:A377,A377,F$2:F377,"Active"),"")</f>
        <v/>
      </c>
      <c r="I377" s="18" t="str">
        <f aca="false">IF(B377="","",IF(SUMPRODUCT(MAX((A$1:A376=A377)*(B$1:B376=B377)*ROW(A$1:A376)))=0,C377&amp;"",IF(C377="",INDEX(I$1:I376,SUMPRODUCT(MAX((A$1:A376=A377)*(B$1:B376=B377)*ROW(A$1:A376)))),IF(INDEX(I$1:I376,SUMPRODUCT(MAX((A$1:A376=A377)*(B$1:B376=B377)*ROW(A$1:A376))))="",C377&amp;"",INDEX(I$1:I376,SUMPRODUCT(MAX((A$1:A376=A377)*(B$1:B376=B377)*ROW(A$1:A376))))&amp;"; "&amp;C377))))</f>
        <v/>
      </c>
      <c r="J377" s="18" t="str">
        <f aca="false">IF(A377="","",A377&amp;"|"&amp;COUNTIF(A$2:A377,A377))</f>
        <v/>
      </c>
      <c r="K377" s="18" t="n">
        <f aca="false">IF(OR(A377="",B377=""),0,IF(COUNTIFS(A$2:A377,A377,B$2:B377,B377)=1,1,0))</f>
        <v>0</v>
      </c>
    </row>
    <row r="378" customFormat="false" ht="15" hidden="false" customHeight="false" outlineLevel="0" collapsed="false">
      <c r="A378" s="15"/>
      <c r="B378" s="15"/>
      <c r="C378" s="15"/>
      <c r="D378" s="15"/>
      <c r="F378" s="18" t="str">
        <f aca="false">IF(B378="","",IFERROR(INDEX(Materials!$B$2:$B$201,MATCH(B378,Materials!$A$2:$A$201,0)),""))</f>
        <v/>
      </c>
      <c r="G378" s="18" t="str">
        <f aca="true">IF(AND(A378="",B378=""),"",IF(A378="","Missing product",IF(B378="","Missing material",IF(COUNTIF(ProductList,A378)=0,"Product not in Products list",IF(COUNTIF(MaterialList,B378)=0,"Material not in Materials list","OK")))))</f>
        <v/>
      </c>
      <c r="H378" s="18" t="str">
        <f aca="false">IF(F378="Active",A378&amp;"|"&amp;COUNTIFS(A$2:A378,A378,F$2:F378,"Active"),"")</f>
        <v/>
      </c>
      <c r="I378" s="18" t="str">
        <f aca="false">IF(B378="","",IF(SUMPRODUCT(MAX((A$1:A377=A378)*(B$1:B377=B378)*ROW(A$1:A377)))=0,C378&amp;"",IF(C378="",INDEX(I$1:I377,SUMPRODUCT(MAX((A$1:A377=A378)*(B$1:B377=B378)*ROW(A$1:A377)))),IF(INDEX(I$1:I377,SUMPRODUCT(MAX((A$1:A377=A378)*(B$1:B377=B378)*ROW(A$1:A377))))="",C378&amp;"",INDEX(I$1:I377,SUMPRODUCT(MAX((A$1:A377=A378)*(B$1:B377=B378)*ROW(A$1:A377))))&amp;"; "&amp;C378))))</f>
        <v/>
      </c>
      <c r="J378" s="18" t="str">
        <f aca="false">IF(A378="","",A378&amp;"|"&amp;COUNTIF(A$2:A378,A378))</f>
        <v/>
      </c>
      <c r="K378" s="18" t="n">
        <f aca="false">IF(OR(A378="",B378=""),0,IF(COUNTIFS(A$2:A378,A378,B$2:B378,B378)=1,1,0))</f>
        <v>0</v>
      </c>
    </row>
    <row r="379" customFormat="false" ht="15" hidden="false" customHeight="false" outlineLevel="0" collapsed="false">
      <c r="A379" s="15"/>
      <c r="B379" s="15"/>
      <c r="C379" s="15"/>
      <c r="D379" s="15"/>
      <c r="F379" s="18" t="str">
        <f aca="false">IF(B379="","",IFERROR(INDEX(Materials!$B$2:$B$201,MATCH(B379,Materials!$A$2:$A$201,0)),""))</f>
        <v/>
      </c>
      <c r="G379" s="18" t="str">
        <f aca="true">IF(AND(A379="",B379=""),"",IF(A379="","Missing product",IF(B379="","Missing material",IF(COUNTIF(ProductList,A379)=0,"Product not in Products list",IF(COUNTIF(MaterialList,B379)=0,"Material not in Materials list","OK")))))</f>
        <v/>
      </c>
      <c r="H379" s="18" t="str">
        <f aca="false">IF(F379="Active",A379&amp;"|"&amp;COUNTIFS(A$2:A379,A379,F$2:F379,"Active"),"")</f>
        <v/>
      </c>
      <c r="I379" s="18" t="str">
        <f aca="false">IF(B379="","",IF(SUMPRODUCT(MAX((A$1:A378=A379)*(B$1:B378=B379)*ROW(A$1:A378)))=0,C379&amp;"",IF(C379="",INDEX(I$1:I378,SUMPRODUCT(MAX((A$1:A378=A379)*(B$1:B378=B379)*ROW(A$1:A378)))),IF(INDEX(I$1:I378,SUMPRODUCT(MAX((A$1:A378=A379)*(B$1:B378=B379)*ROW(A$1:A378))))="",C379&amp;"",INDEX(I$1:I378,SUMPRODUCT(MAX((A$1:A378=A379)*(B$1:B378=B379)*ROW(A$1:A378))))&amp;"; "&amp;C379))))</f>
        <v/>
      </c>
      <c r="J379" s="18" t="str">
        <f aca="false">IF(A379="","",A379&amp;"|"&amp;COUNTIF(A$2:A379,A379))</f>
        <v/>
      </c>
      <c r="K379" s="18" t="n">
        <f aca="false">IF(OR(A379="",B379=""),0,IF(COUNTIFS(A$2:A379,A379,B$2:B379,B379)=1,1,0))</f>
        <v>0</v>
      </c>
    </row>
    <row r="380" customFormat="false" ht="15" hidden="false" customHeight="false" outlineLevel="0" collapsed="false">
      <c r="A380" s="15"/>
      <c r="B380" s="15"/>
      <c r="C380" s="15"/>
      <c r="D380" s="15"/>
      <c r="F380" s="18" t="str">
        <f aca="false">IF(B380="","",IFERROR(INDEX(Materials!$B$2:$B$201,MATCH(B380,Materials!$A$2:$A$201,0)),""))</f>
        <v/>
      </c>
      <c r="G380" s="18" t="str">
        <f aca="true">IF(AND(A380="",B380=""),"",IF(A380="","Missing product",IF(B380="","Missing material",IF(COUNTIF(ProductList,A380)=0,"Product not in Products list",IF(COUNTIF(MaterialList,B380)=0,"Material not in Materials list","OK")))))</f>
        <v/>
      </c>
      <c r="H380" s="18" t="str">
        <f aca="false">IF(F380="Active",A380&amp;"|"&amp;COUNTIFS(A$2:A380,A380,F$2:F380,"Active"),"")</f>
        <v/>
      </c>
      <c r="I380" s="18" t="str">
        <f aca="false">IF(B380="","",IF(SUMPRODUCT(MAX((A$1:A379=A380)*(B$1:B379=B380)*ROW(A$1:A379)))=0,C380&amp;"",IF(C380="",INDEX(I$1:I379,SUMPRODUCT(MAX((A$1:A379=A380)*(B$1:B379=B380)*ROW(A$1:A379)))),IF(INDEX(I$1:I379,SUMPRODUCT(MAX((A$1:A379=A380)*(B$1:B379=B380)*ROW(A$1:A379))))="",C380&amp;"",INDEX(I$1:I379,SUMPRODUCT(MAX((A$1:A379=A380)*(B$1:B379=B380)*ROW(A$1:A379))))&amp;"; "&amp;C380))))</f>
        <v/>
      </c>
      <c r="J380" s="18" t="str">
        <f aca="false">IF(A380="","",A380&amp;"|"&amp;COUNTIF(A$2:A380,A380))</f>
        <v/>
      </c>
      <c r="K380" s="18" t="n">
        <f aca="false">IF(OR(A380="",B380=""),0,IF(COUNTIFS(A$2:A380,A380,B$2:B380,B380)=1,1,0))</f>
        <v>0</v>
      </c>
    </row>
    <row r="381" customFormat="false" ht="15" hidden="false" customHeight="false" outlineLevel="0" collapsed="false">
      <c r="A381" s="15"/>
      <c r="B381" s="15"/>
      <c r="C381" s="15"/>
      <c r="D381" s="15"/>
      <c r="F381" s="18" t="str">
        <f aca="false">IF(B381="","",IFERROR(INDEX(Materials!$B$2:$B$201,MATCH(B381,Materials!$A$2:$A$201,0)),""))</f>
        <v/>
      </c>
      <c r="G381" s="18" t="str">
        <f aca="true">IF(AND(A381="",B381=""),"",IF(A381="","Missing product",IF(B381="","Missing material",IF(COUNTIF(ProductList,A381)=0,"Product not in Products list",IF(COUNTIF(MaterialList,B381)=0,"Material not in Materials list","OK")))))</f>
        <v/>
      </c>
      <c r="H381" s="18" t="str">
        <f aca="false">IF(F381="Active",A381&amp;"|"&amp;COUNTIFS(A$2:A381,A381,F$2:F381,"Active"),"")</f>
        <v/>
      </c>
      <c r="I381" s="18" t="str">
        <f aca="false">IF(B381="","",IF(SUMPRODUCT(MAX((A$1:A380=A381)*(B$1:B380=B381)*ROW(A$1:A380)))=0,C381&amp;"",IF(C381="",INDEX(I$1:I380,SUMPRODUCT(MAX((A$1:A380=A381)*(B$1:B380=B381)*ROW(A$1:A380)))),IF(INDEX(I$1:I380,SUMPRODUCT(MAX((A$1:A380=A381)*(B$1:B380=B381)*ROW(A$1:A380))))="",C381&amp;"",INDEX(I$1:I380,SUMPRODUCT(MAX((A$1:A380=A381)*(B$1:B380=B381)*ROW(A$1:A380))))&amp;"; "&amp;C381))))</f>
        <v/>
      </c>
      <c r="J381" s="18" t="str">
        <f aca="false">IF(A381="","",A381&amp;"|"&amp;COUNTIF(A$2:A381,A381))</f>
        <v/>
      </c>
      <c r="K381" s="18" t="n">
        <f aca="false">IF(OR(A381="",B381=""),0,IF(COUNTIFS(A$2:A381,A381,B$2:B381,B381)=1,1,0))</f>
        <v>0</v>
      </c>
    </row>
    <row r="382" customFormat="false" ht="15" hidden="false" customHeight="false" outlineLevel="0" collapsed="false">
      <c r="A382" s="15"/>
      <c r="B382" s="15"/>
      <c r="C382" s="15"/>
      <c r="D382" s="15"/>
      <c r="F382" s="18" t="str">
        <f aca="false">IF(B382="","",IFERROR(INDEX(Materials!$B$2:$B$201,MATCH(B382,Materials!$A$2:$A$201,0)),""))</f>
        <v/>
      </c>
      <c r="G382" s="18" t="str">
        <f aca="true">IF(AND(A382="",B382=""),"",IF(A382="","Missing product",IF(B382="","Missing material",IF(COUNTIF(ProductList,A382)=0,"Product not in Products list",IF(COUNTIF(MaterialList,B382)=0,"Material not in Materials list","OK")))))</f>
        <v/>
      </c>
      <c r="H382" s="18" t="str">
        <f aca="false">IF(F382="Active",A382&amp;"|"&amp;COUNTIFS(A$2:A382,A382,F$2:F382,"Active"),"")</f>
        <v/>
      </c>
      <c r="I382" s="18" t="str">
        <f aca="false">IF(B382="","",IF(SUMPRODUCT(MAX((A$1:A381=A382)*(B$1:B381=B382)*ROW(A$1:A381)))=0,C382&amp;"",IF(C382="",INDEX(I$1:I381,SUMPRODUCT(MAX((A$1:A381=A382)*(B$1:B381=B382)*ROW(A$1:A381)))),IF(INDEX(I$1:I381,SUMPRODUCT(MAX((A$1:A381=A382)*(B$1:B381=B382)*ROW(A$1:A381))))="",C382&amp;"",INDEX(I$1:I381,SUMPRODUCT(MAX((A$1:A381=A382)*(B$1:B381=B382)*ROW(A$1:A381))))&amp;"; "&amp;C382))))</f>
        <v/>
      </c>
      <c r="J382" s="18" t="str">
        <f aca="false">IF(A382="","",A382&amp;"|"&amp;COUNTIF(A$2:A382,A382))</f>
        <v/>
      </c>
      <c r="K382" s="18" t="n">
        <f aca="false">IF(OR(A382="",B382=""),0,IF(COUNTIFS(A$2:A382,A382,B$2:B382,B382)=1,1,0))</f>
        <v>0</v>
      </c>
    </row>
    <row r="383" customFormat="false" ht="15" hidden="false" customHeight="false" outlineLevel="0" collapsed="false">
      <c r="A383" s="15"/>
      <c r="B383" s="15"/>
      <c r="C383" s="15"/>
      <c r="D383" s="15"/>
      <c r="F383" s="18" t="str">
        <f aca="false">IF(B383="","",IFERROR(INDEX(Materials!$B$2:$B$201,MATCH(B383,Materials!$A$2:$A$201,0)),""))</f>
        <v/>
      </c>
      <c r="G383" s="18" t="str">
        <f aca="true">IF(AND(A383="",B383=""),"",IF(A383="","Missing product",IF(B383="","Missing material",IF(COUNTIF(ProductList,A383)=0,"Product not in Products list",IF(COUNTIF(MaterialList,B383)=0,"Material not in Materials list","OK")))))</f>
        <v/>
      </c>
      <c r="H383" s="18" t="str">
        <f aca="false">IF(F383="Active",A383&amp;"|"&amp;COUNTIFS(A$2:A383,A383,F$2:F383,"Active"),"")</f>
        <v/>
      </c>
      <c r="I383" s="18" t="str">
        <f aca="false">IF(B383="","",IF(SUMPRODUCT(MAX((A$1:A382=A383)*(B$1:B382=B383)*ROW(A$1:A382)))=0,C383&amp;"",IF(C383="",INDEX(I$1:I382,SUMPRODUCT(MAX((A$1:A382=A383)*(B$1:B382=B383)*ROW(A$1:A382)))),IF(INDEX(I$1:I382,SUMPRODUCT(MAX((A$1:A382=A383)*(B$1:B382=B383)*ROW(A$1:A382))))="",C383&amp;"",INDEX(I$1:I382,SUMPRODUCT(MAX((A$1:A382=A383)*(B$1:B382=B383)*ROW(A$1:A382))))&amp;"; "&amp;C383))))</f>
        <v/>
      </c>
      <c r="J383" s="18" t="str">
        <f aca="false">IF(A383="","",A383&amp;"|"&amp;COUNTIF(A$2:A383,A383))</f>
        <v/>
      </c>
      <c r="K383" s="18" t="n">
        <f aca="false">IF(OR(A383="",B383=""),0,IF(COUNTIFS(A$2:A383,A383,B$2:B383,B383)=1,1,0))</f>
        <v>0</v>
      </c>
    </row>
    <row r="384" customFormat="false" ht="15" hidden="false" customHeight="false" outlineLevel="0" collapsed="false">
      <c r="A384" s="15"/>
      <c r="B384" s="15"/>
      <c r="C384" s="15"/>
      <c r="D384" s="15"/>
      <c r="F384" s="18" t="str">
        <f aca="false">IF(B384="","",IFERROR(INDEX(Materials!$B$2:$B$201,MATCH(B384,Materials!$A$2:$A$201,0)),""))</f>
        <v/>
      </c>
      <c r="G384" s="18" t="str">
        <f aca="true">IF(AND(A384="",B384=""),"",IF(A384="","Missing product",IF(B384="","Missing material",IF(COUNTIF(ProductList,A384)=0,"Product not in Products list",IF(COUNTIF(MaterialList,B384)=0,"Material not in Materials list","OK")))))</f>
        <v/>
      </c>
      <c r="H384" s="18" t="str">
        <f aca="false">IF(F384="Active",A384&amp;"|"&amp;COUNTIFS(A$2:A384,A384,F$2:F384,"Active"),"")</f>
        <v/>
      </c>
      <c r="I384" s="18" t="str">
        <f aca="false">IF(B384="","",IF(SUMPRODUCT(MAX((A$1:A383=A384)*(B$1:B383=B384)*ROW(A$1:A383)))=0,C384&amp;"",IF(C384="",INDEX(I$1:I383,SUMPRODUCT(MAX((A$1:A383=A384)*(B$1:B383=B384)*ROW(A$1:A383)))),IF(INDEX(I$1:I383,SUMPRODUCT(MAX((A$1:A383=A384)*(B$1:B383=B384)*ROW(A$1:A383))))="",C384&amp;"",INDEX(I$1:I383,SUMPRODUCT(MAX((A$1:A383=A384)*(B$1:B383=B384)*ROW(A$1:A383))))&amp;"; "&amp;C384))))</f>
        <v/>
      </c>
      <c r="J384" s="18" t="str">
        <f aca="false">IF(A384="","",A384&amp;"|"&amp;COUNTIF(A$2:A384,A384))</f>
        <v/>
      </c>
      <c r="K384" s="18" t="n">
        <f aca="false">IF(OR(A384="",B384=""),0,IF(COUNTIFS(A$2:A384,A384,B$2:B384,B384)=1,1,0))</f>
        <v>0</v>
      </c>
    </row>
    <row r="385" customFormat="false" ht="15" hidden="false" customHeight="false" outlineLevel="0" collapsed="false">
      <c r="A385" s="15"/>
      <c r="B385" s="15"/>
      <c r="C385" s="15"/>
      <c r="D385" s="15"/>
      <c r="F385" s="18" t="str">
        <f aca="false">IF(B385="","",IFERROR(INDEX(Materials!$B$2:$B$201,MATCH(B385,Materials!$A$2:$A$201,0)),""))</f>
        <v/>
      </c>
      <c r="G385" s="18" t="str">
        <f aca="true">IF(AND(A385="",B385=""),"",IF(A385="","Missing product",IF(B385="","Missing material",IF(COUNTIF(ProductList,A385)=0,"Product not in Products list",IF(COUNTIF(MaterialList,B385)=0,"Material not in Materials list","OK")))))</f>
        <v/>
      </c>
      <c r="H385" s="18" t="str">
        <f aca="false">IF(F385="Active",A385&amp;"|"&amp;COUNTIFS(A$2:A385,A385,F$2:F385,"Active"),"")</f>
        <v/>
      </c>
      <c r="I385" s="18" t="str">
        <f aca="false">IF(B385="","",IF(SUMPRODUCT(MAX((A$1:A384=A385)*(B$1:B384=B385)*ROW(A$1:A384)))=0,C385&amp;"",IF(C385="",INDEX(I$1:I384,SUMPRODUCT(MAX((A$1:A384=A385)*(B$1:B384=B385)*ROW(A$1:A384)))),IF(INDEX(I$1:I384,SUMPRODUCT(MAX((A$1:A384=A385)*(B$1:B384=B385)*ROW(A$1:A384))))="",C385&amp;"",INDEX(I$1:I384,SUMPRODUCT(MAX((A$1:A384=A385)*(B$1:B384=B385)*ROW(A$1:A384))))&amp;"; "&amp;C385))))</f>
        <v/>
      </c>
      <c r="J385" s="18" t="str">
        <f aca="false">IF(A385="","",A385&amp;"|"&amp;COUNTIF(A$2:A385,A385))</f>
        <v/>
      </c>
      <c r="K385" s="18" t="n">
        <f aca="false">IF(OR(A385="",B385=""),0,IF(COUNTIFS(A$2:A385,A385,B$2:B385,B385)=1,1,0))</f>
        <v>0</v>
      </c>
    </row>
    <row r="386" customFormat="false" ht="15" hidden="false" customHeight="false" outlineLevel="0" collapsed="false">
      <c r="A386" s="15"/>
      <c r="B386" s="15"/>
      <c r="C386" s="15"/>
      <c r="D386" s="15"/>
      <c r="F386" s="18" t="str">
        <f aca="false">IF(B386="","",IFERROR(INDEX(Materials!$B$2:$B$201,MATCH(B386,Materials!$A$2:$A$201,0)),""))</f>
        <v/>
      </c>
      <c r="G386" s="18" t="str">
        <f aca="true">IF(AND(A386="",B386=""),"",IF(A386="","Missing product",IF(B386="","Missing material",IF(COUNTIF(ProductList,A386)=0,"Product not in Products list",IF(COUNTIF(MaterialList,B386)=0,"Material not in Materials list","OK")))))</f>
        <v/>
      </c>
      <c r="H386" s="18" t="str">
        <f aca="false">IF(F386="Active",A386&amp;"|"&amp;COUNTIFS(A$2:A386,A386,F$2:F386,"Active"),"")</f>
        <v/>
      </c>
      <c r="I386" s="18" t="str">
        <f aca="false">IF(B386="","",IF(SUMPRODUCT(MAX((A$1:A385=A386)*(B$1:B385=B386)*ROW(A$1:A385)))=0,C386&amp;"",IF(C386="",INDEX(I$1:I385,SUMPRODUCT(MAX((A$1:A385=A386)*(B$1:B385=B386)*ROW(A$1:A385)))),IF(INDEX(I$1:I385,SUMPRODUCT(MAX((A$1:A385=A386)*(B$1:B385=B386)*ROW(A$1:A385))))="",C386&amp;"",INDEX(I$1:I385,SUMPRODUCT(MAX((A$1:A385=A386)*(B$1:B385=B386)*ROW(A$1:A385))))&amp;"; "&amp;C386))))</f>
        <v/>
      </c>
      <c r="J386" s="18" t="str">
        <f aca="false">IF(A386="","",A386&amp;"|"&amp;COUNTIF(A$2:A386,A386))</f>
        <v/>
      </c>
      <c r="K386" s="18" t="n">
        <f aca="false">IF(OR(A386="",B386=""),0,IF(COUNTIFS(A$2:A386,A386,B$2:B386,B386)=1,1,0))</f>
        <v>0</v>
      </c>
    </row>
    <row r="387" customFormat="false" ht="15" hidden="false" customHeight="false" outlineLevel="0" collapsed="false">
      <c r="A387" s="15"/>
      <c r="B387" s="15"/>
      <c r="C387" s="15"/>
      <c r="D387" s="15"/>
      <c r="F387" s="18" t="str">
        <f aca="false">IF(B387="","",IFERROR(INDEX(Materials!$B$2:$B$201,MATCH(B387,Materials!$A$2:$A$201,0)),""))</f>
        <v/>
      </c>
      <c r="G387" s="18" t="str">
        <f aca="true">IF(AND(A387="",B387=""),"",IF(A387="","Missing product",IF(B387="","Missing material",IF(COUNTIF(ProductList,A387)=0,"Product not in Products list",IF(COUNTIF(MaterialList,B387)=0,"Material not in Materials list","OK")))))</f>
        <v/>
      </c>
      <c r="H387" s="18" t="str">
        <f aca="false">IF(F387="Active",A387&amp;"|"&amp;COUNTIFS(A$2:A387,A387,F$2:F387,"Active"),"")</f>
        <v/>
      </c>
      <c r="I387" s="18" t="str">
        <f aca="false">IF(B387="","",IF(SUMPRODUCT(MAX((A$1:A386=A387)*(B$1:B386=B387)*ROW(A$1:A386)))=0,C387&amp;"",IF(C387="",INDEX(I$1:I386,SUMPRODUCT(MAX((A$1:A386=A387)*(B$1:B386=B387)*ROW(A$1:A386)))),IF(INDEX(I$1:I386,SUMPRODUCT(MAX((A$1:A386=A387)*(B$1:B386=B387)*ROW(A$1:A386))))="",C387&amp;"",INDEX(I$1:I386,SUMPRODUCT(MAX((A$1:A386=A387)*(B$1:B386=B387)*ROW(A$1:A386))))&amp;"; "&amp;C387))))</f>
        <v/>
      </c>
      <c r="J387" s="18" t="str">
        <f aca="false">IF(A387="","",A387&amp;"|"&amp;COUNTIF(A$2:A387,A387))</f>
        <v/>
      </c>
      <c r="K387" s="18" t="n">
        <f aca="false">IF(OR(A387="",B387=""),0,IF(COUNTIFS(A$2:A387,A387,B$2:B387,B387)=1,1,0))</f>
        <v>0</v>
      </c>
    </row>
    <row r="388" customFormat="false" ht="15" hidden="false" customHeight="false" outlineLevel="0" collapsed="false">
      <c r="A388" s="15"/>
      <c r="B388" s="15"/>
      <c r="C388" s="15"/>
      <c r="D388" s="15"/>
      <c r="F388" s="18" t="str">
        <f aca="false">IF(B388="","",IFERROR(INDEX(Materials!$B$2:$B$201,MATCH(B388,Materials!$A$2:$A$201,0)),""))</f>
        <v/>
      </c>
      <c r="G388" s="18" t="str">
        <f aca="true">IF(AND(A388="",B388=""),"",IF(A388="","Missing product",IF(B388="","Missing material",IF(COUNTIF(ProductList,A388)=0,"Product not in Products list",IF(COUNTIF(MaterialList,B388)=0,"Material not in Materials list","OK")))))</f>
        <v/>
      </c>
      <c r="H388" s="18" t="str">
        <f aca="false">IF(F388="Active",A388&amp;"|"&amp;COUNTIFS(A$2:A388,A388,F$2:F388,"Active"),"")</f>
        <v/>
      </c>
      <c r="I388" s="18" t="str">
        <f aca="false">IF(B388="","",IF(SUMPRODUCT(MAX((A$1:A387=A388)*(B$1:B387=B388)*ROW(A$1:A387)))=0,C388&amp;"",IF(C388="",INDEX(I$1:I387,SUMPRODUCT(MAX((A$1:A387=A388)*(B$1:B387=B388)*ROW(A$1:A387)))),IF(INDEX(I$1:I387,SUMPRODUCT(MAX((A$1:A387=A388)*(B$1:B387=B388)*ROW(A$1:A387))))="",C388&amp;"",INDEX(I$1:I387,SUMPRODUCT(MAX((A$1:A387=A388)*(B$1:B387=B388)*ROW(A$1:A387))))&amp;"; "&amp;C388))))</f>
        <v/>
      </c>
      <c r="J388" s="18" t="str">
        <f aca="false">IF(A388="","",A388&amp;"|"&amp;COUNTIF(A$2:A388,A388))</f>
        <v/>
      </c>
      <c r="K388" s="18" t="n">
        <f aca="false">IF(OR(A388="",B388=""),0,IF(COUNTIFS(A$2:A388,A388,B$2:B388,B388)=1,1,0))</f>
        <v>0</v>
      </c>
    </row>
    <row r="389" customFormat="false" ht="15" hidden="false" customHeight="false" outlineLevel="0" collapsed="false">
      <c r="A389" s="15"/>
      <c r="B389" s="15"/>
      <c r="C389" s="15"/>
      <c r="D389" s="15"/>
      <c r="F389" s="18" t="str">
        <f aca="false">IF(B389="","",IFERROR(INDEX(Materials!$B$2:$B$201,MATCH(B389,Materials!$A$2:$A$201,0)),""))</f>
        <v/>
      </c>
      <c r="G389" s="18" t="str">
        <f aca="true">IF(AND(A389="",B389=""),"",IF(A389="","Missing product",IF(B389="","Missing material",IF(COUNTIF(ProductList,A389)=0,"Product not in Products list",IF(COUNTIF(MaterialList,B389)=0,"Material not in Materials list","OK")))))</f>
        <v/>
      </c>
      <c r="H389" s="18" t="str">
        <f aca="false">IF(F389="Active",A389&amp;"|"&amp;COUNTIFS(A$2:A389,A389,F$2:F389,"Active"),"")</f>
        <v/>
      </c>
      <c r="I389" s="18" t="str">
        <f aca="false">IF(B389="","",IF(SUMPRODUCT(MAX((A$1:A388=A389)*(B$1:B388=B389)*ROW(A$1:A388)))=0,C389&amp;"",IF(C389="",INDEX(I$1:I388,SUMPRODUCT(MAX((A$1:A388=A389)*(B$1:B388=B389)*ROW(A$1:A388)))),IF(INDEX(I$1:I388,SUMPRODUCT(MAX((A$1:A388=A389)*(B$1:B388=B389)*ROW(A$1:A388))))="",C389&amp;"",INDEX(I$1:I388,SUMPRODUCT(MAX((A$1:A388=A389)*(B$1:B388=B389)*ROW(A$1:A388))))&amp;"; "&amp;C389))))</f>
        <v/>
      </c>
      <c r="J389" s="18" t="str">
        <f aca="false">IF(A389="","",A389&amp;"|"&amp;COUNTIF(A$2:A389,A389))</f>
        <v/>
      </c>
      <c r="K389" s="18" t="n">
        <f aca="false">IF(OR(A389="",B389=""),0,IF(COUNTIFS(A$2:A389,A389,B$2:B389,B389)=1,1,0))</f>
        <v>0</v>
      </c>
    </row>
    <row r="390" customFormat="false" ht="15" hidden="false" customHeight="false" outlineLevel="0" collapsed="false">
      <c r="A390" s="15"/>
      <c r="B390" s="15"/>
      <c r="C390" s="15"/>
      <c r="D390" s="15"/>
      <c r="F390" s="18" t="str">
        <f aca="false">IF(B390="","",IFERROR(INDEX(Materials!$B$2:$B$201,MATCH(B390,Materials!$A$2:$A$201,0)),""))</f>
        <v/>
      </c>
      <c r="G390" s="18" t="str">
        <f aca="true">IF(AND(A390="",B390=""),"",IF(A390="","Missing product",IF(B390="","Missing material",IF(COUNTIF(ProductList,A390)=0,"Product not in Products list",IF(COUNTIF(MaterialList,B390)=0,"Material not in Materials list","OK")))))</f>
        <v/>
      </c>
      <c r="H390" s="18" t="str">
        <f aca="false">IF(F390="Active",A390&amp;"|"&amp;COUNTIFS(A$2:A390,A390,F$2:F390,"Active"),"")</f>
        <v/>
      </c>
      <c r="I390" s="18" t="str">
        <f aca="false">IF(B390="","",IF(SUMPRODUCT(MAX((A$1:A389=A390)*(B$1:B389=B390)*ROW(A$1:A389)))=0,C390&amp;"",IF(C390="",INDEX(I$1:I389,SUMPRODUCT(MAX((A$1:A389=A390)*(B$1:B389=B390)*ROW(A$1:A389)))),IF(INDEX(I$1:I389,SUMPRODUCT(MAX((A$1:A389=A390)*(B$1:B389=B390)*ROW(A$1:A389))))="",C390&amp;"",INDEX(I$1:I389,SUMPRODUCT(MAX((A$1:A389=A390)*(B$1:B389=B390)*ROW(A$1:A389))))&amp;"; "&amp;C390))))</f>
        <v/>
      </c>
      <c r="J390" s="18" t="str">
        <f aca="false">IF(A390="","",A390&amp;"|"&amp;COUNTIF(A$2:A390,A390))</f>
        <v/>
      </c>
      <c r="K390" s="18" t="n">
        <f aca="false">IF(OR(A390="",B390=""),0,IF(COUNTIFS(A$2:A390,A390,B$2:B390,B390)=1,1,0))</f>
        <v>0</v>
      </c>
    </row>
    <row r="391" customFormat="false" ht="15" hidden="false" customHeight="false" outlineLevel="0" collapsed="false">
      <c r="A391" s="15"/>
      <c r="B391" s="15"/>
      <c r="C391" s="15"/>
      <c r="D391" s="15"/>
      <c r="F391" s="18" t="str">
        <f aca="false">IF(B391="","",IFERROR(INDEX(Materials!$B$2:$B$201,MATCH(B391,Materials!$A$2:$A$201,0)),""))</f>
        <v/>
      </c>
      <c r="G391" s="18" t="str">
        <f aca="true">IF(AND(A391="",B391=""),"",IF(A391="","Missing product",IF(B391="","Missing material",IF(COUNTIF(ProductList,A391)=0,"Product not in Products list",IF(COUNTIF(MaterialList,B391)=0,"Material not in Materials list","OK")))))</f>
        <v/>
      </c>
      <c r="H391" s="18" t="str">
        <f aca="false">IF(F391="Active",A391&amp;"|"&amp;COUNTIFS(A$2:A391,A391,F$2:F391,"Active"),"")</f>
        <v/>
      </c>
      <c r="I391" s="18" t="str">
        <f aca="false">IF(B391="","",IF(SUMPRODUCT(MAX((A$1:A390=A391)*(B$1:B390=B391)*ROW(A$1:A390)))=0,C391&amp;"",IF(C391="",INDEX(I$1:I390,SUMPRODUCT(MAX((A$1:A390=A391)*(B$1:B390=B391)*ROW(A$1:A390)))),IF(INDEX(I$1:I390,SUMPRODUCT(MAX((A$1:A390=A391)*(B$1:B390=B391)*ROW(A$1:A390))))="",C391&amp;"",INDEX(I$1:I390,SUMPRODUCT(MAX((A$1:A390=A391)*(B$1:B390=B391)*ROW(A$1:A390))))&amp;"; "&amp;C391))))</f>
        <v/>
      </c>
      <c r="J391" s="18" t="str">
        <f aca="false">IF(A391="","",A391&amp;"|"&amp;COUNTIF(A$2:A391,A391))</f>
        <v/>
      </c>
      <c r="K391" s="18" t="n">
        <f aca="false">IF(OR(A391="",B391=""),0,IF(COUNTIFS(A$2:A391,A391,B$2:B391,B391)=1,1,0))</f>
        <v>0</v>
      </c>
    </row>
    <row r="392" customFormat="false" ht="15" hidden="false" customHeight="false" outlineLevel="0" collapsed="false">
      <c r="A392" s="15"/>
      <c r="B392" s="15"/>
      <c r="C392" s="15"/>
      <c r="D392" s="15"/>
      <c r="F392" s="18" t="str">
        <f aca="false">IF(B392="","",IFERROR(INDEX(Materials!$B$2:$B$201,MATCH(B392,Materials!$A$2:$A$201,0)),""))</f>
        <v/>
      </c>
      <c r="G392" s="18" t="str">
        <f aca="true">IF(AND(A392="",B392=""),"",IF(A392="","Missing product",IF(B392="","Missing material",IF(COUNTIF(ProductList,A392)=0,"Product not in Products list",IF(COUNTIF(MaterialList,B392)=0,"Material not in Materials list","OK")))))</f>
        <v/>
      </c>
      <c r="H392" s="18" t="str">
        <f aca="false">IF(F392="Active",A392&amp;"|"&amp;COUNTIFS(A$2:A392,A392,F$2:F392,"Active"),"")</f>
        <v/>
      </c>
      <c r="I392" s="18" t="str">
        <f aca="false">IF(B392="","",IF(SUMPRODUCT(MAX((A$1:A391=A392)*(B$1:B391=B392)*ROW(A$1:A391)))=0,C392&amp;"",IF(C392="",INDEX(I$1:I391,SUMPRODUCT(MAX((A$1:A391=A392)*(B$1:B391=B392)*ROW(A$1:A391)))),IF(INDEX(I$1:I391,SUMPRODUCT(MAX((A$1:A391=A392)*(B$1:B391=B392)*ROW(A$1:A391))))="",C392&amp;"",INDEX(I$1:I391,SUMPRODUCT(MAX((A$1:A391=A392)*(B$1:B391=B392)*ROW(A$1:A391))))&amp;"; "&amp;C392))))</f>
        <v/>
      </c>
      <c r="J392" s="18" t="str">
        <f aca="false">IF(A392="","",A392&amp;"|"&amp;COUNTIF(A$2:A392,A392))</f>
        <v/>
      </c>
      <c r="K392" s="18" t="n">
        <f aca="false">IF(OR(A392="",B392=""),0,IF(COUNTIFS(A$2:A392,A392,B$2:B392,B392)=1,1,0))</f>
        <v>0</v>
      </c>
    </row>
    <row r="393" customFormat="false" ht="15" hidden="false" customHeight="false" outlineLevel="0" collapsed="false">
      <c r="A393" s="15"/>
      <c r="B393" s="15"/>
      <c r="C393" s="15"/>
      <c r="D393" s="15"/>
      <c r="F393" s="18" t="str">
        <f aca="false">IF(B393="","",IFERROR(INDEX(Materials!$B$2:$B$201,MATCH(B393,Materials!$A$2:$A$201,0)),""))</f>
        <v/>
      </c>
      <c r="G393" s="18" t="str">
        <f aca="true">IF(AND(A393="",B393=""),"",IF(A393="","Missing product",IF(B393="","Missing material",IF(COUNTIF(ProductList,A393)=0,"Product not in Products list",IF(COUNTIF(MaterialList,B393)=0,"Material not in Materials list","OK")))))</f>
        <v/>
      </c>
      <c r="H393" s="18" t="str">
        <f aca="false">IF(F393="Active",A393&amp;"|"&amp;COUNTIFS(A$2:A393,A393,F$2:F393,"Active"),"")</f>
        <v/>
      </c>
      <c r="I393" s="18" t="str">
        <f aca="false">IF(B393="","",IF(SUMPRODUCT(MAX((A$1:A392=A393)*(B$1:B392=B393)*ROW(A$1:A392)))=0,C393&amp;"",IF(C393="",INDEX(I$1:I392,SUMPRODUCT(MAX((A$1:A392=A393)*(B$1:B392=B393)*ROW(A$1:A392)))),IF(INDEX(I$1:I392,SUMPRODUCT(MAX((A$1:A392=A393)*(B$1:B392=B393)*ROW(A$1:A392))))="",C393&amp;"",INDEX(I$1:I392,SUMPRODUCT(MAX((A$1:A392=A393)*(B$1:B392=B393)*ROW(A$1:A392))))&amp;"; "&amp;C393))))</f>
        <v/>
      </c>
      <c r="J393" s="18" t="str">
        <f aca="false">IF(A393="","",A393&amp;"|"&amp;COUNTIF(A$2:A393,A393))</f>
        <v/>
      </c>
      <c r="K393" s="18" t="n">
        <f aca="false">IF(OR(A393="",B393=""),0,IF(COUNTIFS(A$2:A393,A393,B$2:B393,B393)=1,1,0))</f>
        <v>0</v>
      </c>
    </row>
    <row r="394" customFormat="false" ht="15" hidden="false" customHeight="false" outlineLevel="0" collapsed="false">
      <c r="A394" s="15"/>
      <c r="B394" s="15"/>
      <c r="C394" s="15"/>
      <c r="D394" s="15"/>
      <c r="F394" s="18" t="str">
        <f aca="false">IF(B394="","",IFERROR(INDEX(Materials!$B$2:$B$201,MATCH(B394,Materials!$A$2:$A$201,0)),""))</f>
        <v/>
      </c>
      <c r="G394" s="18" t="str">
        <f aca="true">IF(AND(A394="",B394=""),"",IF(A394="","Missing product",IF(B394="","Missing material",IF(COUNTIF(ProductList,A394)=0,"Product not in Products list",IF(COUNTIF(MaterialList,B394)=0,"Material not in Materials list","OK")))))</f>
        <v/>
      </c>
      <c r="H394" s="18" t="str">
        <f aca="false">IF(F394="Active",A394&amp;"|"&amp;COUNTIFS(A$2:A394,A394,F$2:F394,"Active"),"")</f>
        <v/>
      </c>
      <c r="I394" s="18" t="str">
        <f aca="false">IF(B394="","",IF(SUMPRODUCT(MAX((A$1:A393=A394)*(B$1:B393=B394)*ROW(A$1:A393)))=0,C394&amp;"",IF(C394="",INDEX(I$1:I393,SUMPRODUCT(MAX((A$1:A393=A394)*(B$1:B393=B394)*ROW(A$1:A393)))),IF(INDEX(I$1:I393,SUMPRODUCT(MAX((A$1:A393=A394)*(B$1:B393=B394)*ROW(A$1:A393))))="",C394&amp;"",INDEX(I$1:I393,SUMPRODUCT(MAX((A$1:A393=A394)*(B$1:B393=B394)*ROW(A$1:A393))))&amp;"; "&amp;C394))))</f>
        <v/>
      </c>
      <c r="J394" s="18" t="str">
        <f aca="false">IF(A394="","",A394&amp;"|"&amp;COUNTIF(A$2:A394,A394))</f>
        <v/>
      </c>
      <c r="K394" s="18" t="n">
        <f aca="false">IF(OR(A394="",B394=""),0,IF(COUNTIFS(A$2:A394,A394,B$2:B394,B394)=1,1,0))</f>
        <v>0</v>
      </c>
    </row>
    <row r="395" customFormat="false" ht="15" hidden="false" customHeight="false" outlineLevel="0" collapsed="false">
      <c r="A395" s="15"/>
      <c r="B395" s="15"/>
      <c r="C395" s="15"/>
      <c r="D395" s="15"/>
      <c r="F395" s="18" t="str">
        <f aca="false">IF(B395="","",IFERROR(INDEX(Materials!$B$2:$B$201,MATCH(B395,Materials!$A$2:$A$201,0)),""))</f>
        <v/>
      </c>
      <c r="G395" s="18" t="str">
        <f aca="true">IF(AND(A395="",B395=""),"",IF(A395="","Missing product",IF(B395="","Missing material",IF(COUNTIF(ProductList,A395)=0,"Product not in Products list",IF(COUNTIF(MaterialList,B395)=0,"Material not in Materials list","OK")))))</f>
        <v/>
      </c>
      <c r="H395" s="18" t="str">
        <f aca="false">IF(F395="Active",A395&amp;"|"&amp;COUNTIFS(A$2:A395,A395,F$2:F395,"Active"),"")</f>
        <v/>
      </c>
      <c r="I395" s="18" t="str">
        <f aca="false">IF(B395="","",IF(SUMPRODUCT(MAX((A$1:A394=A395)*(B$1:B394=B395)*ROW(A$1:A394)))=0,C395&amp;"",IF(C395="",INDEX(I$1:I394,SUMPRODUCT(MAX((A$1:A394=A395)*(B$1:B394=B395)*ROW(A$1:A394)))),IF(INDEX(I$1:I394,SUMPRODUCT(MAX((A$1:A394=A395)*(B$1:B394=B395)*ROW(A$1:A394))))="",C395&amp;"",INDEX(I$1:I394,SUMPRODUCT(MAX((A$1:A394=A395)*(B$1:B394=B395)*ROW(A$1:A394))))&amp;"; "&amp;C395))))</f>
        <v/>
      </c>
      <c r="J395" s="18" t="str">
        <f aca="false">IF(A395="","",A395&amp;"|"&amp;COUNTIF(A$2:A395,A395))</f>
        <v/>
      </c>
      <c r="K395" s="18" t="n">
        <f aca="false">IF(OR(A395="",B395=""),0,IF(COUNTIFS(A$2:A395,A395,B$2:B395,B395)=1,1,0))</f>
        <v>0</v>
      </c>
    </row>
    <row r="396" customFormat="false" ht="15" hidden="false" customHeight="false" outlineLevel="0" collapsed="false">
      <c r="A396" s="15"/>
      <c r="B396" s="15"/>
      <c r="C396" s="15"/>
      <c r="D396" s="15"/>
      <c r="F396" s="18" t="str">
        <f aca="false">IF(B396="","",IFERROR(INDEX(Materials!$B$2:$B$201,MATCH(B396,Materials!$A$2:$A$201,0)),""))</f>
        <v/>
      </c>
      <c r="G396" s="18" t="str">
        <f aca="true">IF(AND(A396="",B396=""),"",IF(A396="","Missing product",IF(B396="","Missing material",IF(COUNTIF(ProductList,A396)=0,"Product not in Products list",IF(COUNTIF(MaterialList,B396)=0,"Material not in Materials list","OK")))))</f>
        <v/>
      </c>
      <c r="H396" s="18" t="str">
        <f aca="false">IF(F396="Active",A396&amp;"|"&amp;COUNTIFS(A$2:A396,A396,F$2:F396,"Active"),"")</f>
        <v/>
      </c>
      <c r="I396" s="18" t="str">
        <f aca="false">IF(B396="","",IF(SUMPRODUCT(MAX((A$1:A395=A396)*(B$1:B395=B396)*ROW(A$1:A395)))=0,C396&amp;"",IF(C396="",INDEX(I$1:I395,SUMPRODUCT(MAX((A$1:A395=A396)*(B$1:B395=B396)*ROW(A$1:A395)))),IF(INDEX(I$1:I395,SUMPRODUCT(MAX((A$1:A395=A396)*(B$1:B395=B396)*ROW(A$1:A395))))="",C396&amp;"",INDEX(I$1:I395,SUMPRODUCT(MAX((A$1:A395=A396)*(B$1:B395=B396)*ROW(A$1:A395))))&amp;"; "&amp;C396))))</f>
        <v/>
      </c>
      <c r="J396" s="18" t="str">
        <f aca="false">IF(A396="","",A396&amp;"|"&amp;COUNTIF(A$2:A396,A396))</f>
        <v/>
      </c>
      <c r="K396" s="18" t="n">
        <f aca="false">IF(OR(A396="",B396=""),0,IF(COUNTIFS(A$2:A396,A396,B$2:B396,B396)=1,1,0))</f>
        <v>0</v>
      </c>
    </row>
    <row r="397" customFormat="false" ht="15" hidden="false" customHeight="false" outlineLevel="0" collapsed="false">
      <c r="A397" s="15"/>
      <c r="B397" s="15"/>
      <c r="C397" s="15"/>
      <c r="D397" s="15"/>
      <c r="F397" s="18" t="str">
        <f aca="false">IF(B397="","",IFERROR(INDEX(Materials!$B$2:$B$201,MATCH(B397,Materials!$A$2:$A$201,0)),""))</f>
        <v/>
      </c>
      <c r="G397" s="18" t="str">
        <f aca="true">IF(AND(A397="",B397=""),"",IF(A397="","Missing product",IF(B397="","Missing material",IF(COUNTIF(ProductList,A397)=0,"Product not in Products list",IF(COUNTIF(MaterialList,B397)=0,"Material not in Materials list","OK")))))</f>
        <v/>
      </c>
      <c r="H397" s="18" t="str">
        <f aca="false">IF(F397="Active",A397&amp;"|"&amp;COUNTIFS(A$2:A397,A397,F$2:F397,"Active"),"")</f>
        <v/>
      </c>
      <c r="I397" s="18" t="str">
        <f aca="false">IF(B397="","",IF(SUMPRODUCT(MAX((A$1:A396=A397)*(B$1:B396=B397)*ROW(A$1:A396)))=0,C397&amp;"",IF(C397="",INDEX(I$1:I396,SUMPRODUCT(MAX((A$1:A396=A397)*(B$1:B396=B397)*ROW(A$1:A396)))),IF(INDEX(I$1:I396,SUMPRODUCT(MAX((A$1:A396=A397)*(B$1:B396=B397)*ROW(A$1:A396))))="",C397&amp;"",INDEX(I$1:I396,SUMPRODUCT(MAX((A$1:A396=A397)*(B$1:B396=B397)*ROW(A$1:A396))))&amp;"; "&amp;C397))))</f>
        <v/>
      </c>
      <c r="J397" s="18" t="str">
        <f aca="false">IF(A397="","",A397&amp;"|"&amp;COUNTIF(A$2:A397,A397))</f>
        <v/>
      </c>
      <c r="K397" s="18" t="n">
        <f aca="false">IF(OR(A397="",B397=""),0,IF(COUNTIFS(A$2:A397,A397,B$2:B397,B397)=1,1,0))</f>
        <v>0</v>
      </c>
    </row>
    <row r="398" customFormat="false" ht="15" hidden="false" customHeight="false" outlineLevel="0" collapsed="false">
      <c r="A398" s="15"/>
      <c r="B398" s="15"/>
      <c r="C398" s="15"/>
      <c r="D398" s="15"/>
      <c r="F398" s="18" t="str">
        <f aca="false">IF(B398="","",IFERROR(INDEX(Materials!$B$2:$B$201,MATCH(B398,Materials!$A$2:$A$201,0)),""))</f>
        <v/>
      </c>
      <c r="G398" s="18" t="str">
        <f aca="true">IF(AND(A398="",B398=""),"",IF(A398="","Missing product",IF(B398="","Missing material",IF(COUNTIF(ProductList,A398)=0,"Product not in Products list",IF(COUNTIF(MaterialList,B398)=0,"Material not in Materials list","OK")))))</f>
        <v/>
      </c>
      <c r="H398" s="18" t="str">
        <f aca="false">IF(F398="Active",A398&amp;"|"&amp;COUNTIFS(A$2:A398,A398,F$2:F398,"Active"),"")</f>
        <v/>
      </c>
      <c r="I398" s="18" t="str">
        <f aca="false">IF(B398="","",IF(SUMPRODUCT(MAX((A$1:A397=A398)*(B$1:B397=B398)*ROW(A$1:A397)))=0,C398&amp;"",IF(C398="",INDEX(I$1:I397,SUMPRODUCT(MAX((A$1:A397=A398)*(B$1:B397=B398)*ROW(A$1:A397)))),IF(INDEX(I$1:I397,SUMPRODUCT(MAX((A$1:A397=A398)*(B$1:B397=B398)*ROW(A$1:A397))))="",C398&amp;"",INDEX(I$1:I397,SUMPRODUCT(MAX((A$1:A397=A398)*(B$1:B397=B398)*ROW(A$1:A397))))&amp;"; "&amp;C398))))</f>
        <v/>
      </c>
      <c r="J398" s="18" t="str">
        <f aca="false">IF(A398="","",A398&amp;"|"&amp;COUNTIF(A$2:A398,A398))</f>
        <v/>
      </c>
      <c r="K398" s="18" t="n">
        <f aca="false">IF(OR(A398="",B398=""),0,IF(COUNTIFS(A$2:A398,A398,B$2:B398,B398)=1,1,0))</f>
        <v>0</v>
      </c>
    </row>
    <row r="399" customFormat="false" ht="15" hidden="false" customHeight="false" outlineLevel="0" collapsed="false">
      <c r="A399" s="15"/>
      <c r="B399" s="15"/>
      <c r="C399" s="15"/>
      <c r="D399" s="15"/>
      <c r="F399" s="18" t="str">
        <f aca="false">IF(B399="","",IFERROR(INDEX(Materials!$B$2:$B$201,MATCH(B399,Materials!$A$2:$A$201,0)),""))</f>
        <v/>
      </c>
      <c r="G399" s="18" t="str">
        <f aca="true">IF(AND(A399="",B399=""),"",IF(A399="","Missing product",IF(B399="","Missing material",IF(COUNTIF(ProductList,A399)=0,"Product not in Products list",IF(COUNTIF(MaterialList,B399)=0,"Material not in Materials list","OK")))))</f>
        <v/>
      </c>
      <c r="H399" s="18" t="str">
        <f aca="false">IF(F399="Active",A399&amp;"|"&amp;COUNTIFS(A$2:A399,A399,F$2:F399,"Active"),"")</f>
        <v/>
      </c>
      <c r="I399" s="18" t="str">
        <f aca="false">IF(B399="","",IF(SUMPRODUCT(MAX((A$1:A398=A399)*(B$1:B398=B399)*ROW(A$1:A398)))=0,C399&amp;"",IF(C399="",INDEX(I$1:I398,SUMPRODUCT(MAX((A$1:A398=A399)*(B$1:B398=B399)*ROW(A$1:A398)))),IF(INDEX(I$1:I398,SUMPRODUCT(MAX((A$1:A398=A399)*(B$1:B398=B399)*ROW(A$1:A398))))="",C399&amp;"",INDEX(I$1:I398,SUMPRODUCT(MAX((A$1:A398=A399)*(B$1:B398=B399)*ROW(A$1:A398))))&amp;"; "&amp;C399))))</f>
        <v/>
      </c>
      <c r="J399" s="18" t="str">
        <f aca="false">IF(A399="","",A399&amp;"|"&amp;COUNTIF(A$2:A399,A399))</f>
        <v/>
      </c>
      <c r="K399" s="18" t="n">
        <f aca="false">IF(OR(A399="",B399=""),0,IF(COUNTIFS(A$2:A399,A399,B$2:B399,B399)=1,1,0))</f>
        <v>0</v>
      </c>
    </row>
    <row r="400" customFormat="false" ht="15" hidden="false" customHeight="false" outlineLevel="0" collapsed="false">
      <c r="A400" s="15"/>
      <c r="B400" s="15"/>
      <c r="C400" s="15"/>
      <c r="D400" s="15"/>
      <c r="F400" s="18" t="str">
        <f aca="false">IF(B400="","",IFERROR(INDEX(Materials!$B$2:$B$201,MATCH(B400,Materials!$A$2:$A$201,0)),""))</f>
        <v/>
      </c>
      <c r="G400" s="18" t="str">
        <f aca="true">IF(AND(A400="",B400=""),"",IF(A400="","Missing product",IF(B400="","Missing material",IF(COUNTIF(ProductList,A400)=0,"Product not in Products list",IF(COUNTIF(MaterialList,B400)=0,"Material not in Materials list","OK")))))</f>
        <v/>
      </c>
      <c r="H400" s="18" t="str">
        <f aca="false">IF(F400="Active",A400&amp;"|"&amp;COUNTIFS(A$2:A400,A400,F$2:F400,"Active"),"")</f>
        <v/>
      </c>
      <c r="I400" s="18" t="str">
        <f aca="false">IF(B400="","",IF(SUMPRODUCT(MAX((A$1:A399=A400)*(B$1:B399=B400)*ROW(A$1:A399)))=0,C400&amp;"",IF(C400="",INDEX(I$1:I399,SUMPRODUCT(MAX((A$1:A399=A400)*(B$1:B399=B400)*ROW(A$1:A399)))),IF(INDEX(I$1:I399,SUMPRODUCT(MAX((A$1:A399=A400)*(B$1:B399=B400)*ROW(A$1:A399))))="",C400&amp;"",INDEX(I$1:I399,SUMPRODUCT(MAX((A$1:A399=A400)*(B$1:B399=B400)*ROW(A$1:A399))))&amp;"; "&amp;C400))))</f>
        <v/>
      </c>
      <c r="J400" s="18" t="str">
        <f aca="false">IF(A400="","",A400&amp;"|"&amp;COUNTIF(A$2:A400,A400))</f>
        <v/>
      </c>
      <c r="K400" s="18" t="n">
        <f aca="false">IF(OR(A400="",B400=""),0,IF(COUNTIFS(A$2:A400,A400,B$2:B400,B400)=1,1,0))</f>
        <v>0</v>
      </c>
    </row>
    <row r="401" customFormat="false" ht="15" hidden="false" customHeight="false" outlineLevel="0" collapsed="false">
      <c r="A401" s="15"/>
      <c r="B401" s="15"/>
      <c r="C401" s="15"/>
      <c r="D401" s="15"/>
      <c r="F401" s="18" t="str">
        <f aca="false">IF(B401="","",IFERROR(INDEX(Materials!$B$2:$B$201,MATCH(B401,Materials!$A$2:$A$201,0)),""))</f>
        <v/>
      </c>
      <c r="G401" s="18" t="str">
        <f aca="true">IF(AND(A401="",B401=""),"",IF(A401="","Missing product",IF(B401="","Missing material",IF(COUNTIF(ProductList,A401)=0,"Product not in Products list",IF(COUNTIF(MaterialList,B401)=0,"Material not in Materials list","OK")))))</f>
        <v/>
      </c>
      <c r="H401" s="18" t="str">
        <f aca="false">IF(F401="Active",A401&amp;"|"&amp;COUNTIFS(A$2:A401,A401,F$2:F401,"Active"),"")</f>
        <v/>
      </c>
      <c r="I401" s="18" t="str">
        <f aca="false">IF(B401="","",IF(SUMPRODUCT(MAX((A$1:A400=A401)*(B$1:B400=B401)*ROW(A$1:A400)))=0,C401&amp;"",IF(C401="",INDEX(I$1:I400,SUMPRODUCT(MAX((A$1:A400=A401)*(B$1:B400=B401)*ROW(A$1:A400)))),IF(INDEX(I$1:I400,SUMPRODUCT(MAX((A$1:A400=A401)*(B$1:B400=B401)*ROW(A$1:A400))))="",C401&amp;"",INDEX(I$1:I400,SUMPRODUCT(MAX((A$1:A400=A401)*(B$1:B400=B401)*ROW(A$1:A400))))&amp;"; "&amp;C401))))</f>
        <v/>
      </c>
      <c r="J401" s="18" t="str">
        <f aca="false">IF(A401="","",A401&amp;"|"&amp;COUNTIF(A$2:A401,A401))</f>
        <v/>
      </c>
      <c r="K401" s="18" t="n">
        <f aca="false">IF(OR(A401="",B401=""),0,IF(COUNTIFS(A$2:A401,A401,B$2:B401,B401)=1,1,0))</f>
        <v>0</v>
      </c>
    </row>
    <row r="402" customFormat="false" ht="15" hidden="false" customHeight="false" outlineLevel="0" collapsed="false">
      <c r="A402" s="15"/>
      <c r="B402" s="15"/>
      <c r="C402" s="15"/>
      <c r="D402" s="15"/>
      <c r="F402" s="18" t="str">
        <f aca="false">IF(B402="","",IFERROR(INDEX(Materials!$B$2:$B$201,MATCH(B402,Materials!$A$2:$A$201,0)),""))</f>
        <v/>
      </c>
      <c r="G402" s="18" t="str">
        <f aca="true">IF(AND(A402="",B402=""),"",IF(A402="","Missing product",IF(B402="","Missing material",IF(COUNTIF(ProductList,A402)=0,"Product not in Products list",IF(COUNTIF(MaterialList,B402)=0,"Material not in Materials list","OK")))))</f>
        <v/>
      </c>
      <c r="H402" s="18" t="str">
        <f aca="false">IF(F402="Active",A402&amp;"|"&amp;COUNTIFS(A$2:A402,A402,F$2:F402,"Active"),"")</f>
        <v/>
      </c>
      <c r="I402" s="18" t="str">
        <f aca="false">IF(B402="","",IF(SUMPRODUCT(MAX((A$1:A401=A402)*(B$1:B401=B402)*ROW(A$1:A401)))=0,C402&amp;"",IF(C402="",INDEX(I$1:I401,SUMPRODUCT(MAX((A$1:A401=A402)*(B$1:B401=B402)*ROW(A$1:A401)))),IF(INDEX(I$1:I401,SUMPRODUCT(MAX((A$1:A401=A402)*(B$1:B401=B402)*ROW(A$1:A401))))="",C402&amp;"",INDEX(I$1:I401,SUMPRODUCT(MAX((A$1:A401=A402)*(B$1:B401=B402)*ROW(A$1:A401))))&amp;"; "&amp;C402))))</f>
        <v/>
      </c>
      <c r="J402" s="18" t="str">
        <f aca="false">IF(A402="","",A402&amp;"|"&amp;COUNTIF(A$2:A402,A402))</f>
        <v/>
      </c>
      <c r="K402" s="18" t="n">
        <f aca="false">IF(OR(A402="",B402=""),0,IF(COUNTIFS(A$2:A402,A402,B$2:B402,B402)=1,1,0))</f>
        <v>0</v>
      </c>
    </row>
    <row r="403" customFormat="false" ht="15" hidden="false" customHeight="false" outlineLevel="0" collapsed="false">
      <c r="A403" s="15"/>
      <c r="B403" s="15"/>
      <c r="C403" s="15"/>
      <c r="D403" s="15"/>
      <c r="F403" s="18" t="str">
        <f aca="false">IF(B403="","",IFERROR(INDEX(Materials!$B$2:$B$201,MATCH(B403,Materials!$A$2:$A$201,0)),""))</f>
        <v/>
      </c>
      <c r="G403" s="18" t="str">
        <f aca="true">IF(AND(A403="",B403=""),"",IF(A403="","Missing product",IF(B403="","Missing material",IF(COUNTIF(ProductList,A403)=0,"Product not in Products list",IF(COUNTIF(MaterialList,B403)=0,"Material not in Materials list","OK")))))</f>
        <v/>
      </c>
      <c r="H403" s="18" t="str">
        <f aca="false">IF(F403="Active",A403&amp;"|"&amp;COUNTIFS(A$2:A403,A403,F$2:F403,"Active"),"")</f>
        <v/>
      </c>
      <c r="I403" s="18" t="str">
        <f aca="false">IF(B403="","",IF(SUMPRODUCT(MAX((A$1:A402=A403)*(B$1:B402=B403)*ROW(A$1:A402)))=0,C403&amp;"",IF(C403="",INDEX(I$1:I402,SUMPRODUCT(MAX((A$1:A402=A403)*(B$1:B402=B403)*ROW(A$1:A402)))),IF(INDEX(I$1:I402,SUMPRODUCT(MAX((A$1:A402=A403)*(B$1:B402=B403)*ROW(A$1:A402))))="",C403&amp;"",INDEX(I$1:I402,SUMPRODUCT(MAX((A$1:A402=A403)*(B$1:B402=B403)*ROW(A$1:A402))))&amp;"; "&amp;C403))))</f>
        <v/>
      </c>
      <c r="J403" s="18" t="str">
        <f aca="false">IF(A403="","",A403&amp;"|"&amp;COUNTIF(A$2:A403,A403))</f>
        <v/>
      </c>
      <c r="K403" s="18" t="n">
        <f aca="false">IF(OR(A403="",B403=""),0,IF(COUNTIFS(A$2:A403,A403,B$2:B403,B403)=1,1,0))</f>
        <v>0</v>
      </c>
    </row>
    <row r="404" customFormat="false" ht="15" hidden="false" customHeight="false" outlineLevel="0" collapsed="false">
      <c r="A404" s="15"/>
      <c r="B404" s="15"/>
      <c r="C404" s="15"/>
      <c r="D404" s="15"/>
      <c r="F404" s="18" t="str">
        <f aca="false">IF(B404="","",IFERROR(INDEX(Materials!$B$2:$B$201,MATCH(B404,Materials!$A$2:$A$201,0)),""))</f>
        <v/>
      </c>
      <c r="G404" s="18" t="str">
        <f aca="true">IF(AND(A404="",B404=""),"",IF(A404="","Missing product",IF(B404="","Missing material",IF(COUNTIF(ProductList,A404)=0,"Product not in Products list",IF(COUNTIF(MaterialList,B404)=0,"Material not in Materials list","OK")))))</f>
        <v/>
      </c>
      <c r="H404" s="18" t="str">
        <f aca="false">IF(F404="Active",A404&amp;"|"&amp;COUNTIFS(A$2:A404,A404,F$2:F404,"Active"),"")</f>
        <v/>
      </c>
      <c r="I404" s="18" t="str">
        <f aca="false">IF(B404="","",IF(SUMPRODUCT(MAX((A$1:A403=A404)*(B$1:B403=B404)*ROW(A$1:A403)))=0,C404&amp;"",IF(C404="",INDEX(I$1:I403,SUMPRODUCT(MAX((A$1:A403=A404)*(B$1:B403=B404)*ROW(A$1:A403)))),IF(INDEX(I$1:I403,SUMPRODUCT(MAX((A$1:A403=A404)*(B$1:B403=B404)*ROW(A$1:A403))))="",C404&amp;"",INDEX(I$1:I403,SUMPRODUCT(MAX((A$1:A403=A404)*(B$1:B403=B404)*ROW(A$1:A403))))&amp;"; "&amp;C404))))</f>
        <v/>
      </c>
      <c r="J404" s="18" t="str">
        <f aca="false">IF(A404="","",A404&amp;"|"&amp;COUNTIF(A$2:A404,A404))</f>
        <v/>
      </c>
      <c r="K404" s="18" t="n">
        <f aca="false">IF(OR(A404="",B404=""),0,IF(COUNTIFS(A$2:A404,A404,B$2:B404,B404)=1,1,0))</f>
        <v>0</v>
      </c>
    </row>
    <row r="405" customFormat="false" ht="15" hidden="false" customHeight="false" outlineLevel="0" collapsed="false">
      <c r="A405" s="15"/>
      <c r="B405" s="15"/>
      <c r="C405" s="15"/>
      <c r="D405" s="15"/>
      <c r="F405" s="18" t="str">
        <f aca="false">IF(B405="","",IFERROR(INDEX(Materials!$B$2:$B$201,MATCH(B405,Materials!$A$2:$A$201,0)),""))</f>
        <v/>
      </c>
      <c r="G405" s="18" t="str">
        <f aca="true">IF(AND(A405="",B405=""),"",IF(A405="","Missing product",IF(B405="","Missing material",IF(COUNTIF(ProductList,A405)=0,"Product not in Products list",IF(COUNTIF(MaterialList,B405)=0,"Material not in Materials list","OK")))))</f>
        <v/>
      </c>
      <c r="H405" s="18" t="str">
        <f aca="false">IF(F405="Active",A405&amp;"|"&amp;COUNTIFS(A$2:A405,A405,F$2:F405,"Active"),"")</f>
        <v/>
      </c>
      <c r="I405" s="18" t="str">
        <f aca="false">IF(B405="","",IF(SUMPRODUCT(MAX((A$1:A404=A405)*(B$1:B404=B405)*ROW(A$1:A404)))=0,C405&amp;"",IF(C405="",INDEX(I$1:I404,SUMPRODUCT(MAX((A$1:A404=A405)*(B$1:B404=B405)*ROW(A$1:A404)))),IF(INDEX(I$1:I404,SUMPRODUCT(MAX((A$1:A404=A405)*(B$1:B404=B405)*ROW(A$1:A404))))="",C405&amp;"",INDEX(I$1:I404,SUMPRODUCT(MAX((A$1:A404=A405)*(B$1:B404=B405)*ROW(A$1:A404))))&amp;"; "&amp;C405))))</f>
        <v/>
      </c>
      <c r="J405" s="18" t="str">
        <f aca="false">IF(A405="","",A405&amp;"|"&amp;COUNTIF(A$2:A405,A405))</f>
        <v/>
      </c>
      <c r="K405" s="18" t="n">
        <f aca="false">IF(OR(A405="",B405=""),0,IF(COUNTIFS(A$2:A405,A405,B$2:B405,B405)=1,1,0))</f>
        <v>0</v>
      </c>
    </row>
    <row r="406" customFormat="false" ht="15" hidden="false" customHeight="false" outlineLevel="0" collapsed="false">
      <c r="A406" s="15"/>
      <c r="B406" s="15"/>
      <c r="C406" s="15"/>
      <c r="D406" s="15"/>
      <c r="F406" s="18" t="str">
        <f aca="false">IF(B406="","",IFERROR(INDEX(Materials!$B$2:$B$201,MATCH(B406,Materials!$A$2:$A$201,0)),""))</f>
        <v/>
      </c>
      <c r="G406" s="18" t="str">
        <f aca="true">IF(AND(A406="",B406=""),"",IF(A406="","Missing product",IF(B406="","Missing material",IF(COUNTIF(ProductList,A406)=0,"Product not in Products list",IF(COUNTIF(MaterialList,B406)=0,"Material not in Materials list","OK")))))</f>
        <v/>
      </c>
      <c r="H406" s="18" t="str">
        <f aca="false">IF(F406="Active",A406&amp;"|"&amp;COUNTIFS(A$2:A406,A406,F$2:F406,"Active"),"")</f>
        <v/>
      </c>
      <c r="I406" s="18" t="str">
        <f aca="false">IF(B406="","",IF(SUMPRODUCT(MAX((A$1:A405=A406)*(B$1:B405=B406)*ROW(A$1:A405)))=0,C406&amp;"",IF(C406="",INDEX(I$1:I405,SUMPRODUCT(MAX((A$1:A405=A406)*(B$1:B405=B406)*ROW(A$1:A405)))),IF(INDEX(I$1:I405,SUMPRODUCT(MAX((A$1:A405=A406)*(B$1:B405=B406)*ROW(A$1:A405))))="",C406&amp;"",INDEX(I$1:I405,SUMPRODUCT(MAX((A$1:A405=A406)*(B$1:B405=B406)*ROW(A$1:A405))))&amp;"; "&amp;C406))))</f>
        <v/>
      </c>
      <c r="J406" s="18" t="str">
        <f aca="false">IF(A406="","",A406&amp;"|"&amp;COUNTIF(A$2:A406,A406))</f>
        <v/>
      </c>
      <c r="K406" s="18" t="n">
        <f aca="false">IF(OR(A406="",B406=""),0,IF(COUNTIFS(A$2:A406,A406,B$2:B406,B406)=1,1,0))</f>
        <v>0</v>
      </c>
    </row>
    <row r="407" customFormat="false" ht="15" hidden="false" customHeight="false" outlineLevel="0" collapsed="false">
      <c r="A407" s="15"/>
      <c r="B407" s="15"/>
      <c r="C407" s="15"/>
      <c r="D407" s="15"/>
      <c r="F407" s="18" t="str">
        <f aca="false">IF(B407="","",IFERROR(INDEX(Materials!$B$2:$B$201,MATCH(B407,Materials!$A$2:$A$201,0)),""))</f>
        <v/>
      </c>
      <c r="G407" s="18" t="str">
        <f aca="true">IF(AND(A407="",B407=""),"",IF(A407="","Missing product",IF(B407="","Missing material",IF(COUNTIF(ProductList,A407)=0,"Product not in Products list",IF(COUNTIF(MaterialList,B407)=0,"Material not in Materials list","OK")))))</f>
        <v/>
      </c>
      <c r="H407" s="18" t="str">
        <f aca="false">IF(F407="Active",A407&amp;"|"&amp;COUNTIFS(A$2:A407,A407,F$2:F407,"Active"),"")</f>
        <v/>
      </c>
      <c r="I407" s="18" t="str">
        <f aca="false">IF(B407="","",IF(SUMPRODUCT(MAX((A$1:A406=A407)*(B$1:B406=B407)*ROW(A$1:A406)))=0,C407&amp;"",IF(C407="",INDEX(I$1:I406,SUMPRODUCT(MAX((A$1:A406=A407)*(B$1:B406=B407)*ROW(A$1:A406)))),IF(INDEX(I$1:I406,SUMPRODUCT(MAX((A$1:A406=A407)*(B$1:B406=B407)*ROW(A$1:A406))))="",C407&amp;"",INDEX(I$1:I406,SUMPRODUCT(MAX((A$1:A406=A407)*(B$1:B406=B407)*ROW(A$1:A406))))&amp;"; "&amp;C407))))</f>
        <v/>
      </c>
      <c r="J407" s="18" t="str">
        <f aca="false">IF(A407="","",A407&amp;"|"&amp;COUNTIF(A$2:A407,A407))</f>
        <v/>
      </c>
      <c r="K407" s="18" t="n">
        <f aca="false">IF(OR(A407="",B407=""),0,IF(COUNTIFS(A$2:A407,A407,B$2:B407,B407)=1,1,0))</f>
        <v>0</v>
      </c>
    </row>
    <row r="408" customFormat="false" ht="15" hidden="false" customHeight="false" outlineLevel="0" collapsed="false">
      <c r="A408" s="15"/>
      <c r="B408" s="15"/>
      <c r="C408" s="15"/>
      <c r="D408" s="15"/>
      <c r="F408" s="18" t="str">
        <f aca="false">IF(B408="","",IFERROR(INDEX(Materials!$B$2:$B$201,MATCH(B408,Materials!$A$2:$A$201,0)),""))</f>
        <v/>
      </c>
      <c r="G408" s="18" t="str">
        <f aca="true">IF(AND(A408="",B408=""),"",IF(A408="","Missing product",IF(B408="","Missing material",IF(COUNTIF(ProductList,A408)=0,"Product not in Products list",IF(COUNTIF(MaterialList,B408)=0,"Material not in Materials list","OK")))))</f>
        <v/>
      </c>
      <c r="H408" s="18" t="str">
        <f aca="false">IF(F408="Active",A408&amp;"|"&amp;COUNTIFS(A$2:A408,A408,F$2:F408,"Active"),"")</f>
        <v/>
      </c>
      <c r="I408" s="18" t="str">
        <f aca="false">IF(B408="","",IF(SUMPRODUCT(MAX((A$1:A407=A408)*(B$1:B407=B408)*ROW(A$1:A407)))=0,C408&amp;"",IF(C408="",INDEX(I$1:I407,SUMPRODUCT(MAX((A$1:A407=A408)*(B$1:B407=B408)*ROW(A$1:A407)))),IF(INDEX(I$1:I407,SUMPRODUCT(MAX((A$1:A407=A408)*(B$1:B407=B408)*ROW(A$1:A407))))="",C408&amp;"",INDEX(I$1:I407,SUMPRODUCT(MAX((A$1:A407=A408)*(B$1:B407=B408)*ROW(A$1:A407))))&amp;"; "&amp;C408))))</f>
        <v/>
      </c>
      <c r="J408" s="18" t="str">
        <f aca="false">IF(A408="","",A408&amp;"|"&amp;COUNTIF(A$2:A408,A408))</f>
        <v/>
      </c>
      <c r="K408" s="18" t="n">
        <f aca="false">IF(OR(A408="",B408=""),0,IF(COUNTIFS(A$2:A408,A408,B$2:B408,B408)=1,1,0))</f>
        <v>0</v>
      </c>
    </row>
    <row r="409" customFormat="false" ht="15" hidden="false" customHeight="false" outlineLevel="0" collapsed="false">
      <c r="A409" s="15"/>
      <c r="B409" s="15"/>
      <c r="C409" s="15"/>
      <c r="D409" s="15"/>
      <c r="F409" s="18" t="str">
        <f aca="false">IF(B409="","",IFERROR(INDEX(Materials!$B$2:$B$201,MATCH(B409,Materials!$A$2:$A$201,0)),""))</f>
        <v/>
      </c>
      <c r="G409" s="18" t="str">
        <f aca="true">IF(AND(A409="",B409=""),"",IF(A409="","Missing product",IF(B409="","Missing material",IF(COUNTIF(ProductList,A409)=0,"Product not in Products list",IF(COUNTIF(MaterialList,B409)=0,"Material not in Materials list","OK")))))</f>
        <v/>
      </c>
      <c r="H409" s="18" t="str">
        <f aca="false">IF(F409="Active",A409&amp;"|"&amp;COUNTIFS(A$2:A409,A409,F$2:F409,"Active"),"")</f>
        <v/>
      </c>
      <c r="I409" s="18" t="str">
        <f aca="false">IF(B409="","",IF(SUMPRODUCT(MAX((A$1:A408=A409)*(B$1:B408=B409)*ROW(A$1:A408)))=0,C409&amp;"",IF(C409="",INDEX(I$1:I408,SUMPRODUCT(MAX((A$1:A408=A409)*(B$1:B408=B409)*ROW(A$1:A408)))),IF(INDEX(I$1:I408,SUMPRODUCT(MAX((A$1:A408=A409)*(B$1:B408=B409)*ROW(A$1:A408))))="",C409&amp;"",INDEX(I$1:I408,SUMPRODUCT(MAX((A$1:A408=A409)*(B$1:B408=B409)*ROW(A$1:A408))))&amp;"; "&amp;C409))))</f>
        <v/>
      </c>
      <c r="J409" s="18" t="str">
        <f aca="false">IF(A409="","",A409&amp;"|"&amp;COUNTIF(A$2:A409,A409))</f>
        <v/>
      </c>
      <c r="K409" s="18" t="n">
        <f aca="false">IF(OR(A409="",B409=""),0,IF(COUNTIFS(A$2:A409,A409,B$2:B409,B409)=1,1,0))</f>
        <v>0</v>
      </c>
    </row>
    <row r="410" customFormat="false" ht="15" hidden="false" customHeight="false" outlineLevel="0" collapsed="false">
      <c r="A410" s="15"/>
      <c r="B410" s="15"/>
      <c r="C410" s="15"/>
      <c r="D410" s="15"/>
      <c r="F410" s="18" t="str">
        <f aca="false">IF(B410="","",IFERROR(INDEX(Materials!$B$2:$B$201,MATCH(B410,Materials!$A$2:$A$201,0)),""))</f>
        <v/>
      </c>
      <c r="G410" s="18" t="str">
        <f aca="true">IF(AND(A410="",B410=""),"",IF(A410="","Missing product",IF(B410="","Missing material",IF(COUNTIF(ProductList,A410)=0,"Product not in Products list",IF(COUNTIF(MaterialList,B410)=0,"Material not in Materials list","OK")))))</f>
        <v/>
      </c>
      <c r="H410" s="18" t="str">
        <f aca="false">IF(F410="Active",A410&amp;"|"&amp;COUNTIFS(A$2:A410,A410,F$2:F410,"Active"),"")</f>
        <v/>
      </c>
      <c r="I410" s="18" t="str">
        <f aca="false">IF(B410="","",IF(SUMPRODUCT(MAX((A$1:A409=A410)*(B$1:B409=B410)*ROW(A$1:A409)))=0,C410&amp;"",IF(C410="",INDEX(I$1:I409,SUMPRODUCT(MAX((A$1:A409=A410)*(B$1:B409=B410)*ROW(A$1:A409)))),IF(INDEX(I$1:I409,SUMPRODUCT(MAX((A$1:A409=A410)*(B$1:B409=B410)*ROW(A$1:A409))))="",C410&amp;"",INDEX(I$1:I409,SUMPRODUCT(MAX((A$1:A409=A410)*(B$1:B409=B410)*ROW(A$1:A409))))&amp;"; "&amp;C410))))</f>
        <v/>
      </c>
      <c r="J410" s="18" t="str">
        <f aca="false">IF(A410="","",A410&amp;"|"&amp;COUNTIF(A$2:A410,A410))</f>
        <v/>
      </c>
      <c r="K410" s="18" t="n">
        <f aca="false">IF(OR(A410="",B410=""),0,IF(COUNTIFS(A$2:A410,A410,B$2:B410,B410)=1,1,0))</f>
        <v>0</v>
      </c>
    </row>
    <row r="411" customFormat="false" ht="15" hidden="false" customHeight="false" outlineLevel="0" collapsed="false">
      <c r="A411" s="15"/>
      <c r="B411" s="15"/>
      <c r="C411" s="15"/>
      <c r="D411" s="15"/>
      <c r="F411" s="18" t="str">
        <f aca="false">IF(B411="","",IFERROR(INDEX(Materials!$B$2:$B$201,MATCH(B411,Materials!$A$2:$A$201,0)),""))</f>
        <v/>
      </c>
      <c r="G411" s="18" t="str">
        <f aca="true">IF(AND(A411="",B411=""),"",IF(A411="","Missing product",IF(B411="","Missing material",IF(COUNTIF(ProductList,A411)=0,"Product not in Products list",IF(COUNTIF(MaterialList,B411)=0,"Material not in Materials list","OK")))))</f>
        <v/>
      </c>
      <c r="H411" s="18" t="str">
        <f aca="false">IF(F411="Active",A411&amp;"|"&amp;COUNTIFS(A$2:A411,A411,F$2:F411,"Active"),"")</f>
        <v/>
      </c>
      <c r="I411" s="18" t="str">
        <f aca="false">IF(B411="","",IF(SUMPRODUCT(MAX((A$1:A410=A411)*(B$1:B410=B411)*ROW(A$1:A410)))=0,C411&amp;"",IF(C411="",INDEX(I$1:I410,SUMPRODUCT(MAX((A$1:A410=A411)*(B$1:B410=B411)*ROW(A$1:A410)))),IF(INDEX(I$1:I410,SUMPRODUCT(MAX((A$1:A410=A411)*(B$1:B410=B411)*ROW(A$1:A410))))="",C411&amp;"",INDEX(I$1:I410,SUMPRODUCT(MAX((A$1:A410=A411)*(B$1:B410=B411)*ROW(A$1:A410))))&amp;"; "&amp;C411))))</f>
        <v/>
      </c>
      <c r="J411" s="18" t="str">
        <f aca="false">IF(A411="","",A411&amp;"|"&amp;COUNTIF(A$2:A411,A411))</f>
        <v/>
      </c>
      <c r="K411" s="18" t="n">
        <f aca="false">IF(OR(A411="",B411=""),0,IF(COUNTIFS(A$2:A411,A411,B$2:B411,B411)=1,1,0))</f>
        <v>0</v>
      </c>
    </row>
    <row r="412" customFormat="false" ht="15" hidden="false" customHeight="false" outlineLevel="0" collapsed="false">
      <c r="A412" s="15"/>
      <c r="B412" s="15"/>
      <c r="C412" s="15"/>
      <c r="D412" s="15"/>
      <c r="F412" s="18" t="str">
        <f aca="false">IF(B412="","",IFERROR(INDEX(Materials!$B$2:$B$201,MATCH(B412,Materials!$A$2:$A$201,0)),""))</f>
        <v/>
      </c>
      <c r="G412" s="18" t="str">
        <f aca="true">IF(AND(A412="",B412=""),"",IF(A412="","Missing product",IF(B412="","Missing material",IF(COUNTIF(ProductList,A412)=0,"Product not in Products list",IF(COUNTIF(MaterialList,B412)=0,"Material not in Materials list","OK")))))</f>
        <v/>
      </c>
      <c r="H412" s="18" t="str">
        <f aca="false">IF(F412="Active",A412&amp;"|"&amp;COUNTIFS(A$2:A412,A412,F$2:F412,"Active"),"")</f>
        <v/>
      </c>
      <c r="I412" s="18" t="str">
        <f aca="false">IF(B412="","",IF(SUMPRODUCT(MAX((A$1:A411=A412)*(B$1:B411=B412)*ROW(A$1:A411)))=0,C412&amp;"",IF(C412="",INDEX(I$1:I411,SUMPRODUCT(MAX((A$1:A411=A412)*(B$1:B411=B412)*ROW(A$1:A411)))),IF(INDEX(I$1:I411,SUMPRODUCT(MAX((A$1:A411=A412)*(B$1:B411=B412)*ROW(A$1:A411))))="",C412&amp;"",INDEX(I$1:I411,SUMPRODUCT(MAX((A$1:A411=A412)*(B$1:B411=B412)*ROW(A$1:A411))))&amp;"; "&amp;C412))))</f>
        <v/>
      </c>
      <c r="J412" s="18" t="str">
        <f aca="false">IF(A412="","",A412&amp;"|"&amp;COUNTIF(A$2:A412,A412))</f>
        <v/>
      </c>
      <c r="K412" s="18" t="n">
        <f aca="false">IF(OR(A412="",B412=""),0,IF(COUNTIFS(A$2:A412,A412,B$2:B412,B412)=1,1,0))</f>
        <v>0</v>
      </c>
    </row>
    <row r="413" customFormat="false" ht="15" hidden="false" customHeight="false" outlineLevel="0" collapsed="false">
      <c r="A413" s="15"/>
      <c r="B413" s="15"/>
      <c r="C413" s="15"/>
      <c r="D413" s="15"/>
      <c r="F413" s="18" t="str">
        <f aca="false">IF(B413="","",IFERROR(INDEX(Materials!$B$2:$B$201,MATCH(B413,Materials!$A$2:$A$201,0)),""))</f>
        <v/>
      </c>
      <c r="G413" s="18" t="str">
        <f aca="true">IF(AND(A413="",B413=""),"",IF(A413="","Missing product",IF(B413="","Missing material",IF(COUNTIF(ProductList,A413)=0,"Product not in Products list",IF(COUNTIF(MaterialList,B413)=0,"Material not in Materials list","OK")))))</f>
        <v/>
      </c>
      <c r="H413" s="18" t="str">
        <f aca="false">IF(F413="Active",A413&amp;"|"&amp;COUNTIFS(A$2:A413,A413,F$2:F413,"Active"),"")</f>
        <v/>
      </c>
      <c r="I413" s="18" t="str">
        <f aca="false">IF(B413="","",IF(SUMPRODUCT(MAX((A$1:A412=A413)*(B$1:B412=B413)*ROW(A$1:A412)))=0,C413&amp;"",IF(C413="",INDEX(I$1:I412,SUMPRODUCT(MAX((A$1:A412=A413)*(B$1:B412=B413)*ROW(A$1:A412)))),IF(INDEX(I$1:I412,SUMPRODUCT(MAX((A$1:A412=A413)*(B$1:B412=B413)*ROW(A$1:A412))))="",C413&amp;"",INDEX(I$1:I412,SUMPRODUCT(MAX((A$1:A412=A413)*(B$1:B412=B413)*ROW(A$1:A412))))&amp;"; "&amp;C413))))</f>
        <v/>
      </c>
      <c r="J413" s="18" t="str">
        <f aca="false">IF(A413="","",A413&amp;"|"&amp;COUNTIF(A$2:A413,A413))</f>
        <v/>
      </c>
      <c r="K413" s="18" t="n">
        <f aca="false">IF(OR(A413="",B413=""),0,IF(COUNTIFS(A$2:A413,A413,B$2:B413,B413)=1,1,0))</f>
        <v>0</v>
      </c>
    </row>
    <row r="414" customFormat="false" ht="15" hidden="false" customHeight="false" outlineLevel="0" collapsed="false">
      <c r="A414" s="15"/>
      <c r="B414" s="15"/>
      <c r="C414" s="15"/>
      <c r="D414" s="15"/>
      <c r="F414" s="18" t="str">
        <f aca="false">IF(B414="","",IFERROR(INDEX(Materials!$B$2:$B$201,MATCH(B414,Materials!$A$2:$A$201,0)),""))</f>
        <v/>
      </c>
      <c r="G414" s="18" t="str">
        <f aca="true">IF(AND(A414="",B414=""),"",IF(A414="","Missing product",IF(B414="","Missing material",IF(COUNTIF(ProductList,A414)=0,"Product not in Products list",IF(COUNTIF(MaterialList,B414)=0,"Material not in Materials list","OK")))))</f>
        <v/>
      </c>
      <c r="H414" s="18" t="str">
        <f aca="false">IF(F414="Active",A414&amp;"|"&amp;COUNTIFS(A$2:A414,A414,F$2:F414,"Active"),"")</f>
        <v/>
      </c>
      <c r="I414" s="18" t="str">
        <f aca="false">IF(B414="","",IF(SUMPRODUCT(MAX((A$1:A413=A414)*(B$1:B413=B414)*ROW(A$1:A413)))=0,C414&amp;"",IF(C414="",INDEX(I$1:I413,SUMPRODUCT(MAX((A$1:A413=A414)*(B$1:B413=B414)*ROW(A$1:A413)))),IF(INDEX(I$1:I413,SUMPRODUCT(MAX((A$1:A413=A414)*(B$1:B413=B414)*ROW(A$1:A413))))="",C414&amp;"",INDEX(I$1:I413,SUMPRODUCT(MAX((A$1:A413=A414)*(B$1:B413=B414)*ROW(A$1:A413))))&amp;"; "&amp;C414))))</f>
        <v/>
      </c>
      <c r="J414" s="18" t="str">
        <f aca="false">IF(A414="","",A414&amp;"|"&amp;COUNTIF(A$2:A414,A414))</f>
        <v/>
      </c>
      <c r="K414" s="18" t="n">
        <f aca="false">IF(OR(A414="",B414=""),0,IF(COUNTIFS(A$2:A414,A414,B$2:B414,B414)=1,1,0))</f>
        <v>0</v>
      </c>
    </row>
    <row r="415" customFormat="false" ht="15" hidden="false" customHeight="false" outlineLevel="0" collapsed="false">
      <c r="A415" s="15"/>
      <c r="B415" s="15"/>
      <c r="C415" s="15"/>
      <c r="D415" s="15"/>
      <c r="F415" s="18" t="str">
        <f aca="false">IF(B415="","",IFERROR(INDEX(Materials!$B$2:$B$201,MATCH(B415,Materials!$A$2:$A$201,0)),""))</f>
        <v/>
      </c>
      <c r="G415" s="18" t="str">
        <f aca="true">IF(AND(A415="",B415=""),"",IF(A415="","Missing product",IF(B415="","Missing material",IF(COUNTIF(ProductList,A415)=0,"Product not in Products list",IF(COUNTIF(MaterialList,B415)=0,"Material not in Materials list","OK")))))</f>
        <v/>
      </c>
      <c r="H415" s="18" t="str">
        <f aca="false">IF(F415="Active",A415&amp;"|"&amp;COUNTIFS(A$2:A415,A415,F$2:F415,"Active"),"")</f>
        <v/>
      </c>
      <c r="I415" s="18" t="str">
        <f aca="false">IF(B415="","",IF(SUMPRODUCT(MAX((A$1:A414=A415)*(B$1:B414=B415)*ROW(A$1:A414)))=0,C415&amp;"",IF(C415="",INDEX(I$1:I414,SUMPRODUCT(MAX((A$1:A414=A415)*(B$1:B414=B415)*ROW(A$1:A414)))),IF(INDEX(I$1:I414,SUMPRODUCT(MAX((A$1:A414=A415)*(B$1:B414=B415)*ROW(A$1:A414))))="",C415&amp;"",INDEX(I$1:I414,SUMPRODUCT(MAX((A$1:A414=A415)*(B$1:B414=B415)*ROW(A$1:A414))))&amp;"; "&amp;C415))))</f>
        <v/>
      </c>
      <c r="J415" s="18" t="str">
        <f aca="false">IF(A415="","",A415&amp;"|"&amp;COUNTIF(A$2:A415,A415))</f>
        <v/>
      </c>
      <c r="K415" s="18" t="n">
        <f aca="false">IF(OR(A415="",B415=""),0,IF(COUNTIFS(A$2:A415,A415,B$2:B415,B415)=1,1,0))</f>
        <v>0</v>
      </c>
    </row>
    <row r="416" customFormat="false" ht="15" hidden="false" customHeight="false" outlineLevel="0" collapsed="false">
      <c r="A416" s="15"/>
      <c r="B416" s="15"/>
      <c r="C416" s="15"/>
      <c r="D416" s="15"/>
      <c r="F416" s="18" t="str">
        <f aca="false">IF(B416="","",IFERROR(INDEX(Materials!$B$2:$B$201,MATCH(B416,Materials!$A$2:$A$201,0)),""))</f>
        <v/>
      </c>
      <c r="G416" s="18" t="str">
        <f aca="true">IF(AND(A416="",B416=""),"",IF(A416="","Missing product",IF(B416="","Missing material",IF(COUNTIF(ProductList,A416)=0,"Product not in Products list",IF(COUNTIF(MaterialList,B416)=0,"Material not in Materials list","OK")))))</f>
        <v/>
      </c>
      <c r="H416" s="18" t="str">
        <f aca="false">IF(F416="Active",A416&amp;"|"&amp;COUNTIFS(A$2:A416,A416,F$2:F416,"Active"),"")</f>
        <v/>
      </c>
      <c r="I416" s="18" t="str">
        <f aca="false">IF(B416="","",IF(SUMPRODUCT(MAX((A$1:A415=A416)*(B$1:B415=B416)*ROW(A$1:A415)))=0,C416&amp;"",IF(C416="",INDEX(I$1:I415,SUMPRODUCT(MAX((A$1:A415=A416)*(B$1:B415=B416)*ROW(A$1:A415)))),IF(INDEX(I$1:I415,SUMPRODUCT(MAX((A$1:A415=A416)*(B$1:B415=B416)*ROW(A$1:A415))))="",C416&amp;"",INDEX(I$1:I415,SUMPRODUCT(MAX((A$1:A415=A416)*(B$1:B415=B416)*ROW(A$1:A415))))&amp;"; "&amp;C416))))</f>
        <v/>
      </c>
      <c r="J416" s="18" t="str">
        <f aca="false">IF(A416="","",A416&amp;"|"&amp;COUNTIF(A$2:A416,A416))</f>
        <v/>
      </c>
      <c r="K416" s="18" t="n">
        <f aca="false">IF(OR(A416="",B416=""),0,IF(COUNTIFS(A$2:A416,A416,B$2:B416,B416)=1,1,0))</f>
        <v>0</v>
      </c>
    </row>
    <row r="417" customFormat="false" ht="15" hidden="false" customHeight="false" outlineLevel="0" collapsed="false">
      <c r="A417" s="15"/>
      <c r="B417" s="15"/>
      <c r="C417" s="15"/>
      <c r="D417" s="15"/>
      <c r="F417" s="18" t="str">
        <f aca="false">IF(B417="","",IFERROR(INDEX(Materials!$B$2:$B$201,MATCH(B417,Materials!$A$2:$A$201,0)),""))</f>
        <v/>
      </c>
      <c r="G417" s="18" t="str">
        <f aca="true">IF(AND(A417="",B417=""),"",IF(A417="","Missing product",IF(B417="","Missing material",IF(COUNTIF(ProductList,A417)=0,"Product not in Products list",IF(COUNTIF(MaterialList,B417)=0,"Material not in Materials list","OK")))))</f>
        <v/>
      </c>
      <c r="H417" s="18" t="str">
        <f aca="false">IF(F417="Active",A417&amp;"|"&amp;COUNTIFS(A$2:A417,A417,F$2:F417,"Active"),"")</f>
        <v/>
      </c>
      <c r="I417" s="18" t="str">
        <f aca="false">IF(B417="","",IF(SUMPRODUCT(MAX((A$1:A416=A417)*(B$1:B416=B417)*ROW(A$1:A416)))=0,C417&amp;"",IF(C417="",INDEX(I$1:I416,SUMPRODUCT(MAX((A$1:A416=A417)*(B$1:B416=B417)*ROW(A$1:A416)))),IF(INDEX(I$1:I416,SUMPRODUCT(MAX((A$1:A416=A417)*(B$1:B416=B417)*ROW(A$1:A416))))="",C417&amp;"",INDEX(I$1:I416,SUMPRODUCT(MAX((A$1:A416=A417)*(B$1:B416=B417)*ROW(A$1:A416))))&amp;"; "&amp;C417))))</f>
        <v/>
      </c>
      <c r="J417" s="18" t="str">
        <f aca="false">IF(A417="","",A417&amp;"|"&amp;COUNTIF(A$2:A417,A417))</f>
        <v/>
      </c>
      <c r="K417" s="18" t="n">
        <f aca="false">IF(OR(A417="",B417=""),0,IF(COUNTIFS(A$2:A417,A417,B$2:B417,B417)=1,1,0))</f>
        <v>0</v>
      </c>
    </row>
    <row r="418" customFormat="false" ht="15" hidden="false" customHeight="false" outlineLevel="0" collapsed="false">
      <c r="A418" s="15"/>
      <c r="B418" s="15"/>
      <c r="C418" s="15"/>
      <c r="D418" s="15"/>
      <c r="F418" s="18" t="str">
        <f aca="false">IF(B418="","",IFERROR(INDEX(Materials!$B$2:$B$201,MATCH(B418,Materials!$A$2:$A$201,0)),""))</f>
        <v/>
      </c>
      <c r="G418" s="18" t="str">
        <f aca="true">IF(AND(A418="",B418=""),"",IF(A418="","Missing product",IF(B418="","Missing material",IF(COUNTIF(ProductList,A418)=0,"Product not in Products list",IF(COUNTIF(MaterialList,B418)=0,"Material not in Materials list","OK")))))</f>
        <v/>
      </c>
      <c r="H418" s="18" t="str">
        <f aca="false">IF(F418="Active",A418&amp;"|"&amp;COUNTIFS(A$2:A418,A418,F$2:F418,"Active"),"")</f>
        <v/>
      </c>
      <c r="I418" s="18" t="str">
        <f aca="false">IF(B418="","",IF(SUMPRODUCT(MAX((A$1:A417=A418)*(B$1:B417=B418)*ROW(A$1:A417)))=0,C418&amp;"",IF(C418="",INDEX(I$1:I417,SUMPRODUCT(MAX((A$1:A417=A418)*(B$1:B417=B418)*ROW(A$1:A417)))),IF(INDEX(I$1:I417,SUMPRODUCT(MAX((A$1:A417=A418)*(B$1:B417=B418)*ROW(A$1:A417))))="",C418&amp;"",INDEX(I$1:I417,SUMPRODUCT(MAX((A$1:A417=A418)*(B$1:B417=B418)*ROW(A$1:A417))))&amp;"; "&amp;C418))))</f>
        <v/>
      </c>
      <c r="J418" s="18" t="str">
        <f aca="false">IF(A418="","",A418&amp;"|"&amp;COUNTIF(A$2:A418,A418))</f>
        <v/>
      </c>
      <c r="K418" s="18" t="n">
        <f aca="false">IF(OR(A418="",B418=""),0,IF(COUNTIFS(A$2:A418,A418,B$2:B418,B418)=1,1,0))</f>
        <v>0</v>
      </c>
    </row>
    <row r="419" customFormat="false" ht="15" hidden="false" customHeight="false" outlineLevel="0" collapsed="false">
      <c r="A419" s="15"/>
      <c r="B419" s="15"/>
      <c r="C419" s="15"/>
      <c r="D419" s="15"/>
      <c r="F419" s="18" t="str">
        <f aca="false">IF(B419="","",IFERROR(INDEX(Materials!$B$2:$B$201,MATCH(B419,Materials!$A$2:$A$201,0)),""))</f>
        <v/>
      </c>
      <c r="G419" s="18" t="str">
        <f aca="true">IF(AND(A419="",B419=""),"",IF(A419="","Missing product",IF(B419="","Missing material",IF(COUNTIF(ProductList,A419)=0,"Product not in Products list",IF(COUNTIF(MaterialList,B419)=0,"Material not in Materials list","OK")))))</f>
        <v/>
      </c>
      <c r="H419" s="18" t="str">
        <f aca="false">IF(F419="Active",A419&amp;"|"&amp;COUNTIFS(A$2:A419,A419,F$2:F419,"Active"),"")</f>
        <v/>
      </c>
      <c r="I419" s="18" t="str">
        <f aca="false">IF(B419="","",IF(SUMPRODUCT(MAX((A$1:A418=A419)*(B$1:B418=B419)*ROW(A$1:A418)))=0,C419&amp;"",IF(C419="",INDEX(I$1:I418,SUMPRODUCT(MAX((A$1:A418=A419)*(B$1:B418=B419)*ROW(A$1:A418)))),IF(INDEX(I$1:I418,SUMPRODUCT(MAX((A$1:A418=A419)*(B$1:B418=B419)*ROW(A$1:A418))))="",C419&amp;"",INDEX(I$1:I418,SUMPRODUCT(MAX((A$1:A418=A419)*(B$1:B418=B419)*ROW(A$1:A418))))&amp;"; "&amp;C419))))</f>
        <v/>
      </c>
      <c r="J419" s="18" t="str">
        <f aca="false">IF(A419="","",A419&amp;"|"&amp;COUNTIF(A$2:A419,A419))</f>
        <v/>
      </c>
      <c r="K419" s="18" t="n">
        <f aca="false">IF(OR(A419="",B419=""),0,IF(COUNTIFS(A$2:A419,A419,B$2:B419,B419)=1,1,0))</f>
        <v>0</v>
      </c>
    </row>
    <row r="420" customFormat="false" ht="15" hidden="false" customHeight="false" outlineLevel="0" collapsed="false">
      <c r="A420" s="15"/>
      <c r="B420" s="15"/>
      <c r="C420" s="15"/>
      <c r="D420" s="15"/>
      <c r="F420" s="18" t="str">
        <f aca="false">IF(B420="","",IFERROR(INDEX(Materials!$B$2:$B$201,MATCH(B420,Materials!$A$2:$A$201,0)),""))</f>
        <v/>
      </c>
      <c r="G420" s="18" t="str">
        <f aca="true">IF(AND(A420="",B420=""),"",IF(A420="","Missing product",IF(B420="","Missing material",IF(COUNTIF(ProductList,A420)=0,"Product not in Products list",IF(COUNTIF(MaterialList,B420)=0,"Material not in Materials list","OK")))))</f>
        <v/>
      </c>
      <c r="H420" s="18" t="str">
        <f aca="false">IF(F420="Active",A420&amp;"|"&amp;COUNTIFS(A$2:A420,A420,F$2:F420,"Active"),"")</f>
        <v/>
      </c>
      <c r="I420" s="18" t="str">
        <f aca="false">IF(B420="","",IF(SUMPRODUCT(MAX((A$1:A419=A420)*(B$1:B419=B420)*ROW(A$1:A419)))=0,C420&amp;"",IF(C420="",INDEX(I$1:I419,SUMPRODUCT(MAX((A$1:A419=A420)*(B$1:B419=B420)*ROW(A$1:A419)))),IF(INDEX(I$1:I419,SUMPRODUCT(MAX((A$1:A419=A420)*(B$1:B419=B420)*ROW(A$1:A419))))="",C420&amp;"",INDEX(I$1:I419,SUMPRODUCT(MAX((A$1:A419=A420)*(B$1:B419=B420)*ROW(A$1:A419))))&amp;"; "&amp;C420))))</f>
        <v/>
      </c>
      <c r="J420" s="18" t="str">
        <f aca="false">IF(A420="","",A420&amp;"|"&amp;COUNTIF(A$2:A420,A420))</f>
        <v/>
      </c>
      <c r="K420" s="18" t="n">
        <f aca="false">IF(OR(A420="",B420=""),0,IF(COUNTIFS(A$2:A420,A420,B$2:B420,B420)=1,1,0))</f>
        <v>0</v>
      </c>
    </row>
    <row r="421" customFormat="false" ht="15" hidden="false" customHeight="false" outlineLevel="0" collapsed="false">
      <c r="A421" s="15"/>
      <c r="B421" s="15"/>
      <c r="C421" s="15"/>
      <c r="D421" s="15"/>
      <c r="F421" s="18" t="str">
        <f aca="false">IF(B421="","",IFERROR(INDEX(Materials!$B$2:$B$201,MATCH(B421,Materials!$A$2:$A$201,0)),""))</f>
        <v/>
      </c>
      <c r="G421" s="18" t="str">
        <f aca="true">IF(AND(A421="",B421=""),"",IF(A421="","Missing product",IF(B421="","Missing material",IF(COUNTIF(ProductList,A421)=0,"Product not in Products list",IF(COUNTIF(MaterialList,B421)=0,"Material not in Materials list","OK")))))</f>
        <v/>
      </c>
      <c r="H421" s="18" t="str">
        <f aca="false">IF(F421="Active",A421&amp;"|"&amp;COUNTIFS(A$2:A421,A421,F$2:F421,"Active"),"")</f>
        <v/>
      </c>
      <c r="I421" s="18" t="str">
        <f aca="false">IF(B421="","",IF(SUMPRODUCT(MAX((A$1:A420=A421)*(B$1:B420=B421)*ROW(A$1:A420)))=0,C421&amp;"",IF(C421="",INDEX(I$1:I420,SUMPRODUCT(MAX((A$1:A420=A421)*(B$1:B420=B421)*ROW(A$1:A420)))),IF(INDEX(I$1:I420,SUMPRODUCT(MAX((A$1:A420=A421)*(B$1:B420=B421)*ROW(A$1:A420))))="",C421&amp;"",INDEX(I$1:I420,SUMPRODUCT(MAX((A$1:A420=A421)*(B$1:B420=B421)*ROW(A$1:A420))))&amp;"; "&amp;C421))))</f>
        <v/>
      </c>
      <c r="J421" s="18" t="str">
        <f aca="false">IF(A421="","",A421&amp;"|"&amp;COUNTIF(A$2:A421,A421))</f>
        <v/>
      </c>
      <c r="K421" s="18" t="n">
        <f aca="false">IF(OR(A421="",B421=""),0,IF(COUNTIFS(A$2:A421,A421,B$2:B421,B421)=1,1,0))</f>
        <v>0</v>
      </c>
    </row>
    <row r="422" customFormat="false" ht="15" hidden="false" customHeight="false" outlineLevel="0" collapsed="false">
      <c r="A422" s="15"/>
      <c r="B422" s="15"/>
      <c r="C422" s="15"/>
      <c r="D422" s="15"/>
      <c r="F422" s="18" t="str">
        <f aca="false">IF(B422="","",IFERROR(INDEX(Materials!$B$2:$B$201,MATCH(B422,Materials!$A$2:$A$201,0)),""))</f>
        <v/>
      </c>
      <c r="G422" s="18" t="str">
        <f aca="true">IF(AND(A422="",B422=""),"",IF(A422="","Missing product",IF(B422="","Missing material",IF(COUNTIF(ProductList,A422)=0,"Product not in Products list",IF(COUNTIF(MaterialList,B422)=0,"Material not in Materials list","OK")))))</f>
        <v/>
      </c>
      <c r="H422" s="18" t="str">
        <f aca="false">IF(F422="Active",A422&amp;"|"&amp;COUNTIFS(A$2:A422,A422,F$2:F422,"Active"),"")</f>
        <v/>
      </c>
      <c r="I422" s="18" t="str">
        <f aca="false">IF(B422="","",IF(SUMPRODUCT(MAX((A$1:A421=A422)*(B$1:B421=B422)*ROW(A$1:A421)))=0,C422&amp;"",IF(C422="",INDEX(I$1:I421,SUMPRODUCT(MAX((A$1:A421=A422)*(B$1:B421=B422)*ROW(A$1:A421)))),IF(INDEX(I$1:I421,SUMPRODUCT(MAX((A$1:A421=A422)*(B$1:B421=B422)*ROW(A$1:A421))))="",C422&amp;"",INDEX(I$1:I421,SUMPRODUCT(MAX((A$1:A421=A422)*(B$1:B421=B422)*ROW(A$1:A421))))&amp;"; "&amp;C422))))</f>
        <v/>
      </c>
      <c r="J422" s="18" t="str">
        <f aca="false">IF(A422="","",A422&amp;"|"&amp;COUNTIF(A$2:A422,A422))</f>
        <v/>
      </c>
      <c r="K422" s="18" t="n">
        <f aca="false">IF(OR(A422="",B422=""),0,IF(COUNTIFS(A$2:A422,A422,B$2:B422,B422)=1,1,0))</f>
        <v>0</v>
      </c>
    </row>
    <row r="423" customFormat="false" ht="15" hidden="false" customHeight="false" outlineLevel="0" collapsed="false">
      <c r="A423" s="15"/>
      <c r="B423" s="15"/>
      <c r="C423" s="15"/>
      <c r="D423" s="15"/>
      <c r="F423" s="18" t="str">
        <f aca="false">IF(B423="","",IFERROR(INDEX(Materials!$B$2:$B$201,MATCH(B423,Materials!$A$2:$A$201,0)),""))</f>
        <v/>
      </c>
      <c r="G423" s="18" t="str">
        <f aca="true">IF(AND(A423="",B423=""),"",IF(A423="","Missing product",IF(B423="","Missing material",IF(COUNTIF(ProductList,A423)=0,"Product not in Products list",IF(COUNTIF(MaterialList,B423)=0,"Material not in Materials list","OK")))))</f>
        <v/>
      </c>
      <c r="H423" s="18" t="str">
        <f aca="false">IF(F423="Active",A423&amp;"|"&amp;COUNTIFS(A$2:A423,A423,F$2:F423,"Active"),"")</f>
        <v/>
      </c>
      <c r="I423" s="18" t="str">
        <f aca="false">IF(B423="","",IF(SUMPRODUCT(MAX((A$1:A422=A423)*(B$1:B422=B423)*ROW(A$1:A422)))=0,C423&amp;"",IF(C423="",INDEX(I$1:I422,SUMPRODUCT(MAX((A$1:A422=A423)*(B$1:B422=B423)*ROW(A$1:A422)))),IF(INDEX(I$1:I422,SUMPRODUCT(MAX((A$1:A422=A423)*(B$1:B422=B423)*ROW(A$1:A422))))="",C423&amp;"",INDEX(I$1:I422,SUMPRODUCT(MAX((A$1:A422=A423)*(B$1:B422=B423)*ROW(A$1:A422))))&amp;"; "&amp;C423))))</f>
        <v/>
      </c>
      <c r="J423" s="18" t="str">
        <f aca="false">IF(A423="","",A423&amp;"|"&amp;COUNTIF(A$2:A423,A423))</f>
        <v/>
      </c>
      <c r="K423" s="18" t="n">
        <f aca="false">IF(OR(A423="",B423=""),0,IF(COUNTIFS(A$2:A423,A423,B$2:B423,B423)=1,1,0))</f>
        <v>0</v>
      </c>
    </row>
    <row r="424" customFormat="false" ht="15" hidden="false" customHeight="false" outlineLevel="0" collapsed="false">
      <c r="A424" s="15"/>
      <c r="B424" s="15"/>
      <c r="C424" s="15"/>
      <c r="D424" s="15"/>
      <c r="F424" s="18" t="str">
        <f aca="false">IF(B424="","",IFERROR(INDEX(Materials!$B$2:$B$201,MATCH(B424,Materials!$A$2:$A$201,0)),""))</f>
        <v/>
      </c>
      <c r="G424" s="18" t="str">
        <f aca="true">IF(AND(A424="",B424=""),"",IF(A424="","Missing product",IF(B424="","Missing material",IF(COUNTIF(ProductList,A424)=0,"Product not in Products list",IF(COUNTIF(MaterialList,B424)=0,"Material not in Materials list","OK")))))</f>
        <v/>
      </c>
      <c r="H424" s="18" t="str">
        <f aca="false">IF(F424="Active",A424&amp;"|"&amp;COUNTIFS(A$2:A424,A424,F$2:F424,"Active"),"")</f>
        <v/>
      </c>
      <c r="I424" s="18" t="str">
        <f aca="false">IF(B424="","",IF(SUMPRODUCT(MAX((A$1:A423=A424)*(B$1:B423=B424)*ROW(A$1:A423)))=0,C424&amp;"",IF(C424="",INDEX(I$1:I423,SUMPRODUCT(MAX((A$1:A423=A424)*(B$1:B423=B424)*ROW(A$1:A423)))),IF(INDEX(I$1:I423,SUMPRODUCT(MAX((A$1:A423=A424)*(B$1:B423=B424)*ROW(A$1:A423))))="",C424&amp;"",INDEX(I$1:I423,SUMPRODUCT(MAX((A$1:A423=A424)*(B$1:B423=B424)*ROW(A$1:A423))))&amp;"; "&amp;C424))))</f>
        <v/>
      </c>
      <c r="J424" s="18" t="str">
        <f aca="false">IF(A424="","",A424&amp;"|"&amp;COUNTIF(A$2:A424,A424))</f>
        <v/>
      </c>
      <c r="K424" s="18" t="n">
        <f aca="false">IF(OR(A424="",B424=""),0,IF(COUNTIFS(A$2:A424,A424,B$2:B424,B424)=1,1,0))</f>
        <v>0</v>
      </c>
    </row>
    <row r="425" customFormat="false" ht="15" hidden="false" customHeight="false" outlineLevel="0" collapsed="false">
      <c r="A425" s="15"/>
      <c r="B425" s="15"/>
      <c r="C425" s="15"/>
      <c r="D425" s="15"/>
      <c r="F425" s="18" t="str">
        <f aca="false">IF(B425="","",IFERROR(INDEX(Materials!$B$2:$B$201,MATCH(B425,Materials!$A$2:$A$201,0)),""))</f>
        <v/>
      </c>
      <c r="G425" s="18" t="str">
        <f aca="true">IF(AND(A425="",B425=""),"",IF(A425="","Missing product",IF(B425="","Missing material",IF(COUNTIF(ProductList,A425)=0,"Product not in Products list",IF(COUNTIF(MaterialList,B425)=0,"Material not in Materials list","OK")))))</f>
        <v/>
      </c>
      <c r="H425" s="18" t="str">
        <f aca="false">IF(F425="Active",A425&amp;"|"&amp;COUNTIFS(A$2:A425,A425,F$2:F425,"Active"),"")</f>
        <v/>
      </c>
      <c r="I425" s="18" t="str">
        <f aca="false">IF(B425="","",IF(SUMPRODUCT(MAX((A$1:A424=A425)*(B$1:B424=B425)*ROW(A$1:A424)))=0,C425&amp;"",IF(C425="",INDEX(I$1:I424,SUMPRODUCT(MAX((A$1:A424=A425)*(B$1:B424=B425)*ROW(A$1:A424)))),IF(INDEX(I$1:I424,SUMPRODUCT(MAX((A$1:A424=A425)*(B$1:B424=B425)*ROW(A$1:A424))))="",C425&amp;"",INDEX(I$1:I424,SUMPRODUCT(MAX((A$1:A424=A425)*(B$1:B424=B425)*ROW(A$1:A424))))&amp;"; "&amp;C425))))</f>
        <v/>
      </c>
      <c r="J425" s="18" t="str">
        <f aca="false">IF(A425="","",A425&amp;"|"&amp;COUNTIF(A$2:A425,A425))</f>
        <v/>
      </c>
      <c r="K425" s="18" t="n">
        <f aca="false">IF(OR(A425="",B425=""),0,IF(COUNTIFS(A$2:A425,A425,B$2:B425,B425)=1,1,0))</f>
        <v>0</v>
      </c>
    </row>
    <row r="426" customFormat="false" ht="15" hidden="false" customHeight="false" outlineLevel="0" collapsed="false">
      <c r="A426" s="15"/>
      <c r="B426" s="15"/>
      <c r="C426" s="15"/>
      <c r="D426" s="15"/>
      <c r="F426" s="18" t="str">
        <f aca="false">IF(B426="","",IFERROR(INDEX(Materials!$B$2:$B$201,MATCH(B426,Materials!$A$2:$A$201,0)),""))</f>
        <v/>
      </c>
      <c r="G426" s="18" t="str">
        <f aca="true">IF(AND(A426="",B426=""),"",IF(A426="","Missing product",IF(B426="","Missing material",IF(COUNTIF(ProductList,A426)=0,"Product not in Products list",IF(COUNTIF(MaterialList,B426)=0,"Material not in Materials list","OK")))))</f>
        <v/>
      </c>
      <c r="H426" s="18" t="str">
        <f aca="false">IF(F426="Active",A426&amp;"|"&amp;COUNTIFS(A$2:A426,A426,F$2:F426,"Active"),"")</f>
        <v/>
      </c>
      <c r="I426" s="18" t="str">
        <f aca="false">IF(B426="","",IF(SUMPRODUCT(MAX((A$1:A425=A426)*(B$1:B425=B426)*ROW(A$1:A425)))=0,C426&amp;"",IF(C426="",INDEX(I$1:I425,SUMPRODUCT(MAX((A$1:A425=A426)*(B$1:B425=B426)*ROW(A$1:A425)))),IF(INDEX(I$1:I425,SUMPRODUCT(MAX((A$1:A425=A426)*(B$1:B425=B426)*ROW(A$1:A425))))="",C426&amp;"",INDEX(I$1:I425,SUMPRODUCT(MAX((A$1:A425=A426)*(B$1:B425=B426)*ROW(A$1:A425))))&amp;"; "&amp;C426))))</f>
        <v/>
      </c>
      <c r="J426" s="18" t="str">
        <f aca="false">IF(A426="","",A426&amp;"|"&amp;COUNTIF(A$2:A426,A426))</f>
        <v/>
      </c>
      <c r="K426" s="18" t="n">
        <f aca="false">IF(OR(A426="",B426=""),0,IF(COUNTIFS(A$2:A426,A426,B$2:B426,B426)=1,1,0))</f>
        <v>0</v>
      </c>
    </row>
    <row r="427" customFormat="false" ht="15" hidden="false" customHeight="false" outlineLevel="0" collapsed="false">
      <c r="A427" s="15"/>
      <c r="B427" s="15"/>
      <c r="C427" s="15"/>
      <c r="D427" s="15"/>
      <c r="F427" s="18" t="str">
        <f aca="false">IF(B427="","",IFERROR(INDEX(Materials!$B$2:$B$201,MATCH(B427,Materials!$A$2:$A$201,0)),""))</f>
        <v/>
      </c>
      <c r="G427" s="18" t="str">
        <f aca="true">IF(AND(A427="",B427=""),"",IF(A427="","Missing product",IF(B427="","Missing material",IF(COUNTIF(ProductList,A427)=0,"Product not in Products list",IF(COUNTIF(MaterialList,B427)=0,"Material not in Materials list","OK")))))</f>
        <v/>
      </c>
      <c r="H427" s="18" t="str">
        <f aca="false">IF(F427="Active",A427&amp;"|"&amp;COUNTIFS(A$2:A427,A427,F$2:F427,"Active"),"")</f>
        <v/>
      </c>
      <c r="I427" s="18" t="str">
        <f aca="false">IF(B427="","",IF(SUMPRODUCT(MAX((A$1:A426=A427)*(B$1:B426=B427)*ROW(A$1:A426)))=0,C427&amp;"",IF(C427="",INDEX(I$1:I426,SUMPRODUCT(MAX((A$1:A426=A427)*(B$1:B426=B427)*ROW(A$1:A426)))),IF(INDEX(I$1:I426,SUMPRODUCT(MAX((A$1:A426=A427)*(B$1:B426=B427)*ROW(A$1:A426))))="",C427&amp;"",INDEX(I$1:I426,SUMPRODUCT(MAX((A$1:A426=A427)*(B$1:B426=B427)*ROW(A$1:A426))))&amp;"; "&amp;C427))))</f>
        <v/>
      </c>
      <c r="J427" s="18" t="str">
        <f aca="false">IF(A427="","",A427&amp;"|"&amp;COUNTIF(A$2:A427,A427))</f>
        <v/>
      </c>
      <c r="K427" s="18" t="n">
        <f aca="false">IF(OR(A427="",B427=""),0,IF(COUNTIFS(A$2:A427,A427,B$2:B427,B427)=1,1,0))</f>
        <v>0</v>
      </c>
    </row>
    <row r="428" customFormat="false" ht="15" hidden="false" customHeight="false" outlineLevel="0" collapsed="false">
      <c r="A428" s="15"/>
      <c r="B428" s="15"/>
      <c r="C428" s="15"/>
      <c r="D428" s="15"/>
      <c r="F428" s="18" t="str">
        <f aca="false">IF(B428="","",IFERROR(INDEX(Materials!$B$2:$B$201,MATCH(B428,Materials!$A$2:$A$201,0)),""))</f>
        <v/>
      </c>
      <c r="G428" s="18" t="str">
        <f aca="true">IF(AND(A428="",B428=""),"",IF(A428="","Missing product",IF(B428="","Missing material",IF(COUNTIF(ProductList,A428)=0,"Product not in Products list",IF(COUNTIF(MaterialList,B428)=0,"Material not in Materials list","OK")))))</f>
        <v/>
      </c>
      <c r="H428" s="18" t="str">
        <f aca="false">IF(F428="Active",A428&amp;"|"&amp;COUNTIFS(A$2:A428,A428,F$2:F428,"Active"),"")</f>
        <v/>
      </c>
      <c r="I428" s="18" t="str">
        <f aca="false">IF(B428="","",IF(SUMPRODUCT(MAX((A$1:A427=A428)*(B$1:B427=B428)*ROW(A$1:A427)))=0,C428&amp;"",IF(C428="",INDEX(I$1:I427,SUMPRODUCT(MAX((A$1:A427=A428)*(B$1:B427=B428)*ROW(A$1:A427)))),IF(INDEX(I$1:I427,SUMPRODUCT(MAX((A$1:A427=A428)*(B$1:B427=B428)*ROW(A$1:A427))))="",C428&amp;"",INDEX(I$1:I427,SUMPRODUCT(MAX((A$1:A427=A428)*(B$1:B427=B428)*ROW(A$1:A427))))&amp;"; "&amp;C428))))</f>
        <v/>
      </c>
      <c r="J428" s="18" t="str">
        <f aca="false">IF(A428="","",A428&amp;"|"&amp;COUNTIF(A$2:A428,A428))</f>
        <v/>
      </c>
      <c r="K428" s="18" t="n">
        <f aca="false">IF(OR(A428="",B428=""),0,IF(COUNTIFS(A$2:A428,A428,B$2:B428,B428)=1,1,0))</f>
        <v>0</v>
      </c>
    </row>
    <row r="429" customFormat="false" ht="15" hidden="false" customHeight="false" outlineLevel="0" collapsed="false">
      <c r="A429" s="15"/>
      <c r="B429" s="15"/>
      <c r="C429" s="15"/>
      <c r="D429" s="15"/>
      <c r="F429" s="18" t="str">
        <f aca="false">IF(B429="","",IFERROR(INDEX(Materials!$B$2:$B$201,MATCH(B429,Materials!$A$2:$A$201,0)),""))</f>
        <v/>
      </c>
      <c r="G429" s="18" t="str">
        <f aca="true">IF(AND(A429="",B429=""),"",IF(A429="","Missing product",IF(B429="","Missing material",IF(COUNTIF(ProductList,A429)=0,"Product not in Products list",IF(COUNTIF(MaterialList,B429)=0,"Material not in Materials list","OK")))))</f>
        <v/>
      </c>
      <c r="H429" s="18" t="str">
        <f aca="false">IF(F429="Active",A429&amp;"|"&amp;COUNTIFS(A$2:A429,A429,F$2:F429,"Active"),"")</f>
        <v/>
      </c>
      <c r="I429" s="18" t="str">
        <f aca="false">IF(B429="","",IF(SUMPRODUCT(MAX((A$1:A428=A429)*(B$1:B428=B429)*ROW(A$1:A428)))=0,C429&amp;"",IF(C429="",INDEX(I$1:I428,SUMPRODUCT(MAX((A$1:A428=A429)*(B$1:B428=B429)*ROW(A$1:A428)))),IF(INDEX(I$1:I428,SUMPRODUCT(MAX((A$1:A428=A429)*(B$1:B428=B429)*ROW(A$1:A428))))="",C429&amp;"",INDEX(I$1:I428,SUMPRODUCT(MAX((A$1:A428=A429)*(B$1:B428=B429)*ROW(A$1:A428))))&amp;"; "&amp;C429))))</f>
        <v/>
      </c>
      <c r="J429" s="18" t="str">
        <f aca="false">IF(A429="","",A429&amp;"|"&amp;COUNTIF(A$2:A429,A429))</f>
        <v/>
      </c>
      <c r="K429" s="18" t="n">
        <f aca="false">IF(OR(A429="",B429=""),0,IF(COUNTIFS(A$2:A429,A429,B$2:B429,B429)=1,1,0))</f>
        <v>0</v>
      </c>
    </row>
    <row r="430" customFormat="false" ht="15" hidden="false" customHeight="false" outlineLevel="0" collapsed="false">
      <c r="A430" s="15"/>
      <c r="B430" s="15"/>
      <c r="C430" s="15"/>
      <c r="D430" s="15"/>
      <c r="F430" s="18" t="str">
        <f aca="false">IF(B430="","",IFERROR(INDEX(Materials!$B$2:$B$201,MATCH(B430,Materials!$A$2:$A$201,0)),""))</f>
        <v/>
      </c>
      <c r="G430" s="18" t="str">
        <f aca="true">IF(AND(A430="",B430=""),"",IF(A430="","Missing product",IF(B430="","Missing material",IF(COUNTIF(ProductList,A430)=0,"Product not in Products list",IF(COUNTIF(MaterialList,B430)=0,"Material not in Materials list","OK")))))</f>
        <v/>
      </c>
      <c r="H430" s="18" t="str">
        <f aca="false">IF(F430="Active",A430&amp;"|"&amp;COUNTIFS(A$2:A430,A430,F$2:F430,"Active"),"")</f>
        <v/>
      </c>
      <c r="I430" s="18" t="str">
        <f aca="false">IF(B430="","",IF(SUMPRODUCT(MAX((A$1:A429=A430)*(B$1:B429=B430)*ROW(A$1:A429)))=0,C430&amp;"",IF(C430="",INDEX(I$1:I429,SUMPRODUCT(MAX((A$1:A429=A430)*(B$1:B429=B430)*ROW(A$1:A429)))),IF(INDEX(I$1:I429,SUMPRODUCT(MAX((A$1:A429=A430)*(B$1:B429=B430)*ROW(A$1:A429))))="",C430&amp;"",INDEX(I$1:I429,SUMPRODUCT(MAX((A$1:A429=A430)*(B$1:B429=B430)*ROW(A$1:A429))))&amp;"; "&amp;C430))))</f>
        <v/>
      </c>
      <c r="J430" s="18" t="str">
        <f aca="false">IF(A430="","",A430&amp;"|"&amp;COUNTIF(A$2:A430,A430))</f>
        <v/>
      </c>
      <c r="K430" s="18" t="n">
        <f aca="false">IF(OR(A430="",B430=""),0,IF(COUNTIFS(A$2:A430,A430,B$2:B430,B430)=1,1,0))</f>
        <v>0</v>
      </c>
    </row>
    <row r="431" customFormat="false" ht="15" hidden="false" customHeight="false" outlineLevel="0" collapsed="false">
      <c r="A431" s="15"/>
      <c r="B431" s="15"/>
      <c r="C431" s="15"/>
      <c r="D431" s="15"/>
      <c r="F431" s="18" t="str">
        <f aca="false">IF(B431="","",IFERROR(INDEX(Materials!$B$2:$B$201,MATCH(B431,Materials!$A$2:$A$201,0)),""))</f>
        <v/>
      </c>
      <c r="G431" s="18" t="str">
        <f aca="true">IF(AND(A431="",B431=""),"",IF(A431="","Missing product",IF(B431="","Missing material",IF(COUNTIF(ProductList,A431)=0,"Product not in Products list",IF(COUNTIF(MaterialList,B431)=0,"Material not in Materials list","OK")))))</f>
        <v/>
      </c>
      <c r="H431" s="18" t="str">
        <f aca="false">IF(F431="Active",A431&amp;"|"&amp;COUNTIFS(A$2:A431,A431,F$2:F431,"Active"),"")</f>
        <v/>
      </c>
      <c r="I431" s="18" t="str">
        <f aca="false">IF(B431="","",IF(SUMPRODUCT(MAX((A$1:A430=A431)*(B$1:B430=B431)*ROW(A$1:A430)))=0,C431&amp;"",IF(C431="",INDEX(I$1:I430,SUMPRODUCT(MAX((A$1:A430=A431)*(B$1:B430=B431)*ROW(A$1:A430)))),IF(INDEX(I$1:I430,SUMPRODUCT(MAX((A$1:A430=A431)*(B$1:B430=B431)*ROW(A$1:A430))))="",C431&amp;"",INDEX(I$1:I430,SUMPRODUCT(MAX((A$1:A430=A431)*(B$1:B430=B431)*ROW(A$1:A430))))&amp;"; "&amp;C431))))</f>
        <v/>
      </c>
      <c r="J431" s="18" t="str">
        <f aca="false">IF(A431="","",A431&amp;"|"&amp;COUNTIF(A$2:A431,A431))</f>
        <v/>
      </c>
      <c r="K431" s="18" t="n">
        <f aca="false">IF(OR(A431="",B431=""),0,IF(COUNTIFS(A$2:A431,A431,B$2:B431,B431)=1,1,0))</f>
        <v>0</v>
      </c>
    </row>
    <row r="432" customFormat="false" ht="15" hidden="false" customHeight="false" outlineLevel="0" collapsed="false">
      <c r="A432" s="15"/>
      <c r="B432" s="15"/>
      <c r="C432" s="15"/>
      <c r="D432" s="15"/>
      <c r="F432" s="18" t="str">
        <f aca="false">IF(B432="","",IFERROR(INDEX(Materials!$B$2:$B$201,MATCH(B432,Materials!$A$2:$A$201,0)),""))</f>
        <v/>
      </c>
      <c r="G432" s="18" t="str">
        <f aca="true">IF(AND(A432="",B432=""),"",IF(A432="","Missing product",IF(B432="","Missing material",IF(COUNTIF(ProductList,A432)=0,"Product not in Products list",IF(COUNTIF(MaterialList,B432)=0,"Material not in Materials list","OK")))))</f>
        <v/>
      </c>
      <c r="H432" s="18" t="str">
        <f aca="false">IF(F432="Active",A432&amp;"|"&amp;COUNTIFS(A$2:A432,A432,F$2:F432,"Active"),"")</f>
        <v/>
      </c>
      <c r="I432" s="18" t="str">
        <f aca="false">IF(B432="","",IF(SUMPRODUCT(MAX((A$1:A431=A432)*(B$1:B431=B432)*ROW(A$1:A431)))=0,C432&amp;"",IF(C432="",INDEX(I$1:I431,SUMPRODUCT(MAX((A$1:A431=A432)*(B$1:B431=B432)*ROW(A$1:A431)))),IF(INDEX(I$1:I431,SUMPRODUCT(MAX((A$1:A431=A432)*(B$1:B431=B432)*ROW(A$1:A431))))="",C432&amp;"",INDEX(I$1:I431,SUMPRODUCT(MAX((A$1:A431=A432)*(B$1:B431=B432)*ROW(A$1:A431))))&amp;"; "&amp;C432))))</f>
        <v/>
      </c>
      <c r="J432" s="18" t="str">
        <f aca="false">IF(A432="","",A432&amp;"|"&amp;COUNTIF(A$2:A432,A432))</f>
        <v/>
      </c>
      <c r="K432" s="18" t="n">
        <f aca="false">IF(OR(A432="",B432=""),0,IF(COUNTIFS(A$2:A432,A432,B$2:B432,B432)=1,1,0))</f>
        <v>0</v>
      </c>
    </row>
    <row r="433" customFormat="false" ht="15" hidden="false" customHeight="false" outlineLevel="0" collapsed="false">
      <c r="A433" s="15"/>
      <c r="B433" s="15"/>
      <c r="C433" s="15"/>
      <c r="D433" s="15"/>
      <c r="F433" s="18" t="str">
        <f aca="false">IF(B433="","",IFERROR(INDEX(Materials!$B$2:$B$201,MATCH(B433,Materials!$A$2:$A$201,0)),""))</f>
        <v/>
      </c>
      <c r="G433" s="18" t="str">
        <f aca="true">IF(AND(A433="",B433=""),"",IF(A433="","Missing product",IF(B433="","Missing material",IF(COUNTIF(ProductList,A433)=0,"Product not in Products list",IF(COUNTIF(MaterialList,B433)=0,"Material not in Materials list","OK")))))</f>
        <v/>
      </c>
      <c r="H433" s="18" t="str">
        <f aca="false">IF(F433="Active",A433&amp;"|"&amp;COUNTIFS(A$2:A433,A433,F$2:F433,"Active"),"")</f>
        <v/>
      </c>
      <c r="I433" s="18" t="str">
        <f aca="false">IF(B433="","",IF(SUMPRODUCT(MAX((A$1:A432=A433)*(B$1:B432=B433)*ROW(A$1:A432)))=0,C433&amp;"",IF(C433="",INDEX(I$1:I432,SUMPRODUCT(MAX((A$1:A432=A433)*(B$1:B432=B433)*ROW(A$1:A432)))),IF(INDEX(I$1:I432,SUMPRODUCT(MAX((A$1:A432=A433)*(B$1:B432=B433)*ROW(A$1:A432))))="",C433&amp;"",INDEX(I$1:I432,SUMPRODUCT(MAX((A$1:A432=A433)*(B$1:B432=B433)*ROW(A$1:A432))))&amp;"; "&amp;C433))))</f>
        <v/>
      </c>
      <c r="J433" s="18" t="str">
        <f aca="false">IF(A433="","",A433&amp;"|"&amp;COUNTIF(A$2:A433,A433))</f>
        <v/>
      </c>
      <c r="K433" s="18" t="n">
        <f aca="false">IF(OR(A433="",B433=""),0,IF(COUNTIFS(A$2:A433,A433,B$2:B433,B433)=1,1,0))</f>
        <v>0</v>
      </c>
    </row>
    <row r="434" customFormat="false" ht="15" hidden="false" customHeight="false" outlineLevel="0" collapsed="false">
      <c r="A434" s="15"/>
      <c r="B434" s="15"/>
      <c r="C434" s="15"/>
      <c r="D434" s="15"/>
      <c r="F434" s="18" t="str">
        <f aca="false">IF(B434="","",IFERROR(INDEX(Materials!$B$2:$B$201,MATCH(B434,Materials!$A$2:$A$201,0)),""))</f>
        <v/>
      </c>
      <c r="G434" s="18" t="str">
        <f aca="true">IF(AND(A434="",B434=""),"",IF(A434="","Missing product",IF(B434="","Missing material",IF(COUNTIF(ProductList,A434)=0,"Product not in Products list",IF(COUNTIF(MaterialList,B434)=0,"Material not in Materials list","OK")))))</f>
        <v/>
      </c>
      <c r="H434" s="18" t="str">
        <f aca="false">IF(F434="Active",A434&amp;"|"&amp;COUNTIFS(A$2:A434,A434,F$2:F434,"Active"),"")</f>
        <v/>
      </c>
      <c r="I434" s="18" t="str">
        <f aca="false">IF(B434="","",IF(SUMPRODUCT(MAX((A$1:A433=A434)*(B$1:B433=B434)*ROW(A$1:A433)))=0,C434&amp;"",IF(C434="",INDEX(I$1:I433,SUMPRODUCT(MAX((A$1:A433=A434)*(B$1:B433=B434)*ROW(A$1:A433)))),IF(INDEX(I$1:I433,SUMPRODUCT(MAX((A$1:A433=A434)*(B$1:B433=B434)*ROW(A$1:A433))))="",C434&amp;"",INDEX(I$1:I433,SUMPRODUCT(MAX((A$1:A433=A434)*(B$1:B433=B434)*ROW(A$1:A433))))&amp;"; "&amp;C434))))</f>
        <v/>
      </c>
      <c r="J434" s="18" t="str">
        <f aca="false">IF(A434="","",A434&amp;"|"&amp;COUNTIF(A$2:A434,A434))</f>
        <v/>
      </c>
      <c r="K434" s="18" t="n">
        <f aca="false">IF(OR(A434="",B434=""),0,IF(COUNTIFS(A$2:A434,A434,B$2:B434,B434)=1,1,0))</f>
        <v>0</v>
      </c>
    </row>
    <row r="435" customFormat="false" ht="15" hidden="false" customHeight="false" outlineLevel="0" collapsed="false">
      <c r="A435" s="15"/>
      <c r="B435" s="15"/>
      <c r="C435" s="15"/>
      <c r="D435" s="15"/>
      <c r="F435" s="18" t="str">
        <f aca="false">IF(B435="","",IFERROR(INDEX(Materials!$B$2:$B$201,MATCH(B435,Materials!$A$2:$A$201,0)),""))</f>
        <v/>
      </c>
      <c r="G435" s="18" t="str">
        <f aca="true">IF(AND(A435="",B435=""),"",IF(A435="","Missing product",IF(B435="","Missing material",IF(COUNTIF(ProductList,A435)=0,"Product not in Products list",IF(COUNTIF(MaterialList,B435)=0,"Material not in Materials list","OK")))))</f>
        <v/>
      </c>
      <c r="H435" s="18" t="str">
        <f aca="false">IF(F435="Active",A435&amp;"|"&amp;COUNTIFS(A$2:A435,A435,F$2:F435,"Active"),"")</f>
        <v/>
      </c>
      <c r="I435" s="18" t="str">
        <f aca="false">IF(B435="","",IF(SUMPRODUCT(MAX((A$1:A434=A435)*(B$1:B434=B435)*ROW(A$1:A434)))=0,C435&amp;"",IF(C435="",INDEX(I$1:I434,SUMPRODUCT(MAX((A$1:A434=A435)*(B$1:B434=B435)*ROW(A$1:A434)))),IF(INDEX(I$1:I434,SUMPRODUCT(MAX((A$1:A434=A435)*(B$1:B434=B435)*ROW(A$1:A434))))="",C435&amp;"",INDEX(I$1:I434,SUMPRODUCT(MAX((A$1:A434=A435)*(B$1:B434=B435)*ROW(A$1:A434))))&amp;"; "&amp;C435))))</f>
        <v/>
      </c>
      <c r="J435" s="18" t="str">
        <f aca="false">IF(A435="","",A435&amp;"|"&amp;COUNTIF(A$2:A435,A435))</f>
        <v/>
      </c>
      <c r="K435" s="18" t="n">
        <f aca="false">IF(OR(A435="",B435=""),0,IF(COUNTIFS(A$2:A435,A435,B$2:B435,B435)=1,1,0))</f>
        <v>0</v>
      </c>
    </row>
    <row r="436" customFormat="false" ht="15" hidden="false" customHeight="false" outlineLevel="0" collapsed="false">
      <c r="A436" s="15"/>
      <c r="B436" s="15"/>
      <c r="C436" s="15"/>
      <c r="D436" s="15"/>
      <c r="F436" s="18" t="str">
        <f aca="false">IF(B436="","",IFERROR(INDEX(Materials!$B$2:$B$201,MATCH(B436,Materials!$A$2:$A$201,0)),""))</f>
        <v/>
      </c>
      <c r="G436" s="18" t="str">
        <f aca="true">IF(AND(A436="",B436=""),"",IF(A436="","Missing product",IF(B436="","Missing material",IF(COUNTIF(ProductList,A436)=0,"Product not in Products list",IF(COUNTIF(MaterialList,B436)=0,"Material not in Materials list","OK")))))</f>
        <v/>
      </c>
      <c r="H436" s="18" t="str">
        <f aca="false">IF(F436="Active",A436&amp;"|"&amp;COUNTIFS(A$2:A436,A436,F$2:F436,"Active"),"")</f>
        <v/>
      </c>
      <c r="I436" s="18" t="str">
        <f aca="false">IF(B436="","",IF(SUMPRODUCT(MAX((A$1:A435=A436)*(B$1:B435=B436)*ROW(A$1:A435)))=0,C436&amp;"",IF(C436="",INDEX(I$1:I435,SUMPRODUCT(MAX((A$1:A435=A436)*(B$1:B435=B436)*ROW(A$1:A435)))),IF(INDEX(I$1:I435,SUMPRODUCT(MAX((A$1:A435=A436)*(B$1:B435=B436)*ROW(A$1:A435))))="",C436&amp;"",INDEX(I$1:I435,SUMPRODUCT(MAX((A$1:A435=A436)*(B$1:B435=B436)*ROW(A$1:A435))))&amp;"; "&amp;C436))))</f>
        <v/>
      </c>
      <c r="J436" s="18" t="str">
        <f aca="false">IF(A436="","",A436&amp;"|"&amp;COUNTIF(A$2:A436,A436))</f>
        <v/>
      </c>
      <c r="K436" s="18" t="n">
        <f aca="false">IF(OR(A436="",B436=""),0,IF(COUNTIFS(A$2:A436,A436,B$2:B436,B436)=1,1,0))</f>
        <v>0</v>
      </c>
    </row>
    <row r="437" customFormat="false" ht="15" hidden="false" customHeight="false" outlineLevel="0" collapsed="false">
      <c r="A437" s="15"/>
      <c r="B437" s="15"/>
      <c r="C437" s="15"/>
      <c r="D437" s="15"/>
      <c r="F437" s="18" t="str">
        <f aca="false">IF(B437="","",IFERROR(INDEX(Materials!$B$2:$B$201,MATCH(B437,Materials!$A$2:$A$201,0)),""))</f>
        <v/>
      </c>
      <c r="G437" s="18" t="str">
        <f aca="true">IF(AND(A437="",B437=""),"",IF(A437="","Missing product",IF(B437="","Missing material",IF(COUNTIF(ProductList,A437)=0,"Product not in Products list",IF(COUNTIF(MaterialList,B437)=0,"Material not in Materials list","OK")))))</f>
        <v/>
      </c>
      <c r="H437" s="18" t="str">
        <f aca="false">IF(F437="Active",A437&amp;"|"&amp;COUNTIFS(A$2:A437,A437,F$2:F437,"Active"),"")</f>
        <v/>
      </c>
      <c r="I437" s="18" t="str">
        <f aca="false">IF(B437="","",IF(SUMPRODUCT(MAX((A$1:A436=A437)*(B$1:B436=B437)*ROW(A$1:A436)))=0,C437&amp;"",IF(C437="",INDEX(I$1:I436,SUMPRODUCT(MAX((A$1:A436=A437)*(B$1:B436=B437)*ROW(A$1:A436)))),IF(INDEX(I$1:I436,SUMPRODUCT(MAX((A$1:A436=A437)*(B$1:B436=B437)*ROW(A$1:A436))))="",C437&amp;"",INDEX(I$1:I436,SUMPRODUCT(MAX((A$1:A436=A437)*(B$1:B436=B437)*ROW(A$1:A436))))&amp;"; "&amp;C437))))</f>
        <v/>
      </c>
      <c r="J437" s="18" t="str">
        <f aca="false">IF(A437="","",A437&amp;"|"&amp;COUNTIF(A$2:A437,A437))</f>
        <v/>
      </c>
      <c r="K437" s="18" t="n">
        <f aca="false">IF(OR(A437="",B437=""),0,IF(COUNTIFS(A$2:A437,A437,B$2:B437,B437)=1,1,0))</f>
        <v>0</v>
      </c>
    </row>
    <row r="438" customFormat="false" ht="15" hidden="false" customHeight="false" outlineLevel="0" collapsed="false">
      <c r="A438" s="15"/>
      <c r="B438" s="15"/>
      <c r="C438" s="15"/>
      <c r="D438" s="15"/>
      <c r="F438" s="18" t="str">
        <f aca="false">IF(B438="","",IFERROR(INDEX(Materials!$B$2:$B$201,MATCH(B438,Materials!$A$2:$A$201,0)),""))</f>
        <v/>
      </c>
      <c r="G438" s="18" t="str">
        <f aca="true">IF(AND(A438="",B438=""),"",IF(A438="","Missing product",IF(B438="","Missing material",IF(COUNTIF(ProductList,A438)=0,"Product not in Products list",IF(COUNTIF(MaterialList,B438)=0,"Material not in Materials list","OK")))))</f>
        <v/>
      </c>
      <c r="H438" s="18" t="str">
        <f aca="false">IF(F438="Active",A438&amp;"|"&amp;COUNTIFS(A$2:A438,A438,F$2:F438,"Active"),"")</f>
        <v/>
      </c>
      <c r="I438" s="18" t="str">
        <f aca="false">IF(B438="","",IF(SUMPRODUCT(MAX((A$1:A437=A438)*(B$1:B437=B438)*ROW(A$1:A437)))=0,C438&amp;"",IF(C438="",INDEX(I$1:I437,SUMPRODUCT(MAX((A$1:A437=A438)*(B$1:B437=B438)*ROW(A$1:A437)))),IF(INDEX(I$1:I437,SUMPRODUCT(MAX((A$1:A437=A438)*(B$1:B437=B438)*ROW(A$1:A437))))="",C438&amp;"",INDEX(I$1:I437,SUMPRODUCT(MAX((A$1:A437=A438)*(B$1:B437=B438)*ROW(A$1:A437))))&amp;"; "&amp;C438))))</f>
        <v/>
      </c>
      <c r="J438" s="18" t="str">
        <f aca="false">IF(A438="","",A438&amp;"|"&amp;COUNTIF(A$2:A438,A438))</f>
        <v/>
      </c>
      <c r="K438" s="18" t="n">
        <f aca="false">IF(OR(A438="",B438=""),0,IF(COUNTIFS(A$2:A438,A438,B$2:B438,B438)=1,1,0))</f>
        <v>0</v>
      </c>
    </row>
    <row r="439" customFormat="false" ht="15" hidden="false" customHeight="false" outlineLevel="0" collapsed="false">
      <c r="A439" s="15"/>
      <c r="B439" s="15"/>
      <c r="C439" s="15"/>
      <c r="D439" s="15"/>
      <c r="F439" s="18" t="str">
        <f aca="false">IF(B439="","",IFERROR(INDEX(Materials!$B$2:$B$201,MATCH(B439,Materials!$A$2:$A$201,0)),""))</f>
        <v/>
      </c>
      <c r="G439" s="18" t="str">
        <f aca="true">IF(AND(A439="",B439=""),"",IF(A439="","Missing product",IF(B439="","Missing material",IF(COUNTIF(ProductList,A439)=0,"Product not in Products list",IF(COUNTIF(MaterialList,B439)=0,"Material not in Materials list","OK")))))</f>
        <v/>
      </c>
      <c r="H439" s="18" t="str">
        <f aca="false">IF(F439="Active",A439&amp;"|"&amp;COUNTIFS(A$2:A439,A439,F$2:F439,"Active"),"")</f>
        <v/>
      </c>
      <c r="I439" s="18" t="str">
        <f aca="false">IF(B439="","",IF(SUMPRODUCT(MAX((A$1:A438=A439)*(B$1:B438=B439)*ROW(A$1:A438)))=0,C439&amp;"",IF(C439="",INDEX(I$1:I438,SUMPRODUCT(MAX((A$1:A438=A439)*(B$1:B438=B439)*ROW(A$1:A438)))),IF(INDEX(I$1:I438,SUMPRODUCT(MAX((A$1:A438=A439)*(B$1:B438=B439)*ROW(A$1:A438))))="",C439&amp;"",INDEX(I$1:I438,SUMPRODUCT(MAX((A$1:A438=A439)*(B$1:B438=B439)*ROW(A$1:A438))))&amp;"; "&amp;C439))))</f>
        <v/>
      </c>
      <c r="J439" s="18" t="str">
        <f aca="false">IF(A439="","",A439&amp;"|"&amp;COUNTIF(A$2:A439,A439))</f>
        <v/>
      </c>
      <c r="K439" s="18" t="n">
        <f aca="false">IF(OR(A439="",B439=""),0,IF(COUNTIFS(A$2:A439,A439,B$2:B439,B439)=1,1,0))</f>
        <v>0</v>
      </c>
    </row>
    <row r="440" customFormat="false" ht="15" hidden="false" customHeight="false" outlineLevel="0" collapsed="false">
      <c r="A440" s="15"/>
      <c r="B440" s="15"/>
      <c r="C440" s="15"/>
      <c r="D440" s="15"/>
      <c r="F440" s="18" t="str">
        <f aca="false">IF(B440="","",IFERROR(INDEX(Materials!$B$2:$B$201,MATCH(B440,Materials!$A$2:$A$201,0)),""))</f>
        <v/>
      </c>
      <c r="G440" s="18" t="str">
        <f aca="true">IF(AND(A440="",B440=""),"",IF(A440="","Missing product",IF(B440="","Missing material",IF(COUNTIF(ProductList,A440)=0,"Product not in Products list",IF(COUNTIF(MaterialList,B440)=0,"Material not in Materials list","OK")))))</f>
        <v/>
      </c>
      <c r="H440" s="18" t="str">
        <f aca="false">IF(F440="Active",A440&amp;"|"&amp;COUNTIFS(A$2:A440,A440,F$2:F440,"Active"),"")</f>
        <v/>
      </c>
      <c r="I440" s="18" t="str">
        <f aca="false">IF(B440="","",IF(SUMPRODUCT(MAX((A$1:A439=A440)*(B$1:B439=B440)*ROW(A$1:A439)))=0,C440&amp;"",IF(C440="",INDEX(I$1:I439,SUMPRODUCT(MAX((A$1:A439=A440)*(B$1:B439=B440)*ROW(A$1:A439)))),IF(INDEX(I$1:I439,SUMPRODUCT(MAX((A$1:A439=A440)*(B$1:B439=B440)*ROW(A$1:A439))))="",C440&amp;"",INDEX(I$1:I439,SUMPRODUCT(MAX((A$1:A439=A440)*(B$1:B439=B440)*ROW(A$1:A439))))&amp;"; "&amp;C440))))</f>
        <v/>
      </c>
      <c r="J440" s="18" t="str">
        <f aca="false">IF(A440="","",A440&amp;"|"&amp;COUNTIF(A$2:A440,A440))</f>
        <v/>
      </c>
      <c r="K440" s="18" t="n">
        <f aca="false">IF(OR(A440="",B440=""),0,IF(COUNTIFS(A$2:A440,A440,B$2:B440,B440)=1,1,0))</f>
        <v>0</v>
      </c>
    </row>
    <row r="441" customFormat="false" ht="15" hidden="false" customHeight="false" outlineLevel="0" collapsed="false">
      <c r="A441" s="15"/>
      <c r="B441" s="15"/>
      <c r="C441" s="15"/>
      <c r="D441" s="15"/>
      <c r="F441" s="18" t="str">
        <f aca="false">IF(B441="","",IFERROR(INDEX(Materials!$B$2:$B$201,MATCH(B441,Materials!$A$2:$A$201,0)),""))</f>
        <v/>
      </c>
      <c r="G441" s="18" t="str">
        <f aca="true">IF(AND(A441="",B441=""),"",IF(A441="","Missing product",IF(B441="","Missing material",IF(COUNTIF(ProductList,A441)=0,"Product not in Products list",IF(COUNTIF(MaterialList,B441)=0,"Material not in Materials list","OK")))))</f>
        <v/>
      </c>
      <c r="H441" s="18" t="str">
        <f aca="false">IF(F441="Active",A441&amp;"|"&amp;COUNTIFS(A$2:A441,A441,F$2:F441,"Active"),"")</f>
        <v/>
      </c>
      <c r="I441" s="18" t="str">
        <f aca="false">IF(B441="","",IF(SUMPRODUCT(MAX((A$1:A440=A441)*(B$1:B440=B441)*ROW(A$1:A440)))=0,C441&amp;"",IF(C441="",INDEX(I$1:I440,SUMPRODUCT(MAX((A$1:A440=A441)*(B$1:B440=B441)*ROW(A$1:A440)))),IF(INDEX(I$1:I440,SUMPRODUCT(MAX((A$1:A440=A441)*(B$1:B440=B441)*ROW(A$1:A440))))="",C441&amp;"",INDEX(I$1:I440,SUMPRODUCT(MAX((A$1:A440=A441)*(B$1:B440=B441)*ROW(A$1:A440))))&amp;"; "&amp;C441))))</f>
        <v/>
      </c>
      <c r="J441" s="18" t="str">
        <f aca="false">IF(A441="","",A441&amp;"|"&amp;COUNTIF(A$2:A441,A441))</f>
        <v/>
      </c>
      <c r="K441" s="18" t="n">
        <f aca="false">IF(OR(A441="",B441=""),0,IF(COUNTIFS(A$2:A441,A441,B$2:B441,B441)=1,1,0))</f>
        <v>0</v>
      </c>
    </row>
    <row r="442" customFormat="false" ht="15" hidden="false" customHeight="false" outlineLevel="0" collapsed="false">
      <c r="A442" s="15"/>
      <c r="B442" s="15"/>
      <c r="C442" s="15"/>
      <c r="D442" s="15"/>
      <c r="F442" s="18" t="str">
        <f aca="false">IF(B442="","",IFERROR(INDEX(Materials!$B$2:$B$201,MATCH(B442,Materials!$A$2:$A$201,0)),""))</f>
        <v/>
      </c>
      <c r="G442" s="18" t="str">
        <f aca="true">IF(AND(A442="",B442=""),"",IF(A442="","Missing product",IF(B442="","Missing material",IF(COUNTIF(ProductList,A442)=0,"Product not in Products list",IF(COUNTIF(MaterialList,B442)=0,"Material not in Materials list","OK")))))</f>
        <v/>
      </c>
      <c r="H442" s="18" t="str">
        <f aca="false">IF(F442="Active",A442&amp;"|"&amp;COUNTIFS(A$2:A442,A442,F$2:F442,"Active"),"")</f>
        <v/>
      </c>
      <c r="I442" s="18" t="str">
        <f aca="false">IF(B442="","",IF(SUMPRODUCT(MAX((A$1:A441=A442)*(B$1:B441=B442)*ROW(A$1:A441)))=0,C442&amp;"",IF(C442="",INDEX(I$1:I441,SUMPRODUCT(MAX((A$1:A441=A442)*(B$1:B441=B442)*ROW(A$1:A441)))),IF(INDEX(I$1:I441,SUMPRODUCT(MAX((A$1:A441=A442)*(B$1:B441=B442)*ROW(A$1:A441))))="",C442&amp;"",INDEX(I$1:I441,SUMPRODUCT(MAX((A$1:A441=A442)*(B$1:B441=B442)*ROW(A$1:A441))))&amp;"; "&amp;C442))))</f>
        <v/>
      </c>
      <c r="J442" s="18" t="str">
        <f aca="false">IF(A442="","",A442&amp;"|"&amp;COUNTIF(A$2:A442,A442))</f>
        <v/>
      </c>
      <c r="K442" s="18" t="n">
        <f aca="false">IF(OR(A442="",B442=""),0,IF(COUNTIFS(A$2:A442,A442,B$2:B442,B442)=1,1,0))</f>
        <v>0</v>
      </c>
    </row>
    <row r="443" customFormat="false" ht="15" hidden="false" customHeight="false" outlineLevel="0" collapsed="false">
      <c r="A443" s="15"/>
      <c r="B443" s="15"/>
      <c r="C443" s="15"/>
      <c r="D443" s="15"/>
      <c r="F443" s="18" t="str">
        <f aca="false">IF(B443="","",IFERROR(INDEX(Materials!$B$2:$B$201,MATCH(B443,Materials!$A$2:$A$201,0)),""))</f>
        <v/>
      </c>
      <c r="G443" s="18" t="str">
        <f aca="true">IF(AND(A443="",B443=""),"",IF(A443="","Missing product",IF(B443="","Missing material",IF(COUNTIF(ProductList,A443)=0,"Product not in Products list",IF(COUNTIF(MaterialList,B443)=0,"Material not in Materials list","OK")))))</f>
        <v/>
      </c>
      <c r="H443" s="18" t="str">
        <f aca="false">IF(F443="Active",A443&amp;"|"&amp;COUNTIFS(A$2:A443,A443,F$2:F443,"Active"),"")</f>
        <v/>
      </c>
      <c r="I443" s="18" t="str">
        <f aca="false">IF(B443="","",IF(SUMPRODUCT(MAX((A$1:A442=A443)*(B$1:B442=B443)*ROW(A$1:A442)))=0,C443&amp;"",IF(C443="",INDEX(I$1:I442,SUMPRODUCT(MAX((A$1:A442=A443)*(B$1:B442=B443)*ROW(A$1:A442)))),IF(INDEX(I$1:I442,SUMPRODUCT(MAX((A$1:A442=A443)*(B$1:B442=B443)*ROW(A$1:A442))))="",C443&amp;"",INDEX(I$1:I442,SUMPRODUCT(MAX((A$1:A442=A443)*(B$1:B442=B443)*ROW(A$1:A442))))&amp;"; "&amp;C443))))</f>
        <v/>
      </c>
      <c r="J443" s="18" t="str">
        <f aca="false">IF(A443="","",A443&amp;"|"&amp;COUNTIF(A$2:A443,A443))</f>
        <v/>
      </c>
      <c r="K443" s="18" t="n">
        <f aca="false">IF(OR(A443="",B443=""),0,IF(COUNTIFS(A$2:A443,A443,B$2:B443,B443)=1,1,0))</f>
        <v>0</v>
      </c>
    </row>
    <row r="444" customFormat="false" ht="15" hidden="false" customHeight="false" outlineLevel="0" collapsed="false">
      <c r="A444" s="15"/>
      <c r="B444" s="15"/>
      <c r="C444" s="15"/>
      <c r="D444" s="15"/>
      <c r="F444" s="18" t="str">
        <f aca="false">IF(B444="","",IFERROR(INDEX(Materials!$B$2:$B$201,MATCH(B444,Materials!$A$2:$A$201,0)),""))</f>
        <v/>
      </c>
      <c r="G444" s="18" t="str">
        <f aca="true">IF(AND(A444="",B444=""),"",IF(A444="","Missing product",IF(B444="","Missing material",IF(COUNTIF(ProductList,A444)=0,"Product not in Products list",IF(COUNTIF(MaterialList,B444)=0,"Material not in Materials list","OK")))))</f>
        <v/>
      </c>
      <c r="H444" s="18" t="str">
        <f aca="false">IF(F444="Active",A444&amp;"|"&amp;COUNTIFS(A$2:A444,A444,F$2:F444,"Active"),"")</f>
        <v/>
      </c>
      <c r="I444" s="18" t="str">
        <f aca="false">IF(B444="","",IF(SUMPRODUCT(MAX((A$1:A443=A444)*(B$1:B443=B444)*ROW(A$1:A443)))=0,C444&amp;"",IF(C444="",INDEX(I$1:I443,SUMPRODUCT(MAX((A$1:A443=A444)*(B$1:B443=B444)*ROW(A$1:A443)))),IF(INDEX(I$1:I443,SUMPRODUCT(MAX((A$1:A443=A444)*(B$1:B443=B444)*ROW(A$1:A443))))="",C444&amp;"",INDEX(I$1:I443,SUMPRODUCT(MAX((A$1:A443=A444)*(B$1:B443=B444)*ROW(A$1:A443))))&amp;"; "&amp;C444))))</f>
        <v/>
      </c>
      <c r="J444" s="18" t="str">
        <f aca="false">IF(A444="","",A444&amp;"|"&amp;COUNTIF(A$2:A444,A444))</f>
        <v/>
      </c>
      <c r="K444" s="18" t="n">
        <f aca="false">IF(OR(A444="",B444=""),0,IF(COUNTIFS(A$2:A444,A444,B$2:B444,B444)=1,1,0))</f>
        <v>0</v>
      </c>
    </row>
    <row r="445" customFormat="false" ht="15" hidden="false" customHeight="false" outlineLevel="0" collapsed="false">
      <c r="A445" s="15"/>
      <c r="B445" s="15"/>
      <c r="C445" s="15"/>
      <c r="D445" s="15"/>
      <c r="F445" s="18" t="str">
        <f aca="false">IF(B445="","",IFERROR(INDEX(Materials!$B$2:$B$201,MATCH(B445,Materials!$A$2:$A$201,0)),""))</f>
        <v/>
      </c>
      <c r="G445" s="18" t="str">
        <f aca="true">IF(AND(A445="",B445=""),"",IF(A445="","Missing product",IF(B445="","Missing material",IF(COUNTIF(ProductList,A445)=0,"Product not in Products list",IF(COUNTIF(MaterialList,B445)=0,"Material not in Materials list","OK")))))</f>
        <v/>
      </c>
      <c r="H445" s="18" t="str">
        <f aca="false">IF(F445="Active",A445&amp;"|"&amp;COUNTIFS(A$2:A445,A445,F$2:F445,"Active"),"")</f>
        <v/>
      </c>
      <c r="I445" s="18" t="str">
        <f aca="false">IF(B445="","",IF(SUMPRODUCT(MAX((A$1:A444=A445)*(B$1:B444=B445)*ROW(A$1:A444)))=0,C445&amp;"",IF(C445="",INDEX(I$1:I444,SUMPRODUCT(MAX((A$1:A444=A445)*(B$1:B444=B445)*ROW(A$1:A444)))),IF(INDEX(I$1:I444,SUMPRODUCT(MAX((A$1:A444=A445)*(B$1:B444=B445)*ROW(A$1:A444))))="",C445&amp;"",INDEX(I$1:I444,SUMPRODUCT(MAX((A$1:A444=A445)*(B$1:B444=B445)*ROW(A$1:A444))))&amp;"; "&amp;C445))))</f>
        <v/>
      </c>
      <c r="J445" s="18" t="str">
        <f aca="false">IF(A445="","",A445&amp;"|"&amp;COUNTIF(A$2:A445,A445))</f>
        <v/>
      </c>
      <c r="K445" s="18" t="n">
        <f aca="false">IF(OR(A445="",B445=""),0,IF(COUNTIFS(A$2:A445,A445,B$2:B445,B445)=1,1,0))</f>
        <v>0</v>
      </c>
    </row>
    <row r="446" customFormat="false" ht="15" hidden="false" customHeight="false" outlineLevel="0" collapsed="false">
      <c r="A446" s="15"/>
      <c r="B446" s="15"/>
      <c r="C446" s="15"/>
      <c r="D446" s="15"/>
      <c r="F446" s="18" t="str">
        <f aca="false">IF(B446="","",IFERROR(INDEX(Materials!$B$2:$B$201,MATCH(B446,Materials!$A$2:$A$201,0)),""))</f>
        <v/>
      </c>
      <c r="G446" s="18" t="str">
        <f aca="true">IF(AND(A446="",B446=""),"",IF(A446="","Missing product",IF(B446="","Missing material",IF(COUNTIF(ProductList,A446)=0,"Product not in Products list",IF(COUNTIF(MaterialList,B446)=0,"Material not in Materials list","OK")))))</f>
        <v/>
      </c>
      <c r="H446" s="18" t="str">
        <f aca="false">IF(F446="Active",A446&amp;"|"&amp;COUNTIFS(A$2:A446,A446,F$2:F446,"Active"),"")</f>
        <v/>
      </c>
      <c r="I446" s="18" t="str">
        <f aca="false">IF(B446="","",IF(SUMPRODUCT(MAX((A$1:A445=A446)*(B$1:B445=B446)*ROW(A$1:A445)))=0,C446&amp;"",IF(C446="",INDEX(I$1:I445,SUMPRODUCT(MAX((A$1:A445=A446)*(B$1:B445=B446)*ROW(A$1:A445)))),IF(INDEX(I$1:I445,SUMPRODUCT(MAX((A$1:A445=A446)*(B$1:B445=B446)*ROW(A$1:A445))))="",C446&amp;"",INDEX(I$1:I445,SUMPRODUCT(MAX((A$1:A445=A446)*(B$1:B445=B446)*ROW(A$1:A445))))&amp;"; "&amp;C446))))</f>
        <v/>
      </c>
      <c r="J446" s="18" t="str">
        <f aca="false">IF(A446="","",A446&amp;"|"&amp;COUNTIF(A$2:A446,A446))</f>
        <v/>
      </c>
      <c r="K446" s="18" t="n">
        <f aca="false">IF(OR(A446="",B446=""),0,IF(COUNTIFS(A$2:A446,A446,B$2:B446,B446)=1,1,0))</f>
        <v>0</v>
      </c>
    </row>
    <row r="447" customFormat="false" ht="15" hidden="false" customHeight="false" outlineLevel="0" collapsed="false">
      <c r="A447" s="15"/>
      <c r="B447" s="15"/>
      <c r="C447" s="15"/>
      <c r="D447" s="15"/>
      <c r="F447" s="18" t="str">
        <f aca="false">IF(B447="","",IFERROR(INDEX(Materials!$B$2:$B$201,MATCH(B447,Materials!$A$2:$A$201,0)),""))</f>
        <v/>
      </c>
      <c r="G447" s="18" t="str">
        <f aca="true">IF(AND(A447="",B447=""),"",IF(A447="","Missing product",IF(B447="","Missing material",IF(COUNTIF(ProductList,A447)=0,"Product not in Products list",IF(COUNTIF(MaterialList,B447)=0,"Material not in Materials list","OK")))))</f>
        <v/>
      </c>
      <c r="H447" s="18" t="str">
        <f aca="false">IF(F447="Active",A447&amp;"|"&amp;COUNTIFS(A$2:A447,A447,F$2:F447,"Active"),"")</f>
        <v/>
      </c>
      <c r="I447" s="18" t="str">
        <f aca="false">IF(B447="","",IF(SUMPRODUCT(MAX((A$1:A446=A447)*(B$1:B446=B447)*ROW(A$1:A446)))=0,C447&amp;"",IF(C447="",INDEX(I$1:I446,SUMPRODUCT(MAX((A$1:A446=A447)*(B$1:B446=B447)*ROW(A$1:A446)))),IF(INDEX(I$1:I446,SUMPRODUCT(MAX((A$1:A446=A447)*(B$1:B446=B447)*ROW(A$1:A446))))="",C447&amp;"",INDEX(I$1:I446,SUMPRODUCT(MAX((A$1:A446=A447)*(B$1:B446=B447)*ROW(A$1:A446))))&amp;"; "&amp;C447))))</f>
        <v/>
      </c>
      <c r="J447" s="18" t="str">
        <f aca="false">IF(A447="","",A447&amp;"|"&amp;COUNTIF(A$2:A447,A447))</f>
        <v/>
      </c>
      <c r="K447" s="18" t="n">
        <f aca="false">IF(OR(A447="",B447=""),0,IF(COUNTIFS(A$2:A447,A447,B$2:B447,B447)=1,1,0))</f>
        <v>0</v>
      </c>
    </row>
    <row r="448" customFormat="false" ht="15" hidden="false" customHeight="false" outlineLevel="0" collapsed="false">
      <c r="A448" s="15"/>
      <c r="B448" s="15"/>
      <c r="C448" s="15"/>
      <c r="D448" s="15"/>
      <c r="F448" s="18" t="str">
        <f aca="false">IF(B448="","",IFERROR(INDEX(Materials!$B$2:$B$201,MATCH(B448,Materials!$A$2:$A$201,0)),""))</f>
        <v/>
      </c>
      <c r="G448" s="18" t="str">
        <f aca="true">IF(AND(A448="",B448=""),"",IF(A448="","Missing product",IF(B448="","Missing material",IF(COUNTIF(ProductList,A448)=0,"Product not in Products list",IF(COUNTIF(MaterialList,B448)=0,"Material not in Materials list","OK")))))</f>
        <v/>
      </c>
      <c r="H448" s="18" t="str">
        <f aca="false">IF(F448="Active",A448&amp;"|"&amp;COUNTIFS(A$2:A448,A448,F$2:F448,"Active"),"")</f>
        <v/>
      </c>
      <c r="I448" s="18" t="str">
        <f aca="false">IF(B448="","",IF(SUMPRODUCT(MAX((A$1:A447=A448)*(B$1:B447=B448)*ROW(A$1:A447)))=0,C448&amp;"",IF(C448="",INDEX(I$1:I447,SUMPRODUCT(MAX((A$1:A447=A448)*(B$1:B447=B448)*ROW(A$1:A447)))),IF(INDEX(I$1:I447,SUMPRODUCT(MAX((A$1:A447=A448)*(B$1:B447=B448)*ROW(A$1:A447))))="",C448&amp;"",INDEX(I$1:I447,SUMPRODUCT(MAX((A$1:A447=A448)*(B$1:B447=B448)*ROW(A$1:A447))))&amp;"; "&amp;C448))))</f>
        <v/>
      </c>
      <c r="J448" s="18" t="str">
        <f aca="false">IF(A448="","",A448&amp;"|"&amp;COUNTIF(A$2:A448,A448))</f>
        <v/>
      </c>
      <c r="K448" s="18" t="n">
        <f aca="false">IF(OR(A448="",B448=""),0,IF(COUNTIFS(A$2:A448,A448,B$2:B448,B448)=1,1,0))</f>
        <v>0</v>
      </c>
    </row>
    <row r="449" customFormat="false" ht="15" hidden="false" customHeight="false" outlineLevel="0" collapsed="false">
      <c r="A449" s="15"/>
      <c r="B449" s="15"/>
      <c r="C449" s="15"/>
      <c r="D449" s="15"/>
      <c r="F449" s="18" t="str">
        <f aca="false">IF(B449="","",IFERROR(INDEX(Materials!$B$2:$B$201,MATCH(B449,Materials!$A$2:$A$201,0)),""))</f>
        <v/>
      </c>
      <c r="G449" s="18" t="str">
        <f aca="true">IF(AND(A449="",B449=""),"",IF(A449="","Missing product",IF(B449="","Missing material",IF(COUNTIF(ProductList,A449)=0,"Product not in Products list",IF(COUNTIF(MaterialList,B449)=0,"Material not in Materials list","OK")))))</f>
        <v/>
      </c>
      <c r="H449" s="18" t="str">
        <f aca="false">IF(F449="Active",A449&amp;"|"&amp;COUNTIFS(A$2:A449,A449,F$2:F449,"Active"),"")</f>
        <v/>
      </c>
      <c r="I449" s="18" t="str">
        <f aca="false">IF(B449="","",IF(SUMPRODUCT(MAX((A$1:A448=A449)*(B$1:B448=B449)*ROW(A$1:A448)))=0,C449&amp;"",IF(C449="",INDEX(I$1:I448,SUMPRODUCT(MAX((A$1:A448=A449)*(B$1:B448=B449)*ROW(A$1:A448)))),IF(INDEX(I$1:I448,SUMPRODUCT(MAX((A$1:A448=A449)*(B$1:B448=B449)*ROW(A$1:A448))))="",C449&amp;"",INDEX(I$1:I448,SUMPRODUCT(MAX((A$1:A448=A449)*(B$1:B448=B449)*ROW(A$1:A448))))&amp;"; "&amp;C449))))</f>
        <v/>
      </c>
      <c r="J449" s="18" t="str">
        <f aca="false">IF(A449="","",A449&amp;"|"&amp;COUNTIF(A$2:A449,A449))</f>
        <v/>
      </c>
      <c r="K449" s="18" t="n">
        <f aca="false">IF(OR(A449="",B449=""),0,IF(COUNTIFS(A$2:A449,A449,B$2:B449,B449)=1,1,0))</f>
        <v>0</v>
      </c>
    </row>
    <row r="450" customFormat="false" ht="15" hidden="false" customHeight="false" outlineLevel="0" collapsed="false">
      <c r="A450" s="15"/>
      <c r="B450" s="15"/>
      <c r="C450" s="15"/>
      <c r="D450" s="15"/>
      <c r="F450" s="18" t="str">
        <f aca="false">IF(B450="","",IFERROR(INDEX(Materials!$B$2:$B$201,MATCH(B450,Materials!$A$2:$A$201,0)),""))</f>
        <v/>
      </c>
      <c r="G450" s="18" t="str">
        <f aca="true">IF(AND(A450="",B450=""),"",IF(A450="","Missing product",IF(B450="","Missing material",IF(COUNTIF(ProductList,A450)=0,"Product not in Products list",IF(COUNTIF(MaterialList,B450)=0,"Material not in Materials list","OK")))))</f>
        <v/>
      </c>
      <c r="H450" s="18" t="str">
        <f aca="false">IF(F450="Active",A450&amp;"|"&amp;COUNTIFS(A$2:A450,A450,F$2:F450,"Active"),"")</f>
        <v/>
      </c>
      <c r="I450" s="18" t="str">
        <f aca="false">IF(B450="","",IF(SUMPRODUCT(MAX((A$1:A449=A450)*(B$1:B449=B450)*ROW(A$1:A449)))=0,C450&amp;"",IF(C450="",INDEX(I$1:I449,SUMPRODUCT(MAX((A$1:A449=A450)*(B$1:B449=B450)*ROW(A$1:A449)))),IF(INDEX(I$1:I449,SUMPRODUCT(MAX((A$1:A449=A450)*(B$1:B449=B450)*ROW(A$1:A449))))="",C450&amp;"",INDEX(I$1:I449,SUMPRODUCT(MAX((A$1:A449=A450)*(B$1:B449=B450)*ROW(A$1:A449))))&amp;"; "&amp;C450))))</f>
        <v/>
      </c>
      <c r="J450" s="18" t="str">
        <f aca="false">IF(A450="","",A450&amp;"|"&amp;COUNTIF(A$2:A450,A450))</f>
        <v/>
      </c>
      <c r="K450" s="18" t="n">
        <f aca="false">IF(OR(A450="",B450=""),0,IF(COUNTIFS(A$2:A450,A450,B$2:B450,B450)=1,1,0))</f>
        <v>0</v>
      </c>
    </row>
    <row r="451" customFormat="false" ht="15" hidden="false" customHeight="false" outlineLevel="0" collapsed="false">
      <c r="A451" s="15"/>
      <c r="B451" s="15"/>
      <c r="C451" s="15"/>
      <c r="D451" s="15"/>
      <c r="F451" s="18" t="str">
        <f aca="false">IF(B451="","",IFERROR(INDEX(Materials!$B$2:$B$201,MATCH(B451,Materials!$A$2:$A$201,0)),""))</f>
        <v/>
      </c>
      <c r="G451" s="18" t="str">
        <f aca="true">IF(AND(A451="",B451=""),"",IF(A451="","Missing product",IF(B451="","Missing material",IF(COUNTIF(ProductList,A451)=0,"Product not in Products list",IF(COUNTIF(MaterialList,B451)=0,"Material not in Materials list","OK")))))</f>
        <v/>
      </c>
      <c r="H451" s="18" t="str">
        <f aca="false">IF(F451="Active",A451&amp;"|"&amp;COUNTIFS(A$2:A451,A451,F$2:F451,"Active"),"")</f>
        <v/>
      </c>
      <c r="I451" s="18" t="str">
        <f aca="false">IF(B451="","",IF(SUMPRODUCT(MAX((A$1:A450=A451)*(B$1:B450=B451)*ROW(A$1:A450)))=0,C451&amp;"",IF(C451="",INDEX(I$1:I450,SUMPRODUCT(MAX((A$1:A450=A451)*(B$1:B450=B451)*ROW(A$1:A450)))),IF(INDEX(I$1:I450,SUMPRODUCT(MAX((A$1:A450=A451)*(B$1:B450=B451)*ROW(A$1:A450))))="",C451&amp;"",INDEX(I$1:I450,SUMPRODUCT(MAX((A$1:A450=A451)*(B$1:B450=B451)*ROW(A$1:A450))))&amp;"; "&amp;C451))))</f>
        <v/>
      </c>
      <c r="J451" s="18" t="str">
        <f aca="false">IF(A451="","",A451&amp;"|"&amp;COUNTIF(A$2:A451,A451))</f>
        <v/>
      </c>
      <c r="K451" s="18" t="n">
        <f aca="false">IF(OR(A451="",B451=""),0,IF(COUNTIFS(A$2:A451,A451,B$2:B451,B451)=1,1,0))</f>
        <v>0</v>
      </c>
    </row>
    <row r="452" customFormat="false" ht="15" hidden="false" customHeight="false" outlineLevel="0" collapsed="false">
      <c r="A452" s="15"/>
      <c r="B452" s="15"/>
      <c r="C452" s="15"/>
      <c r="D452" s="15"/>
      <c r="F452" s="18" t="str">
        <f aca="false">IF(B452="","",IFERROR(INDEX(Materials!$B$2:$B$201,MATCH(B452,Materials!$A$2:$A$201,0)),""))</f>
        <v/>
      </c>
      <c r="G452" s="18" t="str">
        <f aca="true">IF(AND(A452="",B452=""),"",IF(A452="","Missing product",IF(B452="","Missing material",IF(COUNTIF(ProductList,A452)=0,"Product not in Products list",IF(COUNTIF(MaterialList,B452)=0,"Material not in Materials list","OK")))))</f>
        <v/>
      </c>
      <c r="H452" s="18" t="str">
        <f aca="false">IF(F452="Active",A452&amp;"|"&amp;COUNTIFS(A$2:A452,A452,F$2:F452,"Active"),"")</f>
        <v/>
      </c>
      <c r="I452" s="18" t="str">
        <f aca="false">IF(B452="","",IF(SUMPRODUCT(MAX((A$1:A451=A452)*(B$1:B451=B452)*ROW(A$1:A451)))=0,C452&amp;"",IF(C452="",INDEX(I$1:I451,SUMPRODUCT(MAX((A$1:A451=A452)*(B$1:B451=B452)*ROW(A$1:A451)))),IF(INDEX(I$1:I451,SUMPRODUCT(MAX((A$1:A451=A452)*(B$1:B451=B452)*ROW(A$1:A451))))="",C452&amp;"",INDEX(I$1:I451,SUMPRODUCT(MAX((A$1:A451=A452)*(B$1:B451=B452)*ROW(A$1:A451))))&amp;"; "&amp;C452))))</f>
        <v/>
      </c>
      <c r="J452" s="18" t="str">
        <f aca="false">IF(A452="","",A452&amp;"|"&amp;COUNTIF(A$2:A452,A452))</f>
        <v/>
      </c>
      <c r="K452" s="18" t="n">
        <f aca="false">IF(OR(A452="",B452=""),0,IF(COUNTIFS(A$2:A452,A452,B$2:B452,B452)=1,1,0))</f>
        <v>0</v>
      </c>
    </row>
    <row r="453" customFormat="false" ht="15" hidden="false" customHeight="false" outlineLevel="0" collapsed="false">
      <c r="A453" s="15"/>
      <c r="B453" s="15"/>
      <c r="C453" s="15"/>
      <c r="D453" s="15"/>
      <c r="F453" s="18" t="str">
        <f aca="false">IF(B453="","",IFERROR(INDEX(Materials!$B$2:$B$201,MATCH(B453,Materials!$A$2:$A$201,0)),""))</f>
        <v/>
      </c>
      <c r="G453" s="18" t="str">
        <f aca="true">IF(AND(A453="",B453=""),"",IF(A453="","Missing product",IF(B453="","Missing material",IF(COUNTIF(ProductList,A453)=0,"Product not in Products list",IF(COUNTIF(MaterialList,B453)=0,"Material not in Materials list","OK")))))</f>
        <v/>
      </c>
      <c r="H453" s="18" t="str">
        <f aca="false">IF(F453="Active",A453&amp;"|"&amp;COUNTIFS(A$2:A453,A453,F$2:F453,"Active"),"")</f>
        <v/>
      </c>
      <c r="I453" s="18" t="str">
        <f aca="false">IF(B453="","",IF(SUMPRODUCT(MAX((A$1:A452=A453)*(B$1:B452=B453)*ROW(A$1:A452)))=0,C453&amp;"",IF(C453="",INDEX(I$1:I452,SUMPRODUCT(MAX((A$1:A452=A453)*(B$1:B452=B453)*ROW(A$1:A452)))),IF(INDEX(I$1:I452,SUMPRODUCT(MAX((A$1:A452=A453)*(B$1:B452=B453)*ROW(A$1:A452))))="",C453&amp;"",INDEX(I$1:I452,SUMPRODUCT(MAX((A$1:A452=A453)*(B$1:B452=B453)*ROW(A$1:A452))))&amp;"; "&amp;C453))))</f>
        <v/>
      </c>
      <c r="J453" s="18" t="str">
        <f aca="false">IF(A453="","",A453&amp;"|"&amp;COUNTIF(A$2:A453,A453))</f>
        <v/>
      </c>
      <c r="K453" s="18" t="n">
        <f aca="false">IF(OR(A453="",B453=""),0,IF(COUNTIFS(A$2:A453,A453,B$2:B453,B453)=1,1,0))</f>
        <v>0</v>
      </c>
    </row>
    <row r="454" customFormat="false" ht="15" hidden="false" customHeight="false" outlineLevel="0" collapsed="false">
      <c r="A454" s="15"/>
      <c r="B454" s="15"/>
      <c r="C454" s="15"/>
      <c r="D454" s="15"/>
      <c r="F454" s="18" t="str">
        <f aca="false">IF(B454="","",IFERROR(INDEX(Materials!$B$2:$B$201,MATCH(B454,Materials!$A$2:$A$201,0)),""))</f>
        <v/>
      </c>
      <c r="G454" s="18" t="str">
        <f aca="true">IF(AND(A454="",B454=""),"",IF(A454="","Missing product",IF(B454="","Missing material",IF(COUNTIF(ProductList,A454)=0,"Product not in Products list",IF(COUNTIF(MaterialList,B454)=0,"Material not in Materials list","OK")))))</f>
        <v/>
      </c>
      <c r="H454" s="18" t="str">
        <f aca="false">IF(F454="Active",A454&amp;"|"&amp;COUNTIFS(A$2:A454,A454,F$2:F454,"Active"),"")</f>
        <v/>
      </c>
      <c r="I454" s="18" t="str">
        <f aca="false">IF(B454="","",IF(SUMPRODUCT(MAX((A$1:A453=A454)*(B$1:B453=B454)*ROW(A$1:A453)))=0,C454&amp;"",IF(C454="",INDEX(I$1:I453,SUMPRODUCT(MAX((A$1:A453=A454)*(B$1:B453=B454)*ROW(A$1:A453)))),IF(INDEX(I$1:I453,SUMPRODUCT(MAX((A$1:A453=A454)*(B$1:B453=B454)*ROW(A$1:A453))))="",C454&amp;"",INDEX(I$1:I453,SUMPRODUCT(MAX((A$1:A453=A454)*(B$1:B453=B454)*ROW(A$1:A453))))&amp;"; "&amp;C454))))</f>
        <v/>
      </c>
      <c r="J454" s="18" t="str">
        <f aca="false">IF(A454="","",A454&amp;"|"&amp;COUNTIF(A$2:A454,A454))</f>
        <v/>
      </c>
      <c r="K454" s="18" t="n">
        <f aca="false">IF(OR(A454="",B454=""),0,IF(COUNTIFS(A$2:A454,A454,B$2:B454,B454)=1,1,0))</f>
        <v>0</v>
      </c>
    </row>
    <row r="455" customFormat="false" ht="15" hidden="false" customHeight="false" outlineLevel="0" collapsed="false">
      <c r="A455" s="15"/>
      <c r="B455" s="15"/>
      <c r="C455" s="15"/>
      <c r="D455" s="15"/>
      <c r="F455" s="18" t="str">
        <f aca="false">IF(B455="","",IFERROR(INDEX(Materials!$B$2:$B$201,MATCH(B455,Materials!$A$2:$A$201,0)),""))</f>
        <v/>
      </c>
      <c r="G455" s="18" t="str">
        <f aca="true">IF(AND(A455="",B455=""),"",IF(A455="","Missing product",IF(B455="","Missing material",IF(COUNTIF(ProductList,A455)=0,"Product not in Products list",IF(COUNTIF(MaterialList,B455)=0,"Material not in Materials list","OK")))))</f>
        <v/>
      </c>
      <c r="H455" s="18" t="str">
        <f aca="false">IF(F455="Active",A455&amp;"|"&amp;COUNTIFS(A$2:A455,A455,F$2:F455,"Active"),"")</f>
        <v/>
      </c>
      <c r="I455" s="18" t="str">
        <f aca="false">IF(B455="","",IF(SUMPRODUCT(MAX((A$1:A454=A455)*(B$1:B454=B455)*ROW(A$1:A454)))=0,C455&amp;"",IF(C455="",INDEX(I$1:I454,SUMPRODUCT(MAX((A$1:A454=A455)*(B$1:B454=B455)*ROW(A$1:A454)))),IF(INDEX(I$1:I454,SUMPRODUCT(MAX((A$1:A454=A455)*(B$1:B454=B455)*ROW(A$1:A454))))="",C455&amp;"",INDEX(I$1:I454,SUMPRODUCT(MAX((A$1:A454=A455)*(B$1:B454=B455)*ROW(A$1:A454))))&amp;"; "&amp;C455))))</f>
        <v/>
      </c>
      <c r="J455" s="18" t="str">
        <f aca="false">IF(A455="","",A455&amp;"|"&amp;COUNTIF(A$2:A455,A455))</f>
        <v/>
      </c>
      <c r="K455" s="18" t="n">
        <f aca="false">IF(OR(A455="",B455=""),0,IF(COUNTIFS(A$2:A455,A455,B$2:B455,B455)=1,1,0))</f>
        <v>0</v>
      </c>
    </row>
    <row r="456" customFormat="false" ht="15" hidden="false" customHeight="false" outlineLevel="0" collapsed="false">
      <c r="A456" s="15"/>
      <c r="B456" s="15"/>
      <c r="C456" s="15"/>
      <c r="D456" s="15"/>
      <c r="F456" s="18" t="str">
        <f aca="false">IF(B456="","",IFERROR(INDEX(Materials!$B$2:$B$201,MATCH(B456,Materials!$A$2:$A$201,0)),""))</f>
        <v/>
      </c>
      <c r="G456" s="18" t="str">
        <f aca="true">IF(AND(A456="",B456=""),"",IF(A456="","Missing product",IF(B456="","Missing material",IF(COUNTIF(ProductList,A456)=0,"Product not in Products list",IF(COUNTIF(MaterialList,B456)=0,"Material not in Materials list","OK")))))</f>
        <v/>
      </c>
      <c r="H456" s="18" t="str">
        <f aca="false">IF(F456="Active",A456&amp;"|"&amp;COUNTIFS(A$2:A456,A456,F$2:F456,"Active"),"")</f>
        <v/>
      </c>
      <c r="I456" s="18" t="str">
        <f aca="false">IF(B456="","",IF(SUMPRODUCT(MAX((A$1:A455=A456)*(B$1:B455=B456)*ROW(A$1:A455)))=0,C456&amp;"",IF(C456="",INDEX(I$1:I455,SUMPRODUCT(MAX((A$1:A455=A456)*(B$1:B455=B456)*ROW(A$1:A455)))),IF(INDEX(I$1:I455,SUMPRODUCT(MAX((A$1:A455=A456)*(B$1:B455=B456)*ROW(A$1:A455))))="",C456&amp;"",INDEX(I$1:I455,SUMPRODUCT(MAX((A$1:A455=A456)*(B$1:B455=B456)*ROW(A$1:A455))))&amp;"; "&amp;C456))))</f>
        <v/>
      </c>
      <c r="J456" s="18" t="str">
        <f aca="false">IF(A456="","",A456&amp;"|"&amp;COUNTIF(A$2:A456,A456))</f>
        <v/>
      </c>
      <c r="K456" s="18" t="n">
        <f aca="false">IF(OR(A456="",B456=""),0,IF(COUNTIFS(A$2:A456,A456,B$2:B456,B456)=1,1,0))</f>
        <v>0</v>
      </c>
    </row>
    <row r="457" customFormat="false" ht="15" hidden="false" customHeight="false" outlineLevel="0" collapsed="false">
      <c r="A457" s="15"/>
      <c r="B457" s="15"/>
      <c r="C457" s="15"/>
      <c r="D457" s="15"/>
      <c r="F457" s="18" t="str">
        <f aca="false">IF(B457="","",IFERROR(INDEX(Materials!$B$2:$B$201,MATCH(B457,Materials!$A$2:$A$201,0)),""))</f>
        <v/>
      </c>
      <c r="G457" s="18" t="str">
        <f aca="true">IF(AND(A457="",B457=""),"",IF(A457="","Missing product",IF(B457="","Missing material",IF(COUNTIF(ProductList,A457)=0,"Product not in Products list",IF(COUNTIF(MaterialList,B457)=0,"Material not in Materials list","OK")))))</f>
        <v/>
      </c>
      <c r="H457" s="18" t="str">
        <f aca="false">IF(F457="Active",A457&amp;"|"&amp;COUNTIFS(A$2:A457,A457,F$2:F457,"Active"),"")</f>
        <v/>
      </c>
      <c r="I457" s="18" t="str">
        <f aca="false">IF(B457="","",IF(SUMPRODUCT(MAX((A$1:A456=A457)*(B$1:B456=B457)*ROW(A$1:A456)))=0,C457&amp;"",IF(C457="",INDEX(I$1:I456,SUMPRODUCT(MAX((A$1:A456=A457)*(B$1:B456=B457)*ROW(A$1:A456)))),IF(INDEX(I$1:I456,SUMPRODUCT(MAX((A$1:A456=A457)*(B$1:B456=B457)*ROW(A$1:A456))))="",C457&amp;"",INDEX(I$1:I456,SUMPRODUCT(MAX((A$1:A456=A457)*(B$1:B456=B457)*ROW(A$1:A456))))&amp;"; "&amp;C457))))</f>
        <v/>
      </c>
      <c r="J457" s="18" t="str">
        <f aca="false">IF(A457="","",A457&amp;"|"&amp;COUNTIF(A$2:A457,A457))</f>
        <v/>
      </c>
      <c r="K457" s="18" t="n">
        <f aca="false">IF(OR(A457="",B457=""),0,IF(COUNTIFS(A$2:A457,A457,B$2:B457,B457)=1,1,0))</f>
        <v>0</v>
      </c>
    </row>
    <row r="458" customFormat="false" ht="15" hidden="false" customHeight="false" outlineLevel="0" collapsed="false">
      <c r="A458" s="15"/>
      <c r="B458" s="15"/>
      <c r="C458" s="15"/>
      <c r="D458" s="15"/>
      <c r="F458" s="18" t="str">
        <f aca="false">IF(B458="","",IFERROR(INDEX(Materials!$B$2:$B$201,MATCH(B458,Materials!$A$2:$A$201,0)),""))</f>
        <v/>
      </c>
      <c r="G458" s="18" t="str">
        <f aca="true">IF(AND(A458="",B458=""),"",IF(A458="","Missing product",IF(B458="","Missing material",IF(COUNTIF(ProductList,A458)=0,"Product not in Products list",IF(COUNTIF(MaterialList,B458)=0,"Material not in Materials list","OK")))))</f>
        <v/>
      </c>
      <c r="H458" s="18" t="str">
        <f aca="false">IF(F458="Active",A458&amp;"|"&amp;COUNTIFS(A$2:A458,A458,F$2:F458,"Active"),"")</f>
        <v/>
      </c>
      <c r="I458" s="18" t="str">
        <f aca="false">IF(B458="","",IF(SUMPRODUCT(MAX((A$1:A457=A458)*(B$1:B457=B458)*ROW(A$1:A457)))=0,C458&amp;"",IF(C458="",INDEX(I$1:I457,SUMPRODUCT(MAX((A$1:A457=A458)*(B$1:B457=B458)*ROW(A$1:A457)))),IF(INDEX(I$1:I457,SUMPRODUCT(MAX((A$1:A457=A458)*(B$1:B457=B458)*ROW(A$1:A457))))="",C458&amp;"",INDEX(I$1:I457,SUMPRODUCT(MAX((A$1:A457=A458)*(B$1:B457=B458)*ROW(A$1:A457))))&amp;"; "&amp;C458))))</f>
        <v/>
      </c>
      <c r="J458" s="18" t="str">
        <f aca="false">IF(A458="","",A458&amp;"|"&amp;COUNTIF(A$2:A458,A458))</f>
        <v/>
      </c>
      <c r="K458" s="18" t="n">
        <f aca="false">IF(OR(A458="",B458=""),0,IF(COUNTIFS(A$2:A458,A458,B$2:B458,B458)=1,1,0))</f>
        <v>0</v>
      </c>
    </row>
    <row r="459" customFormat="false" ht="15" hidden="false" customHeight="false" outlineLevel="0" collapsed="false">
      <c r="A459" s="15"/>
      <c r="B459" s="15"/>
      <c r="C459" s="15"/>
      <c r="D459" s="15"/>
      <c r="F459" s="18" t="str">
        <f aca="false">IF(B459="","",IFERROR(INDEX(Materials!$B$2:$B$201,MATCH(B459,Materials!$A$2:$A$201,0)),""))</f>
        <v/>
      </c>
      <c r="G459" s="18" t="str">
        <f aca="true">IF(AND(A459="",B459=""),"",IF(A459="","Missing product",IF(B459="","Missing material",IF(COUNTIF(ProductList,A459)=0,"Product not in Products list",IF(COUNTIF(MaterialList,B459)=0,"Material not in Materials list","OK")))))</f>
        <v/>
      </c>
      <c r="H459" s="18" t="str">
        <f aca="false">IF(F459="Active",A459&amp;"|"&amp;COUNTIFS(A$2:A459,A459,F$2:F459,"Active"),"")</f>
        <v/>
      </c>
      <c r="I459" s="18" t="str">
        <f aca="false">IF(B459="","",IF(SUMPRODUCT(MAX((A$1:A458=A459)*(B$1:B458=B459)*ROW(A$1:A458)))=0,C459&amp;"",IF(C459="",INDEX(I$1:I458,SUMPRODUCT(MAX((A$1:A458=A459)*(B$1:B458=B459)*ROW(A$1:A458)))),IF(INDEX(I$1:I458,SUMPRODUCT(MAX((A$1:A458=A459)*(B$1:B458=B459)*ROW(A$1:A458))))="",C459&amp;"",INDEX(I$1:I458,SUMPRODUCT(MAX((A$1:A458=A459)*(B$1:B458=B459)*ROW(A$1:A458))))&amp;"; "&amp;C459))))</f>
        <v/>
      </c>
      <c r="J459" s="18" t="str">
        <f aca="false">IF(A459="","",A459&amp;"|"&amp;COUNTIF(A$2:A459,A459))</f>
        <v/>
      </c>
      <c r="K459" s="18" t="n">
        <f aca="false">IF(OR(A459="",B459=""),0,IF(COUNTIFS(A$2:A459,A459,B$2:B459,B459)=1,1,0))</f>
        <v>0</v>
      </c>
    </row>
    <row r="460" customFormat="false" ht="15" hidden="false" customHeight="false" outlineLevel="0" collapsed="false">
      <c r="A460" s="15"/>
      <c r="B460" s="15"/>
      <c r="C460" s="15"/>
      <c r="D460" s="15"/>
      <c r="F460" s="18" t="str">
        <f aca="false">IF(B460="","",IFERROR(INDEX(Materials!$B$2:$B$201,MATCH(B460,Materials!$A$2:$A$201,0)),""))</f>
        <v/>
      </c>
      <c r="G460" s="18" t="str">
        <f aca="true">IF(AND(A460="",B460=""),"",IF(A460="","Missing product",IF(B460="","Missing material",IF(COUNTIF(ProductList,A460)=0,"Product not in Products list",IF(COUNTIF(MaterialList,B460)=0,"Material not in Materials list","OK")))))</f>
        <v/>
      </c>
      <c r="H460" s="18" t="str">
        <f aca="false">IF(F460="Active",A460&amp;"|"&amp;COUNTIFS(A$2:A460,A460,F$2:F460,"Active"),"")</f>
        <v/>
      </c>
      <c r="I460" s="18" t="str">
        <f aca="false">IF(B460="","",IF(SUMPRODUCT(MAX((A$1:A459=A460)*(B$1:B459=B460)*ROW(A$1:A459)))=0,C460&amp;"",IF(C460="",INDEX(I$1:I459,SUMPRODUCT(MAX((A$1:A459=A460)*(B$1:B459=B460)*ROW(A$1:A459)))),IF(INDEX(I$1:I459,SUMPRODUCT(MAX((A$1:A459=A460)*(B$1:B459=B460)*ROW(A$1:A459))))="",C460&amp;"",INDEX(I$1:I459,SUMPRODUCT(MAX((A$1:A459=A460)*(B$1:B459=B460)*ROW(A$1:A459))))&amp;"; "&amp;C460))))</f>
        <v/>
      </c>
      <c r="J460" s="18" t="str">
        <f aca="false">IF(A460="","",A460&amp;"|"&amp;COUNTIF(A$2:A460,A460))</f>
        <v/>
      </c>
      <c r="K460" s="18" t="n">
        <f aca="false">IF(OR(A460="",B460=""),0,IF(COUNTIFS(A$2:A460,A460,B$2:B460,B460)=1,1,0))</f>
        <v>0</v>
      </c>
    </row>
    <row r="461" customFormat="false" ht="15" hidden="false" customHeight="false" outlineLevel="0" collapsed="false">
      <c r="A461" s="15"/>
      <c r="B461" s="15"/>
      <c r="C461" s="15"/>
      <c r="D461" s="15"/>
      <c r="F461" s="18" t="str">
        <f aca="false">IF(B461="","",IFERROR(INDEX(Materials!$B$2:$B$201,MATCH(B461,Materials!$A$2:$A$201,0)),""))</f>
        <v/>
      </c>
      <c r="G461" s="18" t="str">
        <f aca="true">IF(AND(A461="",B461=""),"",IF(A461="","Missing product",IF(B461="","Missing material",IF(COUNTIF(ProductList,A461)=0,"Product not in Products list",IF(COUNTIF(MaterialList,B461)=0,"Material not in Materials list","OK")))))</f>
        <v/>
      </c>
      <c r="H461" s="18" t="str">
        <f aca="false">IF(F461="Active",A461&amp;"|"&amp;COUNTIFS(A$2:A461,A461,F$2:F461,"Active"),"")</f>
        <v/>
      </c>
      <c r="I461" s="18" t="str">
        <f aca="false">IF(B461="","",IF(SUMPRODUCT(MAX((A$1:A460=A461)*(B$1:B460=B461)*ROW(A$1:A460)))=0,C461&amp;"",IF(C461="",INDEX(I$1:I460,SUMPRODUCT(MAX((A$1:A460=A461)*(B$1:B460=B461)*ROW(A$1:A460)))),IF(INDEX(I$1:I460,SUMPRODUCT(MAX((A$1:A460=A461)*(B$1:B460=B461)*ROW(A$1:A460))))="",C461&amp;"",INDEX(I$1:I460,SUMPRODUCT(MAX((A$1:A460=A461)*(B$1:B460=B461)*ROW(A$1:A460))))&amp;"; "&amp;C461))))</f>
        <v/>
      </c>
      <c r="J461" s="18" t="str">
        <f aca="false">IF(A461="","",A461&amp;"|"&amp;COUNTIF(A$2:A461,A461))</f>
        <v/>
      </c>
      <c r="K461" s="18" t="n">
        <f aca="false">IF(OR(A461="",B461=""),0,IF(COUNTIFS(A$2:A461,A461,B$2:B461,B461)=1,1,0))</f>
        <v>0</v>
      </c>
    </row>
    <row r="462" customFormat="false" ht="15" hidden="false" customHeight="false" outlineLevel="0" collapsed="false">
      <c r="A462" s="15"/>
      <c r="B462" s="15"/>
      <c r="C462" s="15"/>
      <c r="D462" s="15"/>
      <c r="F462" s="18" t="str">
        <f aca="false">IF(B462="","",IFERROR(INDEX(Materials!$B$2:$B$201,MATCH(B462,Materials!$A$2:$A$201,0)),""))</f>
        <v/>
      </c>
      <c r="G462" s="18" t="str">
        <f aca="true">IF(AND(A462="",B462=""),"",IF(A462="","Missing product",IF(B462="","Missing material",IF(COUNTIF(ProductList,A462)=0,"Product not in Products list",IF(COUNTIF(MaterialList,B462)=0,"Material not in Materials list","OK")))))</f>
        <v/>
      </c>
      <c r="H462" s="18" t="str">
        <f aca="false">IF(F462="Active",A462&amp;"|"&amp;COUNTIFS(A$2:A462,A462,F$2:F462,"Active"),"")</f>
        <v/>
      </c>
      <c r="I462" s="18" t="str">
        <f aca="false">IF(B462="","",IF(SUMPRODUCT(MAX((A$1:A461=A462)*(B$1:B461=B462)*ROW(A$1:A461)))=0,C462&amp;"",IF(C462="",INDEX(I$1:I461,SUMPRODUCT(MAX((A$1:A461=A462)*(B$1:B461=B462)*ROW(A$1:A461)))),IF(INDEX(I$1:I461,SUMPRODUCT(MAX((A$1:A461=A462)*(B$1:B461=B462)*ROW(A$1:A461))))="",C462&amp;"",INDEX(I$1:I461,SUMPRODUCT(MAX((A$1:A461=A462)*(B$1:B461=B462)*ROW(A$1:A461))))&amp;"; "&amp;C462))))</f>
        <v/>
      </c>
      <c r="J462" s="18" t="str">
        <f aca="false">IF(A462="","",A462&amp;"|"&amp;COUNTIF(A$2:A462,A462))</f>
        <v/>
      </c>
      <c r="K462" s="18" t="n">
        <f aca="false">IF(OR(A462="",B462=""),0,IF(COUNTIFS(A$2:A462,A462,B$2:B462,B462)=1,1,0))</f>
        <v>0</v>
      </c>
    </row>
    <row r="463" customFormat="false" ht="15" hidden="false" customHeight="false" outlineLevel="0" collapsed="false">
      <c r="A463" s="15"/>
      <c r="B463" s="15"/>
      <c r="C463" s="15"/>
      <c r="D463" s="15"/>
      <c r="F463" s="18" t="str">
        <f aca="false">IF(B463="","",IFERROR(INDEX(Materials!$B$2:$B$201,MATCH(B463,Materials!$A$2:$A$201,0)),""))</f>
        <v/>
      </c>
      <c r="G463" s="18" t="str">
        <f aca="true">IF(AND(A463="",B463=""),"",IF(A463="","Missing product",IF(B463="","Missing material",IF(COUNTIF(ProductList,A463)=0,"Product not in Products list",IF(COUNTIF(MaterialList,B463)=0,"Material not in Materials list","OK")))))</f>
        <v/>
      </c>
      <c r="H463" s="18" t="str">
        <f aca="false">IF(F463="Active",A463&amp;"|"&amp;COUNTIFS(A$2:A463,A463,F$2:F463,"Active"),"")</f>
        <v/>
      </c>
      <c r="I463" s="18" t="str">
        <f aca="false">IF(B463="","",IF(SUMPRODUCT(MAX((A$1:A462=A463)*(B$1:B462=B463)*ROW(A$1:A462)))=0,C463&amp;"",IF(C463="",INDEX(I$1:I462,SUMPRODUCT(MAX((A$1:A462=A463)*(B$1:B462=B463)*ROW(A$1:A462)))),IF(INDEX(I$1:I462,SUMPRODUCT(MAX((A$1:A462=A463)*(B$1:B462=B463)*ROW(A$1:A462))))="",C463&amp;"",INDEX(I$1:I462,SUMPRODUCT(MAX((A$1:A462=A463)*(B$1:B462=B463)*ROW(A$1:A462))))&amp;"; "&amp;C463))))</f>
        <v/>
      </c>
      <c r="J463" s="18" t="str">
        <f aca="false">IF(A463="","",A463&amp;"|"&amp;COUNTIF(A$2:A463,A463))</f>
        <v/>
      </c>
      <c r="K463" s="18" t="n">
        <f aca="false">IF(OR(A463="",B463=""),0,IF(COUNTIFS(A$2:A463,A463,B$2:B463,B463)=1,1,0))</f>
        <v>0</v>
      </c>
    </row>
    <row r="464" customFormat="false" ht="15" hidden="false" customHeight="false" outlineLevel="0" collapsed="false">
      <c r="A464" s="15"/>
      <c r="B464" s="15"/>
      <c r="C464" s="15"/>
      <c r="D464" s="15"/>
      <c r="F464" s="18" t="str">
        <f aca="false">IF(B464="","",IFERROR(INDEX(Materials!$B$2:$B$201,MATCH(B464,Materials!$A$2:$A$201,0)),""))</f>
        <v/>
      </c>
      <c r="G464" s="18" t="str">
        <f aca="true">IF(AND(A464="",B464=""),"",IF(A464="","Missing product",IF(B464="","Missing material",IF(COUNTIF(ProductList,A464)=0,"Product not in Products list",IF(COUNTIF(MaterialList,B464)=0,"Material not in Materials list","OK")))))</f>
        <v/>
      </c>
      <c r="H464" s="18" t="str">
        <f aca="false">IF(F464="Active",A464&amp;"|"&amp;COUNTIFS(A$2:A464,A464,F$2:F464,"Active"),"")</f>
        <v/>
      </c>
      <c r="I464" s="18" t="str">
        <f aca="false">IF(B464="","",IF(SUMPRODUCT(MAX((A$1:A463=A464)*(B$1:B463=B464)*ROW(A$1:A463)))=0,C464&amp;"",IF(C464="",INDEX(I$1:I463,SUMPRODUCT(MAX((A$1:A463=A464)*(B$1:B463=B464)*ROW(A$1:A463)))),IF(INDEX(I$1:I463,SUMPRODUCT(MAX((A$1:A463=A464)*(B$1:B463=B464)*ROW(A$1:A463))))="",C464&amp;"",INDEX(I$1:I463,SUMPRODUCT(MAX((A$1:A463=A464)*(B$1:B463=B464)*ROW(A$1:A463))))&amp;"; "&amp;C464))))</f>
        <v/>
      </c>
      <c r="J464" s="18" t="str">
        <f aca="false">IF(A464="","",A464&amp;"|"&amp;COUNTIF(A$2:A464,A464))</f>
        <v/>
      </c>
      <c r="K464" s="18" t="n">
        <f aca="false">IF(OR(A464="",B464=""),0,IF(COUNTIFS(A$2:A464,A464,B$2:B464,B464)=1,1,0))</f>
        <v>0</v>
      </c>
    </row>
    <row r="465" customFormat="false" ht="15" hidden="false" customHeight="false" outlineLevel="0" collapsed="false">
      <c r="A465" s="15"/>
      <c r="B465" s="15"/>
      <c r="C465" s="15"/>
      <c r="D465" s="15"/>
      <c r="F465" s="18" t="str">
        <f aca="false">IF(B465="","",IFERROR(INDEX(Materials!$B$2:$B$201,MATCH(B465,Materials!$A$2:$A$201,0)),""))</f>
        <v/>
      </c>
      <c r="G465" s="18" t="str">
        <f aca="true">IF(AND(A465="",B465=""),"",IF(A465="","Missing product",IF(B465="","Missing material",IF(COUNTIF(ProductList,A465)=0,"Product not in Products list",IF(COUNTIF(MaterialList,B465)=0,"Material not in Materials list","OK")))))</f>
        <v/>
      </c>
      <c r="H465" s="18" t="str">
        <f aca="false">IF(F465="Active",A465&amp;"|"&amp;COUNTIFS(A$2:A465,A465,F$2:F465,"Active"),"")</f>
        <v/>
      </c>
      <c r="I465" s="18" t="str">
        <f aca="false">IF(B465="","",IF(SUMPRODUCT(MAX((A$1:A464=A465)*(B$1:B464=B465)*ROW(A$1:A464)))=0,C465&amp;"",IF(C465="",INDEX(I$1:I464,SUMPRODUCT(MAX((A$1:A464=A465)*(B$1:B464=B465)*ROW(A$1:A464)))),IF(INDEX(I$1:I464,SUMPRODUCT(MAX((A$1:A464=A465)*(B$1:B464=B465)*ROW(A$1:A464))))="",C465&amp;"",INDEX(I$1:I464,SUMPRODUCT(MAX((A$1:A464=A465)*(B$1:B464=B465)*ROW(A$1:A464))))&amp;"; "&amp;C465))))</f>
        <v/>
      </c>
      <c r="J465" s="18" t="str">
        <f aca="false">IF(A465="","",A465&amp;"|"&amp;COUNTIF(A$2:A465,A465))</f>
        <v/>
      </c>
      <c r="K465" s="18" t="n">
        <f aca="false">IF(OR(A465="",B465=""),0,IF(COUNTIFS(A$2:A465,A465,B$2:B465,B465)=1,1,0))</f>
        <v>0</v>
      </c>
    </row>
    <row r="466" customFormat="false" ht="15" hidden="false" customHeight="false" outlineLevel="0" collapsed="false">
      <c r="A466" s="15"/>
      <c r="B466" s="15"/>
      <c r="C466" s="15"/>
      <c r="D466" s="15"/>
      <c r="F466" s="18" t="str">
        <f aca="false">IF(B466="","",IFERROR(INDEX(Materials!$B$2:$B$201,MATCH(B466,Materials!$A$2:$A$201,0)),""))</f>
        <v/>
      </c>
      <c r="G466" s="18" t="str">
        <f aca="true">IF(AND(A466="",B466=""),"",IF(A466="","Missing product",IF(B466="","Missing material",IF(COUNTIF(ProductList,A466)=0,"Product not in Products list",IF(COUNTIF(MaterialList,B466)=0,"Material not in Materials list","OK")))))</f>
        <v/>
      </c>
      <c r="H466" s="18" t="str">
        <f aca="false">IF(F466="Active",A466&amp;"|"&amp;COUNTIFS(A$2:A466,A466,F$2:F466,"Active"),"")</f>
        <v/>
      </c>
      <c r="I466" s="18" t="str">
        <f aca="false">IF(B466="","",IF(SUMPRODUCT(MAX((A$1:A465=A466)*(B$1:B465=B466)*ROW(A$1:A465)))=0,C466&amp;"",IF(C466="",INDEX(I$1:I465,SUMPRODUCT(MAX((A$1:A465=A466)*(B$1:B465=B466)*ROW(A$1:A465)))),IF(INDEX(I$1:I465,SUMPRODUCT(MAX((A$1:A465=A466)*(B$1:B465=B466)*ROW(A$1:A465))))="",C466&amp;"",INDEX(I$1:I465,SUMPRODUCT(MAX((A$1:A465=A466)*(B$1:B465=B466)*ROW(A$1:A465))))&amp;"; "&amp;C466))))</f>
        <v/>
      </c>
      <c r="J466" s="18" t="str">
        <f aca="false">IF(A466="","",A466&amp;"|"&amp;COUNTIF(A$2:A466,A466))</f>
        <v/>
      </c>
      <c r="K466" s="18" t="n">
        <f aca="false">IF(OR(A466="",B466=""),0,IF(COUNTIFS(A$2:A466,A466,B$2:B466,B466)=1,1,0))</f>
        <v>0</v>
      </c>
    </row>
    <row r="467" customFormat="false" ht="15" hidden="false" customHeight="false" outlineLevel="0" collapsed="false">
      <c r="A467" s="15"/>
      <c r="B467" s="15"/>
      <c r="C467" s="15"/>
      <c r="D467" s="15"/>
      <c r="F467" s="18" t="str">
        <f aca="false">IF(B467="","",IFERROR(INDEX(Materials!$B$2:$B$201,MATCH(B467,Materials!$A$2:$A$201,0)),""))</f>
        <v/>
      </c>
      <c r="G467" s="18" t="str">
        <f aca="true">IF(AND(A467="",B467=""),"",IF(A467="","Missing product",IF(B467="","Missing material",IF(COUNTIF(ProductList,A467)=0,"Product not in Products list",IF(COUNTIF(MaterialList,B467)=0,"Material not in Materials list","OK")))))</f>
        <v/>
      </c>
      <c r="H467" s="18" t="str">
        <f aca="false">IF(F467="Active",A467&amp;"|"&amp;COUNTIFS(A$2:A467,A467,F$2:F467,"Active"),"")</f>
        <v/>
      </c>
      <c r="I467" s="18" t="str">
        <f aca="false">IF(B467="","",IF(SUMPRODUCT(MAX((A$1:A466=A467)*(B$1:B466=B467)*ROW(A$1:A466)))=0,C467&amp;"",IF(C467="",INDEX(I$1:I466,SUMPRODUCT(MAX((A$1:A466=A467)*(B$1:B466=B467)*ROW(A$1:A466)))),IF(INDEX(I$1:I466,SUMPRODUCT(MAX((A$1:A466=A467)*(B$1:B466=B467)*ROW(A$1:A466))))="",C467&amp;"",INDEX(I$1:I466,SUMPRODUCT(MAX((A$1:A466=A467)*(B$1:B466=B467)*ROW(A$1:A466))))&amp;"; "&amp;C467))))</f>
        <v/>
      </c>
      <c r="J467" s="18" t="str">
        <f aca="false">IF(A467="","",A467&amp;"|"&amp;COUNTIF(A$2:A467,A467))</f>
        <v/>
      </c>
      <c r="K467" s="18" t="n">
        <f aca="false">IF(OR(A467="",B467=""),0,IF(COUNTIFS(A$2:A467,A467,B$2:B467,B467)=1,1,0))</f>
        <v>0</v>
      </c>
    </row>
    <row r="468" customFormat="false" ht="15" hidden="false" customHeight="false" outlineLevel="0" collapsed="false">
      <c r="A468" s="15"/>
      <c r="B468" s="15"/>
      <c r="C468" s="15"/>
      <c r="D468" s="15"/>
      <c r="F468" s="18" t="str">
        <f aca="false">IF(B468="","",IFERROR(INDEX(Materials!$B$2:$B$201,MATCH(B468,Materials!$A$2:$A$201,0)),""))</f>
        <v/>
      </c>
      <c r="G468" s="18" t="str">
        <f aca="true">IF(AND(A468="",B468=""),"",IF(A468="","Missing product",IF(B468="","Missing material",IF(COUNTIF(ProductList,A468)=0,"Product not in Products list",IF(COUNTIF(MaterialList,B468)=0,"Material not in Materials list","OK")))))</f>
        <v/>
      </c>
      <c r="H468" s="18" t="str">
        <f aca="false">IF(F468="Active",A468&amp;"|"&amp;COUNTIFS(A$2:A468,A468,F$2:F468,"Active"),"")</f>
        <v/>
      </c>
      <c r="I468" s="18" t="str">
        <f aca="false">IF(B468="","",IF(SUMPRODUCT(MAX((A$1:A467=A468)*(B$1:B467=B468)*ROW(A$1:A467)))=0,C468&amp;"",IF(C468="",INDEX(I$1:I467,SUMPRODUCT(MAX((A$1:A467=A468)*(B$1:B467=B468)*ROW(A$1:A467)))),IF(INDEX(I$1:I467,SUMPRODUCT(MAX((A$1:A467=A468)*(B$1:B467=B468)*ROW(A$1:A467))))="",C468&amp;"",INDEX(I$1:I467,SUMPRODUCT(MAX((A$1:A467=A468)*(B$1:B467=B468)*ROW(A$1:A467))))&amp;"; "&amp;C468))))</f>
        <v/>
      </c>
      <c r="J468" s="18" t="str">
        <f aca="false">IF(A468="","",A468&amp;"|"&amp;COUNTIF(A$2:A468,A468))</f>
        <v/>
      </c>
      <c r="K468" s="18" t="n">
        <f aca="false">IF(OR(A468="",B468=""),0,IF(COUNTIFS(A$2:A468,A468,B$2:B468,B468)=1,1,0))</f>
        <v>0</v>
      </c>
    </row>
    <row r="469" customFormat="false" ht="15" hidden="false" customHeight="false" outlineLevel="0" collapsed="false">
      <c r="A469" s="15"/>
      <c r="B469" s="15"/>
      <c r="C469" s="15"/>
      <c r="D469" s="15"/>
      <c r="F469" s="18" t="str">
        <f aca="false">IF(B469="","",IFERROR(INDEX(Materials!$B$2:$B$201,MATCH(B469,Materials!$A$2:$A$201,0)),""))</f>
        <v/>
      </c>
      <c r="G469" s="18" t="str">
        <f aca="true">IF(AND(A469="",B469=""),"",IF(A469="","Missing product",IF(B469="","Missing material",IF(COUNTIF(ProductList,A469)=0,"Product not in Products list",IF(COUNTIF(MaterialList,B469)=0,"Material not in Materials list","OK")))))</f>
        <v/>
      </c>
      <c r="H469" s="18" t="str">
        <f aca="false">IF(F469="Active",A469&amp;"|"&amp;COUNTIFS(A$2:A469,A469,F$2:F469,"Active"),"")</f>
        <v/>
      </c>
      <c r="I469" s="18" t="str">
        <f aca="false">IF(B469="","",IF(SUMPRODUCT(MAX((A$1:A468=A469)*(B$1:B468=B469)*ROW(A$1:A468)))=0,C469&amp;"",IF(C469="",INDEX(I$1:I468,SUMPRODUCT(MAX((A$1:A468=A469)*(B$1:B468=B469)*ROW(A$1:A468)))),IF(INDEX(I$1:I468,SUMPRODUCT(MAX((A$1:A468=A469)*(B$1:B468=B469)*ROW(A$1:A468))))="",C469&amp;"",INDEX(I$1:I468,SUMPRODUCT(MAX((A$1:A468=A469)*(B$1:B468=B469)*ROW(A$1:A468))))&amp;"; "&amp;C469))))</f>
        <v/>
      </c>
      <c r="J469" s="18" t="str">
        <f aca="false">IF(A469="","",A469&amp;"|"&amp;COUNTIF(A$2:A469,A469))</f>
        <v/>
      </c>
      <c r="K469" s="18" t="n">
        <f aca="false">IF(OR(A469="",B469=""),0,IF(COUNTIFS(A$2:A469,A469,B$2:B469,B469)=1,1,0))</f>
        <v>0</v>
      </c>
    </row>
    <row r="470" customFormat="false" ht="15" hidden="false" customHeight="false" outlineLevel="0" collapsed="false">
      <c r="A470" s="15"/>
      <c r="B470" s="15"/>
      <c r="C470" s="15"/>
      <c r="D470" s="15"/>
      <c r="F470" s="18" t="str">
        <f aca="false">IF(B470="","",IFERROR(INDEX(Materials!$B$2:$B$201,MATCH(B470,Materials!$A$2:$A$201,0)),""))</f>
        <v/>
      </c>
      <c r="G470" s="18" t="str">
        <f aca="true">IF(AND(A470="",B470=""),"",IF(A470="","Missing product",IF(B470="","Missing material",IF(COUNTIF(ProductList,A470)=0,"Product not in Products list",IF(COUNTIF(MaterialList,B470)=0,"Material not in Materials list","OK")))))</f>
        <v/>
      </c>
      <c r="H470" s="18" t="str">
        <f aca="false">IF(F470="Active",A470&amp;"|"&amp;COUNTIFS(A$2:A470,A470,F$2:F470,"Active"),"")</f>
        <v/>
      </c>
      <c r="I470" s="18" t="str">
        <f aca="false">IF(B470="","",IF(SUMPRODUCT(MAX((A$1:A469=A470)*(B$1:B469=B470)*ROW(A$1:A469)))=0,C470&amp;"",IF(C470="",INDEX(I$1:I469,SUMPRODUCT(MAX((A$1:A469=A470)*(B$1:B469=B470)*ROW(A$1:A469)))),IF(INDEX(I$1:I469,SUMPRODUCT(MAX((A$1:A469=A470)*(B$1:B469=B470)*ROW(A$1:A469))))="",C470&amp;"",INDEX(I$1:I469,SUMPRODUCT(MAX((A$1:A469=A470)*(B$1:B469=B470)*ROW(A$1:A469))))&amp;"; "&amp;C470))))</f>
        <v/>
      </c>
      <c r="J470" s="18" t="str">
        <f aca="false">IF(A470="","",A470&amp;"|"&amp;COUNTIF(A$2:A470,A470))</f>
        <v/>
      </c>
      <c r="K470" s="18" t="n">
        <f aca="false">IF(OR(A470="",B470=""),0,IF(COUNTIFS(A$2:A470,A470,B$2:B470,B470)=1,1,0))</f>
        <v>0</v>
      </c>
    </row>
    <row r="471" customFormat="false" ht="15" hidden="false" customHeight="false" outlineLevel="0" collapsed="false">
      <c r="A471" s="15"/>
      <c r="B471" s="15"/>
      <c r="C471" s="15"/>
      <c r="D471" s="15"/>
      <c r="F471" s="18" t="str">
        <f aca="false">IF(B471="","",IFERROR(INDEX(Materials!$B$2:$B$201,MATCH(B471,Materials!$A$2:$A$201,0)),""))</f>
        <v/>
      </c>
      <c r="G471" s="18" t="str">
        <f aca="true">IF(AND(A471="",B471=""),"",IF(A471="","Missing product",IF(B471="","Missing material",IF(COUNTIF(ProductList,A471)=0,"Product not in Products list",IF(COUNTIF(MaterialList,B471)=0,"Material not in Materials list","OK")))))</f>
        <v/>
      </c>
      <c r="H471" s="18" t="str">
        <f aca="false">IF(F471="Active",A471&amp;"|"&amp;COUNTIFS(A$2:A471,A471,F$2:F471,"Active"),"")</f>
        <v/>
      </c>
      <c r="I471" s="18" t="str">
        <f aca="false">IF(B471="","",IF(SUMPRODUCT(MAX((A$1:A470=A471)*(B$1:B470=B471)*ROW(A$1:A470)))=0,C471&amp;"",IF(C471="",INDEX(I$1:I470,SUMPRODUCT(MAX((A$1:A470=A471)*(B$1:B470=B471)*ROW(A$1:A470)))),IF(INDEX(I$1:I470,SUMPRODUCT(MAX((A$1:A470=A471)*(B$1:B470=B471)*ROW(A$1:A470))))="",C471&amp;"",INDEX(I$1:I470,SUMPRODUCT(MAX((A$1:A470=A471)*(B$1:B470=B471)*ROW(A$1:A470))))&amp;"; "&amp;C471))))</f>
        <v/>
      </c>
      <c r="J471" s="18" t="str">
        <f aca="false">IF(A471="","",A471&amp;"|"&amp;COUNTIF(A$2:A471,A471))</f>
        <v/>
      </c>
      <c r="K471" s="18" t="n">
        <f aca="false">IF(OR(A471="",B471=""),0,IF(COUNTIFS(A$2:A471,A471,B$2:B471,B471)=1,1,0))</f>
        <v>0</v>
      </c>
    </row>
    <row r="472" customFormat="false" ht="15" hidden="false" customHeight="false" outlineLevel="0" collapsed="false">
      <c r="A472" s="15"/>
      <c r="B472" s="15"/>
      <c r="C472" s="15"/>
      <c r="D472" s="15"/>
      <c r="F472" s="18" t="str">
        <f aca="false">IF(B472="","",IFERROR(INDEX(Materials!$B$2:$B$201,MATCH(B472,Materials!$A$2:$A$201,0)),""))</f>
        <v/>
      </c>
      <c r="G472" s="18" t="str">
        <f aca="true">IF(AND(A472="",B472=""),"",IF(A472="","Missing product",IF(B472="","Missing material",IF(COUNTIF(ProductList,A472)=0,"Product not in Products list",IF(COUNTIF(MaterialList,B472)=0,"Material not in Materials list","OK")))))</f>
        <v/>
      </c>
      <c r="H472" s="18" t="str">
        <f aca="false">IF(F472="Active",A472&amp;"|"&amp;COUNTIFS(A$2:A472,A472,F$2:F472,"Active"),"")</f>
        <v/>
      </c>
      <c r="I472" s="18" t="str">
        <f aca="false">IF(B472="","",IF(SUMPRODUCT(MAX((A$1:A471=A472)*(B$1:B471=B472)*ROW(A$1:A471)))=0,C472&amp;"",IF(C472="",INDEX(I$1:I471,SUMPRODUCT(MAX((A$1:A471=A472)*(B$1:B471=B472)*ROW(A$1:A471)))),IF(INDEX(I$1:I471,SUMPRODUCT(MAX((A$1:A471=A472)*(B$1:B471=B472)*ROW(A$1:A471))))="",C472&amp;"",INDEX(I$1:I471,SUMPRODUCT(MAX((A$1:A471=A472)*(B$1:B471=B472)*ROW(A$1:A471))))&amp;"; "&amp;C472))))</f>
        <v/>
      </c>
      <c r="J472" s="18" t="str">
        <f aca="false">IF(A472="","",A472&amp;"|"&amp;COUNTIF(A$2:A472,A472))</f>
        <v/>
      </c>
      <c r="K472" s="18" t="n">
        <f aca="false">IF(OR(A472="",B472=""),0,IF(COUNTIFS(A$2:A472,A472,B$2:B472,B472)=1,1,0))</f>
        <v>0</v>
      </c>
    </row>
    <row r="473" customFormat="false" ht="15" hidden="false" customHeight="false" outlineLevel="0" collapsed="false">
      <c r="A473" s="15"/>
      <c r="B473" s="15"/>
      <c r="C473" s="15"/>
      <c r="D473" s="15"/>
      <c r="F473" s="18" t="str">
        <f aca="false">IF(B473="","",IFERROR(INDEX(Materials!$B$2:$B$201,MATCH(B473,Materials!$A$2:$A$201,0)),""))</f>
        <v/>
      </c>
      <c r="G473" s="18" t="str">
        <f aca="true">IF(AND(A473="",B473=""),"",IF(A473="","Missing product",IF(B473="","Missing material",IF(COUNTIF(ProductList,A473)=0,"Product not in Products list",IF(COUNTIF(MaterialList,B473)=0,"Material not in Materials list","OK")))))</f>
        <v/>
      </c>
      <c r="H473" s="18" t="str">
        <f aca="false">IF(F473="Active",A473&amp;"|"&amp;COUNTIFS(A$2:A473,A473,F$2:F473,"Active"),"")</f>
        <v/>
      </c>
      <c r="I473" s="18" t="str">
        <f aca="false">IF(B473="","",IF(SUMPRODUCT(MAX((A$1:A472=A473)*(B$1:B472=B473)*ROW(A$1:A472)))=0,C473&amp;"",IF(C473="",INDEX(I$1:I472,SUMPRODUCT(MAX((A$1:A472=A473)*(B$1:B472=B473)*ROW(A$1:A472)))),IF(INDEX(I$1:I472,SUMPRODUCT(MAX((A$1:A472=A473)*(B$1:B472=B473)*ROW(A$1:A472))))="",C473&amp;"",INDEX(I$1:I472,SUMPRODUCT(MAX((A$1:A472=A473)*(B$1:B472=B473)*ROW(A$1:A472))))&amp;"; "&amp;C473))))</f>
        <v/>
      </c>
      <c r="J473" s="18" t="str">
        <f aca="false">IF(A473="","",A473&amp;"|"&amp;COUNTIF(A$2:A473,A473))</f>
        <v/>
      </c>
      <c r="K473" s="18" t="n">
        <f aca="false">IF(OR(A473="",B473=""),0,IF(COUNTIFS(A$2:A473,A473,B$2:B473,B473)=1,1,0))</f>
        <v>0</v>
      </c>
    </row>
    <row r="474" customFormat="false" ht="15" hidden="false" customHeight="false" outlineLevel="0" collapsed="false">
      <c r="A474" s="15"/>
      <c r="B474" s="15"/>
      <c r="C474" s="15"/>
      <c r="D474" s="15"/>
      <c r="F474" s="18" t="str">
        <f aca="false">IF(B474="","",IFERROR(INDEX(Materials!$B$2:$B$201,MATCH(B474,Materials!$A$2:$A$201,0)),""))</f>
        <v/>
      </c>
      <c r="G474" s="18" t="str">
        <f aca="true">IF(AND(A474="",B474=""),"",IF(A474="","Missing product",IF(B474="","Missing material",IF(COUNTIF(ProductList,A474)=0,"Product not in Products list",IF(COUNTIF(MaterialList,B474)=0,"Material not in Materials list","OK")))))</f>
        <v/>
      </c>
      <c r="H474" s="18" t="str">
        <f aca="false">IF(F474="Active",A474&amp;"|"&amp;COUNTIFS(A$2:A474,A474,F$2:F474,"Active"),"")</f>
        <v/>
      </c>
      <c r="I474" s="18" t="str">
        <f aca="false">IF(B474="","",IF(SUMPRODUCT(MAX((A$1:A473=A474)*(B$1:B473=B474)*ROW(A$1:A473)))=0,C474&amp;"",IF(C474="",INDEX(I$1:I473,SUMPRODUCT(MAX((A$1:A473=A474)*(B$1:B473=B474)*ROW(A$1:A473)))),IF(INDEX(I$1:I473,SUMPRODUCT(MAX((A$1:A473=A474)*(B$1:B473=B474)*ROW(A$1:A473))))="",C474&amp;"",INDEX(I$1:I473,SUMPRODUCT(MAX((A$1:A473=A474)*(B$1:B473=B474)*ROW(A$1:A473))))&amp;"; "&amp;C474))))</f>
        <v/>
      </c>
      <c r="J474" s="18" t="str">
        <f aca="false">IF(A474="","",A474&amp;"|"&amp;COUNTIF(A$2:A474,A474))</f>
        <v/>
      </c>
      <c r="K474" s="18" t="n">
        <f aca="false">IF(OR(A474="",B474=""),0,IF(COUNTIFS(A$2:A474,A474,B$2:B474,B474)=1,1,0))</f>
        <v>0</v>
      </c>
    </row>
    <row r="475" customFormat="false" ht="15" hidden="false" customHeight="false" outlineLevel="0" collapsed="false">
      <c r="A475" s="15"/>
      <c r="B475" s="15"/>
      <c r="C475" s="15"/>
      <c r="D475" s="15"/>
      <c r="F475" s="18" t="str">
        <f aca="false">IF(B475="","",IFERROR(INDEX(Materials!$B$2:$B$201,MATCH(B475,Materials!$A$2:$A$201,0)),""))</f>
        <v/>
      </c>
      <c r="G475" s="18" t="str">
        <f aca="true">IF(AND(A475="",B475=""),"",IF(A475="","Missing product",IF(B475="","Missing material",IF(COUNTIF(ProductList,A475)=0,"Product not in Products list",IF(COUNTIF(MaterialList,B475)=0,"Material not in Materials list","OK")))))</f>
        <v/>
      </c>
      <c r="H475" s="18" t="str">
        <f aca="false">IF(F475="Active",A475&amp;"|"&amp;COUNTIFS(A$2:A475,A475,F$2:F475,"Active"),"")</f>
        <v/>
      </c>
      <c r="I475" s="18" t="str">
        <f aca="false">IF(B475="","",IF(SUMPRODUCT(MAX((A$1:A474=A475)*(B$1:B474=B475)*ROW(A$1:A474)))=0,C475&amp;"",IF(C475="",INDEX(I$1:I474,SUMPRODUCT(MAX((A$1:A474=A475)*(B$1:B474=B475)*ROW(A$1:A474)))),IF(INDEX(I$1:I474,SUMPRODUCT(MAX((A$1:A474=A475)*(B$1:B474=B475)*ROW(A$1:A474))))="",C475&amp;"",INDEX(I$1:I474,SUMPRODUCT(MAX((A$1:A474=A475)*(B$1:B474=B475)*ROW(A$1:A474))))&amp;"; "&amp;C475))))</f>
        <v/>
      </c>
      <c r="J475" s="18" t="str">
        <f aca="false">IF(A475="","",A475&amp;"|"&amp;COUNTIF(A$2:A475,A475))</f>
        <v/>
      </c>
      <c r="K475" s="18" t="n">
        <f aca="false">IF(OR(A475="",B475=""),0,IF(COUNTIFS(A$2:A475,A475,B$2:B475,B475)=1,1,0))</f>
        <v>0</v>
      </c>
    </row>
    <row r="476" customFormat="false" ht="15" hidden="false" customHeight="false" outlineLevel="0" collapsed="false">
      <c r="A476" s="15"/>
      <c r="B476" s="15"/>
      <c r="C476" s="15"/>
      <c r="D476" s="15"/>
      <c r="F476" s="18" t="str">
        <f aca="false">IF(B476="","",IFERROR(INDEX(Materials!$B$2:$B$201,MATCH(B476,Materials!$A$2:$A$201,0)),""))</f>
        <v/>
      </c>
      <c r="G476" s="18" t="str">
        <f aca="true">IF(AND(A476="",B476=""),"",IF(A476="","Missing product",IF(B476="","Missing material",IF(COUNTIF(ProductList,A476)=0,"Product not in Products list",IF(COUNTIF(MaterialList,B476)=0,"Material not in Materials list","OK")))))</f>
        <v/>
      </c>
      <c r="H476" s="18" t="str">
        <f aca="false">IF(F476="Active",A476&amp;"|"&amp;COUNTIFS(A$2:A476,A476,F$2:F476,"Active"),"")</f>
        <v/>
      </c>
      <c r="I476" s="18" t="str">
        <f aca="false">IF(B476="","",IF(SUMPRODUCT(MAX((A$1:A475=A476)*(B$1:B475=B476)*ROW(A$1:A475)))=0,C476&amp;"",IF(C476="",INDEX(I$1:I475,SUMPRODUCT(MAX((A$1:A475=A476)*(B$1:B475=B476)*ROW(A$1:A475)))),IF(INDEX(I$1:I475,SUMPRODUCT(MAX((A$1:A475=A476)*(B$1:B475=B476)*ROW(A$1:A475))))="",C476&amp;"",INDEX(I$1:I475,SUMPRODUCT(MAX((A$1:A475=A476)*(B$1:B475=B476)*ROW(A$1:A475))))&amp;"; "&amp;C476))))</f>
        <v/>
      </c>
      <c r="J476" s="18" t="str">
        <f aca="false">IF(A476="","",A476&amp;"|"&amp;COUNTIF(A$2:A476,A476))</f>
        <v/>
      </c>
      <c r="K476" s="18" t="n">
        <f aca="false">IF(OR(A476="",B476=""),0,IF(COUNTIFS(A$2:A476,A476,B$2:B476,B476)=1,1,0))</f>
        <v>0</v>
      </c>
    </row>
    <row r="477" customFormat="false" ht="15" hidden="false" customHeight="false" outlineLevel="0" collapsed="false">
      <c r="A477" s="15"/>
      <c r="B477" s="15"/>
      <c r="C477" s="15"/>
      <c r="D477" s="15"/>
      <c r="F477" s="18" t="str">
        <f aca="false">IF(B477="","",IFERROR(INDEX(Materials!$B$2:$B$201,MATCH(B477,Materials!$A$2:$A$201,0)),""))</f>
        <v/>
      </c>
      <c r="G477" s="18" t="str">
        <f aca="true">IF(AND(A477="",B477=""),"",IF(A477="","Missing product",IF(B477="","Missing material",IF(COUNTIF(ProductList,A477)=0,"Product not in Products list",IF(COUNTIF(MaterialList,B477)=0,"Material not in Materials list","OK")))))</f>
        <v/>
      </c>
      <c r="H477" s="18" t="str">
        <f aca="false">IF(F477="Active",A477&amp;"|"&amp;COUNTIFS(A$2:A477,A477,F$2:F477,"Active"),"")</f>
        <v/>
      </c>
      <c r="I477" s="18" t="str">
        <f aca="false">IF(B477="","",IF(SUMPRODUCT(MAX((A$1:A476=A477)*(B$1:B476=B477)*ROW(A$1:A476)))=0,C477&amp;"",IF(C477="",INDEX(I$1:I476,SUMPRODUCT(MAX((A$1:A476=A477)*(B$1:B476=B477)*ROW(A$1:A476)))),IF(INDEX(I$1:I476,SUMPRODUCT(MAX((A$1:A476=A477)*(B$1:B476=B477)*ROW(A$1:A476))))="",C477&amp;"",INDEX(I$1:I476,SUMPRODUCT(MAX((A$1:A476=A477)*(B$1:B476=B477)*ROW(A$1:A476))))&amp;"; "&amp;C477))))</f>
        <v/>
      </c>
      <c r="J477" s="18" t="str">
        <f aca="false">IF(A477="","",A477&amp;"|"&amp;COUNTIF(A$2:A477,A477))</f>
        <v/>
      </c>
      <c r="K477" s="18" t="n">
        <f aca="false">IF(OR(A477="",B477=""),0,IF(COUNTIFS(A$2:A477,A477,B$2:B477,B477)=1,1,0))</f>
        <v>0</v>
      </c>
    </row>
    <row r="478" customFormat="false" ht="15" hidden="false" customHeight="false" outlineLevel="0" collapsed="false">
      <c r="A478" s="15"/>
      <c r="B478" s="15"/>
      <c r="C478" s="15"/>
      <c r="D478" s="15"/>
      <c r="F478" s="18" t="str">
        <f aca="false">IF(B478="","",IFERROR(INDEX(Materials!$B$2:$B$201,MATCH(B478,Materials!$A$2:$A$201,0)),""))</f>
        <v/>
      </c>
      <c r="G478" s="18" t="str">
        <f aca="true">IF(AND(A478="",B478=""),"",IF(A478="","Missing product",IF(B478="","Missing material",IF(COUNTIF(ProductList,A478)=0,"Product not in Products list",IF(COUNTIF(MaterialList,B478)=0,"Material not in Materials list","OK")))))</f>
        <v/>
      </c>
      <c r="H478" s="18" t="str">
        <f aca="false">IF(F478="Active",A478&amp;"|"&amp;COUNTIFS(A$2:A478,A478,F$2:F478,"Active"),"")</f>
        <v/>
      </c>
      <c r="I478" s="18" t="str">
        <f aca="false">IF(B478="","",IF(SUMPRODUCT(MAX((A$1:A477=A478)*(B$1:B477=B478)*ROW(A$1:A477)))=0,C478&amp;"",IF(C478="",INDEX(I$1:I477,SUMPRODUCT(MAX((A$1:A477=A478)*(B$1:B477=B478)*ROW(A$1:A477)))),IF(INDEX(I$1:I477,SUMPRODUCT(MAX((A$1:A477=A478)*(B$1:B477=B478)*ROW(A$1:A477))))="",C478&amp;"",INDEX(I$1:I477,SUMPRODUCT(MAX((A$1:A477=A478)*(B$1:B477=B478)*ROW(A$1:A477))))&amp;"; "&amp;C478))))</f>
        <v/>
      </c>
      <c r="J478" s="18" t="str">
        <f aca="false">IF(A478="","",A478&amp;"|"&amp;COUNTIF(A$2:A478,A478))</f>
        <v/>
      </c>
      <c r="K478" s="18" t="n">
        <f aca="false">IF(OR(A478="",B478=""),0,IF(COUNTIFS(A$2:A478,A478,B$2:B478,B478)=1,1,0))</f>
        <v>0</v>
      </c>
    </row>
    <row r="479" customFormat="false" ht="15" hidden="false" customHeight="false" outlineLevel="0" collapsed="false">
      <c r="A479" s="15"/>
      <c r="B479" s="15"/>
      <c r="C479" s="15"/>
      <c r="D479" s="15"/>
      <c r="F479" s="18" t="str">
        <f aca="false">IF(B479="","",IFERROR(INDEX(Materials!$B$2:$B$201,MATCH(B479,Materials!$A$2:$A$201,0)),""))</f>
        <v/>
      </c>
      <c r="G479" s="18" t="str">
        <f aca="true">IF(AND(A479="",B479=""),"",IF(A479="","Missing product",IF(B479="","Missing material",IF(COUNTIF(ProductList,A479)=0,"Product not in Products list",IF(COUNTIF(MaterialList,B479)=0,"Material not in Materials list","OK")))))</f>
        <v/>
      </c>
      <c r="H479" s="18" t="str">
        <f aca="false">IF(F479="Active",A479&amp;"|"&amp;COUNTIFS(A$2:A479,A479,F$2:F479,"Active"),"")</f>
        <v/>
      </c>
      <c r="I479" s="18" t="str">
        <f aca="false">IF(B479="","",IF(SUMPRODUCT(MAX((A$1:A478=A479)*(B$1:B478=B479)*ROW(A$1:A478)))=0,C479&amp;"",IF(C479="",INDEX(I$1:I478,SUMPRODUCT(MAX((A$1:A478=A479)*(B$1:B478=B479)*ROW(A$1:A478)))),IF(INDEX(I$1:I478,SUMPRODUCT(MAX((A$1:A478=A479)*(B$1:B478=B479)*ROW(A$1:A478))))="",C479&amp;"",INDEX(I$1:I478,SUMPRODUCT(MAX((A$1:A478=A479)*(B$1:B478=B479)*ROW(A$1:A478))))&amp;"; "&amp;C479))))</f>
        <v/>
      </c>
      <c r="J479" s="18" t="str">
        <f aca="false">IF(A479="","",A479&amp;"|"&amp;COUNTIF(A$2:A479,A479))</f>
        <v/>
      </c>
      <c r="K479" s="18" t="n">
        <f aca="false">IF(OR(A479="",B479=""),0,IF(COUNTIFS(A$2:A479,A479,B$2:B479,B479)=1,1,0))</f>
        <v>0</v>
      </c>
    </row>
    <row r="480" customFormat="false" ht="15" hidden="false" customHeight="false" outlineLevel="0" collapsed="false">
      <c r="A480" s="15"/>
      <c r="B480" s="15"/>
      <c r="C480" s="15"/>
      <c r="D480" s="15"/>
      <c r="F480" s="18" t="str">
        <f aca="false">IF(B480="","",IFERROR(INDEX(Materials!$B$2:$B$201,MATCH(B480,Materials!$A$2:$A$201,0)),""))</f>
        <v/>
      </c>
      <c r="G480" s="18" t="str">
        <f aca="true">IF(AND(A480="",B480=""),"",IF(A480="","Missing product",IF(B480="","Missing material",IF(COUNTIF(ProductList,A480)=0,"Product not in Products list",IF(COUNTIF(MaterialList,B480)=0,"Material not in Materials list","OK")))))</f>
        <v/>
      </c>
      <c r="H480" s="18" t="str">
        <f aca="false">IF(F480="Active",A480&amp;"|"&amp;COUNTIFS(A$2:A480,A480,F$2:F480,"Active"),"")</f>
        <v/>
      </c>
      <c r="I480" s="18" t="str">
        <f aca="false">IF(B480="","",IF(SUMPRODUCT(MAX((A$1:A479=A480)*(B$1:B479=B480)*ROW(A$1:A479)))=0,C480&amp;"",IF(C480="",INDEX(I$1:I479,SUMPRODUCT(MAX((A$1:A479=A480)*(B$1:B479=B480)*ROW(A$1:A479)))),IF(INDEX(I$1:I479,SUMPRODUCT(MAX((A$1:A479=A480)*(B$1:B479=B480)*ROW(A$1:A479))))="",C480&amp;"",INDEX(I$1:I479,SUMPRODUCT(MAX((A$1:A479=A480)*(B$1:B479=B480)*ROW(A$1:A479))))&amp;"; "&amp;C480))))</f>
        <v/>
      </c>
      <c r="J480" s="18" t="str">
        <f aca="false">IF(A480="","",A480&amp;"|"&amp;COUNTIF(A$2:A480,A480))</f>
        <v/>
      </c>
      <c r="K480" s="18" t="n">
        <f aca="false">IF(OR(A480="",B480=""),0,IF(COUNTIFS(A$2:A480,A480,B$2:B480,B480)=1,1,0))</f>
        <v>0</v>
      </c>
    </row>
    <row r="481" customFormat="false" ht="15" hidden="false" customHeight="false" outlineLevel="0" collapsed="false">
      <c r="A481" s="15"/>
      <c r="B481" s="15"/>
      <c r="C481" s="15"/>
      <c r="D481" s="15"/>
      <c r="F481" s="18" t="str">
        <f aca="false">IF(B481="","",IFERROR(INDEX(Materials!$B$2:$B$201,MATCH(B481,Materials!$A$2:$A$201,0)),""))</f>
        <v/>
      </c>
      <c r="G481" s="18" t="str">
        <f aca="true">IF(AND(A481="",B481=""),"",IF(A481="","Missing product",IF(B481="","Missing material",IF(COUNTIF(ProductList,A481)=0,"Product not in Products list",IF(COUNTIF(MaterialList,B481)=0,"Material not in Materials list","OK")))))</f>
        <v/>
      </c>
      <c r="H481" s="18" t="str">
        <f aca="false">IF(F481="Active",A481&amp;"|"&amp;COUNTIFS(A$2:A481,A481,F$2:F481,"Active"),"")</f>
        <v/>
      </c>
      <c r="I481" s="18" t="str">
        <f aca="false">IF(B481="","",IF(SUMPRODUCT(MAX((A$1:A480=A481)*(B$1:B480=B481)*ROW(A$1:A480)))=0,C481&amp;"",IF(C481="",INDEX(I$1:I480,SUMPRODUCT(MAX((A$1:A480=A481)*(B$1:B480=B481)*ROW(A$1:A480)))),IF(INDEX(I$1:I480,SUMPRODUCT(MAX((A$1:A480=A481)*(B$1:B480=B481)*ROW(A$1:A480))))="",C481&amp;"",INDEX(I$1:I480,SUMPRODUCT(MAX((A$1:A480=A481)*(B$1:B480=B481)*ROW(A$1:A480))))&amp;"; "&amp;C481))))</f>
        <v/>
      </c>
      <c r="J481" s="18" t="str">
        <f aca="false">IF(A481="","",A481&amp;"|"&amp;COUNTIF(A$2:A481,A481))</f>
        <v/>
      </c>
      <c r="K481" s="18" t="n">
        <f aca="false">IF(OR(A481="",B481=""),0,IF(COUNTIFS(A$2:A481,A481,B$2:B481,B481)=1,1,0))</f>
        <v>0</v>
      </c>
    </row>
    <row r="482" customFormat="false" ht="15" hidden="false" customHeight="false" outlineLevel="0" collapsed="false">
      <c r="A482" s="15"/>
      <c r="B482" s="15"/>
      <c r="C482" s="15"/>
      <c r="D482" s="15"/>
      <c r="F482" s="18" t="str">
        <f aca="false">IF(B482="","",IFERROR(INDEX(Materials!$B$2:$B$201,MATCH(B482,Materials!$A$2:$A$201,0)),""))</f>
        <v/>
      </c>
      <c r="G482" s="18" t="str">
        <f aca="true">IF(AND(A482="",B482=""),"",IF(A482="","Missing product",IF(B482="","Missing material",IF(COUNTIF(ProductList,A482)=0,"Product not in Products list",IF(COUNTIF(MaterialList,B482)=0,"Material not in Materials list","OK")))))</f>
        <v/>
      </c>
      <c r="H482" s="18" t="str">
        <f aca="false">IF(F482="Active",A482&amp;"|"&amp;COUNTIFS(A$2:A482,A482,F$2:F482,"Active"),"")</f>
        <v/>
      </c>
      <c r="I482" s="18" t="str">
        <f aca="false">IF(B482="","",IF(SUMPRODUCT(MAX((A$1:A481=A482)*(B$1:B481=B482)*ROW(A$1:A481)))=0,C482&amp;"",IF(C482="",INDEX(I$1:I481,SUMPRODUCT(MAX((A$1:A481=A482)*(B$1:B481=B482)*ROW(A$1:A481)))),IF(INDEX(I$1:I481,SUMPRODUCT(MAX((A$1:A481=A482)*(B$1:B481=B482)*ROW(A$1:A481))))="",C482&amp;"",INDEX(I$1:I481,SUMPRODUCT(MAX((A$1:A481=A482)*(B$1:B481=B482)*ROW(A$1:A481))))&amp;"; "&amp;C482))))</f>
        <v/>
      </c>
      <c r="J482" s="18" t="str">
        <f aca="false">IF(A482="","",A482&amp;"|"&amp;COUNTIF(A$2:A482,A482))</f>
        <v/>
      </c>
      <c r="K482" s="18" t="n">
        <f aca="false">IF(OR(A482="",B482=""),0,IF(COUNTIFS(A$2:A482,A482,B$2:B482,B482)=1,1,0))</f>
        <v>0</v>
      </c>
    </row>
    <row r="483" customFormat="false" ht="15" hidden="false" customHeight="false" outlineLevel="0" collapsed="false">
      <c r="A483" s="15"/>
      <c r="B483" s="15"/>
      <c r="C483" s="15"/>
      <c r="D483" s="15"/>
      <c r="F483" s="18" t="str">
        <f aca="false">IF(B483="","",IFERROR(INDEX(Materials!$B$2:$B$201,MATCH(B483,Materials!$A$2:$A$201,0)),""))</f>
        <v/>
      </c>
      <c r="G483" s="18" t="str">
        <f aca="true">IF(AND(A483="",B483=""),"",IF(A483="","Missing product",IF(B483="","Missing material",IF(COUNTIF(ProductList,A483)=0,"Product not in Products list",IF(COUNTIF(MaterialList,B483)=0,"Material not in Materials list","OK")))))</f>
        <v/>
      </c>
      <c r="H483" s="18" t="str">
        <f aca="false">IF(F483="Active",A483&amp;"|"&amp;COUNTIFS(A$2:A483,A483,F$2:F483,"Active"),"")</f>
        <v/>
      </c>
      <c r="I483" s="18" t="str">
        <f aca="false">IF(B483="","",IF(SUMPRODUCT(MAX((A$1:A482=A483)*(B$1:B482=B483)*ROW(A$1:A482)))=0,C483&amp;"",IF(C483="",INDEX(I$1:I482,SUMPRODUCT(MAX((A$1:A482=A483)*(B$1:B482=B483)*ROW(A$1:A482)))),IF(INDEX(I$1:I482,SUMPRODUCT(MAX((A$1:A482=A483)*(B$1:B482=B483)*ROW(A$1:A482))))="",C483&amp;"",INDEX(I$1:I482,SUMPRODUCT(MAX((A$1:A482=A483)*(B$1:B482=B483)*ROW(A$1:A482))))&amp;"; "&amp;C483))))</f>
        <v/>
      </c>
      <c r="J483" s="18" t="str">
        <f aca="false">IF(A483="","",A483&amp;"|"&amp;COUNTIF(A$2:A483,A483))</f>
        <v/>
      </c>
      <c r="K483" s="18" t="n">
        <f aca="false">IF(OR(A483="",B483=""),0,IF(COUNTIFS(A$2:A483,A483,B$2:B483,B483)=1,1,0))</f>
        <v>0</v>
      </c>
    </row>
    <row r="484" customFormat="false" ht="15" hidden="false" customHeight="false" outlineLevel="0" collapsed="false">
      <c r="A484" s="15"/>
      <c r="B484" s="15"/>
      <c r="C484" s="15"/>
      <c r="D484" s="15"/>
      <c r="F484" s="18" t="str">
        <f aca="false">IF(B484="","",IFERROR(INDEX(Materials!$B$2:$B$201,MATCH(B484,Materials!$A$2:$A$201,0)),""))</f>
        <v/>
      </c>
      <c r="G484" s="18" t="str">
        <f aca="true">IF(AND(A484="",B484=""),"",IF(A484="","Missing product",IF(B484="","Missing material",IF(COUNTIF(ProductList,A484)=0,"Product not in Products list",IF(COUNTIF(MaterialList,B484)=0,"Material not in Materials list","OK")))))</f>
        <v/>
      </c>
      <c r="H484" s="18" t="str">
        <f aca="false">IF(F484="Active",A484&amp;"|"&amp;COUNTIFS(A$2:A484,A484,F$2:F484,"Active"),"")</f>
        <v/>
      </c>
      <c r="I484" s="18" t="str">
        <f aca="false">IF(B484="","",IF(SUMPRODUCT(MAX((A$1:A483=A484)*(B$1:B483=B484)*ROW(A$1:A483)))=0,C484&amp;"",IF(C484="",INDEX(I$1:I483,SUMPRODUCT(MAX((A$1:A483=A484)*(B$1:B483=B484)*ROW(A$1:A483)))),IF(INDEX(I$1:I483,SUMPRODUCT(MAX((A$1:A483=A484)*(B$1:B483=B484)*ROW(A$1:A483))))="",C484&amp;"",INDEX(I$1:I483,SUMPRODUCT(MAX((A$1:A483=A484)*(B$1:B483=B484)*ROW(A$1:A483))))&amp;"; "&amp;C484))))</f>
        <v/>
      </c>
      <c r="J484" s="18" t="str">
        <f aca="false">IF(A484="","",A484&amp;"|"&amp;COUNTIF(A$2:A484,A484))</f>
        <v/>
      </c>
      <c r="K484" s="18" t="n">
        <f aca="false">IF(OR(A484="",B484=""),0,IF(COUNTIFS(A$2:A484,A484,B$2:B484,B484)=1,1,0))</f>
        <v>0</v>
      </c>
    </row>
    <row r="485" customFormat="false" ht="15" hidden="false" customHeight="false" outlineLevel="0" collapsed="false">
      <c r="A485" s="15"/>
      <c r="B485" s="15"/>
      <c r="C485" s="15"/>
      <c r="D485" s="15"/>
      <c r="F485" s="18" t="str">
        <f aca="false">IF(B485="","",IFERROR(INDEX(Materials!$B$2:$B$201,MATCH(B485,Materials!$A$2:$A$201,0)),""))</f>
        <v/>
      </c>
      <c r="G485" s="18" t="str">
        <f aca="true">IF(AND(A485="",B485=""),"",IF(A485="","Missing product",IF(B485="","Missing material",IF(COUNTIF(ProductList,A485)=0,"Product not in Products list",IF(COUNTIF(MaterialList,B485)=0,"Material not in Materials list","OK")))))</f>
        <v/>
      </c>
      <c r="H485" s="18" t="str">
        <f aca="false">IF(F485="Active",A485&amp;"|"&amp;COUNTIFS(A$2:A485,A485,F$2:F485,"Active"),"")</f>
        <v/>
      </c>
      <c r="I485" s="18" t="str">
        <f aca="false">IF(B485="","",IF(SUMPRODUCT(MAX((A$1:A484=A485)*(B$1:B484=B485)*ROW(A$1:A484)))=0,C485&amp;"",IF(C485="",INDEX(I$1:I484,SUMPRODUCT(MAX((A$1:A484=A485)*(B$1:B484=B485)*ROW(A$1:A484)))),IF(INDEX(I$1:I484,SUMPRODUCT(MAX((A$1:A484=A485)*(B$1:B484=B485)*ROW(A$1:A484))))="",C485&amp;"",INDEX(I$1:I484,SUMPRODUCT(MAX((A$1:A484=A485)*(B$1:B484=B485)*ROW(A$1:A484))))&amp;"; "&amp;C485))))</f>
        <v/>
      </c>
      <c r="J485" s="18" t="str">
        <f aca="false">IF(A485="","",A485&amp;"|"&amp;COUNTIF(A$2:A485,A485))</f>
        <v/>
      </c>
      <c r="K485" s="18" t="n">
        <f aca="false">IF(OR(A485="",B485=""),0,IF(COUNTIFS(A$2:A485,A485,B$2:B485,B485)=1,1,0))</f>
        <v>0</v>
      </c>
    </row>
    <row r="486" customFormat="false" ht="15" hidden="false" customHeight="false" outlineLevel="0" collapsed="false">
      <c r="A486" s="15"/>
      <c r="B486" s="15"/>
      <c r="C486" s="15"/>
      <c r="D486" s="15"/>
      <c r="F486" s="18" t="str">
        <f aca="false">IF(B486="","",IFERROR(INDEX(Materials!$B$2:$B$201,MATCH(B486,Materials!$A$2:$A$201,0)),""))</f>
        <v/>
      </c>
      <c r="G486" s="18" t="str">
        <f aca="true">IF(AND(A486="",B486=""),"",IF(A486="","Missing product",IF(B486="","Missing material",IF(COUNTIF(ProductList,A486)=0,"Product not in Products list",IF(COUNTIF(MaterialList,B486)=0,"Material not in Materials list","OK")))))</f>
        <v/>
      </c>
      <c r="H486" s="18" t="str">
        <f aca="false">IF(F486="Active",A486&amp;"|"&amp;COUNTIFS(A$2:A486,A486,F$2:F486,"Active"),"")</f>
        <v/>
      </c>
      <c r="I486" s="18" t="str">
        <f aca="false">IF(B486="","",IF(SUMPRODUCT(MAX((A$1:A485=A486)*(B$1:B485=B486)*ROW(A$1:A485)))=0,C486&amp;"",IF(C486="",INDEX(I$1:I485,SUMPRODUCT(MAX((A$1:A485=A486)*(B$1:B485=B486)*ROW(A$1:A485)))),IF(INDEX(I$1:I485,SUMPRODUCT(MAX((A$1:A485=A486)*(B$1:B485=B486)*ROW(A$1:A485))))="",C486&amp;"",INDEX(I$1:I485,SUMPRODUCT(MAX((A$1:A485=A486)*(B$1:B485=B486)*ROW(A$1:A485))))&amp;"; "&amp;C486))))</f>
        <v/>
      </c>
      <c r="J486" s="18" t="str">
        <f aca="false">IF(A486="","",A486&amp;"|"&amp;COUNTIF(A$2:A486,A486))</f>
        <v/>
      </c>
      <c r="K486" s="18" t="n">
        <f aca="false">IF(OR(A486="",B486=""),0,IF(COUNTIFS(A$2:A486,A486,B$2:B486,B486)=1,1,0))</f>
        <v>0</v>
      </c>
    </row>
    <row r="487" customFormat="false" ht="15" hidden="false" customHeight="false" outlineLevel="0" collapsed="false">
      <c r="A487" s="15"/>
      <c r="B487" s="15"/>
      <c r="C487" s="15"/>
      <c r="D487" s="15"/>
      <c r="F487" s="18" t="str">
        <f aca="false">IF(B487="","",IFERROR(INDEX(Materials!$B$2:$B$201,MATCH(B487,Materials!$A$2:$A$201,0)),""))</f>
        <v/>
      </c>
      <c r="G487" s="18" t="str">
        <f aca="true">IF(AND(A487="",B487=""),"",IF(A487="","Missing product",IF(B487="","Missing material",IF(COUNTIF(ProductList,A487)=0,"Product not in Products list",IF(COUNTIF(MaterialList,B487)=0,"Material not in Materials list","OK")))))</f>
        <v/>
      </c>
      <c r="H487" s="18" t="str">
        <f aca="false">IF(F487="Active",A487&amp;"|"&amp;COUNTIFS(A$2:A487,A487,F$2:F487,"Active"),"")</f>
        <v/>
      </c>
      <c r="I487" s="18" t="str">
        <f aca="false">IF(B487="","",IF(SUMPRODUCT(MAX((A$1:A486=A487)*(B$1:B486=B487)*ROW(A$1:A486)))=0,C487&amp;"",IF(C487="",INDEX(I$1:I486,SUMPRODUCT(MAX((A$1:A486=A487)*(B$1:B486=B487)*ROW(A$1:A486)))),IF(INDEX(I$1:I486,SUMPRODUCT(MAX((A$1:A486=A487)*(B$1:B486=B487)*ROW(A$1:A486))))="",C487&amp;"",INDEX(I$1:I486,SUMPRODUCT(MAX((A$1:A486=A487)*(B$1:B486=B487)*ROW(A$1:A486))))&amp;"; "&amp;C487))))</f>
        <v/>
      </c>
      <c r="J487" s="18" t="str">
        <f aca="false">IF(A487="","",A487&amp;"|"&amp;COUNTIF(A$2:A487,A487))</f>
        <v/>
      </c>
      <c r="K487" s="18" t="n">
        <f aca="false">IF(OR(A487="",B487=""),0,IF(COUNTIFS(A$2:A487,A487,B$2:B487,B487)=1,1,0))</f>
        <v>0</v>
      </c>
    </row>
    <row r="488" customFormat="false" ht="15" hidden="false" customHeight="false" outlineLevel="0" collapsed="false">
      <c r="A488" s="15"/>
      <c r="B488" s="15"/>
      <c r="C488" s="15"/>
      <c r="D488" s="15"/>
      <c r="F488" s="18" t="str">
        <f aca="false">IF(B488="","",IFERROR(INDEX(Materials!$B$2:$B$201,MATCH(B488,Materials!$A$2:$A$201,0)),""))</f>
        <v/>
      </c>
      <c r="G488" s="18" t="str">
        <f aca="true">IF(AND(A488="",B488=""),"",IF(A488="","Missing product",IF(B488="","Missing material",IF(COUNTIF(ProductList,A488)=0,"Product not in Products list",IF(COUNTIF(MaterialList,B488)=0,"Material not in Materials list","OK")))))</f>
        <v/>
      </c>
      <c r="H488" s="18" t="str">
        <f aca="false">IF(F488="Active",A488&amp;"|"&amp;COUNTIFS(A$2:A488,A488,F$2:F488,"Active"),"")</f>
        <v/>
      </c>
      <c r="I488" s="18" t="str">
        <f aca="false">IF(B488="","",IF(SUMPRODUCT(MAX((A$1:A487=A488)*(B$1:B487=B488)*ROW(A$1:A487)))=0,C488&amp;"",IF(C488="",INDEX(I$1:I487,SUMPRODUCT(MAX((A$1:A487=A488)*(B$1:B487=B488)*ROW(A$1:A487)))),IF(INDEX(I$1:I487,SUMPRODUCT(MAX((A$1:A487=A488)*(B$1:B487=B488)*ROW(A$1:A487))))="",C488&amp;"",INDEX(I$1:I487,SUMPRODUCT(MAX((A$1:A487=A488)*(B$1:B487=B488)*ROW(A$1:A487))))&amp;"; "&amp;C488))))</f>
        <v/>
      </c>
      <c r="J488" s="18" t="str">
        <f aca="false">IF(A488="","",A488&amp;"|"&amp;COUNTIF(A$2:A488,A488))</f>
        <v/>
      </c>
      <c r="K488" s="18" t="n">
        <f aca="false">IF(OR(A488="",B488=""),0,IF(COUNTIFS(A$2:A488,A488,B$2:B488,B488)=1,1,0))</f>
        <v>0</v>
      </c>
    </row>
    <row r="489" customFormat="false" ht="15" hidden="false" customHeight="false" outlineLevel="0" collapsed="false">
      <c r="A489" s="15"/>
      <c r="B489" s="15"/>
      <c r="C489" s="15"/>
      <c r="D489" s="15"/>
      <c r="F489" s="18" t="str">
        <f aca="false">IF(B489="","",IFERROR(INDEX(Materials!$B$2:$B$201,MATCH(B489,Materials!$A$2:$A$201,0)),""))</f>
        <v/>
      </c>
      <c r="G489" s="18" t="str">
        <f aca="true">IF(AND(A489="",B489=""),"",IF(A489="","Missing product",IF(B489="","Missing material",IF(COUNTIF(ProductList,A489)=0,"Product not in Products list",IF(COUNTIF(MaterialList,B489)=0,"Material not in Materials list","OK")))))</f>
        <v/>
      </c>
      <c r="H489" s="18" t="str">
        <f aca="false">IF(F489="Active",A489&amp;"|"&amp;COUNTIFS(A$2:A489,A489,F$2:F489,"Active"),"")</f>
        <v/>
      </c>
      <c r="I489" s="18" t="str">
        <f aca="false">IF(B489="","",IF(SUMPRODUCT(MAX((A$1:A488=A489)*(B$1:B488=B489)*ROW(A$1:A488)))=0,C489&amp;"",IF(C489="",INDEX(I$1:I488,SUMPRODUCT(MAX((A$1:A488=A489)*(B$1:B488=B489)*ROW(A$1:A488)))),IF(INDEX(I$1:I488,SUMPRODUCT(MAX((A$1:A488=A489)*(B$1:B488=B489)*ROW(A$1:A488))))="",C489&amp;"",INDEX(I$1:I488,SUMPRODUCT(MAX((A$1:A488=A489)*(B$1:B488=B489)*ROW(A$1:A488))))&amp;"; "&amp;C489))))</f>
        <v/>
      </c>
      <c r="J489" s="18" t="str">
        <f aca="false">IF(A489="","",A489&amp;"|"&amp;COUNTIF(A$2:A489,A489))</f>
        <v/>
      </c>
      <c r="K489" s="18" t="n">
        <f aca="false">IF(OR(A489="",B489=""),0,IF(COUNTIFS(A$2:A489,A489,B$2:B489,B489)=1,1,0))</f>
        <v>0</v>
      </c>
    </row>
    <row r="490" customFormat="false" ht="15" hidden="false" customHeight="false" outlineLevel="0" collapsed="false">
      <c r="A490" s="15"/>
      <c r="B490" s="15"/>
      <c r="C490" s="15"/>
      <c r="D490" s="15"/>
      <c r="F490" s="18" t="str">
        <f aca="false">IF(B490="","",IFERROR(INDEX(Materials!$B$2:$B$201,MATCH(B490,Materials!$A$2:$A$201,0)),""))</f>
        <v/>
      </c>
      <c r="G490" s="18" t="str">
        <f aca="true">IF(AND(A490="",B490=""),"",IF(A490="","Missing product",IF(B490="","Missing material",IF(COUNTIF(ProductList,A490)=0,"Product not in Products list",IF(COUNTIF(MaterialList,B490)=0,"Material not in Materials list","OK")))))</f>
        <v/>
      </c>
      <c r="H490" s="18" t="str">
        <f aca="false">IF(F490="Active",A490&amp;"|"&amp;COUNTIFS(A$2:A490,A490,F$2:F490,"Active"),"")</f>
        <v/>
      </c>
      <c r="I490" s="18" t="str">
        <f aca="false">IF(B490="","",IF(SUMPRODUCT(MAX((A$1:A489=A490)*(B$1:B489=B490)*ROW(A$1:A489)))=0,C490&amp;"",IF(C490="",INDEX(I$1:I489,SUMPRODUCT(MAX((A$1:A489=A490)*(B$1:B489=B490)*ROW(A$1:A489)))),IF(INDEX(I$1:I489,SUMPRODUCT(MAX((A$1:A489=A490)*(B$1:B489=B490)*ROW(A$1:A489))))="",C490&amp;"",INDEX(I$1:I489,SUMPRODUCT(MAX((A$1:A489=A490)*(B$1:B489=B490)*ROW(A$1:A489))))&amp;"; "&amp;C490))))</f>
        <v/>
      </c>
      <c r="J490" s="18" t="str">
        <f aca="false">IF(A490="","",A490&amp;"|"&amp;COUNTIF(A$2:A490,A490))</f>
        <v/>
      </c>
      <c r="K490" s="18" t="n">
        <f aca="false">IF(OR(A490="",B490=""),0,IF(COUNTIFS(A$2:A490,A490,B$2:B490,B490)=1,1,0))</f>
        <v>0</v>
      </c>
    </row>
    <row r="491" customFormat="false" ht="15" hidden="false" customHeight="false" outlineLevel="0" collapsed="false">
      <c r="A491" s="15"/>
      <c r="B491" s="15"/>
      <c r="C491" s="15"/>
      <c r="D491" s="15"/>
      <c r="F491" s="18" t="str">
        <f aca="false">IF(B491="","",IFERROR(INDEX(Materials!$B$2:$B$201,MATCH(B491,Materials!$A$2:$A$201,0)),""))</f>
        <v/>
      </c>
      <c r="G491" s="18" t="str">
        <f aca="true">IF(AND(A491="",B491=""),"",IF(A491="","Missing product",IF(B491="","Missing material",IF(COUNTIF(ProductList,A491)=0,"Product not in Products list",IF(COUNTIF(MaterialList,B491)=0,"Material not in Materials list","OK")))))</f>
        <v/>
      </c>
      <c r="H491" s="18" t="str">
        <f aca="false">IF(F491="Active",A491&amp;"|"&amp;COUNTIFS(A$2:A491,A491,F$2:F491,"Active"),"")</f>
        <v/>
      </c>
      <c r="I491" s="18" t="str">
        <f aca="false">IF(B491="","",IF(SUMPRODUCT(MAX((A$1:A490=A491)*(B$1:B490=B491)*ROW(A$1:A490)))=0,C491&amp;"",IF(C491="",INDEX(I$1:I490,SUMPRODUCT(MAX((A$1:A490=A491)*(B$1:B490=B491)*ROW(A$1:A490)))),IF(INDEX(I$1:I490,SUMPRODUCT(MAX((A$1:A490=A491)*(B$1:B490=B491)*ROW(A$1:A490))))="",C491&amp;"",INDEX(I$1:I490,SUMPRODUCT(MAX((A$1:A490=A491)*(B$1:B490=B491)*ROW(A$1:A490))))&amp;"; "&amp;C491))))</f>
        <v/>
      </c>
      <c r="J491" s="18" t="str">
        <f aca="false">IF(A491="","",A491&amp;"|"&amp;COUNTIF(A$2:A491,A491))</f>
        <v/>
      </c>
      <c r="K491" s="18" t="n">
        <f aca="false">IF(OR(A491="",B491=""),0,IF(COUNTIFS(A$2:A491,A491,B$2:B491,B491)=1,1,0))</f>
        <v>0</v>
      </c>
    </row>
    <row r="492" customFormat="false" ht="15" hidden="false" customHeight="false" outlineLevel="0" collapsed="false">
      <c r="A492" s="15"/>
      <c r="B492" s="15"/>
      <c r="C492" s="15"/>
      <c r="D492" s="15"/>
      <c r="F492" s="18" t="str">
        <f aca="false">IF(B492="","",IFERROR(INDEX(Materials!$B$2:$B$201,MATCH(B492,Materials!$A$2:$A$201,0)),""))</f>
        <v/>
      </c>
      <c r="G492" s="18" t="str">
        <f aca="true">IF(AND(A492="",B492=""),"",IF(A492="","Missing product",IF(B492="","Missing material",IF(COUNTIF(ProductList,A492)=0,"Product not in Products list",IF(COUNTIF(MaterialList,B492)=0,"Material not in Materials list","OK")))))</f>
        <v/>
      </c>
      <c r="H492" s="18" t="str">
        <f aca="false">IF(F492="Active",A492&amp;"|"&amp;COUNTIFS(A$2:A492,A492,F$2:F492,"Active"),"")</f>
        <v/>
      </c>
      <c r="I492" s="18" t="str">
        <f aca="false">IF(B492="","",IF(SUMPRODUCT(MAX((A$1:A491=A492)*(B$1:B491=B492)*ROW(A$1:A491)))=0,C492&amp;"",IF(C492="",INDEX(I$1:I491,SUMPRODUCT(MAX((A$1:A491=A492)*(B$1:B491=B492)*ROW(A$1:A491)))),IF(INDEX(I$1:I491,SUMPRODUCT(MAX((A$1:A491=A492)*(B$1:B491=B492)*ROW(A$1:A491))))="",C492&amp;"",INDEX(I$1:I491,SUMPRODUCT(MAX((A$1:A491=A492)*(B$1:B491=B492)*ROW(A$1:A491))))&amp;"; "&amp;C492))))</f>
        <v/>
      </c>
      <c r="J492" s="18" t="str">
        <f aca="false">IF(A492="","",A492&amp;"|"&amp;COUNTIF(A$2:A492,A492))</f>
        <v/>
      </c>
      <c r="K492" s="18" t="n">
        <f aca="false">IF(OR(A492="",B492=""),0,IF(COUNTIFS(A$2:A492,A492,B$2:B492,B492)=1,1,0))</f>
        <v>0</v>
      </c>
    </row>
    <row r="493" customFormat="false" ht="15" hidden="false" customHeight="false" outlineLevel="0" collapsed="false">
      <c r="A493" s="15"/>
      <c r="B493" s="15"/>
      <c r="C493" s="15"/>
      <c r="D493" s="15"/>
      <c r="F493" s="18" t="str">
        <f aca="false">IF(B493="","",IFERROR(INDEX(Materials!$B$2:$B$201,MATCH(B493,Materials!$A$2:$A$201,0)),""))</f>
        <v/>
      </c>
      <c r="G493" s="18" t="str">
        <f aca="true">IF(AND(A493="",B493=""),"",IF(A493="","Missing product",IF(B493="","Missing material",IF(COUNTIF(ProductList,A493)=0,"Product not in Products list",IF(COUNTIF(MaterialList,B493)=0,"Material not in Materials list","OK")))))</f>
        <v/>
      </c>
      <c r="H493" s="18" t="str">
        <f aca="false">IF(F493="Active",A493&amp;"|"&amp;COUNTIFS(A$2:A493,A493,F$2:F493,"Active"),"")</f>
        <v/>
      </c>
      <c r="I493" s="18" t="str">
        <f aca="false">IF(B493="","",IF(SUMPRODUCT(MAX((A$1:A492=A493)*(B$1:B492=B493)*ROW(A$1:A492)))=0,C493&amp;"",IF(C493="",INDEX(I$1:I492,SUMPRODUCT(MAX((A$1:A492=A493)*(B$1:B492=B493)*ROW(A$1:A492)))),IF(INDEX(I$1:I492,SUMPRODUCT(MAX((A$1:A492=A493)*(B$1:B492=B493)*ROW(A$1:A492))))="",C493&amp;"",INDEX(I$1:I492,SUMPRODUCT(MAX((A$1:A492=A493)*(B$1:B492=B493)*ROW(A$1:A492))))&amp;"; "&amp;C493))))</f>
        <v/>
      </c>
      <c r="J493" s="18" t="str">
        <f aca="false">IF(A493="","",A493&amp;"|"&amp;COUNTIF(A$2:A493,A493))</f>
        <v/>
      </c>
      <c r="K493" s="18" t="n">
        <f aca="false">IF(OR(A493="",B493=""),0,IF(COUNTIFS(A$2:A493,A493,B$2:B493,B493)=1,1,0))</f>
        <v>0</v>
      </c>
    </row>
    <row r="494" customFormat="false" ht="15" hidden="false" customHeight="false" outlineLevel="0" collapsed="false">
      <c r="A494" s="15"/>
      <c r="B494" s="15"/>
      <c r="C494" s="15"/>
      <c r="D494" s="15"/>
      <c r="F494" s="18" t="str">
        <f aca="false">IF(B494="","",IFERROR(INDEX(Materials!$B$2:$B$201,MATCH(B494,Materials!$A$2:$A$201,0)),""))</f>
        <v/>
      </c>
      <c r="G494" s="18" t="str">
        <f aca="true">IF(AND(A494="",B494=""),"",IF(A494="","Missing product",IF(B494="","Missing material",IF(COUNTIF(ProductList,A494)=0,"Product not in Products list",IF(COUNTIF(MaterialList,B494)=0,"Material not in Materials list","OK")))))</f>
        <v/>
      </c>
      <c r="H494" s="18" t="str">
        <f aca="false">IF(F494="Active",A494&amp;"|"&amp;COUNTIFS(A$2:A494,A494,F$2:F494,"Active"),"")</f>
        <v/>
      </c>
      <c r="I494" s="18" t="str">
        <f aca="false">IF(B494="","",IF(SUMPRODUCT(MAX((A$1:A493=A494)*(B$1:B493=B494)*ROW(A$1:A493)))=0,C494&amp;"",IF(C494="",INDEX(I$1:I493,SUMPRODUCT(MAX((A$1:A493=A494)*(B$1:B493=B494)*ROW(A$1:A493)))),IF(INDEX(I$1:I493,SUMPRODUCT(MAX((A$1:A493=A494)*(B$1:B493=B494)*ROW(A$1:A493))))="",C494&amp;"",INDEX(I$1:I493,SUMPRODUCT(MAX((A$1:A493=A494)*(B$1:B493=B494)*ROW(A$1:A493))))&amp;"; "&amp;C494))))</f>
        <v/>
      </c>
      <c r="J494" s="18" t="str">
        <f aca="false">IF(A494="","",A494&amp;"|"&amp;COUNTIF(A$2:A494,A494))</f>
        <v/>
      </c>
      <c r="K494" s="18" t="n">
        <f aca="false">IF(OR(A494="",B494=""),0,IF(COUNTIFS(A$2:A494,A494,B$2:B494,B494)=1,1,0))</f>
        <v>0</v>
      </c>
    </row>
    <row r="495" customFormat="false" ht="15" hidden="false" customHeight="false" outlineLevel="0" collapsed="false">
      <c r="A495" s="15"/>
      <c r="B495" s="15"/>
      <c r="C495" s="15"/>
      <c r="D495" s="15"/>
      <c r="F495" s="18" t="str">
        <f aca="false">IF(B495="","",IFERROR(INDEX(Materials!$B$2:$B$201,MATCH(B495,Materials!$A$2:$A$201,0)),""))</f>
        <v/>
      </c>
      <c r="G495" s="18" t="str">
        <f aca="true">IF(AND(A495="",B495=""),"",IF(A495="","Missing product",IF(B495="","Missing material",IF(COUNTIF(ProductList,A495)=0,"Product not in Products list",IF(COUNTIF(MaterialList,B495)=0,"Material not in Materials list","OK")))))</f>
        <v/>
      </c>
      <c r="H495" s="18" t="str">
        <f aca="false">IF(F495="Active",A495&amp;"|"&amp;COUNTIFS(A$2:A495,A495,F$2:F495,"Active"),"")</f>
        <v/>
      </c>
      <c r="I495" s="18" t="str">
        <f aca="false">IF(B495="","",IF(SUMPRODUCT(MAX((A$1:A494=A495)*(B$1:B494=B495)*ROW(A$1:A494)))=0,C495&amp;"",IF(C495="",INDEX(I$1:I494,SUMPRODUCT(MAX((A$1:A494=A495)*(B$1:B494=B495)*ROW(A$1:A494)))),IF(INDEX(I$1:I494,SUMPRODUCT(MAX((A$1:A494=A495)*(B$1:B494=B495)*ROW(A$1:A494))))="",C495&amp;"",INDEX(I$1:I494,SUMPRODUCT(MAX((A$1:A494=A495)*(B$1:B494=B495)*ROW(A$1:A494))))&amp;"; "&amp;C495))))</f>
        <v/>
      </c>
      <c r="J495" s="18" t="str">
        <f aca="false">IF(A495="","",A495&amp;"|"&amp;COUNTIF(A$2:A495,A495))</f>
        <v/>
      </c>
      <c r="K495" s="18" t="n">
        <f aca="false">IF(OR(A495="",B495=""),0,IF(COUNTIFS(A$2:A495,A495,B$2:B495,B495)=1,1,0))</f>
        <v>0</v>
      </c>
    </row>
    <row r="496" customFormat="false" ht="15" hidden="false" customHeight="false" outlineLevel="0" collapsed="false">
      <c r="A496" s="15"/>
      <c r="B496" s="15"/>
      <c r="C496" s="15"/>
      <c r="D496" s="15"/>
      <c r="F496" s="18" t="str">
        <f aca="false">IF(B496="","",IFERROR(INDEX(Materials!$B$2:$B$201,MATCH(B496,Materials!$A$2:$A$201,0)),""))</f>
        <v/>
      </c>
      <c r="G496" s="18" t="str">
        <f aca="true">IF(AND(A496="",B496=""),"",IF(A496="","Missing product",IF(B496="","Missing material",IF(COUNTIF(ProductList,A496)=0,"Product not in Products list",IF(COUNTIF(MaterialList,B496)=0,"Material not in Materials list","OK")))))</f>
        <v/>
      </c>
      <c r="H496" s="18" t="str">
        <f aca="false">IF(F496="Active",A496&amp;"|"&amp;COUNTIFS(A$2:A496,A496,F$2:F496,"Active"),"")</f>
        <v/>
      </c>
      <c r="I496" s="18" t="str">
        <f aca="false">IF(B496="","",IF(SUMPRODUCT(MAX((A$1:A495=A496)*(B$1:B495=B496)*ROW(A$1:A495)))=0,C496&amp;"",IF(C496="",INDEX(I$1:I495,SUMPRODUCT(MAX((A$1:A495=A496)*(B$1:B495=B496)*ROW(A$1:A495)))),IF(INDEX(I$1:I495,SUMPRODUCT(MAX((A$1:A495=A496)*(B$1:B495=B496)*ROW(A$1:A495))))="",C496&amp;"",INDEX(I$1:I495,SUMPRODUCT(MAX((A$1:A495=A496)*(B$1:B495=B496)*ROW(A$1:A495))))&amp;"; "&amp;C496))))</f>
        <v/>
      </c>
      <c r="J496" s="18" t="str">
        <f aca="false">IF(A496="","",A496&amp;"|"&amp;COUNTIF(A$2:A496,A496))</f>
        <v/>
      </c>
      <c r="K496" s="18" t="n">
        <f aca="false">IF(OR(A496="",B496=""),0,IF(COUNTIFS(A$2:A496,A496,B$2:B496,B496)=1,1,0))</f>
        <v>0</v>
      </c>
    </row>
    <row r="497" customFormat="false" ht="15" hidden="false" customHeight="false" outlineLevel="0" collapsed="false">
      <c r="A497" s="15"/>
      <c r="B497" s="15"/>
      <c r="C497" s="15"/>
      <c r="D497" s="15"/>
      <c r="F497" s="18" t="str">
        <f aca="false">IF(B497="","",IFERROR(INDEX(Materials!$B$2:$B$201,MATCH(B497,Materials!$A$2:$A$201,0)),""))</f>
        <v/>
      </c>
      <c r="G497" s="18" t="str">
        <f aca="true">IF(AND(A497="",B497=""),"",IF(A497="","Missing product",IF(B497="","Missing material",IF(COUNTIF(ProductList,A497)=0,"Product not in Products list",IF(COUNTIF(MaterialList,B497)=0,"Material not in Materials list","OK")))))</f>
        <v/>
      </c>
      <c r="H497" s="18" t="str">
        <f aca="false">IF(F497="Active",A497&amp;"|"&amp;COUNTIFS(A$2:A497,A497,F$2:F497,"Active"),"")</f>
        <v/>
      </c>
      <c r="I497" s="18" t="str">
        <f aca="false">IF(B497="","",IF(SUMPRODUCT(MAX((A$1:A496=A497)*(B$1:B496=B497)*ROW(A$1:A496)))=0,C497&amp;"",IF(C497="",INDEX(I$1:I496,SUMPRODUCT(MAX((A$1:A496=A497)*(B$1:B496=B497)*ROW(A$1:A496)))),IF(INDEX(I$1:I496,SUMPRODUCT(MAX((A$1:A496=A497)*(B$1:B496=B497)*ROW(A$1:A496))))="",C497&amp;"",INDEX(I$1:I496,SUMPRODUCT(MAX((A$1:A496=A497)*(B$1:B496=B497)*ROW(A$1:A496))))&amp;"; "&amp;C497))))</f>
        <v/>
      </c>
      <c r="J497" s="18" t="str">
        <f aca="false">IF(A497="","",A497&amp;"|"&amp;COUNTIF(A$2:A497,A497))</f>
        <v/>
      </c>
      <c r="K497" s="18" t="n">
        <f aca="false">IF(OR(A497="",B497=""),0,IF(COUNTIFS(A$2:A497,A497,B$2:B497,B497)=1,1,0))</f>
        <v>0</v>
      </c>
    </row>
    <row r="498" customFormat="false" ht="15" hidden="false" customHeight="false" outlineLevel="0" collapsed="false">
      <c r="A498" s="15"/>
      <c r="B498" s="15"/>
      <c r="C498" s="15"/>
      <c r="D498" s="15"/>
      <c r="F498" s="18" t="str">
        <f aca="false">IF(B498="","",IFERROR(INDEX(Materials!$B$2:$B$201,MATCH(B498,Materials!$A$2:$A$201,0)),""))</f>
        <v/>
      </c>
      <c r="G498" s="18" t="str">
        <f aca="true">IF(AND(A498="",B498=""),"",IF(A498="","Missing product",IF(B498="","Missing material",IF(COUNTIF(ProductList,A498)=0,"Product not in Products list",IF(COUNTIF(MaterialList,B498)=0,"Material not in Materials list","OK")))))</f>
        <v/>
      </c>
      <c r="H498" s="18" t="str">
        <f aca="false">IF(F498="Active",A498&amp;"|"&amp;COUNTIFS(A$2:A498,A498,F$2:F498,"Active"),"")</f>
        <v/>
      </c>
      <c r="I498" s="18" t="str">
        <f aca="false">IF(B498="","",IF(SUMPRODUCT(MAX((A$1:A497=A498)*(B$1:B497=B498)*ROW(A$1:A497)))=0,C498&amp;"",IF(C498="",INDEX(I$1:I497,SUMPRODUCT(MAX((A$1:A497=A498)*(B$1:B497=B498)*ROW(A$1:A497)))),IF(INDEX(I$1:I497,SUMPRODUCT(MAX((A$1:A497=A498)*(B$1:B497=B498)*ROW(A$1:A497))))="",C498&amp;"",INDEX(I$1:I497,SUMPRODUCT(MAX((A$1:A497=A498)*(B$1:B497=B498)*ROW(A$1:A497))))&amp;"; "&amp;C498))))</f>
        <v/>
      </c>
      <c r="J498" s="18" t="str">
        <f aca="false">IF(A498="","",A498&amp;"|"&amp;COUNTIF(A$2:A498,A498))</f>
        <v/>
      </c>
      <c r="K498" s="18" t="n">
        <f aca="false">IF(OR(A498="",B498=""),0,IF(COUNTIFS(A$2:A498,A498,B$2:B498,B498)=1,1,0))</f>
        <v>0</v>
      </c>
    </row>
    <row r="499" customFormat="false" ht="15" hidden="false" customHeight="false" outlineLevel="0" collapsed="false">
      <c r="A499" s="15"/>
      <c r="B499" s="15"/>
      <c r="C499" s="15"/>
      <c r="D499" s="15"/>
      <c r="F499" s="18" t="str">
        <f aca="false">IF(B499="","",IFERROR(INDEX(Materials!$B$2:$B$201,MATCH(B499,Materials!$A$2:$A$201,0)),""))</f>
        <v/>
      </c>
      <c r="G499" s="18" t="str">
        <f aca="true">IF(AND(A499="",B499=""),"",IF(A499="","Missing product",IF(B499="","Missing material",IF(COUNTIF(ProductList,A499)=0,"Product not in Products list",IF(COUNTIF(MaterialList,B499)=0,"Material not in Materials list","OK")))))</f>
        <v/>
      </c>
      <c r="H499" s="18" t="str">
        <f aca="false">IF(F499="Active",A499&amp;"|"&amp;COUNTIFS(A$2:A499,A499,F$2:F499,"Active"),"")</f>
        <v/>
      </c>
      <c r="I499" s="18" t="str">
        <f aca="false">IF(B499="","",IF(SUMPRODUCT(MAX((A$1:A498=A499)*(B$1:B498=B499)*ROW(A$1:A498)))=0,C499&amp;"",IF(C499="",INDEX(I$1:I498,SUMPRODUCT(MAX((A$1:A498=A499)*(B$1:B498=B499)*ROW(A$1:A498)))),IF(INDEX(I$1:I498,SUMPRODUCT(MAX((A$1:A498=A499)*(B$1:B498=B499)*ROW(A$1:A498))))="",C499&amp;"",INDEX(I$1:I498,SUMPRODUCT(MAX((A$1:A498=A499)*(B$1:B498=B499)*ROW(A$1:A498))))&amp;"; "&amp;C499))))</f>
        <v/>
      </c>
      <c r="J499" s="18" t="str">
        <f aca="false">IF(A499="","",A499&amp;"|"&amp;COUNTIF(A$2:A499,A499))</f>
        <v/>
      </c>
      <c r="K499" s="18" t="n">
        <f aca="false">IF(OR(A499="",B499=""),0,IF(COUNTIFS(A$2:A499,A499,B$2:B499,B499)=1,1,0))</f>
        <v>0</v>
      </c>
    </row>
    <row r="500" customFormat="false" ht="15" hidden="false" customHeight="false" outlineLevel="0" collapsed="false">
      <c r="A500" s="15"/>
      <c r="B500" s="15"/>
      <c r="C500" s="15"/>
      <c r="D500" s="15"/>
      <c r="F500" s="18" t="str">
        <f aca="false">IF(B500="","",IFERROR(INDEX(Materials!$B$2:$B$201,MATCH(B500,Materials!$A$2:$A$201,0)),""))</f>
        <v/>
      </c>
      <c r="G500" s="18" t="str">
        <f aca="true">IF(AND(A500="",B500=""),"",IF(A500="","Missing product",IF(B500="","Missing material",IF(COUNTIF(ProductList,A500)=0,"Product not in Products list",IF(COUNTIF(MaterialList,B500)=0,"Material not in Materials list","OK")))))</f>
        <v/>
      </c>
      <c r="H500" s="18" t="str">
        <f aca="false">IF(F500="Active",A500&amp;"|"&amp;COUNTIFS(A$2:A500,A500,F$2:F500,"Active"),"")</f>
        <v/>
      </c>
      <c r="I500" s="18" t="str">
        <f aca="false">IF(B500="","",IF(SUMPRODUCT(MAX((A$1:A499=A500)*(B$1:B499=B500)*ROW(A$1:A499)))=0,C500&amp;"",IF(C500="",INDEX(I$1:I499,SUMPRODUCT(MAX((A$1:A499=A500)*(B$1:B499=B500)*ROW(A$1:A499)))),IF(INDEX(I$1:I499,SUMPRODUCT(MAX((A$1:A499=A500)*(B$1:B499=B500)*ROW(A$1:A499))))="",C500&amp;"",INDEX(I$1:I499,SUMPRODUCT(MAX((A$1:A499=A500)*(B$1:B499=B500)*ROW(A$1:A499))))&amp;"; "&amp;C500))))</f>
        <v/>
      </c>
      <c r="J500" s="18" t="str">
        <f aca="false">IF(A500="","",A500&amp;"|"&amp;COUNTIF(A$2:A500,A500))</f>
        <v/>
      </c>
      <c r="K500" s="18" t="n">
        <f aca="false">IF(OR(A500="",B500=""),0,IF(COUNTIFS(A$2:A500,A500,B$2:B500,B500)=1,1,0))</f>
        <v>0</v>
      </c>
    </row>
    <row r="501" customFormat="false" ht="15" hidden="false" customHeight="false" outlineLevel="0" collapsed="false">
      <c r="A501" s="15"/>
      <c r="B501" s="15"/>
      <c r="C501" s="15"/>
      <c r="D501" s="15"/>
      <c r="F501" s="18" t="str">
        <f aca="false">IF(B501="","",IFERROR(INDEX(Materials!$B$2:$B$201,MATCH(B501,Materials!$A$2:$A$201,0)),""))</f>
        <v/>
      </c>
      <c r="G501" s="18" t="str">
        <f aca="true">IF(AND(A501="",B501=""),"",IF(A501="","Missing product",IF(B501="","Missing material",IF(COUNTIF(ProductList,A501)=0,"Product not in Products list",IF(COUNTIF(MaterialList,B501)=0,"Material not in Materials list","OK")))))</f>
        <v/>
      </c>
      <c r="H501" s="18" t="str">
        <f aca="false">IF(F501="Active",A501&amp;"|"&amp;COUNTIFS(A$2:A501,A501,F$2:F501,"Active"),"")</f>
        <v/>
      </c>
      <c r="I501" s="18" t="str">
        <f aca="false">IF(B501="","",IF(SUMPRODUCT(MAX((A$1:A500=A501)*(B$1:B500=B501)*ROW(A$1:A500)))=0,C501&amp;"",IF(C501="",INDEX(I$1:I500,SUMPRODUCT(MAX((A$1:A500=A501)*(B$1:B500=B501)*ROW(A$1:A500)))),IF(INDEX(I$1:I500,SUMPRODUCT(MAX((A$1:A500=A501)*(B$1:B500=B501)*ROW(A$1:A500))))="",C501&amp;"",INDEX(I$1:I500,SUMPRODUCT(MAX((A$1:A500=A501)*(B$1:B500=B501)*ROW(A$1:A500))))&amp;"; "&amp;C501))))</f>
        <v/>
      </c>
      <c r="J501" s="18" t="str">
        <f aca="false">IF(A501="","",A501&amp;"|"&amp;COUNTIF(A$2:A501,A501))</f>
        <v/>
      </c>
      <c r="K501" s="18" t="n">
        <f aca="false">IF(OR(A501="",B501=""),0,IF(COUNTIFS(A$2:A501,A501,B$2:B501,B501)=1,1,0))</f>
        <v>0</v>
      </c>
    </row>
    <row r="502" customFormat="false" ht="15" hidden="false" customHeight="false" outlineLevel="0" collapsed="false">
      <c r="A502" s="15"/>
      <c r="B502" s="15"/>
      <c r="C502" s="15"/>
      <c r="D502" s="15"/>
      <c r="F502" s="18" t="str">
        <f aca="false">IF(B502="","",IFERROR(INDEX(Materials!$B$2:$B$201,MATCH(B502,Materials!$A$2:$A$201,0)),""))</f>
        <v/>
      </c>
      <c r="G502" s="18" t="str">
        <f aca="true">IF(AND(A502="",B502=""),"",IF(A502="","Missing product",IF(B502="","Missing material",IF(COUNTIF(ProductList,A502)=0,"Product not in Products list",IF(COUNTIF(MaterialList,B502)=0,"Material not in Materials list","OK")))))</f>
        <v/>
      </c>
      <c r="H502" s="18" t="str">
        <f aca="false">IF(F502="Active",A502&amp;"|"&amp;COUNTIFS(A$2:A502,A502,F$2:F502,"Active"),"")</f>
        <v/>
      </c>
      <c r="I502" s="18" t="str">
        <f aca="false">IF(B502="","",IF(SUMPRODUCT(MAX((A$1:A501=A502)*(B$1:B501=B502)*ROW(A$1:A501)))=0,C502&amp;"",IF(C502="",INDEX(I$1:I501,SUMPRODUCT(MAX((A$1:A501=A502)*(B$1:B501=B502)*ROW(A$1:A501)))),IF(INDEX(I$1:I501,SUMPRODUCT(MAX((A$1:A501=A502)*(B$1:B501=B502)*ROW(A$1:A501))))="",C502&amp;"",INDEX(I$1:I501,SUMPRODUCT(MAX((A$1:A501=A502)*(B$1:B501=B502)*ROW(A$1:A501))))&amp;"; "&amp;C502))))</f>
        <v/>
      </c>
      <c r="J502" s="18" t="str">
        <f aca="false">IF(A502="","",A502&amp;"|"&amp;COUNTIF(A$2:A502,A502))</f>
        <v/>
      </c>
      <c r="K502" s="18" t="n">
        <f aca="false">IF(OR(A502="",B502=""),0,IF(COUNTIFS(A$2:A502,A502,B$2:B502,B502)=1,1,0))</f>
        <v>0</v>
      </c>
    </row>
    <row r="503" customFormat="false" ht="15" hidden="false" customHeight="false" outlineLevel="0" collapsed="false">
      <c r="A503" s="15"/>
      <c r="B503" s="15"/>
      <c r="C503" s="15"/>
      <c r="D503" s="15"/>
      <c r="F503" s="18" t="str">
        <f aca="false">IF(B503="","",IFERROR(INDEX(Materials!$B$2:$B$201,MATCH(B503,Materials!$A$2:$A$201,0)),""))</f>
        <v/>
      </c>
      <c r="G503" s="18" t="str">
        <f aca="true">IF(AND(A503="",B503=""),"",IF(A503="","Missing product",IF(B503="","Missing material",IF(COUNTIF(ProductList,A503)=0,"Product not in Products list",IF(COUNTIF(MaterialList,B503)=0,"Material not in Materials list","OK")))))</f>
        <v/>
      </c>
      <c r="H503" s="18" t="str">
        <f aca="false">IF(F503="Active",A503&amp;"|"&amp;COUNTIFS(A$2:A503,A503,F$2:F503,"Active"),"")</f>
        <v/>
      </c>
      <c r="I503" s="18" t="str">
        <f aca="false">IF(B503="","",IF(SUMPRODUCT(MAX((A$1:A502=A503)*(B$1:B502=B503)*ROW(A$1:A502)))=0,C503&amp;"",IF(C503="",INDEX(I$1:I502,SUMPRODUCT(MAX((A$1:A502=A503)*(B$1:B502=B503)*ROW(A$1:A502)))),IF(INDEX(I$1:I502,SUMPRODUCT(MAX((A$1:A502=A503)*(B$1:B502=B503)*ROW(A$1:A502))))="",C503&amp;"",INDEX(I$1:I502,SUMPRODUCT(MAX((A$1:A502=A503)*(B$1:B502=B503)*ROW(A$1:A502))))&amp;"; "&amp;C503))))</f>
        <v/>
      </c>
      <c r="J503" s="18" t="str">
        <f aca="false">IF(A503="","",A503&amp;"|"&amp;COUNTIF(A$2:A503,A503))</f>
        <v/>
      </c>
      <c r="K503" s="18" t="n">
        <f aca="false">IF(OR(A503="",B503=""),0,IF(COUNTIFS(A$2:A503,A503,B$2:B503,B503)=1,1,0))</f>
        <v>0</v>
      </c>
    </row>
    <row r="504" customFormat="false" ht="15" hidden="false" customHeight="false" outlineLevel="0" collapsed="false">
      <c r="A504" s="15"/>
      <c r="B504" s="15"/>
      <c r="C504" s="15"/>
      <c r="D504" s="15"/>
      <c r="F504" s="18" t="str">
        <f aca="false">IF(B504="","",IFERROR(INDEX(Materials!$B$2:$B$201,MATCH(B504,Materials!$A$2:$A$201,0)),""))</f>
        <v/>
      </c>
      <c r="G504" s="18" t="str">
        <f aca="true">IF(AND(A504="",B504=""),"",IF(A504="","Missing product",IF(B504="","Missing material",IF(COUNTIF(ProductList,A504)=0,"Product not in Products list",IF(COUNTIF(MaterialList,B504)=0,"Material not in Materials list","OK")))))</f>
        <v/>
      </c>
      <c r="H504" s="18" t="str">
        <f aca="false">IF(F504="Active",A504&amp;"|"&amp;COUNTIFS(A$2:A504,A504,F$2:F504,"Active"),"")</f>
        <v/>
      </c>
      <c r="I504" s="18" t="str">
        <f aca="false">IF(B504="","",IF(SUMPRODUCT(MAX((A$1:A503=A504)*(B$1:B503=B504)*ROW(A$1:A503)))=0,C504&amp;"",IF(C504="",INDEX(I$1:I503,SUMPRODUCT(MAX((A$1:A503=A504)*(B$1:B503=B504)*ROW(A$1:A503)))),IF(INDEX(I$1:I503,SUMPRODUCT(MAX((A$1:A503=A504)*(B$1:B503=B504)*ROW(A$1:A503))))="",C504&amp;"",INDEX(I$1:I503,SUMPRODUCT(MAX((A$1:A503=A504)*(B$1:B503=B504)*ROW(A$1:A503))))&amp;"; "&amp;C504))))</f>
        <v/>
      </c>
      <c r="J504" s="18" t="str">
        <f aca="false">IF(A504="","",A504&amp;"|"&amp;COUNTIF(A$2:A504,A504))</f>
        <v/>
      </c>
      <c r="K504" s="18" t="n">
        <f aca="false">IF(OR(A504="",B504=""),0,IF(COUNTIFS(A$2:A504,A504,B$2:B504,B504)=1,1,0))</f>
        <v>0</v>
      </c>
    </row>
    <row r="505" customFormat="false" ht="15" hidden="false" customHeight="false" outlineLevel="0" collapsed="false">
      <c r="A505" s="15"/>
      <c r="B505" s="15"/>
      <c r="C505" s="15"/>
      <c r="D505" s="15"/>
      <c r="F505" s="18" t="str">
        <f aca="false">IF(B505="","",IFERROR(INDEX(Materials!$B$2:$B$201,MATCH(B505,Materials!$A$2:$A$201,0)),""))</f>
        <v/>
      </c>
      <c r="G505" s="18" t="str">
        <f aca="true">IF(AND(A505="",B505=""),"",IF(A505="","Missing product",IF(B505="","Missing material",IF(COUNTIF(ProductList,A505)=0,"Product not in Products list",IF(COUNTIF(MaterialList,B505)=0,"Material not in Materials list","OK")))))</f>
        <v/>
      </c>
      <c r="H505" s="18" t="str">
        <f aca="false">IF(F505="Active",A505&amp;"|"&amp;COUNTIFS(A$2:A505,A505,F$2:F505,"Active"),"")</f>
        <v/>
      </c>
      <c r="I505" s="18" t="str">
        <f aca="false">IF(B505="","",IF(SUMPRODUCT(MAX((A$1:A504=A505)*(B$1:B504=B505)*ROW(A$1:A504)))=0,C505&amp;"",IF(C505="",INDEX(I$1:I504,SUMPRODUCT(MAX((A$1:A504=A505)*(B$1:B504=B505)*ROW(A$1:A504)))),IF(INDEX(I$1:I504,SUMPRODUCT(MAX((A$1:A504=A505)*(B$1:B504=B505)*ROW(A$1:A504))))="",C505&amp;"",INDEX(I$1:I504,SUMPRODUCT(MAX((A$1:A504=A505)*(B$1:B504=B505)*ROW(A$1:A504))))&amp;"; "&amp;C505))))</f>
        <v/>
      </c>
      <c r="J505" s="18" t="str">
        <f aca="false">IF(A505="","",A505&amp;"|"&amp;COUNTIF(A$2:A505,A505))</f>
        <v/>
      </c>
      <c r="K505" s="18" t="n">
        <f aca="false">IF(OR(A505="",B505=""),0,IF(COUNTIFS(A$2:A505,A505,B$2:B505,B505)=1,1,0))</f>
        <v>0</v>
      </c>
    </row>
    <row r="506" customFormat="false" ht="15" hidden="false" customHeight="false" outlineLevel="0" collapsed="false">
      <c r="A506" s="15"/>
      <c r="B506" s="15"/>
      <c r="C506" s="15"/>
      <c r="D506" s="15"/>
      <c r="F506" s="18" t="str">
        <f aca="false">IF(B506="","",IFERROR(INDEX(Materials!$B$2:$B$201,MATCH(B506,Materials!$A$2:$A$201,0)),""))</f>
        <v/>
      </c>
      <c r="G506" s="18" t="str">
        <f aca="true">IF(AND(A506="",B506=""),"",IF(A506="","Missing product",IF(B506="","Missing material",IF(COUNTIF(ProductList,A506)=0,"Product not in Products list",IF(COUNTIF(MaterialList,B506)=0,"Material not in Materials list","OK")))))</f>
        <v/>
      </c>
      <c r="H506" s="18" t="str">
        <f aca="false">IF(F506="Active",A506&amp;"|"&amp;COUNTIFS(A$2:A506,A506,F$2:F506,"Active"),"")</f>
        <v/>
      </c>
      <c r="I506" s="18" t="str">
        <f aca="false">IF(B506="","",IF(SUMPRODUCT(MAX((A$1:A505=A506)*(B$1:B505=B506)*ROW(A$1:A505)))=0,C506&amp;"",IF(C506="",INDEX(I$1:I505,SUMPRODUCT(MAX((A$1:A505=A506)*(B$1:B505=B506)*ROW(A$1:A505)))),IF(INDEX(I$1:I505,SUMPRODUCT(MAX((A$1:A505=A506)*(B$1:B505=B506)*ROW(A$1:A505))))="",C506&amp;"",INDEX(I$1:I505,SUMPRODUCT(MAX((A$1:A505=A506)*(B$1:B505=B506)*ROW(A$1:A505))))&amp;"; "&amp;C506))))</f>
        <v/>
      </c>
      <c r="J506" s="18" t="str">
        <f aca="false">IF(A506="","",A506&amp;"|"&amp;COUNTIF(A$2:A506,A506))</f>
        <v/>
      </c>
      <c r="K506" s="18" t="n">
        <f aca="false">IF(OR(A506="",B506=""),0,IF(COUNTIFS(A$2:A506,A506,B$2:B506,B506)=1,1,0))</f>
        <v>0</v>
      </c>
    </row>
    <row r="507" customFormat="false" ht="15" hidden="false" customHeight="false" outlineLevel="0" collapsed="false">
      <c r="A507" s="15"/>
      <c r="B507" s="15"/>
      <c r="C507" s="15"/>
      <c r="D507" s="15"/>
      <c r="F507" s="18" t="str">
        <f aca="false">IF(B507="","",IFERROR(INDEX(Materials!$B$2:$B$201,MATCH(B507,Materials!$A$2:$A$201,0)),""))</f>
        <v/>
      </c>
      <c r="G507" s="18" t="str">
        <f aca="true">IF(AND(A507="",B507=""),"",IF(A507="","Missing product",IF(B507="","Missing material",IF(COUNTIF(ProductList,A507)=0,"Product not in Products list",IF(COUNTIF(MaterialList,B507)=0,"Material not in Materials list","OK")))))</f>
        <v/>
      </c>
      <c r="H507" s="18" t="str">
        <f aca="false">IF(F507="Active",A507&amp;"|"&amp;COUNTIFS(A$2:A507,A507,F$2:F507,"Active"),"")</f>
        <v/>
      </c>
      <c r="I507" s="18" t="str">
        <f aca="false">IF(B507="","",IF(SUMPRODUCT(MAX((A$1:A506=A507)*(B$1:B506=B507)*ROW(A$1:A506)))=0,C507&amp;"",IF(C507="",INDEX(I$1:I506,SUMPRODUCT(MAX((A$1:A506=A507)*(B$1:B506=B507)*ROW(A$1:A506)))),IF(INDEX(I$1:I506,SUMPRODUCT(MAX((A$1:A506=A507)*(B$1:B506=B507)*ROW(A$1:A506))))="",C507&amp;"",INDEX(I$1:I506,SUMPRODUCT(MAX((A$1:A506=A507)*(B$1:B506=B507)*ROW(A$1:A506))))&amp;"; "&amp;C507))))</f>
        <v/>
      </c>
      <c r="J507" s="18" t="str">
        <f aca="false">IF(A507="","",A507&amp;"|"&amp;COUNTIF(A$2:A507,A507))</f>
        <v/>
      </c>
      <c r="K507" s="18" t="n">
        <f aca="false">IF(OR(A507="",B507=""),0,IF(COUNTIFS(A$2:A507,A507,B$2:B507,B507)=1,1,0))</f>
        <v>0</v>
      </c>
    </row>
    <row r="508" customFormat="false" ht="15" hidden="false" customHeight="false" outlineLevel="0" collapsed="false">
      <c r="A508" s="15"/>
      <c r="B508" s="15"/>
      <c r="C508" s="15"/>
      <c r="D508" s="15"/>
      <c r="F508" s="18" t="str">
        <f aca="false">IF(B508="","",IFERROR(INDEX(Materials!$B$2:$B$201,MATCH(B508,Materials!$A$2:$A$201,0)),""))</f>
        <v/>
      </c>
      <c r="G508" s="18" t="str">
        <f aca="true">IF(AND(A508="",B508=""),"",IF(A508="","Missing product",IF(B508="","Missing material",IF(COUNTIF(ProductList,A508)=0,"Product not in Products list",IF(COUNTIF(MaterialList,B508)=0,"Material not in Materials list","OK")))))</f>
        <v/>
      </c>
      <c r="H508" s="18" t="str">
        <f aca="false">IF(F508="Active",A508&amp;"|"&amp;COUNTIFS(A$2:A508,A508,F$2:F508,"Active"),"")</f>
        <v/>
      </c>
      <c r="I508" s="18" t="str">
        <f aca="false">IF(B508="","",IF(SUMPRODUCT(MAX((A$1:A507=A508)*(B$1:B507=B508)*ROW(A$1:A507)))=0,C508&amp;"",IF(C508="",INDEX(I$1:I507,SUMPRODUCT(MAX((A$1:A507=A508)*(B$1:B507=B508)*ROW(A$1:A507)))),IF(INDEX(I$1:I507,SUMPRODUCT(MAX((A$1:A507=A508)*(B$1:B507=B508)*ROW(A$1:A507))))="",C508&amp;"",INDEX(I$1:I507,SUMPRODUCT(MAX((A$1:A507=A508)*(B$1:B507=B508)*ROW(A$1:A507))))&amp;"; "&amp;C508))))</f>
        <v/>
      </c>
      <c r="J508" s="18" t="str">
        <f aca="false">IF(A508="","",A508&amp;"|"&amp;COUNTIF(A$2:A508,A508))</f>
        <v/>
      </c>
      <c r="K508" s="18" t="n">
        <f aca="false">IF(OR(A508="",B508=""),0,IF(COUNTIFS(A$2:A508,A508,B$2:B508,B508)=1,1,0))</f>
        <v>0</v>
      </c>
    </row>
    <row r="509" customFormat="false" ht="15" hidden="false" customHeight="false" outlineLevel="0" collapsed="false">
      <c r="A509" s="15"/>
      <c r="B509" s="15"/>
      <c r="C509" s="15"/>
      <c r="D509" s="15"/>
      <c r="F509" s="18" t="str">
        <f aca="false">IF(B509="","",IFERROR(INDEX(Materials!$B$2:$B$201,MATCH(B509,Materials!$A$2:$A$201,0)),""))</f>
        <v/>
      </c>
      <c r="G509" s="18" t="str">
        <f aca="true">IF(AND(A509="",B509=""),"",IF(A509="","Missing product",IF(B509="","Missing material",IF(COUNTIF(ProductList,A509)=0,"Product not in Products list",IF(COUNTIF(MaterialList,B509)=0,"Material not in Materials list","OK")))))</f>
        <v/>
      </c>
      <c r="H509" s="18" t="str">
        <f aca="false">IF(F509="Active",A509&amp;"|"&amp;COUNTIFS(A$2:A509,A509,F$2:F509,"Active"),"")</f>
        <v/>
      </c>
      <c r="I509" s="18" t="str">
        <f aca="false">IF(B509="","",IF(SUMPRODUCT(MAX((A$1:A508=A509)*(B$1:B508=B509)*ROW(A$1:A508)))=0,C509&amp;"",IF(C509="",INDEX(I$1:I508,SUMPRODUCT(MAX((A$1:A508=A509)*(B$1:B508=B509)*ROW(A$1:A508)))),IF(INDEX(I$1:I508,SUMPRODUCT(MAX((A$1:A508=A509)*(B$1:B508=B509)*ROW(A$1:A508))))="",C509&amp;"",INDEX(I$1:I508,SUMPRODUCT(MAX((A$1:A508=A509)*(B$1:B508=B509)*ROW(A$1:A508))))&amp;"; "&amp;C509))))</f>
        <v/>
      </c>
      <c r="J509" s="18" t="str">
        <f aca="false">IF(A509="","",A509&amp;"|"&amp;COUNTIF(A$2:A509,A509))</f>
        <v/>
      </c>
      <c r="K509" s="18" t="n">
        <f aca="false">IF(OR(A509="",B509=""),0,IF(COUNTIFS(A$2:A509,A509,B$2:B509,B509)=1,1,0))</f>
        <v>0</v>
      </c>
    </row>
    <row r="510" customFormat="false" ht="15" hidden="false" customHeight="false" outlineLevel="0" collapsed="false">
      <c r="A510" s="15"/>
      <c r="B510" s="15"/>
      <c r="C510" s="15"/>
      <c r="D510" s="15"/>
      <c r="F510" s="18" t="str">
        <f aca="false">IF(B510="","",IFERROR(INDEX(Materials!$B$2:$B$201,MATCH(B510,Materials!$A$2:$A$201,0)),""))</f>
        <v/>
      </c>
      <c r="G510" s="18" t="str">
        <f aca="true">IF(AND(A510="",B510=""),"",IF(A510="","Missing product",IF(B510="","Missing material",IF(COUNTIF(ProductList,A510)=0,"Product not in Products list",IF(COUNTIF(MaterialList,B510)=0,"Material not in Materials list","OK")))))</f>
        <v/>
      </c>
      <c r="H510" s="18" t="str">
        <f aca="false">IF(F510="Active",A510&amp;"|"&amp;COUNTIFS(A$2:A510,A510,F$2:F510,"Active"),"")</f>
        <v/>
      </c>
      <c r="I510" s="18" t="str">
        <f aca="false">IF(B510="","",IF(SUMPRODUCT(MAX((A$1:A509=A510)*(B$1:B509=B510)*ROW(A$1:A509)))=0,C510&amp;"",IF(C510="",INDEX(I$1:I509,SUMPRODUCT(MAX((A$1:A509=A510)*(B$1:B509=B510)*ROW(A$1:A509)))),IF(INDEX(I$1:I509,SUMPRODUCT(MAX((A$1:A509=A510)*(B$1:B509=B510)*ROW(A$1:A509))))="",C510&amp;"",INDEX(I$1:I509,SUMPRODUCT(MAX((A$1:A509=A510)*(B$1:B509=B510)*ROW(A$1:A509))))&amp;"; "&amp;C510))))</f>
        <v/>
      </c>
      <c r="J510" s="18" t="str">
        <f aca="false">IF(A510="","",A510&amp;"|"&amp;COUNTIF(A$2:A510,A510))</f>
        <v/>
      </c>
      <c r="K510" s="18" t="n">
        <f aca="false">IF(OR(A510="",B510=""),0,IF(COUNTIFS(A$2:A510,A510,B$2:B510,B510)=1,1,0))</f>
        <v>0</v>
      </c>
    </row>
    <row r="511" customFormat="false" ht="15" hidden="false" customHeight="false" outlineLevel="0" collapsed="false">
      <c r="A511" s="15"/>
      <c r="B511" s="15"/>
      <c r="C511" s="15"/>
      <c r="D511" s="15"/>
      <c r="F511" s="18" t="str">
        <f aca="false">IF(B511="","",IFERROR(INDEX(Materials!$B$2:$B$201,MATCH(B511,Materials!$A$2:$A$201,0)),""))</f>
        <v/>
      </c>
      <c r="G511" s="18" t="str">
        <f aca="true">IF(AND(A511="",B511=""),"",IF(A511="","Missing product",IF(B511="","Missing material",IF(COUNTIF(ProductList,A511)=0,"Product not in Products list",IF(COUNTIF(MaterialList,B511)=0,"Material not in Materials list","OK")))))</f>
        <v/>
      </c>
      <c r="H511" s="18" t="str">
        <f aca="false">IF(F511="Active",A511&amp;"|"&amp;COUNTIFS(A$2:A511,A511,F$2:F511,"Active"),"")</f>
        <v/>
      </c>
      <c r="I511" s="18" t="str">
        <f aca="false">IF(B511="","",IF(SUMPRODUCT(MAX((A$1:A510=A511)*(B$1:B510=B511)*ROW(A$1:A510)))=0,C511&amp;"",IF(C511="",INDEX(I$1:I510,SUMPRODUCT(MAX((A$1:A510=A511)*(B$1:B510=B511)*ROW(A$1:A510)))),IF(INDEX(I$1:I510,SUMPRODUCT(MAX((A$1:A510=A511)*(B$1:B510=B511)*ROW(A$1:A510))))="",C511&amp;"",INDEX(I$1:I510,SUMPRODUCT(MAX((A$1:A510=A511)*(B$1:B510=B511)*ROW(A$1:A510))))&amp;"; "&amp;C511))))</f>
        <v/>
      </c>
      <c r="J511" s="18" t="str">
        <f aca="false">IF(A511="","",A511&amp;"|"&amp;COUNTIF(A$2:A511,A511))</f>
        <v/>
      </c>
      <c r="K511" s="18" t="n">
        <f aca="false">IF(OR(A511="",B511=""),0,IF(COUNTIFS(A$2:A511,A511,B$2:B511,B511)=1,1,0))</f>
        <v>0</v>
      </c>
    </row>
    <row r="512" customFormat="false" ht="15" hidden="false" customHeight="false" outlineLevel="0" collapsed="false">
      <c r="A512" s="15"/>
      <c r="B512" s="15"/>
      <c r="C512" s="15"/>
      <c r="D512" s="15"/>
      <c r="F512" s="18" t="str">
        <f aca="false">IF(B512="","",IFERROR(INDEX(Materials!$B$2:$B$201,MATCH(B512,Materials!$A$2:$A$201,0)),""))</f>
        <v/>
      </c>
      <c r="G512" s="18" t="str">
        <f aca="true">IF(AND(A512="",B512=""),"",IF(A512="","Missing product",IF(B512="","Missing material",IF(COUNTIF(ProductList,A512)=0,"Product not in Products list",IF(COUNTIF(MaterialList,B512)=0,"Material not in Materials list","OK")))))</f>
        <v/>
      </c>
      <c r="H512" s="18" t="str">
        <f aca="false">IF(F512="Active",A512&amp;"|"&amp;COUNTIFS(A$2:A512,A512,F$2:F512,"Active"),"")</f>
        <v/>
      </c>
      <c r="I512" s="18" t="str">
        <f aca="false">IF(B512="","",IF(SUMPRODUCT(MAX((A$1:A511=A512)*(B$1:B511=B512)*ROW(A$1:A511)))=0,C512&amp;"",IF(C512="",INDEX(I$1:I511,SUMPRODUCT(MAX((A$1:A511=A512)*(B$1:B511=B512)*ROW(A$1:A511)))),IF(INDEX(I$1:I511,SUMPRODUCT(MAX((A$1:A511=A512)*(B$1:B511=B512)*ROW(A$1:A511))))="",C512&amp;"",INDEX(I$1:I511,SUMPRODUCT(MAX((A$1:A511=A512)*(B$1:B511=B512)*ROW(A$1:A511))))&amp;"; "&amp;C512))))</f>
        <v/>
      </c>
      <c r="J512" s="18" t="str">
        <f aca="false">IF(A512="","",A512&amp;"|"&amp;COUNTIF(A$2:A512,A512))</f>
        <v/>
      </c>
      <c r="K512" s="18" t="n">
        <f aca="false">IF(OR(A512="",B512=""),0,IF(COUNTIFS(A$2:A512,A512,B$2:B512,B512)=1,1,0))</f>
        <v>0</v>
      </c>
    </row>
    <row r="513" customFormat="false" ht="15" hidden="false" customHeight="false" outlineLevel="0" collapsed="false">
      <c r="A513" s="15"/>
      <c r="B513" s="15"/>
      <c r="C513" s="15"/>
      <c r="D513" s="15"/>
      <c r="F513" s="18" t="str">
        <f aca="false">IF(B513="","",IFERROR(INDEX(Materials!$B$2:$B$201,MATCH(B513,Materials!$A$2:$A$201,0)),""))</f>
        <v/>
      </c>
      <c r="G513" s="18" t="str">
        <f aca="true">IF(AND(A513="",B513=""),"",IF(A513="","Missing product",IF(B513="","Missing material",IF(COUNTIF(ProductList,A513)=0,"Product not in Products list",IF(COUNTIF(MaterialList,B513)=0,"Material not in Materials list","OK")))))</f>
        <v/>
      </c>
      <c r="H513" s="18" t="str">
        <f aca="false">IF(F513="Active",A513&amp;"|"&amp;COUNTIFS(A$2:A513,A513,F$2:F513,"Active"),"")</f>
        <v/>
      </c>
      <c r="I513" s="18" t="str">
        <f aca="false">IF(B513="","",IF(SUMPRODUCT(MAX((A$1:A512=A513)*(B$1:B512=B513)*ROW(A$1:A512)))=0,C513&amp;"",IF(C513="",INDEX(I$1:I512,SUMPRODUCT(MAX((A$1:A512=A513)*(B$1:B512=B513)*ROW(A$1:A512)))),IF(INDEX(I$1:I512,SUMPRODUCT(MAX((A$1:A512=A513)*(B$1:B512=B513)*ROW(A$1:A512))))="",C513&amp;"",INDEX(I$1:I512,SUMPRODUCT(MAX((A$1:A512=A513)*(B$1:B512=B513)*ROW(A$1:A512))))&amp;"; "&amp;C513))))</f>
        <v/>
      </c>
      <c r="J513" s="18" t="str">
        <f aca="false">IF(A513="","",A513&amp;"|"&amp;COUNTIF(A$2:A513,A513))</f>
        <v/>
      </c>
      <c r="K513" s="18" t="n">
        <f aca="false">IF(OR(A513="",B513=""),0,IF(COUNTIFS(A$2:A513,A513,B$2:B513,B513)=1,1,0))</f>
        <v>0</v>
      </c>
    </row>
    <row r="514" customFormat="false" ht="15" hidden="false" customHeight="false" outlineLevel="0" collapsed="false">
      <c r="A514" s="15"/>
      <c r="B514" s="15"/>
      <c r="C514" s="15"/>
      <c r="D514" s="15"/>
      <c r="F514" s="18" t="str">
        <f aca="false">IF(B514="","",IFERROR(INDEX(Materials!$B$2:$B$201,MATCH(B514,Materials!$A$2:$A$201,0)),""))</f>
        <v/>
      </c>
      <c r="G514" s="18" t="str">
        <f aca="true">IF(AND(A514="",B514=""),"",IF(A514="","Missing product",IF(B514="","Missing material",IF(COUNTIF(ProductList,A514)=0,"Product not in Products list",IF(COUNTIF(MaterialList,B514)=0,"Material not in Materials list","OK")))))</f>
        <v/>
      </c>
      <c r="H514" s="18" t="str">
        <f aca="false">IF(F514="Active",A514&amp;"|"&amp;COUNTIFS(A$2:A514,A514,F$2:F514,"Active"),"")</f>
        <v/>
      </c>
      <c r="I514" s="18" t="str">
        <f aca="false">IF(B514="","",IF(SUMPRODUCT(MAX((A$1:A513=A514)*(B$1:B513=B514)*ROW(A$1:A513)))=0,C514&amp;"",IF(C514="",INDEX(I$1:I513,SUMPRODUCT(MAX((A$1:A513=A514)*(B$1:B513=B514)*ROW(A$1:A513)))),IF(INDEX(I$1:I513,SUMPRODUCT(MAX((A$1:A513=A514)*(B$1:B513=B514)*ROW(A$1:A513))))="",C514&amp;"",INDEX(I$1:I513,SUMPRODUCT(MAX((A$1:A513=A514)*(B$1:B513=B514)*ROW(A$1:A513))))&amp;"; "&amp;C514))))</f>
        <v/>
      </c>
      <c r="J514" s="18" t="str">
        <f aca="false">IF(A514="","",A514&amp;"|"&amp;COUNTIF(A$2:A514,A514))</f>
        <v/>
      </c>
      <c r="K514" s="18" t="n">
        <f aca="false">IF(OR(A514="",B514=""),0,IF(COUNTIFS(A$2:A514,A514,B$2:B514,B514)=1,1,0))</f>
        <v>0</v>
      </c>
    </row>
    <row r="515" customFormat="false" ht="15" hidden="false" customHeight="false" outlineLevel="0" collapsed="false">
      <c r="A515" s="15"/>
      <c r="B515" s="15"/>
      <c r="C515" s="15"/>
      <c r="D515" s="15"/>
      <c r="F515" s="18" t="str">
        <f aca="false">IF(B515="","",IFERROR(INDEX(Materials!$B$2:$B$201,MATCH(B515,Materials!$A$2:$A$201,0)),""))</f>
        <v/>
      </c>
      <c r="G515" s="18" t="str">
        <f aca="true">IF(AND(A515="",B515=""),"",IF(A515="","Missing product",IF(B515="","Missing material",IF(COUNTIF(ProductList,A515)=0,"Product not in Products list",IF(COUNTIF(MaterialList,B515)=0,"Material not in Materials list","OK")))))</f>
        <v/>
      </c>
      <c r="H515" s="18" t="str">
        <f aca="false">IF(F515="Active",A515&amp;"|"&amp;COUNTIFS(A$2:A515,A515,F$2:F515,"Active"),"")</f>
        <v/>
      </c>
      <c r="I515" s="18" t="str">
        <f aca="false">IF(B515="","",IF(SUMPRODUCT(MAX((A$1:A514=A515)*(B$1:B514=B515)*ROW(A$1:A514)))=0,C515&amp;"",IF(C515="",INDEX(I$1:I514,SUMPRODUCT(MAX((A$1:A514=A515)*(B$1:B514=B515)*ROW(A$1:A514)))),IF(INDEX(I$1:I514,SUMPRODUCT(MAX((A$1:A514=A515)*(B$1:B514=B515)*ROW(A$1:A514))))="",C515&amp;"",INDEX(I$1:I514,SUMPRODUCT(MAX((A$1:A514=A515)*(B$1:B514=B515)*ROW(A$1:A514))))&amp;"; "&amp;C515))))</f>
        <v/>
      </c>
      <c r="J515" s="18" t="str">
        <f aca="false">IF(A515="","",A515&amp;"|"&amp;COUNTIF(A$2:A515,A515))</f>
        <v/>
      </c>
      <c r="K515" s="18" t="n">
        <f aca="false">IF(OR(A515="",B515=""),0,IF(COUNTIFS(A$2:A515,A515,B$2:B515,B515)=1,1,0))</f>
        <v>0</v>
      </c>
    </row>
    <row r="516" customFormat="false" ht="15" hidden="false" customHeight="false" outlineLevel="0" collapsed="false">
      <c r="A516" s="15"/>
      <c r="B516" s="15"/>
      <c r="C516" s="15"/>
      <c r="D516" s="15"/>
      <c r="F516" s="18" t="str">
        <f aca="false">IF(B516="","",IFERROR(INDEX(Materials!$B$2:$B$201,MATCH(B516,Materials!$A$2:$A$201,0)),""))</f>
        <v/>
      </c>
      <c r="G516" s="18" t="str">
        <f aca="true">IF(AND(A516="",B516=""),"",IF(A516="","Missing product",IF(B516="","Missing material",IF(COUNTIF(ProductList,A516)=0,"Product not in Products list",IF(COUNTIF(MaterialList,B516)=0,"Material not in Materials list","OK")))))</f>
        <v/>
      </c>
      <c r="H516" s="18" t="str">
        <f aca="false">IF(F516="Active",A516&amp;"|"&amp;COUNTIFS(A$2:A516,A516,F$2:F516,"Active"),"")</f>
        <v/>
      </c>
      <c r="I516" s="18" t="str">
        <f aca="false">IF(B516="","",IF(SUMPRODUCT(MAX((A$1:A515=A516)*(B$1:B515=B516)*ROW(A$1:A515)))=0,C516&amp;"",IF(C516="",INDEX(I$1:I515,SUMPRODUCT(MAX((A$1:A515=A516)*(B$1:B515=B516)*ROW(A$1:A515)))),IF(INDEX(I$1:I515,SUMPRODUCT(MAX((A$1:A515=A516)*(B$1:B515=B516)*ROW(A$1:A515))))="",C516&amp;"",INDEX(I$1:I515,SUMPRODUCT(MAX((A$1:A515=A516)*(B$1:B515=B516)*ROW(A$1:A515))))&amp;"; "&amp;C516))))</f>
        <v/>
      </c>
      <c r="J516" s="18" t="str">
        <f aca="false">IF(A516="","",A516&amp;"|"&amp;COUNTIF(A$2:A516,A516))</f>
        <v/>
      </c>
      <c r="K516" s="18" t="n">
        <f aca="false">IF(OR(A516="",B516=""),0,IF(COUNTIFS(A$2:A516,A516,B$2:B516,B516)=1,1,0))</f>
        <v>0</v>
      </c>
    </row>
    <row r="517" customFormat="false" ht="15" hidden="false" customHeight="false" outlineLevel="0" collapsed="false">
      <c r="A517" s="15"/>
      <c r="B517" s="15"/>
      <c r="C517" s="15"/>
      <c r="D517" s="15"/>
      <c r="F517" s="18" t="str">
        <f aca="false">IF(B517="","",IFERROR(INDEX(Materials!$B$2:$B$201,MATCH(B517,Materials!$A$2:$A$201,0)),""))</f>
        <v/>
      </c>
      <c r="G517" s="18" t="str">
        <f aca="true">IF(AND(A517="",B517=""),"",IF(A517="","Missing product",IF(B517="","Missing material",IF(COUNTIF(ProductList,A517)=0,"Product not in Products list",IF(COUNTIF(MaterialList,B517)=0,"Material not in Materials list","OK")))))</f>
        <v/>
      </c>
      <c r="H517" s="18" t="str">
        <f aca="false">IF(F517="Active",A517&amp;"|"&amp;COUNTIFS(A$2:A517,A517,F$2:F517,"Active"),"")</f>
        <v/>
      </c>
      <c r="I517" s="18" t="str">
        <f aca="false">IF(B517="","",IF(SUMPRODUCT(MAX((A$1:A516=A517)*(B$1:B516=B517)*ROW(A$1:A516)))=0,C517&amp;"",IF(C517="",INDEX(I$1:I516,SUMPRODUCT(MAX((A$1:A516=A517)*(B$1:B516=B517)*ROW(A$1:A516)))),IF(INDEX(I$1:I516,SUMPRODUCT(MAX((A$1:A516=A517)*(B$1:B516=B517)*ROW(A$1:A516))))="",C517&amp;"",INDEX(I$1:I516,SUMPRODUCT(MAX((A$1:A516=A517)*(B$1:B516=B517)*ROW(A$1:A516))))&amp;"; "&amp;C517))))</f>
        <v/>
      </c>
      <c r="J517" s="18" t="str">
        <f aca="false">IF(A517="","",A517&amp;"|"&amp;COUNTIF(A$2:A517,A517))</f>
        <v/>
      </c>
      <c r="K517" s="18" t="n">
        <f aca="false">IF(OR(A517="",B517=""),0,IF(COUNTIFS(A$2:A517,A517,B$2:B517,B517)=1,1,0))</f>
        <v>0</v>
      </c>
    </row>
    <row r="518" customFormat="false" ht="15" hidden="false" customHeight="false" outlineLevel="0" collapsed="false">
      <c r="A518" s="15"/>
      <c r="B518" s="15"/>
      <c r="C518" s="15"/>
      <c r="D518" s="15"/>
      <c r="F518" s="18" t="str">
        <f aca="false">IF(B518="","",IFERROR(INDEX(Materials!$B$2:$B$201,MATCH(B518,Materials!$A$2:$A$201,0)),""))</f>
        <v/>
      </c>
      <c r="G518" s="18" t="str">
        <f aca="true">IF(AND(A518="",B518=""),"",IF(A518="","Missing product",IF(B518="","Missing material",IF(COUNTIF(ProductList,A518)=0,"Product not in Products list",IF(COUNTIF(MaterialList,B518)=0,"Material not in Materials list","OK")))))</f>
        <v/>
      </c>
      <c r="H518" s="18" t="str">
        <f aca="false">IF(F518="Active",A518&amp;"|"&amp;COUNTIFS(A$2:A518,A518,F$2:F518,"Active"),"")</f>
        <v/>
      </c>
      <c r="I518" s="18" t="str">
        <f aca="false">IF(B518="","",IF(SUMPRODUCT(MAX((A$1:A517=A518)*(B$1:B517=B518)*ROW(A$1:A517)))=0,C518&amp;"",IF(C518="",INDEX(I$1:I517,SUMPRODUCT(MAX((A$1:A517=A518)*(B$1:B517=B518)*ROW(A$1:A517)))),IF(INDEX(I$1:I517,SUMPRODUCT(MAX((A$1:A517=A518)*(B$1:B517=B518)*ROW(A$1:A517))))="",C518&amp;"",INDEX(I$1:I517,SUMPRODUCT(MAX((A$1:A517=A518)*(B$1:B517=B518)*ROW(A$1:A517))))&amp;"; "&amp;C518))))</f>
        <v/>
      </c>
      <c r="J518" s="18" t="str">
        <f aca="false">IF(A518="","",A518&amp;"|"&amp;COUNTIF(A$2:A518,A518))</f>
        <v/>
      </c>
      <c r="K518" s="18" t="n">
        <f aca="false">IF(OR(A518="",B518=""),0,IF(COUNTIFS(A$2:A518,A518,B$2:B518,B518)=1,1,0))</f>
        <v>0</v>
      </c>
    </row>
    <row r="519" customFormat="false" ht="15" hidden="false" customHeight="false" outlineLevel="0" collapsed="false">
      <c r="A519" s="15"/>
      <c r="B519" s="15"/>
      <c r="C519" s="15"/>
      <c r="D519" s="15"/>
      <c r="F519" s="18" t="str">
        <f aca="false">IF(B519="","",IFERROR(INDEX(Materials!$B$2:$B$201,MATCH(B519,Materials!$A$2:$A$201,0)),""))</f>
        <v/>
      </c>
      <c r="G519" s="18" t="str">
        <f aca="true">IF(AND(A519="",B519=""),"",IF(A519="","Missing product",IF(B519="","Missing material",IF(COUNTIF(ProductList,A519)=0,"Product not in Products list",IF(COUNTIF(MaterialList,B519)=0,"Material not in Materials list","OK")))))</f>
        <v/>
      </c>
      <c r="H519" s="18" t="str">
        <f aca="false">IF(F519="Active",A519&amp;"|"&amp;COUNTIFS(A$2:A519,A519,F$2:F519,"Active"),"")</f>
        <v/>
      </c>
      <c r="I519" s="18" t="str">
        <f aca="false">IF(B519="","",IF(SUMPRODUCT(MAX((A$1:A518=A519)*(B$1:B518=B519)*ROW(A$1:A518)))=0,C519&amp;"",IF(C519="",INDEX(I$1:I518,SUMPRODUCT(MAX((A$1:A518=A519)*(B$1:B518=B519)*ROW(A$1:A518)))),IF(INDEX(I$1:I518,SUMPRODUCT(MAX((A$1:A518=A519)*(B$1:B518=B519)*ROW(A$1:A518))))="",C519&amp;"",INDEX(I$1:I518,SUMPRODUCT(MAX((A$1:A518=A519)*(B$1:B518=B519)*ROW(A$1:A518))))&amp;"; "&amp;C519))))</f>
        <v/>
      </c>
      <c r="J519" s="18" t="str">
        <f aca="false">IF(A519="","",A519&amp;"|"&amp;COUNTIF(A$2:A519,A519))</f>
        <v/>
      </c>
      <c r="K519" s="18" t="n">
        <f aca="false">IF(OR(A519="",B519=""),0,IF(COUNTIFS(A$2:A519,A519,B$2:B519,B519)=1,1,0))</f>
        <v>0</v>
      </c>
    </row>
    <row r="520" customFormat="false" ht="15" hidden="false" customHeight="false" outlineLevel="0" collapsed="false">
      <c r="A520" s="15"/>
      <c r="B520" s="15"/>
      <c r="C520" s="15"/>
      <c r="D520" s="15"/>
      <c r="F520" s="18" t="str">
        <f aca="false">IF(B520="","",IFERROR(INDEX(Materials!$B$2:$B$201,MATCH(B520,Materials!$A$2:$A$201,0)),""))</f>
        <v/>
      </c>
      <c r="G520" s="18" t="str">
        <f aca="true">IF(AND(A520="",B520=""),"",IF(A520="","Missing product",IF(B520="","Missing material",IF(COUNTIF(ProductList,A520)=0,"Product not in Products list",IF(COUNTIF(MaterialList,B520)=0,"Material not in Materials list","OK")))))</f>
        <v/>
      </c>
      <c r="H520" s="18" t="str">
        <f aca="false">IF(F520="Active",A520&amp;"|"&amp;COUNTIFS(A$2:A520,A520,F$2:F520,"Active"),"")</f>
        <v/>
      </c>
      <c r="I520" s="18" t="str">
        <f aca="false">IF(B520="","",IF(SUMPRODUCT(MAX((A$1:A519=A520)*(B$1:B519=B520)*ROW(A$1:A519)))=0,C520&amp;"",IF(C520="",INDEX(I$1:I519,SUMPRODUCT(MAX((A$1:A519=A520)*(B$1:B519=B520)*ROW(A$1:A519)))),IF(INDEX(I$1:I519,SUMPRODUCT(MAX((A$1:A519=A520)*(B$1:B519=B520)*ROW(A$1:A519))))="",C520&amp;"",INDEX(I$1:I519,SUMPRODUCT(MAX((A$1:A519=A520)*(B$1:B519=B520)*ROW(A$1:A519))))&amp;"; "&amp;C520))))</f>
        <v/>
      </c>
      <c r="J520" s="18" t="str">
        <f aca="false">IF(A520="","",A520&amp;"|"&amp;COUNTIF(A$2:A520,A520))</f>
        <v/>
      </c>
      <c r="K520" s="18" t="n">
        <f aca="false">IF(OR(A520="",B520=""),0,IF(COUNTIFS(A$2:A520,A520,B$2:B520,B520)=1,1,0))</f>
        <v>0</v>
      </c>
    </row>
    <row r="521" customFormat="false" ht="15" hidden="false" customHeight="false" outlineLevel="0" collapsed="false">
      <c r="A521" s="15"/>
      <c r="B521" s="15"/>
      <c r="C521" s="15"/>
      <c r="D521" s="15"/>
      <c r="F521" s="18" t="str">
        <f aca="false">IF(B521="","",IFERROR(INDEX(Materials!$B$2:$B$201,MATCH(B521,Materials!$A$2:$A$201,0)),""))</f>
        <v/>
      </c>
      <c r="G521" s="18" t="str">
        <f aca="true">IF(AND(A521="",B521=""),"",IF(A521="","Missing product",IF(B521="","Missing material",IF(COUNTIF(ProductList,A521)=0,"Product not in Products list",IF(COUNTIF(MaterialList,B521)=0,"Material not in Materials list","OK")))))</f>
        <v/>
      </c>
      <c r="H521" s="18" t="str">
        <f aca="false">IF(F521="Active",A521&amp;"|"&amp;COUNTIFS(A$2:A521,A521,F$2:F521,"Active"),"")</f>
        <v/>
      </c>
      <c r="I521" s="18" t="str">
        <f aca="false">IF(B521="","",IF(SUMPRODUCT(MAX((A$1:A520=A521)*(B$1:B520=B521)*ROW(A$1:A520)))=0,C521&amp;"",IF(C521="",INDEX(I$1:I520,SUMPRODUCT(MAX((A$1:A520=A521)*(B$1:B520=B521)*ROW(A$1:A520)))),IF(INDEX(I$1:I520,SUMPRODUCT(MAX((A$1:A520=A521)*(B$1:B520=B521)*ROW(A$1:A520))))="",C521&amp;"",INDEX(I$1:I520,SUMPRODUCT(MAX((A$1:A520=A521)*(B$1:B520=B521)*ROW(A$1:A520))))&amp;"; "&amp;C521))))</f>
        <v/>
      </c>
      <c r="J521" s="18" t="str">
        <f aca="false">IF(A521="","",A521&amp;"|"&amp;COUNTIF(A$2:A521,A521))</f>
        <v/>
      </c>
      <c r="K521" s="18" t="n">
        <f aca="false">IF(OR(A521="",B521=""),0,IF(COUNTIFS(A$2:A521,A521,B$2:B521,B521)=1,1,0))</f>
        <v>0</v>
      </c>
    </row>
    <row r="522" customFormat="false" ht="15" hidden="false" customHeight="false" outlineLevel="0" collapsed="false">
      <c r="A522" s="15"/>
      <c r="B522" s="15"/>
      <c r="C522" s="15"/>
      <c r="D522" s="15"/>
      <c r="F522" s="18" t="str">
        <f aca="false">IF(B522="","",IFERROR(INDEX(Materials!$B$2:$B$201,MATCH(B522,Materials!$A$2:$A$201,0)),""))</f>
        <v/>
      </c>
      <c r="G522" s="18" t="str">
        <f aca="true">IF(AND(A522="",B522=""),"",IF(A522="","Missing product",IF(B522="","Missing material",IF(COUNTIF(ProductList,A522)=0,"Product not in Products list",IF(COUNTIF(MaterialList,B522)=0,"Material not in Materials list","OK")))))</f>
        <v/>
      </c>
      <c r="H522" s="18" t="str">
        <f aca="false">IF(F522="Active",A522&amp;"|"&amp;COUNTIFS(A$2:A522,A522,F$2:F522,"Active"),"")</f>
        <v/>
      </c>
      <c r="I522" s="18" t="str">
        <f aca="false">IF(B522="","",IF(SUMPRODUCT(MAX((A$1:A521=A522)*(B$1:B521=B522)*ROW(A$1:A521)))=0,C522&amp;"",IF(C522="",INDEX(I$1:I521,SUMPRODUCT(MAX((A$1:A521=A522)*(B$1:B521=B522)*ROW(A$1:A521)))),IF(INDEX(I$1:I521,SUMPRODUCT(MAX((A$1:A521=A522)*(B$1:B521=B522)*ROW(A$1:A521))))="",C522&amp;"",INDEX(I$1:I521,SUMPRODUCT(MAX((A$1:A521=A522)*(B$1:B521=B522)*ROW(A$1:A521))))&amp;"; "&amp;C522))))</f>
        <v/>
      </c>
      <c r="J522" s="18" t="str">
        <f aca="false">IF(A522="","",A522&amp;"|"&amp;COUNTIF(A$2:A522,A522))</f>
        <v/>
      </c>
      <c r="K522" s="18" t="n">
        <f aca="false">IF(OR(A522="",B522=""),0,IF(COUNTIFS(A$2:A522,A522,B$2:B522,B522)=1,1,0))</f>
        <v>0</v>
      </c>
    </row>
    <row r="523" customFormat="false" ht="15" hidden="false" customHeight="false" outlineLevel="0" collapsed="false">
      <c r="A523" s="15"/>
      <c r="B523" s="15"/>
      <c r="C523" s="15"/>
      <c r="D523" s="15"/>
      <c r="F523" s="18" t="str">
        <f aca="false">IF(B523="","",IFERROR(INDEX(Materials!$B$2:$B$201,MATCH(B523,Materials!$A$2:$A$201,0)),""))</f>
        <v/>
      </c>
      <c r="G523" s="18" t="str">
        <f aca="true">IF(AND(A523="",B523=""),"",IF(A523="","Missing product",IF(B523="","Missing material",IF(COUNTIF(ProductList,A523)=0,"Product not in Products list",IF(COUNTIF(MaterialList,B523)=0,"Material not in Materials list","OK")))))</f>
        <v/>
      </c>
      <c r="H523" s="18" t="str">
        <f aca="false">IF(F523="Active",A523&amp;"|"&amp;COUNTIFS(A$2:A523,A523,F$2:F523,"Active"),"")</f>
        <v/>
      </c>
      <c r="I523" s="18" t="str">
        <f aca="false">IF(B523="","",IF(SUMPRODUCT(MAX((A$1:A522=A523)*(B$1:B522=B523)*ROW(A$1:A522)))=0,C523&amp;"",IF(C523="",INDEX(I$1:I522,SUMPRODUCT(MAX((A$1:A522=A523)*(B$1:B522=B523)*ROW(A$1:A522)))),IF(INDEX(I$1:I522,SUMPRODUCT(MAX((A$1:A522=A523)*(B$1:B522=B523)*ROW(A$1:A522))))="",C523&amp;"",INDEX(I$1:I522,SUMPRODUCT(MAX((A$1:A522=A523)*(B$1:B522=B523)*ROW(A$1:A522))))&amp;"; "&amp;C523))))</f>
        <v/>
      </c>
      <c r="J523" s="18" t="str">
        <f aca="false">IF(A523="","",A523&amp;"|"&amp;COUNTIF(A$2:A523,A523))</f>
        <v/>
      </c>
      <c r="K523" s="18" t="n">
        <f aca="false">IF(OR(A523="",B523=""),0,IF(COUNTIFS(A$2:A523,A523,B$2:B523,B523)=1,1,0))</f>
        <v>0</v>
      </c>
    </row>
    <row r="524" customFormat="false" ht="15" hidden="false" customHeight="false" outlineLevel="0" collapsed="false">
      <c r="A524" s="15"/>
      <c r="B524" s="15"/>
      <c r="C524" s="15"/>
      <c r="D524" s="15"/>
      <c r="F524" s="18" t="str">
        <f aca="false">IF(B524="","",IFERROR(INDEX(Materials!$B$2:$B$201,MATCH(B524,Materials!$A$2:$A$201,0)),""))</f>
        <v/>
      </c>
      <c r="G524" s="18" t="str">
        <f aca="true">IF(AND(A524="",B524=""),"",IF(A524="","Missing product",IF(B524="","Missing material",IF(COUNTIF(ProductList,A524)=0,"Product not in Products list",IF(COUNTIF(MaterialList,B524)=0,"Material not in Materials list","OK")))))</f>
        <v/>
      </c>
      <c r="H524" s="18" t="str">
        <f aca="false">IF(F524="Active",A524&amp;"|"&amp;COUNTIFS(A$2:A524,A524,F$2:F524,"Active"),"")</f>
        <v/>
      </c>
      <c r="I524" s="18" t="str">
        <f aca="false">IF(B524="","",IF(SUMPRODUCT(MAX((A$1:A523=A524)*(B$1:B523=B524)*ROW(A$1:A523)))=0,C524&amp;"",IF(C524="",INDEX(I$1:I523,SUMPRODUCT(MAX((A$1:A523=A524)*(B$1:B523=B524)*ROW(A$1:A523)))),IF(INDEX(I$1:I523,SUMPRODUCT(MAX((A$1:A523=A524)*(B$1:B523=B524)*ROW(A$1:A523))))="",C524&amp;"",INDEX(I$1:I523,SUMPRODUCT(MAX((A$1:A523=A524)*(B$1:B523=B524)*ROW(A$1:A523))))&amp;"; "&amp;C524))))</f>
        <v/>
      </c>
      <c r="J524" s="18" t="str">
        <f aca="false">IF(A524="","",A524&amp;"|"&amp;COUNTIF(A$2:A524,A524))</f>
        <v/>
      </c>
      <c r="K524" s="18" t="n">
        <f aca="false">IF(OR(A524="",B524=""),0,IF(COUNTIFS(A$2:A524,A524,B$2:B524,B524)=1,1,0))</f>
        <v>0</v>
      </c>
    </row>
    <row r="525" customFormat="false" ht="15" hidden="false" customHeight="false" outlineLevel="0" collapsed="false">
      <c r="A525" s="15"/>
      <c r="B525" s="15"/>
      <c r="C525" s="15"/>
      <c r="D525" s="15"/>
      <c r="F525" s="18" t="str">
        <f aca="false">IF(B525="","",IFERROR(INDEX(Materials!$B$2:$B$201,MATCH(B525,Materials!$A$2:$A$201,0)),""))</f>
        <v/>
      </c>
      <c r="G525" s="18" t="str">
        <f aca="true">IF(AND(A525="",B525=""),"",IF(A525="","Missing product",IF(B525="","Missing material",IF(COUNTIF(ProductList,A525)=0,"Product not in Products list",IF(COUNTIF(MaterialList,B525)=0,"Material not in Materials list","OK")))))</f>
        <v/>
      </c>
      <c r="H525" s="18" t="str">
        <f aca="false">IF(F525="Active",A525&amp;"|"&amp;COUNTIFS(A$2:A525,A525,F$2:F525,"Active"),"")</f>
        <v/>
      </c>
      <c r="I525" s="18" t="str">
        <f aca="false">IF(B525="","",IF(SUMPRODUCT(MAX((A$1:A524=A525)*(B$1:B524=B525)*ROW(A$1:A524)))=0,C525&amp;"",IF(C525="",INDEX(I$1:I524,SUMPRODUCT(MAX((A$1:A524=A525)*(B$1:B524=B525)*ROW(A$1:A524)))),IF(INDEX(I$1:I524,SUMPRODUCT(MAX((A$1:A524=A525)*(B$1:B524=B525)*ROW(A$1:A524))))="",C525&amp;"",INDEX(I$1:I524,SUMPRODUCT(MAX((A$1:A524=A525)*(B$1:B524=B525)*ROW(A$1:A524))))&amp;"; "&amp;C525))))</f>
        <v/>
      </c>
      <c r="J525" s="18" t="str">
        <f aca="false">IF(A525="","",A525&amp;"|"&amp;COUNTIF(A$2:A525,A525))</f>
        <v/>
      </c>
      <c r="K525" s="18" t="n">
        <f aca="false">IF(OR(A525="",B525=""),0,IF(COUNTIFS(A$2:A525,A525,B$2:B525,B525)=1,1,0))</f>
        <v>0</v>
      </c>
    </row>
    <row r="526" customFormat="false" ht="15" hidden="false" customHeight="false" outlineLevel="0" collapsed="false">
      <c r="A526" s="15"/>
      <c r="B526" s="15"/>
      <c r="C526" s="15"/>
      <c r="D526" s="15"/>
      <c r="F526" s="18" t="str">
        <f aca="false">IF(B526="","",IFERROR(INDEX(Materials!$B$2:$B$201,MATCH(B526,Materials!$A$2:$A$201,0)),""))</f>
        <v/>
      </c>
      <c r="G526" s="18" t="str">
        <f aca="true">IF(AND(A526="",B526=""),"",IF(A526="","Missing product",IF(B526="","Missing material",IF(COUNTIF(ProductList,A526)=0,"Product not in Products list",IF(COUNTIF(MaterialList,B526)=0,"Material not in Materials list","OK")))))</f>
        <v/>
      </c>
      <c r="H526" s="18" t="str">
        <f aca="false">IF(F526="Active",A526&amp;"|"&amp;COUNTIFS(A$2:A526,A526,F$2:F526,"Active"),"")</f>
        <v/>
      </c>
      <c r="I526" s="18" t="str">
        <f aca="false">IF(B526="","",IF(SUMPRODUCT(MAX((A$1:A525=A526)*(B$1:B525=B526)*ROW(A$1:A525)))=0,C526&amp;"",IF(C526="",INDEX(I$1:I525,SUMPRODUCT(MAX((A$1:A525=A526)*(B$1:B525=B526)*ROW(A$1:A525)))),IF(INDEX(I$1:I525,SUMPRODUCT(MAX((A$1:A525=A526)*(B$1:B525=B526)*ROW(A$1:A525))))="",C526&amp;"",INDEX(I$1:I525,SUMPRODUCT(MAX((A$1:A525=A526)*(B$1:B525=B526)*ROW(A$1:A525))))&amp;"; "&amp;C526))))</f>
        <v/>
      </c>
      <c r="J526" s="18" t="str">
        <f aca="false">IF(A526="","",A526&amp;"|"&amp;COUNTIF(A$2:A526,A526))</f>
        <v/>
      </c>
      <c r="K526" s="18" t="n">
        <f aca="false">IF(OR(A526="",B526=""),0,IF(COUNTIFS(A$2:A526,A526,B$2:B526,B526)=1,1,0))</f>
        <v>0</v>
      </c>
    </row>
    <row r="527" customFormat="false" ht="15" hidden="false" customHeight="false" outlineLevel="0" collapsed="false">
      <c r="A527" s="15"/>
      <c r="B527" s="15"/>
      <c r="C527" s="15"/>
      <c r="D527" s="15"/>
      <c r="F527" s="18" t="str">
        <f aca="false">IF(B527="","",IFERROR(INDEX(Materials!$B$2:$B$201,MATCH(B527,Materials!$A$2:$A$201,0)),""))</f>
        <v/>
      </c>
      <c r="G527" s="18" t="str">
        <f aca="true">IF(AND(A527="",B527=""),"",IF(A527="","Missing product",IF(B527="","Missing material",IF(COUNTIF(ProductList,A527)=0,"Product not in Products list",IF(COUNTIF(MaterialList,B527)=0,"Material not in Materials list","OK")))))</f>
        <v/>
      </c>
      <c r="H527" s="18" t="str">
        <f aca="false">IF(F527="Active",A527&amp;"|"&amp;COUNTIFS(A$2:A527,A527,F$2:F527,"Active"),"")</f>
        <v/>
      </c>
      <c r="I527" s="18" t="str">
        <f aca="false">IF(B527="","",IF(SUMPRODUCT(MAX((A$1:A526=A527)*(B$1:B526=B527)*ROW(A$1:A526)))=0,C527&amp;"",IF(C527="",INDEX(I$1:I526,SUMPRODUCT(MAX((A$1:A526=A527)*(B$1:B526=B527)*ROW(A$1:A526)))),IF(INDEX(I$1:I526,SUMPRODUCT(MAX((A$1:A526=A527)*(B$1:B526=B527)*ROW(A$1:A526))))="",C527&amp;"",INDEX(I$1:I526,SUMPRODUCT(MAX((A$1:A526=A527)*(B$1:B526=B527)*ROW(A$1:A526))))&amp;"; "&amp;C527))))</f>
        <v/>
      </c>
      <c r="J527" s="18" t="str">
        <f aca="false">IF(A527="","",A527&amp;"|"&amp;COUNTIF(A$2:A527,A527))</f>
        <v/>
      </c>
      <c r="K527" s="18" t="n">
        <f aca="false">IF(OR(A527="",B527=""),0,IF(COUNTIFS(A$2:A527,A527,B$2:B527,B527)=1,1,0))</f>
        <v>0</v>
      </c>
    </row>
    <row r="528" customFormat="false" ht="15" hidden="false" customHeight="false" outlineLevel="0" collapsed="false">
      <c r="A528" s="15"/>
      <c r="B528" s="15"/>
      <c r="C528" s="15"/>
      <c r="D528" s="15"/>
      <c r="F528" s="18" t="str">
        <f aca="false">IF(B528="","",IFERROR(INDEX(Materials!$B$2:$B$201,MATCH(B528,Materials!$A$2:$A$201,0)),""))</f>
        <v/>
      </c>
      <c r="G528" s="18" t="str">
        <f aca="true">IF(AND(A528="",B528=""),"",IF(A528="","Missing product",IF(B528="","Missing material",IF(COUNTIF(ProductList,A528)=0,"Product not in Products list",IF(COUNTIF(MaterialList,B528)=0,"Material not in Materials list","OK")))))</f>
        <v/>
      </c>
      <c r="H528" s="18" t="str">
        <f aca="false">IF(F528="Active",A528&amp;"|"&amp;COUNTIFS(A$2:A528,A528,F$2:F528,"Active"),"")</f>
        <v/>
      </c>
      <c r="I528" s="18" t="str">
        <f aca="false">IF(B528="","",IF(SUMPRODUCT(MAX((A$1:A527=A528)*(B$1:B527=B528)*ROW(A$1:A527)))=0,C528&amp;"",IF(C528="",INDEX(I$1:I527,SUMPRODUCT(MAX((A$1:A527=A528)*(B$1:B527=B528)*ROW(A$1:A527)))),IF(INDEX(I$1:I527,SUMPRODUCT(MAX((A$1:A527=A528)*(B$1:B527=B528)*ROW(A$1:A527))))="",C528&amp;"",INDEX(I$1:I527,SUMPRODUCT(MAX((A$1:A527=A528)*(B$1:B527=B528)*ROW(A$1:A527))))&amp;"; "&amp;C528))))</f>
        <v/>
      </c>
      <c r="J528" s="18" t="str">
        <f aca="false">IF(A528="","",A528&amp;"|"&amp;COUNTIF(A$2:A528,A528))</f>
        <v/>
      </c>
      <c r="K528" s="18" t="n">
        <f aca="false">IF(OR(A528="",B528=""),0,IF(COUNTIFS(A$2:A528,A528,B$2:B528,B528)=1,1,0))</f>
        <v>0</v>
      </c>
    </row>
    <row r="529" customFormat="false" ht="15" hidden="false" customHeight="false" outlineLevel="0" collapsed="false">
      <c r="A529" s="15"/>
      <c r="B529" s="15"/>
      <c r="C529" s="15"/>
      <c r="D529" s="15"/>
      <c r="F529" s="18" t="str">
        <f aca="false">IF(B529="","",IFERROR(INDEX(Materials!$B$2:$B$201,MATCH(B529,Materials!$A$2:$A$201,0)),""))</f>
        <v/>
      </c>
      <c r="G529" s="18" t="str">
        <f aca="true">IF(AND(A529="",B529=""),"",IF(A529="","Missing product",IF(B529="","Missing material",IF(COUNTIF(ProductList,A529)=0,"Product not in Products list",IF(COUNTIF(MaterialList,B529)=0,"Material not in Materials list","OK")))))</f>
        <v/>
      </c>
      <c r="H529" s="18" t="str">
        <f aca="false">IF(F529="Active",A529&amp;"|"&amp;COUNTIFS(A$2:A529,A529,F$2:F529,"Active"),"")</f>
        <v/>
      </c>
      <c r="I529" s="18" t="str">
        <f aca="false">IF(B529="","",IF(SUMPRODUCT(MAX((A$1:A528=A529)*(B$1:B528=B529)*ROW(A$1:A528)))=0,C529&amp;"",IF(C529="",INDEX(I$1:I528,SUMPRODUCT(MAX((A$1:A528=A529)*(B$1:B528=B529)*ROW(A$1:A528)))),IF(INDEX(I$1:I528,SUMPRODUCT(MAX((A$1:A528=A529)*(B$1:B528=B529)*ROW(A$1:A528))))="",C529&amp;"",INDEX(I$1:I528,SUMPRODUCT(MAX((A$1:A528=A529)*(B$1:B528=B529)*ROW(A$1:A528))))&amp;"; "&amp;C529))))</f>
        <v/>
      </c>
      <c r="J529" s="18" t="str">
        <f aca="false">IF(A529="","",A529&amp;"|"&amp;COUNTIF(A$2:A529,A529))</f>
        <v/>
      </c>
      <c r="K529" s="18" t="n">
        <f aca="false">IF(OR(A529="",B529=""),0,IF(COUNTIFS(A$2:A529,A529,B$2:B529,B529)=1,1,0))</f>
        <v>0</v>
      </c>
    </row>
    <row r="530" customFormat="false" ht="15" hidden="false" customHeight="false" outlineLevel="0" collapsed="false">
      <c r="A530" s="15"/>
      <c r="B530" s="15"/>
      <c r="C530" s="15"/>
      <c r="D530" s="15"/>
      <c r="F530" s="18" t="str">
        <f aca="false">IF(B530="","",IFERROR(INDEX(Materials!$B$2:$B$201,MATCH(B530,Materials!$A$2:$A$201,0)),""))</f>
        <v/>
      </c>
      <c r="G530" s="18" t="str">
        <f aca="true">IF(AND(A530="",B530=""),"",IF(A530="","Missing product",IF(B530="","Missing material",IF(COUNTIF(ProductList,A530)=0,"Product not in Products list",IF(COUNTIF(MaterialList,B530)=0,"Material not in Materials list","OK")))))</f>
        <v/>
      </c>
      <c r="H530" s="18" t="str">
        <f aca="false">IF(F530="Active",A530&amp;"|"&amp;COUNTIFS(A$2:A530,A530,F$2:F530,"Active"),"")</f>
        <v/>
      </c>
      <c r="I530" s="18" t="str">
        <f aca="false">IF(B530="","",IF(SUMPRODUCT(MAX((A$1:A529=A530)*(B$1:B529=B530)*ROW(A$1:A529)))=0,C530&amp;"",IF(C530="",INDEX(I$1:I529,SUMPRODUCT(MAX((A$1:A529=A530)*(B$1:B529=B530)*ROW(A$1:A529)))),IF(INDEX(I$1:I529,SUMPRODUCT(MAX((A$1:A529=A530)*(B$1:B529=B530)*ROW(A$1:A529))))="",C530&amp;"",INDEX(I$1:I529,SUMPRODUCT(MAX((A$1:A529=A530)*(B$1:B529=B530)*ROW(A$1:A529))))&amp;"; "&amp;C530))))</f>
        <v/>
      </c>
      <c r="J530" s="18" t="str">
        <f aca="false">IF(A530="","",A530&amp;"|"&amp;COUNTIF(A$2:A530,A530))</f>
        <v/>
      </c>
      <c r="K530" s="18" t="n">
        <f aca="false">IF(OR(A530="",B530=""),0,IF(COUNTIFS(A$2:A530,A530,B$2:B530,B530)=1,1,0))</f>
        <v>0</v>
      </c>
    </row>
    <row r="531" customFormat="false" ht="15" hidden="false" customHeight="false" outlineLevel="0" collapsed="false">
      <c r="A531" s="15"/>
      <c r="B531" s="15"/>
      <c r="C531" s="15"/>
      <c r="D531" s="15"/>
      <c r="F531" s="18" t="str">
        <f aca="false">IF(B531="","",IFERROR(INDEX(Materials!$B$2:$B$201,MATCH(B531,Materials!$A$2:$A$201,0)),""))</f>
        <v/>
      </c>
      <c r="G531" s="18" t="str">
        <f aca="true">IF(AND(A531="",B531=""),"",IF(A531="","Missing product",IF(B531="","Missing material",IF(COUNTIF(ProductList,A531)=0,"Product not in Products list",IF(COUNTIF(MaterialList,B531)=0,"Material not in Materials list","OK")))))</f>
        <v/>
      </c>
      <c r="H531" s="18" t="str">
        <f aca="false">IF(F531="Active",A531&amp;"|"&amp;COUNTIFS(A$2:A531,A531,F$2:F531,"Active"),"")</f>
        <v/>
      </c>
      <c r="I531" s="18" t="str">
        <f aca="false">IF(B531="","",IF(SUMPRODUCT(MAX((A$1:A530=A531)*(B$1:B530=B531)*ROW(A$1:A530)))=0,C531&amp;"",IF(C531="",INDEX(I$1:I530,SUMPRODUCT(MAX((A$1:A530=A531)*(B$1:B530=B531)*ROW(A$1:A530)))),IF(INDEX(I$1:I530,SUMPRODUCT(MAX((A$1:A530=A531)*(B$1:B530=B531)*ROW(A$1:A530))))="",C531&amp;"",INDEX(I$1:I530,SUMPRODUCT(MAX((A$1:A530=A531)*(B$1:B530=B531)*ROW(A$1:A530))))&amp;"; "&amp;C531))))</f>
        <v/>
      </c>
      <c r="J531" s="18" t="str">
        <f aca="false">IF(A531="","",A531&amp;"|"&amp;COUNTIF(A$2:A531,A531))</f>
        <v/>
      </c>
      <c r="K531" s="18" t="n">
        <f aca="false">IF(OR(A531="",B531=""),0,IF(COUNTIFS(A$2:A531,A531,B$2:B531,B531)=1,1,0))</f>
        <v>0</v>
      </c>
    </row>
    <row r="532" customFormat="false" ht="15" hidden="false" customHeight="false" outlineLevel="0" collapsed="false">
      <c r="A532" s="15"/>
      <c r="B532" s="15"/>
      <c r="C532" s="15"/>
      <c r="D532" s="15"/>
      <c r="F532" s="18" t="str">
        <f aca="false">IF(B532="","",IFERROR(INDEX(Materials!$B$2:$B$201,MATCH(B532,Materials!$A$2:$A$201,0)),""))</f>
        <v/>
      </c>
      <c r="G532" s="18" t="str">
        <f aca="true">IF(AND(A532="",B532=""),"",IF(A532="","Missing product",IF(B532="","Missing material",IF(COUNTIF(ProductList,A532)=0,"Product not in Products list",IF(COUNTIF(MaterialList,B532)=0,"Material not in Materials list","OK")))))</f>
        <v/>
      </c>
      <c r="H532" s="18" t="str">
        <f aca="false">IF(F532="Active",A532&amp;"|"&amp;COUNTIFS(A$2:A532,A532,F$2:F532,"Active"),"")</f>
        <v/>
      </c>
      <c r="I532" s="18" t="str">
        <f aca="false">IF(B532="","",IF(SUMPRODUCT(MAX((A$1:A531=A532)*(B$1:B531=B532)*ROW(A$1:A531)))=0,C532&amp;"",IF(C532="",INDEX(I$1:I531,SUMPRODUCT(MAX((A$1:A531=A532)*(B$1:B531=B532)*ROW(A$1:A531)))),IF(INDEX(I$1:I531,SUMPRODUCT(MAX((A$1:A531=A532)*(B$1:B531=B532)*ROW(A$1:A531))))="",C532&amp;"",INDEX(I$1:I531,SUMPRODUCT(MAX((A$1:A531=A532)*(B$1:B531=B532)*ROW(A$1:A531))))&amp;"; "&amp;C532))))</f>
        <v/>
      </c>
      <c r="J532" s="18" t="str">
        <f aca="false">IF(A532="","",A532&amp;"|"&amp;COUNTIF(A$2:A532,A532))</f>
        <v/>
      </c>
      <c r="K532" s="18" t="n">
        <f aca="false">IF(OR(A532="",B532=""),0,IF(COUNTIFS(A$2:A532,A532,B$2:B532,B532)=1,1,0))</f>
        <v>0</v>
      </c>
    </row>
    <row r="533" customFormat="false" ht="15" hidden="false" customHeight="false" outlineLevel="0" collapsed="false">
      <c r="A533" s="15"/>
      <c r="B533" s="15"/>
      <c r="C533" s="15"/>
      <c r="D533" s="15"/>
      <c r="F533" s="18" t="str">
        <f aca="false">IF(B533="","",IFERROR(INDEX(Materials!$B$2:$B$201,MATCH(B533,Materials!$A$2:$A$201,0)),""))</f>
        <v/>
      </c>
      <c r="G533" s="18" t="str">
        <f aca="true">IF(AND(A533="",B533=""),"",IF(A533="","Missing product",IF(B533="","Missing material",IF(COUNTIF(ProductList,A533)=0,"Product not in Products list",IF(COUNTIF(MaterialList,B533)=0,"Material not in Materials list","OK")))))</f>
        <v/>
      </c>
      <c r="H533" s="18" t="str">
        <f aca="false">IF(F533="Active",A533&amp;"|"&amp;COUNTIFS(A$2:A533,A533,F$2:F533,"Active"),"")</f>
        <v/>
      </c>
      <c r="I533" s="18" t="str">
        <f aca="false">IF(B533="","",IF(SUMPRODUCT(MAX((A$1:A532=A533)*(B$1:B532=B533)*ROW(A$1:A532)))=0,C533&amp;"",IF(C533="",INDEX(I$1:I532,SUMPRODUCT(MAX((A$1:A532=A533)*(B$1:B532=B533)*ROW(A$1:A532)))),IF(INDEX(I$1:I532,SUMPRODUCT(MAX((A$1:A532=A533)*(B$1:B532=B533)*ROW(A$1:A532))))="",C533&amp;"",INDEX(I$1:I532,SUMPRODUCT(MAX((A$1:A532=A533)*(B$1:B532=B533)*ROW(A$1:A532))))&amp;"; "&amp;C533))))</f>
        <v/>
      </c>
      <c r="J533" s="18" t="str">
        <f aca="false">IF(A533="","",A533&amp;"|"&amp;COUNTIF(A$2:A533,A533))</f>
        <v/>
      </c>
      <c r="K533" s="18" t="n">
        <f aca="false">IF(OR(A533="",B533=""),0,IF(COUNTIFS(A$2:A533,A533,B$2:B533,B533)=1,1,0))</f>
        <v>0</v>
      </c>
    </row>
    <row r="534" customFormat="false" ht="15" hidden="false" customHeight="false" outlineLevel="0" collapsed="false">
      <c r="A534" s="15"/>
      <c r="B534" s="15"/>
      <c r="C534" s="15"/>
      <c r="D534" s="15"/>
      <c r="F534" s="18" t="str">
        <f aca="false">IF(B534="","",IFERROR(INDEX(Materials!$B$2:$B$201,MATCH(B534,Materials!$A$2:$A$201,0)),""))</f>
        <v/>
      </c>
      <c r="G534" s="18" t="str">
        <f aca="true">IF(AND(A534="",B534=""),"",IF(A534="","Missing product",IF(B534="","Missing material",IF(COUNTIF(ProductList,A534)=0,"Product not in Products list",IF(COUNTIF(MaterialList,B534)=0,"Material not in Materials list","OK")))))</f>
        <v/>
      </c>
      <c r="H534" s="18" t="str">
        <f aca="false">IF(F534="Active",A534&amp;"|"&amp;COUNTIFS(A$2:A534,A534,F$2:F534,"Active"),"")</f>
        <v/>
      </c>
      <c r="I534" s="18" t="str">
        <f aca="false">IF(B534="","",IF(SUMPRODUCT(MAX((A$1:A533=A534)*(B$1:B533=B534)*ROW(A$1:A533)))=0,C534&amp;"",IF(C534="",INDEX(I$1:I533,SUMPRODUCT(MAX((A$1:A533=A534)*(B$1:B533=B534)*ROW(A$1:A533)))),IF(INDEX(I$1:I533,SUMPRODUCT(MAX((A$1:A533=A534)*(B$1:B533=B534)*ROW(A$1:A533))))="",C534&amp;"",INDEX(I$1:I533,SUMPRODUCT(MAX((A$1:A533=A534)*(B$1:B533=B534)*ROW(A$1:A533))))&amp;"; "&amp;C534))))</f>
        <v/>
      </c>
      <c r="J534" s="18" t="str">
        <f aca="false">IF(A534="","",A534&amp;"|"&amp;COUNTIF(A$2:A534,A534))</f>
        <v/>
      </c>
      <c r="K534" s="18" t="n">
        <f aca="false">IF(OR(A534="",B534=""),0,IF(COUNTIFS(A$2:A534,A534,B$2:B534,B534)=1,1,0))</f>
        <v>0</v>
      </c>
    </row>
    <row r="535" customFormat="false" ht="15" hidden="false" customHeight="false" outlineLevel="0" collapsed="false">
      <c r="A535" s="15"/>
      <c r="B535" s="15"/>
      <c r="C535" s="15"/>
      <c r="D535" s="15"/>
      <c r="F535" s="18" t="str">
        <f aca="false">IF(B535="","",IFERROR(INDEX(Materials!$B$2:$B$201,MATCH(B535,Materials!$A$2:$A$201,0)),""))</f>
        <v/>
      </c>
      <c r="G535" s="18" t="str">
        <f aca="true">IF(AND(A535="",B535=""),"",IF(A535="","Missing product",IF(B535="","Missing material",IF(COUNTIF(ProductList,A535)=0,"Product not in Products list",IF(COUNTIF(MaterialList,B535)=0,"Material not in Materials list","OK")))))</f>
        <v/>
      </c>
      <c r="H535" s="18" t="str">
        <f aca="false">IF(F535="Active",A535&amp;"|"&amp;COUNTIFS(A$2:A535,A535,F$2:F535,"Active"),"")</f>
        <v/>
      </c>
      <c r="I535" s="18" t="str">
        <f aca="false">IF(B535="","",IF(SUMPRODUCT(MAX((A$1:A534=A535)*(B$1:B534=B535)*ROW(A$1:A534)))=0,C535&amp;"",IF(C535="",INDEX(I$1:I534,SUMPRODUCT(MAX((A$1:A534=A535)*(B$1:B534=B535)*ROW(A$1:A534)))),IF(INDEX(I$1:I534,SUMPRODUCT(MAX((A$1:A534=A535)*(B$1:B534=B535)*ROW(A$1:A534))))="",C535&amp;"",INDEX(I$1:I534,SUMPRODUCT(MAX((A$1:A534=A535)*(B$1:B534=B535)*ROW(A$1:A534))))&amp;"; "&amp;C535))))</f>
        <v/>
      </c>
      <c r="J535" s="18" t="str">
        <f aca="false">IF(A535="","",A535&amp;"|"&amp;COUNTIF(A$2:A535,A535))</f>
        <v/>
      </c>
      <c r="K535" s="18" t="n">
        <f aca="false">IF(OR(A535="",B535=""),0,IF(COUNTIFS(A$2:A535,A535,B$2:B535,B535)=1,1,0))</f>
        <v>0</v>
      </c>
    </row>
    <row r="536" customFormat="false" ht="15" hidden="false" customHeight="false" outlineLevel="0" collapsed="false">
      <c r="A536" s="15"/>
      <c r="B536" s="15"/>
      <c r="C536" s="15"/>
      <c r="D536" s="15"/>
      <c r="F536" s="18" t="str">
        <f aca="false">IF(B536="","",IFERROR(INDEX(Materials!$B$2:$B$201,MATCH(B536,Materials!$A$2:$A$201,0)),""))</f>
        <v/>
      </c>
      <c r="G536" s="18" t="str">
        <f aca="true">IF(AND(A536="",B536=""),"",IF(A536="","Missing product",IF(B536="","Missing material",IF(COUNTIF(ProductList,A536)=0,"Product not in Products list",IF(COUNTIF(MaterialList,B536)=0,"Material not in Materials list","OK")))))</f>
        <v/>
      </c>
      <c r="H536" s="18" t="str">
        <f aca="false">IF(F536="Active",A536&amp;"|"&amp;COUNTIFS(A$2:A536,A536,F$2:F536,"Active"),"")</f>
        <v/>
      </c>
      <c r="I536" s="18" t="str">
        <f aca="false">IF(B536="","",IF(SUMPRODUCT(MAX((A$1:A535=A536)*(B$1:B535=B536)*ROW(A$1:A535)))=0,C536&amp;"",IF(C536="",INDEX(I$1:I535,SUMPRODUCT(MAX((A$1:A535=A536)*(B$1:B535=B536)*ROW(A$1:A535)))),IF(INDEX(I$1:I535,SUMPRODUCT(MAX((A$1:A535=A536)*(B$1:B535=B536)*ROW(A$1:A535))))="",C536&amp;"",INDEX(I$1:I535,SUMPRODUCT(MAX((A$1:A535=A536)*(B$1:B535=B536)*ROW(A$1:A535))))&amp;"; "&amp;C536))))</f>
        <v/>
      </c>
      <c r="J536" s="18" t="str">
        <f aca="false">IF(A536="","",A536&amp;"|"&amp;COUNTIF(A$2:A536,A536))</f>
        <v/>
      </c>
      <c r="K536" s="18" t="n">
        <f aca="false">IF(OR(A536="",B536=""),0,IF(COUNTIFS(A$2:A536,A536,B$2:B536,B536)=1,1,0))</f>
        <v>0</v>
      </c>
    </row>
    <row r="537" customFormat="false" ht="15" hidden="false" customHeight="false" outlineLevel="0" collapsed="false">
      <c r="A537" s="15"/>
      <c r="B537" s="15"/>
      <c r="C537" s="15"/>
      <c r="D537" s="15"/>
      <c r="F537" s="18" t="str">
        <f aca="false">IF(B537="","",IFERROR(INDEX(Materials!$B$2:$B$201,MATCH(B537,Materials!$A$2:$A$201,0)),""))</f>
        <v/>
      </c>
      <c r="G537" s="18" t="str">
        <f aca="true">IF(AND(A537="",B537=""),"",IF(A537="","Missing product",IF(B537="","Missing material",IF(COUNTIF(ProductList,A537)=0,"Product not in Products list",IF(COUNTIF(MaterialList,B537)=0,"Material not in Materials list","OK")))))</f>
        <v/>
      </c>
      <c r="H537" s="18" t="str">
        <f aca="false">IF(F537="Active",A537&amp;"|"&amp;COUNTIFS(A$2:A537,A537,F$2:F537,"Active"),"")</f>
        <v/>
      </c>
      <c r="I537" s="18" t="str">
        <f aca="false">IF(B537="","",IF(SUMPRODUCT(MAX((A$1:A536=A537)*(B$1:B536=B537)*ROW(A$1:A536)))=0,C537&amp;"",IF(C537="",INDEX(I$1:I536,SUMPRODUCT(MAX((A$1:A536=A537)*(B$1:B536=B537)*ROW(A$1:A536)))),IF(INDEX(I$1:I536,SUMPRODUCT(MAX((A$1:A536=A537)*(B$1:B536=B537)*ROW(A$1:A536))))="",C537&amp;"",INDEX(I$1:I536,SUMPRODUCT(MAX((A$1:A536=A537)*(B$1:B536=B537)*ROW(A$1:A536))))&amp;"; "&amp;C537))))</f>
        <v/>
      </c>
      <c r="J537" s="18" t="str">
        <f aca="false">IF(A537="","",A537&amp;"|"&amp;COUNTIF(A$2:A537,A537))</f>
        <v/>
      </c>
      <c r="K537" s="18" t="n">
        <f aca="false">IF(OR(A537="",B537=""),0,IF(COUNTIFS(A$2:A537,A537,B$2:B537,B537)=1,1,0))</f>
        <v>0</v>
      </c>
    </row>
    <row r="538" customFormat="false" ht="15" hidden="false" customHeight="false" outlineLevel="0" collapsed="false">
      <c r="A538" s="15"/>
      <c r="B538" s="15"/>
      <c r="C538" s="15"/>
      <c r="D538" s="15"/>
      <c r="F538" s="18" t="str">
        <f aca="false">IF(B538="","",IFERROR(INDEX(Materials!$B$2:$B$201,MATCH(B538,Materials!$A$2:$A$201,0)),""))</f>
        <v/>
      </c>
      <c r="G538" s="18" t="str">
        <f aca="true">IF(AND(A538="",B538=""),"",IF(A538="","Missing product",IF(B538="","Missing material",IF(COUNTIF(ProductList,A538)=0,"Product not in Products list",IF(COUNTIF(MaterialList,B538)=0,"Material not in Materials list","OK")))))</f>
        <v/>
      </c>
      <c r="H538" s="18" t="str">
        <f aca="false">IF(F538="Active",A538&amp;"|"&amp;COUNTIFS(A$2:A538,A538,F$2:F538,"Active"),"")</f>
        <v/>
      </c>
      <c r="I538" s="18" t="str">
        <f aca="false">IF(B538="","",IF(SUMPRODUCT(MAX((A$1:A537=A538)*(B$1:B537=B538)*ROW(A$1:A537)))=0,C538&amp;"",IF(C538="",INDEX(I$1:I537,SUMPRODUCT(MAX((A$1:A537=A538)*(B$1:B537=B538)*ROW(A$1:A537)))),IF(INDEX(I$1:I537,SUMPRODUCT(MAX((A$1:A537=A538)*(B$1:B537=B538)*ROW(A$1:A537))))="",C538&amp;"",INDEX(I$1:I537,SUMPRODUCT(MAX((A$1:A537=A538)*(B$1:B537=B538)*ROW(A$1:A537))))&amp;"; "&amp;C538))))</f>
        <v/>
      </c>
      <c r="J538" s="18" t="str">
        <f aca="false">IF(A538="","",A538&amp;"|"&amp;COUNTIF(A$2:A538,A538))</f>
        <v/>
      </c>
      <c r="K538" s="18" t="n">
        <f aca="false">IF(OR(A538="",B538=""),0,IF(COUNTIFS(A$2:A538,A538,B$2:B538,B538)=1,1,0))</f>
        <v>0</v>
      </c>
    </row>
    <row r="539" customFormat="false" ht="15" hidden="false" customHeight="false" outlineLevel="0" collapsed="false">
      <c r="A539" s="15"/>
      <c r="B539" s="15"/>
      <c r="C539" s="15"/>
      <c r="D539" s="15"/>
      <c r="F539" s="18" t="str">
        <f aca="false">IF(B539="","",IFERROR(INDEX(Materials!$B$2:$B$201,MATCH(B539,Materials!$A$2:$A$201,0)),""))</f>
        <v/>
      </c>
      <c r="G539" s="18" t="str">
        <f aca="true">IF(AND(A539="",B539=""),"",IF(A539="","Missing product",IF(B539="","Missing material",IF(COUNTIF(ProductList,A539)=0,"Product not in Products list",IF(COUNTIF(MaterialList,B539)=0,"Material not in Materials list","OK")))))</f>
        <v/>
      </c>
      <c r="H539" s="18" t="str">
        <f aca="false">IF(F539="Active",A539&amp;"|"&amp;COUNTIFS(A$2:A539,A539,F$2:F539,"Active"),"")</f>
        <v/>
      </c>
      <c r="I539" s="18" t="str">
        <f aca="false">IF(B539="","",IF(SUMPRODUCT(MAX((A$1:A538=A539)*(B$1:B538=B539)*ROW(A$1:A538)))=0,C539&amp;"",IF(C539="",INDEX(I$1:I538,SUMPRODUCT(MAX((A$1:A538=A539)*(B$1:B538=B539)*ROW(A$1:A538)))),IF(INDEX(I$1:I538,SUMPRODUCT(MAX((A$1:A538=A539)*(B$1:B538=B539)*ROW(A$1:A538))))="",C539&amp;"",INDEX(I$1:I538,SUMPRODUCT(MAX((A$1:A538=A539)*(B$1:B538=B539)*ROW(A$1:A538))))&amp;"; "&amp;C539))))</f>
        <v/>
      </c>
      <c r="J539" s="18" t="str">
        <f aca="false">IF(A539="","",A539&amp;"|"&amp;COUNTIF(A$2:A539,A539))</f>
        <v/>
      </c>
      <c r="K539" s="18" t="n">
        <f aca="false">IF(OR(A539="",B539=""),0,IF(COUNTIFS(A$2:A539,A539,B$2:B539,B539)=1,1,0))</f>
        <v>0</v>
      </c>
    </row>
    <row r="540" customFormat="false" ht="15" hidden="false" customHeight="false" outlineLevel="0" collapsed="false">
      <c r="A540" s="15"/>
      <c r="B540" s="15"/>
      <c r="C540" s="15"/>
      <c r="D540" s="15"/>
      <c r="F540" s="18" t="str">
        <f aca="false">IF(B540="","",IFERROR(INDEX(Materials!$B$2:$B$201,MATCH(B540,Materials!$A$2:$A$201,0)),""))</f>
        <v/>
      </c>
      <c r="G540" s="18" t="str">
        <f aca="true">IF(AND(A540="",B540=""),"",IF(A540="","Missing product",IF(B540="","Missing material",IF(COUNTIF(ProductList,A540)=0,"Product not in Products list",IF(COUNTIF(MaterialList,B540)=0,"Material not in Materials list","OK")))))</f>
        <v/>
      </c>
      <c r="H540" s="18" t="str">
        <f aca="false">IF(F540="Active",A540&amp;"|"&amp;COUNTIFS(A$2:A540,A540,F$2:F540,"Active"),"")</f>
        <v/>
      </c>
      <c r="I540" s="18" t="str">
        <f aca="false">IF(B540="","",IF(SUMPRODUCT(MAX((A$1:A539=A540)*(B$1:B539=B540)*ROW(A$1:A539)))=0,C540&amp;"",IF(C540="",INDEX(I$1:I539,SUMPRODUCT(MAX((A$1:A539=A540)*(B$1:B539=B540)*ROW(A$1:A539)))),IF(INDEX(I$1:I539,SUMPRODUCT(MAX((A$1:A539=A540)*(B$1:B539=B540)*ROW(A$1:A539))))="",C540&amp;"",INDEX(I$1:I539,SUMPRODUCT(MAX((A$1:A539=A540)*(B$1:B539=B540)*ROW(A$1:A539))))&amp;"; "&amp;C540))))</f>
        <v/>
      </c>
      <c r="J540" s="18" t="str">
        <f aca="false">IF(A540="","",A540&amp;"|"&amp;COUNTIF(A$2:A540,A540))</f>
        <v/>
      </c>
      <c r="K540" s="18" t="n">
        <f aca="false">IF(OR(A540="",B540=""),0,IF(COUNTIFS(A$2:A540,A540,B$2:B540,B540)=1,1,0))</f>
        <v>0</v>
      </c>
    </row>
    <row r="541" customFormat="false" ht="15" hidden="false" customHeight="false" outlineLevel="0" collapsed="false">
      <c r="A541" s="15"/>
      <c r="B541" s="15"/>
      <c r="C541" s="15"/>
      <c r="D541" s="15"/>
      <c r="F541" s="18" t="str">
        <f aca="false">IF(B541="","",IFERROR(INDEX(Materials!$B$2:$B$201,MATCH(B541,Materials!$A$2:$A$201,0)),""))</f>
        <v/>
      </c>
      <c r="G541" s="18" t="str">
        <f aca="true">IF(AND(A541="",B541=""),"",IF(A541="","Missing product",IF(B541="","Missing material",IF(COUNTIF(ProductList,A541)=0,"Product not in Products list",IF(COUNTIF(MaterialList,B541)=0,"Material not in Materials list","OK")))))</f>
        <v/>
      </c>
      <c r="H541" s="18" t="str">
        <f aca="false">IF(F541="Active",A541&amp;"|"&amp;COUNTIFS(A$2:A541,A541,F$2:F541,"Active"),"")</f>
        <v/>
      </c>
      <c r="I541" s="18" t="str">
        <f aca="false">IF(B541="","",IF(SUMPRODUCT(MAX((A$1:A540=A541)*(B$1:B540=B541)*ROW(A$1:A540)))=0,C541&amp;"",IF(C541="",INDEX(I$1:I540,SUMPRODUCT(MAX((A$1:A540=A541)*(B$1:B540=B541)*ROW(A$1:A540)))),IF(INDEX(I$1:I540,SUMPRODUCT(MAX((A$1:A540=A541)*(B$1:B540=B541)*ROW(A$1:A540))))="",C541&amp;"",INDEX(I$1:I540,SUMPRODUCT(MAX((A$1:A540=A541)*(B$1:B540=B541)*ROW(A$1:A540))))&amp;"; "&amp;C541))))</f>
        <v/>
      </c>
      <c r="J541" s="18" t="str">
        <f aca="false">IF(A541="","",A541&amp;"|"&amp;COUNTIF(A$2:A541,A541))</f>
        <v/>
      </c>
      <c r="K541" s="18" t="n">
        <f aca="false">IF(OR(A541="",B541=""),0,IF(COUNTIFS(A$2:A541,A541,B$2:B541,B541)=1,1,0))</f>
        <v>0</v>
      </c>
    </row>
    <row r="542" customFormat="false" ht="15" hidden="false" customHeight="false" outlineLevel="0" collapsed="false">
      <c r="A542" s="15"/>
      <c r="B542" s="15"/>
      <c r="C542" s="15"/>
      <c r="D542" s="15"/>
      <c r="F542" s="18" t="str">
        <f aca="false">IF(B542="","",IFERROR(INDEX(Materials!$B$2:$B$201,MATCH(B542,Materials!$A$2:$A$201,0)),""))</f>
        <v/>
      </c>
      <c r="G542" s="18" t="str">
        <f aca="true">IF(AND(A542="",B542=""),"",IF(A542="","Missing product",IF(B542="","Missing material",IF(COUNTIF(ProductList,A542)=0,"Product not in Products list",IF(COUNTIF(MaterialList,B542)=0,"Material not in Materials list","OK")))))</f>
        <v/>
      </c>
      <c r="H542" s="18" t="str">
        <f aca="false">IF(F542="Active",A542&amp;"|"&amp;COUNTIFS(A$2:A542,A542,F$2:F542,"Active"),"")</f>
        <v/>
      </c>
      <c r="I542" s="18" t="str">
        <f aca="false">IF(B542="","",IF(SUMPRODUCT(MAX((A$1:A541=A542)*(B$1:B541=B542)*ROW(A$1:A541)))=0,C542&amp;"",IF(C542="",INDEX(I$1:I541,SUMPRODUCT(MAX((A$1:A541=A542)*(B$1:B541=B542)*ROW(A$1:A541)))),IF(INDEX(I$1:I541,SUMPRODUCT(MAX((A$1:A541=A542)*(B$1:B541=B542)*ROW(A$1:A541))))="",C542&amp;"",INDEX(I$1:I541,SUMPRODUCT(MAX((A$1:A541=A542)*(B$1:B541=B542)*ROW(A$1:A541))))&amp;"; "&amp;C542))))</f>
        <v/>
      </c>
      <c r="J542" s="18" t="str">
        <f aca="false">IF(A542="","",A542&amp;"|"&amp;COUNTIF(A$2:A542,A542))</f>
        <v/>
      </c>
      <c r="K542" s="18" t="n">
        <f aca="false">IF(OR(A542="",B542=""),0,IF(COUNTIFS(A$2:A542,A542,B$2:B542,B542)=1,1,0))</f>
        <v>0</v>
      </c>
    </row>
    <row r="543" customFormat="false" ht="15" hidden="false" customHeight="false" outlineLevel="0" collapsed="false">
      <c r="A543" s="15"/>
      <c r="B543" s="15"/>
      <c r="C543" s="15"/>
      <c r="D543" s="15"/>
      <c r="F543" s="18" t="str">
        <f aca="false">IF(B543="","",IFERROR(INDEX(Materials!$B$2:$B$201,MATCH(B543,Materials!$A$2:$A$201,0)),""))</f>
        <v/>
      </c>
      <c r="G543" s="18" t="str">
        <f aca="true">IF(AND(A543="",B543=""),"",IF(A543="","Missing product",IF(B543="","Missing material",IF(COUNTIF(ProductList,A543)=0,"Product not in Products list",IF(COUNTIF(MaterialList,B543)=0,"Material not in Materials list","OK")))))</f>
        <v/>
      </c>
      <c r="H543" s="18" t="str">
        <f aca="false">IF(F543="Active",A543&amp;"|"&amp;COUNTIFS(A$2:A543,A543,F$2:F543,"Active"),"")</f>
        <v/>
      </c>
      <c r="I543" s="18" t="str">
        <f aca="false">IF(B543="","",IF(SUMPRODUCT(MAX((A$1:A542=A543)*(B$1:B542=B543)*ROW(A$1:A542)))=0,C543&amp;"",IF(C543="",INDEX(I$1:I542,SUMPRODUCT(MAX((A$1:A542=A543)*(B$1:B542=B543)*ROW(A$1:A542)))),IF(INDEX(I$1:I542,SUMPRODUCT(MAX((A$1:A542=A543)*(B$1:B542=B543)*ROW(A$1:A542))))="",C543&amp;"",INDEX(I$1:I542,SUMPRODUCT(MAX((A$1:A542=A543)*(B$1:B542=B543)*ROW(A$1:A542))))&amp;"; "&amp;C543))))</f>
        <v/>
      </c>
      <c r="J543" s="18" t="str">
        <f aca="false">IF(A543="","",A543&amp;"|"&amp;COUNTIF(A$2:A543,A543))</f>
        <v/>
      </c>
      <c r="K543" s="18" t="n">
        <f aca="false">IF(OR(A543="",B543=""),0,IF(COUNTIFS(A$2:A543,A543,B$2:B543,B543)=1,1,0))</f>
        <v>0</v>
      </c>
    </row>
    <row r="544" customFormat="false" ht="15" hidden="false" customHeight="false" outlineLevel="0" collapsed="false">
      <c r="A544" s="15"/>
      <c r="B544" s="15"/>
      <c r="C544" s="15"/>
      <c r="D544" s="15"/>
      <c r="F544" s="18" t="str">
        <f aca="false">IF(B544="","",IFERROR(INDEX(Materials!$B$2:$B$201,MATCH(B544,Materials!$A$2:$A$201,0)),""))</f>
        <v/>
      </c>
      <c r="G544" s="18" t="str">
        <f aca="true">IF(AND(A544="",B544=""),"",IF(A544="","Missing product",IF(B544="","Missing material",IF(COUNTIF(ProductList,A544)=0,"Product not in Products list",IF(COUNTIF(MaterialList,B544)=0,"Material not in Materials list","OK")))))</f>
        <v/>
      </c>
      <c r="H544" s="18" t="str">
        <f aca="false">IF(F544="Active",A544&amp;"|"&amp;COUNTIFS(A$2:A544,A544,F$2:F544,"Active"),"")</f>
        <v/>
      </c>
      <c r="I544" s="18" t="str">
        <f aca="false">IF(B544="","",IF(SUMPRODUCT(MAX((A$1:A543=A544)*(B$1:B543=B544)*ROW(A$1:A543)))=0,C544&amp;"",IF(C544="",INDEX(I$1:I543,SUMPRODUCT(MAX((A$1:A543=A544)*(B$1:B543=B544)*ROW(A$1:A543)))),IF(INDEX(I$1:I543,SUMPRODUCT(MAX((A$1:A543=A544)*(B$1:B543=B544)*ROW(A$1:A543))))="",C544&amp;"",INDEX(I$1:I543,SUMPRODUCT(MAX((A$1:A543=A544)*(B$1:B543=B544)*ROW(A$1:A543))))&amp;"; "&amp;C544))))</f>
        <v/>
      </c>
      <c r="J544" s="18" t="str">
        <f aca="false">IF(A544="","",A544&amp;"|"&amp;COUNTIF(A$2:A544,A544))</f>
        <v/>
      </c>
      <c r="K544" s="18" t="n">
        <f aca="false">IF(OR(A544="",B544=""),0,IF(COUNTIFS(A$2:A544,A544,B$2:B544,B544)=1,1,0))</f>
        <v>0</v>
      </c>
    </row>
    <row r="545" customFormat="false" ht="15" hidden="false" customHeight="false" outlineLevel="0" collapsed="false">
      <c r="A545" s="15"/>
      <c r="B545" s="15"/>
      <c r="C545" s="15"/>
      <c r="D545" s="15"/>
      <c r="F545" s="18" t="str">
        <f aca="false">IF(B545="","",IFERROR(INDEX(Materials!$B$2:$B$201,MATCH(B545,Materials!$A$2:$A$201,0)),""))</f>
        <v/>
      </c>
      <c r="G545" s="18" t="str">
        <f aca="true">IF(AND(A545="",B545=""),"",IF(A545="","Missing product",IF(B545="","Missing material",IF(COUNTIF(ProductList,A545)=0,"Product not in Products list",IF(COUNTIF(MaterialList,B545)=0,"Material not in Materials list","OK")))))</f>
        <v/>
      </c>
      <c r="H545" s="18" t="str">
        <f aca="false">IF(F545="Active",A545&amp;"|"&amp;COUNTIFS(A$2:A545,A545,F$2:F545,"Active"),"")</f>
        <v/>
      </c>
      <c r="I545" s="18" t="str">
        <f aca="false">IF(B545="","",IF(SUMPRODUCT(MAX((A$1:A544=A545)*(B$1:B544=B545)*ROW(A$1:A544)))=0,C545&amp;"",IF(C545="",INDEX(I$1:I544,SUMPRODUCT(MAX((A$1:A544=A545)*(B$1:B544=B545)*ROW(A$1:A544)))),IF(INDEX(I$1:I544,SUMPRODUCT(MAX((A$1:A544=A545)*(B$1:B544=B545)*ROW(A$1:A544))))="",C545&amp;"",INDEX(I$1:I544,SUMPRODUCT(MAX((A$1:A544=A545)*(B$1:B544=B545)*ROW(A$1:A544))))&amp;"; "&amp;C545))))</f>
        <v/>
      </c>
      <c r="J545" s="18" t="str">
        <f aca="false">IF(A545="","",A545&amp;"|"&amp;COUNTIF(A$2:A545,A545))</f>
        <v/>
      </c>
      <c r="K545" s="18" t="n">
        <f aca="false">IF(OR(A545="",B545=""),0,IF(COUNTIFS(A$2:A545,A545,B$2:B545,B545)=1,1,0))</f>
        <v>0</v>
      </c>
    </row>
    <row r="546" customFormat="false" ht="15" hidden="false" customHeight="false" outlineLevel="0" collapsed="false">
      <c r="A546" s="15"/>
      <c r="B546" s="15"/>
      <c r="C546" s="15"/>
      <c r="D546" s="15"/>
      <c r="F546" s="18" t="str">
        <f aca="false">IF(B546="","",IFERROR(INDEX(Materials!$B$2:$B$201,MATCH(B546,Materials!$A$2:$A$201,0)),""))</f>
        <v/>
      </c>
      <c r="G546" s="18" t="str">
        <f aca="true">IF(AND(A546="",B546=""),"",IF(A546="","Missing product",IF(B546="","Missing material",IF(COUNTIF(ProductList,A546)=0,"Product not in Products list",IF(COUNTIF(MaterialList,B546)=0,"Material not in Materials list","OK")))))</f>
        <v/>
      </c>
      <c r="H546" s="18" t="str">
        <f aca="false">IF(F546="Active",A546&amp;"|"&amp;COUNTIFS(A$2:A546,A546,F$2:F546,"Active"),"")</f>
        <v/>
      </c>
      <c r="I546" s="18" t="str">
        <f aca="false">IF(B546="","",IF(SUMPRODUCT(MAX((A$1:A545=A546)*(B$1:B545=B546)*ROW(A$1:A545)))=0,C546&amp;"",IF(C546="",INDEX(I$1:I545,SUMPRODUCT(MAX((A$1:A545=A546)*(B$1:B545=B546)*ROW(A$1:A545)))),IF(INDEX(I$1:I545,SUMPRODUCT(MAX((A$1:A545=A546)*(B$1:B545=B546)*ROW(A$1:A545))))="",C546&amp;"",INDEX(I$1:I545,SUMPRODUCT(MAX((A$1:A545=A546)*(B$1:B545=B546)*ROW(A$1:A545))))&amp;"; "&amp;C546))))</f>
        <v/>
      </c>
      <c r="J546" s="18" t="str">
        <f aca="false">IF(A546="","",A546&amp;"|"&amp;COUNTIF(A$2:A546,A546))</f>
        <v/>
      </c>
      <c r="K546" s="18" t="n">
        <f aca="false">IF(OR(A546="",B546=""),0,IF(COUNTIFS(A$2:A546,A546,B$2:B546,B546)=1,1,0))</f>
        <v>0</v>
      </c>
    </row>
    <row r="547" customFormat="false" ht="15" hidden="false" customHeight="false" outlineLevel="0" collapsed="false">
      <c r="A547" s="15"/>
      <c r="B547" s="15"/>
      <c r="C547" s="15"/>
      <c r="D547" s="15"/>
      <c r="F547" s="18" t="str">
        <f aca="false">IF(B547="","",IFERROR(INDEX(Materials!$B$2:$B$201,MATCH(B547,Materials!$A$2:$A$201,0)),""))</f>
        <v/>
      </c>
      <c r="G547" s="18" t="str">
        <f aca="true">IF(AND(A547="",B547=""),"",IF(A547="","Missing product",IF(B547="","Missing material",IF(COUNTIF(ProductList,A547)=0,"Product not in Products list",IF(COUNTIF(MaterialList,B547)=0,"Material not in Materials list","OK")))))</f>
        <v/>
      </c>
      <c r="H547" s="18" t="str">
        <f aca="false">IF(F547="Active",A547&amp;"|"&amp;COUNTIFS(A$2:A547,A547,F$2:F547,"Active"),"")</f>
        <v/>
      </c>
      <c r="I547" s="18" t="str">
        <f aca="false">IF(B547="","",IF(SUMPRODUCT(MAX((A$1:A546=A547)*(B$1:B546=B547)*ROW(A$1:A546)))=0,C547&amp;"",IF(C547="",INDEX(I$1:I546,SUMPRODUCT(MAX((A$1:A546=A547)*(B$1:B546=B547)*ROW(A$1:A546)))),IF(INDEX(I$1:I546,SUMPRODUCT(MAX((A$1:A546=A547)*(B$1:B546=B547)*ROW(A$1:A546))))="",C547&amp;"",INDEX(I$1:I546,SUMPRODUCT(MAX((A$1:A546=A547)*(B$1:B546=B547)*ROW(A$1:A546))))&amp;"; "&amp;C547))))</f>
        <v/>
      </c>
      <c r="J547" s="18" t="str">
        <f aca="false">IF(A547="","",A547&amp;"|"&amp;COUNTIF(A$2:A547,A547))</f>
        <v/>
      </c>
      <c r="K547" s="18" t="n">
        <f aca="false">IF(OR(A547="",B547=""),0,IF(COUNTIFS(A$2:A547,A547,B$2:B547,B547)=1,1,0))</f>
        <v>0</v>
      </c>
    </row>
    <row r="548" customFormat="false" ht="15" hidden="false" customHeight="false" outlineLevel="0" collapsed="false">
      <c r="A548" s="15"/>
      <c r="B548" s="15"/>
      <c r="C548" s="15"/>
      <c r="D548" s="15"/>
      <c r="F548" s="18" t="str">
        <f aca="false">IF(B548="","",IFERROR(INDEX(Materials!$B$2:$B$201,MATCH(B548,Materials!$A$2:$A$201,0)),""))</f>
        <v/>
      </c>
      <c r="G548" s="18" t="str">
        <f aca="true">IF(AND(A548="",B548=""),"",IF(A548="","Missing product",IF(B548="","Missing material",IF(COUNTIF(ProductList,A548)=0,"Product not in Products list",IF(COUNTIF(MaterialList,B548)=0,"Material not in Materials list","OK")))))</f>
        <v/>
      </c>
      <c r="H548" s="18" t="str">
        <f aca="false">IF(F548="Active",A548&amp;"|"&amp;COUNTIFS(A$2:A548,A548,F$2:F548,"Active"),"")</f>
        <v/>
      </c>
      <c r="I548" s="18" t="str">
        <f aca="false">IF(B548="","",IF(SUMPRODUCT(MAX((A$1:A547=A548)*(B$1:B547=B548)*ROW(A$1:A547)))=0,C548&amp;"",IF(C548="",INDEX(I$1:I547,SUMPRODUCT(MAX((A$1:A547=A548)*(B$1:B547=B548)*ROW(A$1:A547)))),IF(INDEX(I$1:I547,SUMPRODUCT(MAX((A$1:A547=A548)*(B$1:B547=B548)*ROW(A$1:A547))))="",C548&amp;"",INDEX(I$1:I547,SUMPRODUCT(MAX((A$1:A547=A548)*(B$1:B547=B548)*ROW(A$1:A547))))&amp;"; "&amp;C548))))</f>
        <v/>
      </c>
      <c r="J548" s="18" t="str">
        <f aca="false">IF(A548="","",A548&amp;"|"&amp;COUNTIF(A$2:A548,A548))</f>
        <v/>
      </c>
      <c r="K548" s="18" t="n">
        <f aca="false">IF(OR(A548="",B548=""),0,IF(COUNTIFS(A$2:A548,A548,B$2:B548,B548)=1,1,0))</f>
        <v>0</v>
      </c>
    </row>
    <row r="549" customFormat="false" ht="15" hidden="false" customHeight="false" outlineLevel="0" collapsed="false">
      <c r="A549" s="15"/>
      <c r="B549" s="15"/>
      <c r="C549" s="15"/>
      <c r="D549" s="15"/>
      <c r="F549" s="18" t="str">
        <f aca="false">IF(B549="","",IFERROR(INDEX(Materials!$B$2:$B$201,MATCH(B549,Materials!$A$2:$A$201,0)),""))</f>
        <v/>
      </c>
      <c r="G549" s="18" t="str">
        <f aca="true">IF(AND(A549="",B549=""),"",IF(A549="","Missing product",IF(B549="","Missing material",IF(COUNTIF(ProductList,A549)=0,"Product not in Products list",IF(COUNTIF(MaterialList,B549)=0,"Material not in Materials list","OK")))))</f>
        <v/>
      </c>
      <c r="H549" s="18" t="str">
        <f aca="false">IF(F549="Active",A549&amp;"|"&amp;COUNTIFS(A$2:A549,A549,F$2:F549,"Active"),"")</f>
        <v/>
      </c>
      <c r="I549" s="18" t="str">
        <f aca="false">IF(B549="","",IF(SUMPRODUCT(MAX((A$1:A548=A549)*(B$1:B548=B549)*ROW(A$1:A548)))=0,C549&amp;"",IF(C549="",INDEX(I$1:I548,SUMPRODUCT(MAX((A$1:A548=A549)*(B$1:B548=B549)*ROW(A$1:A548)))),IF(INDEX(I$1:I548,SUMPRODUCT(MAX((A$1:A548=A549)*(B$1:B548=B549)*ROW(A$1:A548))))="",C549&amp;"",INDEX(I$1:I548,SUMPRODUCT(MAX((A$1:A548=A549)*(B$1:B548=B549)*ROW(A$1:A548))))&amp;"; "&amp;C549))))</f>
        <v/>
      </c>
      <c r="J549" s="18" t="str">
        <f aca="false">IF(A549="","",A549&amp;"|"&amp;COUNTIF(A$2:A549,A549))</f>
        <v/>
      </c>
      <c r="K549" s="18" t="n">
        <f aca="false">IF(OR(A549="",B549=""),0,IF(COUNTIFS(A$2:A549,A549,B$2:B549,B549)=1,1,0))</f>
        <v>0</v>
      </c>
    </row>
    <row r="550" customFormat="false" ht="15" hidden="false" customHeight="false" outlineLevel="0" collapsed="false">
      <c r="A550" s="15"/>
      <c r="B550" s="15"/>
      <c r="C550" s="15"/>
      <c r="D550" s="15"/>
      <c r="F550" s="18" t="str">
        <f aca="false">IF(B550="","",IFERROR(INDEX(Materials!$B$2:$B$201,MATCH(B550,Materials!$A$2:$A$201,0)),""))</f>
        <v/>
      </c>
      <c r="G550" s="18" t="str">
        <f aca="true">IF(AND(A550="",B550=""),"",IF(A550="","Missing product",IF(B550="","Missing material",IF(COUNTIF(ProductList,A550)=0,"Product not in Products list",IF(COUNTIF(MaterialList,B550)=0,"Material not in Materials list","OK")))))</f>
        <v/>
      </c>
      <c r="H550" s="18" t="str">
        <f aca="false">IF(F550="Active",A550&amp;"|"&amp;COUNTIFS(A$2:A550,A550,F$2:F550,"Active"),"")</f>
        <v/>
      </c>
      <c r="I550" s="18" t="str">
        <f aca="false">IF(B550="","",IF(SUMPRODUCT(MAX((A$1:A549=A550)*(B$1:B549=B550)*ROW(A$1:A549)))=0,C550&amp;"",IF(C550="",INDEX(I$1:I549,SUMPRODUCT(MAX((A$1:A549=A550)*(B$1:B549=B550)*ROW(A$1:A549)))),IF(INDEX(I$1:I549,SUMPRODUCT(MAX((A$1:A549=A550)*(B$1:B549=B550)*ROW(A$1:A549))))="",C550&amp;"",INDEX(I$1:I549,SUMPRODUCT(MAX((A$1:A549=A550)*(B$1:B549=B550)*ROW(A$1:A549))))&amp;"; "&amp;C550))))</f>
        <v/>
      </c>
      <c r="J550" s="18" t="str">
        <f aca="false">IF(A550="","",A550&amp;"|"&amp;COUNTIF(A$2:A550,A550))</f>
        <v/>
      </c>
      <c r="K550" s="18" t="n">
        <f aca="false">IF(OR(A550="",B550=""),0,IF(COUNTIFS(A$2:A550,A550,B$2:B550,B550)=1,1,0))</f>
        <v>0</v>
      </c>
    </row>
    <row r="551" customFormat="false" ht="15" hidden="false" customHeight="false" outlineLevel="0" collapsed="false">
      <c r="A551" s="15"/>
      <c r="B551" s="15"/>
      <c r="C551" s="15"/>
      <c r="D551" s="15"/>
      <c r="F551" s="18" t="str">
        <f aca="false">IF(B551="","",IFERROR(INDEX(Materials!$B$2:$B$201,MATCH(B551,Materials!$A$2:$A$201,0)),""))</f>
        <v/>
      </c>
      <c r="G551" s="18" t="str">
        <f aca="true">IF(AND(A551="",B551=""),"",IF(A551="","Missing product",IF(B551="","Missing material",IF(COUNTIF(ProductList,A551)=0,"Product not in Products list",IF(COUNTIF(MaterialList,B551)=0,"Material not in Materials list","OK")))))</f>
        <v/>
      </c>
      <c r="H551" s="18" t="str">
        <f aca="false">IF(F551="Active",A551&amp;"|"&amp;COUNTIFS(A$2:A551,A551,F$2:F551,"Active"),"")</f>
        <v/>
      </c>
      <c r="I551" s="18" t="str">
        <f aca="false">IF(B551="","",IF(SUMPRODUCT(MAX((A$1:A550=A551)*(B$1:B550=B551)*ROW(A$1:A550)))=0,C551&amp;"",IF(C551="",INDEX(I$1:I550,SUMPRODUCT(MAX((A$1:A550=A551)*(B$1:B550=B551)*ROW(A$1:A550)))),IF(INDEX(I$1:I550,SUMPRODUCT(MAX((A$1:A550=A551)*(B$1:B550=B551)*ROW(A$1:A550))))="",C551&amp;"",INDEX(I$1:I550,SUMPRODUCT(MAX((A$1:A550=A551)*(B$1:B550=B551)*ROW(A$1:A550))))&amp;"; "&amp;C551))))</f>
        <v/>
      </c>
      <c r="J551" s="18" t="str">
        <f aca="false">IF(A551="","",A551&amp;"|"&amp;COUNTIF(A$2:A551,A551))</f>
        <v/>
      </c>
      <c r="K551" s="18" t="n">
        <f aca="false">IF(OR(A551="",B551=""),0,IF(COUNTIFS(A$2:A551,A551,B$2:B551,B551)=1,1,0))</f>
        <v>0</v>
      </c>
    </row>
    <row r="552" customFormat="false" ht="15" hidden="false" customHeight="false" outlineLevel="0" collapsed="false">
      <c r="A552" s="15"/>
      <c r="B552" s="15"/>
      <c r="C552" s="15"/>
      <c r="D552" s="15"/>
      <c r="F552" s="18" t="str">
        <f aca="false">IF(B552="","",IFERROR(INDEX(Materials!$B$2:$B$201,MATCH(B552,Materials!$A$2:$A$201,0)),""))</f>
        <v/>
      </c>
      <c r="G552" s="18" t="str">
        <f aca="true">IF(AND(A552="",B552=""),"",IF(A552="","Missing product",IF(B552="","Missing material",IF(COUNTIF(ProductList,A552)=0,"Product not in Products list",IF(COUNTIF(MaterialList,B552)=0,"Material not in Materials list","OK")))))</f>
        <v/>
      </c>
      <c r="H552" s="18" t="str">
        <f aca="false">IF(F552="Active",A552&amp;"|"&amp;COUNTIFS(A$2:A552,A552,F$2:F552,"Active"),"")</f>
        <v/>
      </c>
      <c r="I552" s="18" t="str">
        <f aca="false">IF(B552="","",IF(SUMPRODUCT(MAX((A$1:A551=A552)*(B$1:B551=B552)*ROW(A$1:A551)))=0,C552&amp;"",IF(C552="",INDEX(I$1:I551,SUMPRODUCT(MAX((A$1:A551=A552)*(B$1:B551=B552)*ROW(A$1:A551)))),IF(INDEX(I$1:I551,SUMPRODUCT(MAX((A$1:A551=A552)*(B$1:B551=B552)*ROW(A$1:A551))))="",C552&amp;"",INDEX(I$1:I551,SUMPRODUCT(MAX((A$1:A551=A552)*(B$1:B551=B552)*ROW(A$1:A551))))&amp;"; "&amp;C552))))</f>
        <v/>
      </c>
      <c r="J552" s="18" t="str">
        <f aca="false">IF(A552="","",A552&amp;"|"&amp;COUNTIF(A$2:A552,A552))</f>
        <v/>
      </c>
      <c r="K552" s="18" t="n">
        <f aca="false">IF(OR(A552="",B552=""),0,IF(COUNTIFS(A$2:A552,A552,B$2:B552,B552)=1,1,0))</f>
        <v>0</v>
      </c>
    </row>
    <row r="553" customFormat="false" ht="15" hidden="false" customHeight="false" outlineLevel="0" collapsed="false">
      <c r="A553" s="15"/>
      <c r="B553" s="15"/>
      <c r="C553" s="15"/>
      <c r="D553" s="15"/>
      <c r="F553" s="18" t="str">
        <f aca="false">IF(B553="","",IFERROR(INDEX(Materials!$B$2:$B$201,MATCH(B553,Materials!$A$2:$A$201,0)),""))</f>
        <v/>
      </c>
      <c r="G553" s="18" t="str">
        <f aca="true">IF(AND(A553="",B553=""),"",IF(A553="","Missing product",IF(B553="","Missing material",IF(COUNTIF(ProductList,A553)=0,"Product not in Products list",IF(COUNTIF(MaterialList,B553)=0,"Material not in Materials list","OK")))))</f>
        <v/>
      </c>
      <c r="H553" s="18" t="str">
        <f aca="false">IF(F553="Active",A553&amp;"|"&amp;COUNTIFS(A$2:A553,A553,F$2:F553,"Active"),"")</f>
        <v/>
      </c>
      <c r="I553" s="18" t="str">
        <f aca="false">IF(B553="","",IF(SUMPRODUCT(MAX((A$1:A552=A553)*(B$1:B552=B553)*ROW(A$1:A552)))=0,C553&amp;"",IF(C553="",INDEX(I$1:I552,SUMPRODUCT(MAX((A$1:A552=A553)*(B$1:B552=B553)*ROW(A$1:A552)))),IF(INDEX(I$1:I552,SUMPRODUCT(MAX((A$1:A552=A553)*(B$1:B552=B553)*ROW(A$1:A552))))="",C553&amp;"",INDEX(I$1:I552,SUMPRODUCT(MAX((A$1:A552=A553)*(B$1:B552=B553)*ROW(A$1:A552))))&amp;"; "&amp;C553))))</f>
        <v/>
      </c>
      <c r="J553" s="18" t="str">
        <f aca="false">IF(A553="","",A553&amp;"|"&amp;COUNTIF(A$2:A553,A553))</f>
        <v/>
      </c>
      <c r="K553" s="18" t="n">
        <f aca="false">IF(OR(A553="",B553=""),0,IF(COUNTIFS(A$2:A553,A553,B$2:B553,B553)=1,1,0))</f>
        <v>0</v>
      </c>
    </row>
    <row r="554" customFormat="false" ht="15" hidden="false" customHeight="false" outlineLevel="0" collapsed="false">
      <c r="A554" s="15"/>
      <c r="B554" s="15"/>
      <c r="C554" s="15"/>
      <c r="D554" s="15"/>
      <c r="F554" s="18" t="str">
        <f aca="false">IF(B554="","",IFERROR(INDEX(Materials!$B$2:$B$201,MATCH(B554,Materials!$A$2:$A$201,0)),""))</f>
        <v/>
      </c>
      <c r="G554" s="18" t="str">
        <f aca="true">IF(AND(A554="",B554=""),"",IF(A554="","Missing product",IF(B554="","Missing material",IF(COUNTIF(ProductList,A554)=0,"Product not in Products list",IF(COUNTIF(MaterialList,B554)=0,"Material not in Materials list","OK")))))</f>
        <v/>
      </c>
      <c r="H554" s="18" t="str">
        <f aca="false">IF(F554="Active",A554&amp;"|"&amp;COUNTIFS(A$2:A554,A554,F$2:F554,"Active"),"")</f>
        <v/>
      </c>
      <c r="I554" s="18" t="str">
        <f aca="false">IF(B554="","",IF(SUMPRODUCT(MAX((A$1:A553=A554)*(B$1:B553=B554)*ROW(A$1:A553)))=0,C554&amp;"",IF(C554="",INDEX(I$1:I553,SUMPRODUCT(MAX((A$1:A553=A554)*(B$1:B553=B554)*ROW(A$1:A553)))),IF(INDEX(I$1:I553,SUMPRODUCT(MAX((A$1:A553=A554)*(B$1:B553=B554)*ROW(A$1:A553))))="",C554&amp;"",INDEX(I$1:I553,SUMPRODUCT(MAX((A$1:A553=A554)*(B$1:B553=B554)*ROW(A$1:A553))))&amp;"; "&amp;C554))))</f>
        <v/>
      </c>
      <c r="J554" s="18" t="str">
        <f aca="false">IF(A554="","",A554&amp;"|"&amp;COUNTIF(A$2:A554,A554))</f>
        <v/>
      </c>
      <c r="K554" s="18" t="n">
        <f aca="false">IF(OR(A554="",B554=""),0,IF(COUNTIFS(A$2:A554,A554,B$2:B554,B554)=1,1,0))</f>
        <v>0</v>
      </c>
    </row>
    <row r="555" customFormat="false" ht="15" hidden="false" customHeight="false" outlineLevel="0" collapsed="false">
      <c r="A555" s="15"/>
      <c r="B555" s="15"/>
      <c r="C555" s="15"/>
      <c r="D555" s="15"/>
      <c r="F555" s="18" t="str">
        <f aca="false">IF(B555="","",IFERROR(INDEX(Materials!$B$2:$B$201,MATCH(B555,Materials!$A$2:$A$201,0)),""))</f>
        <v/>
      </c>
      <c r="G555" s="18" t="str">
        <f aca="true">IF(AND(A555="",B555=""),"",IF(A555="","Missing product",IF(B555="","Missing material",IF(COUNTIF(ProductList,A555)=0,"Product not in Products list",IF(COUNTIF(MaterialList,B555)=0,"Material not in Materials list","OK")))))</f>
        <v/>
      </c>
      <c r="H555" s="18" t="str">
        <f aca="false">IF(F555="Active",A555&amp;"|"&amp;COUNTIFS(A$2:A555,A555,F$2:F555,"Active"),"")</f>
        <v/>
      </c>
      <c r="I555" s="18" t="str">
        <f aca="false">IF(B555="","",IF(SUMPRODUCT(MAX((A$1:A554=A555)*(B$1:B554=B555)*ROW(A$1:A554)))=0,C555&amp;"",IF(C555="",INDEX(I$1:I554,SUMPRODUCT(MAX((A$1:A554=A555)*(B$1:B554=B555)*ROW(A$1:A554)))),IF(INDEX(I$1:I554,SUMPRODUCT(MAX((A$1:A554=A555)*(B$1:B554=B555)*ROW(A$1:A554))))="",C555&amp;"",INDEX(I$1:I554,SUMPRODUCT(MAX((A$1:A554=A555)*(B$1:B554=B555)*ROW(A$1:A554))))&amp;"; "&amp;C555))))</f>
        <v/>
      </c>
      <c r="J555" s="18" t="str">
        <f aca="false">IF(A555="","",A555&amp;"|"&amp;COUNTIF(A$2:A555,A555))</f>
        <v/>
      </c>
      <c r="K555" s="18" t="n">
        <f aca="false">IF(OR(A555="",B555=""),0,IF(COUNTIFS(A$2:A555,A555,B$2:B555,B555)=1,1,0))</f>
        <v>0</v>
      </c>
    </row>
    <row r="556" customFormat="false" ht="15" hidden="false" customHeight="false" outlineLevel="0" collapsed="false">
      <c r="A556" s="15"/>
      <c r="B556" s="15"/>
      <c r="C556" s="15"/>
      <c r="D556" s="15"/>
      <c r="F556" s="18" t="str">
        <f aca="false">IF(B556="","",IFERROR(INDEX(Materials!$B$2:$B$201,MATCH(B556,Materials!$A$2:$A$201,0)),""))</f>
        <v/>
      </c>
      <c r="G556" s="18" t="str">
        <f aca="true">IF(AND(A556="",B556=""),"",IF(A556="","Missing product",IF(B556="","Missing material",IF(COUNTIF(ProductList,A556)=0,"Product not in Products list",IF(COUNTIF(MaterialList,B556)=0,"Material not in Materials list","OK")))))</f>
        <v/>
      </c>
      <c r="H556" s="18" t="str">
        <f aca="false">IF(F556="Active",A556&amp;"|"&amp;COUNTIFS(A$2:A556,A556,F$2:F556,"Active"),"")</f>
        <v/>
      </c>
      <c r="I556" s="18" t="str">
        <f aca="false">IF(B556="","",IF(SUMPRODUCT(MAX((A$1:A555=A556)*(B$1:B555=B556)*ROW(A$1:A555)))=0,C556&amp;"",IF(C556="",INDEX(I$1:I555,SUMPRODUCT(MAX((A$1:A555=A556)*(B$1:B555=B556)*ROW(A$1:A555)))),IF(INDEX(I$1:I555,SUMPRODUCT(MAX((A$1:A555=A556)*(B$1:B555=B556)*ROW(A$1:A555))))="",C556&amp;"",INDEX(I$1:I555,SUMPRODUCT(MAX((A$1:A555=A556)*(B$1:B555=B556)*ROW(A$1:A555))))&amp;"; "&amp;C556))))</f>
        <v/>
      </c>
      <c r="J556" s="18" t="str">
        <f aca="false">IF(A556="","",A556&amp;"|"&amp;COUNTIF(A$2:A556,A556))</f>
        <v/>
      </c>
      <c r="K556" s="18" t="n">
        <f aca="false">IF(OR(A556="",B556=""),0,IF(COUNTIFS(A$2:A556,A556,B$2:B556,B556)=1,1,0))</f>
        <v>0</v>
      </c>
    </row>
    <row r="557" customFormat="false" ht="15" hidden="false" customHeight="false" outlineLevel="0" collapsed="false">
      <c r="A557" s="15"/>
      <c r="B557" s="15"/>
      <c r="C557" s="15"/>
      <c r="D557" s="15"/>
      <c r="F557" s="18" t="str">
        <f aca="false">IF(B557="","",IFERROR(INDEX(Materials!$B$2:$B$201,MATCH(B557,Materials!$A$2:$A$201,0)),""))</f>
        <v/>
      </c>
      <c r="G557" s="18" t="str">
        <f aca="true">IF(AND(A557="",B557=""),"",IF(A557="","Missing product",IF(B557="","Missing material",IF(COUNTIF(ProductList,A557)=0,"Product not in Products list",IF(COUNTIF(MaterialList,B557)=0,"Material not in Materials list","OK")))))</f>
        <v/>
      </c>
      <c r="H557" s="18" t="str">
        <f aca="false">IF(F557="Active",A557&amp;"|"&amp;COUNTIFS(A$2:A557,A557,F$2:F557,"Active"),"")</f>
        <v/>
      </c>
      <c r="I557" s="18" t="str">
        <f aca="false">IF(B557="","",IF(SUMPRODUCT(MAX((A$1:A556=A557)*(B$1:B556=B557)*ROW(A$1:A556)))=0,C557&amp;"",IF(C557="",INDEX(I$1:I556,SUMPRODUCT(MAX((A$1:A556=A557)*(B$1:B556=B557)*ROW(A$1:A556)))),IF(INDEX(I$1:I556,SUMPRODUCT(MAX((A$1:A556=A557)*(B$1:B556=B557)*ROW(A$1:A556))))="",C557&amp;"",INDEX(I$1:I556,SUMPRODUCT(MAX((A$1:A556=A557)*(B$1:B556=B557)*ROW(A$1:A556))))&amp;"; "&amp;C557))))</f>
        <v/>
      </c>
      <c r="J557" s="18" t="str">
        <f aca="false">IF(A557="","",A557&amp;"|"&amp;COUNTIF(A$2:A557,A557))</f>
        <v/>
      </c>
      <c r="K557" s="18" t="n">
        <f aca="false">IF(OR(A557="",B557=""),0,IF(COUNTIFS(A$2:A557,A557,B$2:B557,B557)=1,1,0))</f>
        <v>0</v>
      </c>
    </row>
    <row r="558" customFormat="false" ht="15" hidden="false" customHeight="false" outlineLevel="0" collapsed="false">
      <c r="A558" s="15"/>
      <c r="B558" s="15"/>
      <c r="C558" s="15"/>
      <c r="D558" s="15"/>
      <c r="F558" s="18" t="str">
        <f aca="false">IF(B558="","",IFERROR(INDEX(Materials!$B$2:$B$201,MATCH(B558,Materials!$A$2:$A$201,0)),""))</f>
        <v/>
      </c>
      <c r="G558" s="18" t="str">
        <f aca="true">IF(AND(A558="",B558=""),"",IF(A558="","Missing product",IF(B558="","Missing material",IF(COUNTIF(ProductList,A558)=0,"Product not in Products list",IF(COUNTIF(MaterialList,B558)=0,"Material not in Materials list","OK")))))</f>
        <v/>
      </c>
      <c r="H558" s="18" t="str">
        <f aca="false">IF(F558="Active",A558&amp;"|"&amp;COUNTIFS(A$2:A558,A558,F$2:F558,"Active"),"")</f>
        <v/>
      </c>
      <c r="I558" s="18" t="str">
        <f aca="false">IF(B558="","",IF(SUMPRODUCT(MAX((A$1:A557=A558)*(B$1:B557=B558)*ROW(A$1:A557)))=0,C558&amp;"",IF(C558="",INDEX(I$1:I557,SUMPRODUCT(MAX((A$1:A557=A558)*(B$1:B557=B558)*ROW(A$1:A557)))),IF(INDEX(I$1:I557,SUMPRODUCT(MAX((A$1:A557=A558)*(B$1:B557=B558)*ROW(A$1:A557))))="",C558&amp;"",INDEX(I$1:I557,SUMPRODUCT(MAX((A$1:A557=A558)*(B$1:B557=B558)*ROW(A$1:A557))))&amp;"; "&amp;C558))))</f>
        <v/>
      </c>
      <c r="J558" s="18" t="str">
        <f aca="false">IF(A558="","",A558&amp;"|"&amp;COUNTIF(A$2:A558,A558))</f>
        <v/>
      </c>
      <c r="K558" s="18" t="n">
        <f aca="false">IF(OR(A558="",B558=""),0,IF(COUNTIFS(A$2:A558,A558,B$2:B558,B558)=1,1,0))</f>
        <v>0</v>
      </c>
    </row>
    <row r="559" customFormat="false" ht="15" hidden="false" customHeight="false" outlineLevel="0" collapsed="false">
      <c r="A559" s="15"/>
      <c r="B559" s="15"/>
      <c r="C559" s="15"/>
      <c r="D559" s="15"/>
      <c r="F559" s="18" t="str">
        <f aca="false">IF(B559="","",IFERROR(INDEX(Materials!$B$2:$B$201,MATCH(B559,Materials!$A$2:$A$201,0)),""))</f>
        <v/>
      </c>
      <c r="G559" s="18" t="str">
        <f aca="true">IF(AND(A559="",B559=""),"",IF(A559="","Missing product",IF(B559="","Missing material",IF(COUNTIF(ProductList,A559)=0,"Product not in Products list",IF(COUNTIF(MaterialList,B559)=0,"Material not in Materials list","OK")))))</f>
        <v/>
      </c>
      <c r="H559" s="18" t="str">
        <f aca="false">IF(F559="Active",A559&amp;"|"&amp;COUNTIFS(A$2:A559,A559,F$2:F559,"Active"),"")</f>
        <v/>
      </c>
      <c r="I559" s="18" t="str">
        <f aca="false">IF(B559="","",IF(SUMPRODUCT(MAX((A$1:A558=A559)*(B$1:B558=B559)*ROW(A$1:A558)))=0,C559&amp;"",IF(C559="",INDEX(I$1:I558,SUMPRODUCT(MAX((A$1:A558=A559)*(B$1:B558=B559)*ROW(A$1:A558)))),IF(INDEX(I$1:I558,SUMPRODUCT(MAX((A$1:A558=A559)*(B$1:B558=B559)*ROW(A$1:A558))))="",C559&amp;"",INDEX(I$1:I558,SUMPRODUCT(MAX((A$1:A558=A559)*(B$1:B558=B559)*ROW(A$1:A558))))&amp;"; "&amp;C559))))</f>
        <v/>
      </c>
      <c r="J559" s="18" t="str">
        <f aca="false">IF(A559="","",A559&amp;"|"&amp;COUNTIF(A$2:A559,A559))</f>
        <v/>
      </c>
      <c r="K559" s="18" t="n">
        <f aca="false">IF(OR(A559="",B559=""),0,IF(COUNTIFS(A$2:A559,A559,B$2:B559,B559)=1,1,0))</f>
        <v>0</v>
      </c>
    </row>
    <row r="560" customFormat="false" ht="15" hidden="false" customHeight="false" outlineLevel="0" collapsed="false">
      <c r="A560" s="15"/>
      <c r="B560" s="15"/>
      <c r="C560" s="15"/>
      <c r="D560" s="15"/>
      <c r="F560" s="18" t="str">
        <f aca="false">IF(B560="","",IFERROR(INDEX(Materials!$B$2:$B$201,MATCH(B560,Materials!$A$2:$A$201,0)),""))</f>
        <v/>
      </c>
      <c r="G560" s="18" t="str">
        <f aca="true">IF(AND(A560="",B560=""),"",IF(A560="","Missing product",IF(B560="","Missing material",IF(COUNTIF(ProductList,A560)=0,"Product not in Products list",IF(COUNTIF(MaterialList,B560)=0,"Material not in Materials list","OK")))))</f>
        <v/>
      </c>
      <c r="H560" s="18" t="str">
        <f aca="false">IF(F560="Active",A560&amp;"|"&amp;COUNTIFS(A$2:A560,A560,F$2:F560,"Active"),"")</f>
        <v/>
      </c>
      <c r="I560" s="18" t="str">
        <f aca="false">IF(B560="","",IF(SUMPRODUCT(MAX((A$1:A559=A560)*(B$1:B559=B560)*ROW(A$1:A559)))=0,C560&amp;"",IF(C560="",INDEX(I$1:I559,SUMPRODUCT(MAX((A$1:A559=A560)*(B$1:B559=B560)*ROW(A$1:A559)))),IF(INDEX(I$1:I559,SUMPRODUCT(MAX((A$1:A559=A560)*(B$1:B559=B560)*ROW(A$1:A559))))="",C560&amp;"",INDEX(I$1:I559,SUMPRODUCT(MAX((A$1:A559=A560)*(B$1:B559=B560)*ROW(A$1:A559))))&amp;"; "&amp;C560))))</f>
        <v/>
      </c>
      <c r="J560" s="18" t="str">
        <f aca="false">IF(A560="","",A560&amp;"|"&amp;COUNTIF(A$2:A560,A560))</f>
        <v/>
      </c>
      <c r="K560" s="18" t="n">
        <f aca="false">IF(OR(A560="",B560=""),0,IF(COUNTIFS(A$2:A560,A560,B$2:B560,B560)=1,1,0))</f>
        <v>0</v>
      </c>
    </row>
    <row r="561" customFormat="false" ht="15" hidden="false" customHeight="false" outlineLevel="0" collapsed="false">
      <c r="A561" s="15"/>
      <c r="B561" s="15"/>
      <c r="C561" s="15"/>
      <c r="D561" s="15"/>
      <c r="F561" s="18" t="str">
        <f aca="false">IF(B561="","",IFERROR(INDEX(Materials!$B$2:$B$201,MATCH(B561,Materials!$A$2:$A$201,0)),""))</f>
        <v/>
      </c>
      <c r="G561" s="18" t="str">
        <f aca="true">IF(AND(A561="",B561=""),"",IF(A561="","Missing product",IF(B561="","Missing material",IF(COUNTIF(ProductList,A561)=0,"Product not in Products list",IF(COUNTIF(MaterialList,B561)=0,"Material not in Materials list","OK")))))</f>
        <v/>
      </c>
      <c r="H561" s="18" t="str">
        <f aca="false">IF(F561="Active",A561&amp;"|"&amp;COUNTIFS(A$2:A561,A561,F$2:F561,"Active"),"")</f>
        <v/>
      </c>
      <c r="I561" s="18" t="str">
        <f aca="false">IF(B561="","",IF(SUMPRODUCT(MAX((A$1:A560=A561)*(B$1:B560=B561)*ROW(A$1:A560)))=0,C561&amp;"",IF(C561="",INDEX(I$1:I560,SUMPRODUCT(MAX((A$1:A560=A561)*(B$1:B560=B561)*ROW(A$1:A560)))),IF(INDEX(I$1:I560,SUMPRODUCT(MAX((A$1:A560=A561)*(B$1:B560=B561)*ROW(A$1:A560))))="",C561&amp;"",INDEX(I$1:I560,SUMPRODUCT(MAX((A$1:A560=A561)*(B$1:B560=B561)*ROW(A$1:A560))))&amp;"; "&amp;C561))))</f>
        <v/>
      </c>
      <c r="J561" s="18" t="str">
        <f aca="false">IF(A561="","",A561&amp;"|"&amp;COUNTIF(A$2:A561,A561))</f>
        <v/>
      </c>
      <c r="K561" s="18" t="n">
        <f aca="false">IF(OR(A561="",B561=""),0,IF(COUNTIFS(A$2:A561,A561,B$2:B561,B561)=1,1,0))</f>
        <v>0</v>
      </c>
    </row>
    <row r="562" customFormat="false" ht="15" hidden="false" customHeight="false" outlineLevel="0" collapsed="false">
      <c r="A562" s="15"/>
      <c r="B562" s="15"/>
      <c r="C562" s="15"/>
      <c r="D562" s="15"/>
      <c r="F562" s="18" t="str">
        <f aca="false">IF(B562="","",IFERROR(INDEX(Materials!$B$2:$B$201,MATCH(B562,Materials!$A$2:$A$201,0)),""))</f>
        <v/>
      </c>
      <c r="G562" s="18" t="str">
        <f aca="true">IF(AND(A562="",B562=""),"",IF(A562="","Missing product",IF(B562="","Missing material",IF(COUNTIF(ProductList,A562)=0,"Product not in Products list",IF(COUNTIF(MaterialList,B562)=0,"Material not in Materials list","OK")))))</f>
        <v/>
      </c>
      <c r="H562" s="18" t="str">
        <f aca="false">IF(F562="Active",A562&amp;"|"&amp;COUNTIFS(A$2:A562,A562,F$2:F562,"Active"),"")</f>
        <v/>
      </c>
      <c r="I562" s="18" t="str">
        <f aca="false">IF(B562="","",IF(SUMPRODUCT(MAX((A$1:A561=A562)*(B$1:B561=B562)*ROW(A$1:A561)))=0,C562&amp;"",IF(C562="",INDEX(I$1:I561,SUMPRODUCT(MAX((A$1:A561=A562)*(B$1:B561=B562)*ROW(A$1:A561)))),IF(INDEX(I$1:I561,SUMPRODUCT(MAX((A$1:A561=A562)*(B$1:B561=B562)*ROW(A$1:A561))))="",C562&amp;"",INDEX(I$1:I561,SUMPRODUCT(MAX((A$1:A561=A562)*(B$1:B561=B562)*ROW(A$1:A561))))&amp;"; "&amp;C562))))</f>
        <v/>
      </c>
      <c r="J562" s="18" t="str">
        <f aca="false">IF(A562="","",A562&amp;"|"&amp;COUNTIF(A$2:A562,A562))</f>
        <v/>
      </c>
      <c r="K562" s="18" t="n">
        <f aca="false">IF(OR(A562="",B562=""),0,IF(COUNTIFS(A$2:A562,A562,B$2:B562,B562)=1,1,0))</f>
        <v>0</v>
      </c>
    </row>
    <row r="563" customFormat="false" ht="15" hidden="false" customHeight="false" outlineLevel="0" collapsed="false">
      <c r="A563" s="15"/>
      <c r="B563" s="15"/>
      <c r="C563" s="15"/>
      <c r="D563" s="15"/>
      <c r="F563" s="18" t="str">
        <f aca="false">IF(B563="","",IFERROR(INDEX(Materials!$B$2:$B$201,MATCH(B563,Materials!$A$2:$A$201,0)),""))</f>
        <v/>
      </c>
      <c r="G563" s="18" t="str">
        <f aca="true">IF(AND(A563="",B563=""),"",IF(A563="","Missing product",IF(B563="","Missing material",IF(COUNTIF(ProductList,A563)=0,"Product not in Products list",IF(COUNTIF(MaterialList,B563)=0,"Material not in Materials list","OK")))))</f>
        <v/>
      </c>
      <c r="H563" s="18" t="str">
        <f aca="false">IF(F563="Active",A563&amp;"|"&amp;COUNTIFS(A$2:A563,A563,F$2:F563,"Active"),"")</f>
        <v/>
      </c>
      <c r="I563" s="18" t="str">
        <f aca="false">IF(B563="","",IF(SUMPRODUCT(MAX((A$1:A562=A563)*(B$1:B562=B563)*ROW(A$1:A562)))=0,C563&amp;"",IF(C563="",INDEX(I$1:I562,SUMPRODUCT(MAX((A$1:A562=A563)*(B$1:B562=B563)*ROW(A$1:A562)))),IF(INDEX(I$1:I562,SUMPRODUCT(MAX((A$1:A562=A563)*(B$1:B562=B563)*ROW(A$1:A562))))="",C563&amp;"",INDEX(I$1:I562,SUMPRODUCT(MAX((A$1:A562=A563)*(B$1:B562=B563)*ROW(A$1:A562))))&amp;"; "&amp;C563))))</f>
        <v/>
      </c>
      <c r="J563" s="18" t="str">
        <f aca="false">IF(A563="","",A563&amp;"|"&amp;COUNTIF(A$2:A563,A563))</f>
        <v/>
      </c>
      <c r="K563" s="18" t="n">
        <f aca="false">IF(OR(A563="",B563=""),0,IF(COUNTIFS(A$2:A563,A563,B$2:B563,B563)=1,1,0))</f>
        <v>0</v>
      </c>
    </row>
    <row r="564" customFormat="false" ht="15" hidden="false" customHeight="false" outlineLevel="0" collapsed="false">
      <c r="A564" s="15"/>
      <c r="B564" s="15"/>
      <c r="C564" s="15"/>
      <c r="D564" s="15"/>
      <c r="F564" s="18" t="str">
        <f aca="false">IF(B564="","",IFERROR(INDEX(Materials!$B$2:$B$201,MATCH(B564,Materials!$A$2:$A$201,0)),""))</f>
        <v/>
      </c>
      <c r="G564" s="18" t="str">
        <f aca="true">IF(AND(A564="",B564=""),"",IF(A564="","Missing product",IF(B564="","Missing material",IF(COUNTIF(ProductList,A564)=0,"Product not in Products list",IF(COUNTIF(MaterialList,B564)=0,"Material not in Materials list","OK")))))</f>
        <v/>
      </c>
      <c r="H564" s="18" t="str">
        <f aca="false">IF(F564="Active",A564&amp;"|"&amp;COUNTIFS(A$2:A564,A564,F$2:F564,"Active"),"")</f>
        <v/>
      </c>
      <c r="I564" s="18" t="str">
        <f aca="false">IF(B564="","",IF(SUMPRODUCT(MAX((A$1:A563=A564)*(B$1:B563=B564)*ROW(A$1:A563)))=0,C564&amp;"",IF(C564="",INDEX(I$1:I563,SUMPRODUCT(MAX((A$1:A563=A564)*(B$1:B563=B564)*ROW(A$1:A563)))),IF(INDEX(I$1:I563,SUMPRODUCT(MAX((A$1:A563=A564)*(B$1:B563=B564)*ROW(A$1:A563))))="",C564&amp;"",INDEX(I$1:I563,SUMPRODUCT(MAX((A$1:A563=A564)*(B$1:B563=B564)*ROW(A$1:A563))))&amp;"; "&amp;C564))))</f>
        <v/>
      </c>
      <c r="J564" s="18" t="str">
        <f aca="false">IF(A564="","",A564&amp;"|"&amp;COUNTIF(A$2:A564,A564))</f>
        <v/>
      </c>
      <c r="K564" s="18" t="n">
        <f aca="false">IF(OR(A564="",B564=""),0,IF(COUNTIFS(A$2:A564,A564,B$2:B564,B564)=1,1,0))</f>
        <v>0</v>
      </c>
    </row>
    <row r="565" customFormat="false" ht="15" hidden="false" customHeight="false" outlineLevel="0" collapsed="false">
      <c r="A565" s="15"/>
      <c r="B565" s="15"/>
      <c r="C565" s="15"/>
      <c r="D565" s="15"/>
      <c r="F565" s="18" t="str">
        <f aca="false">IF(B565="","",IFERROR(INDEX(Materials!$B$2:$B$201,MATCH(B565,Materials!$A$2:$A$201,0)),""))</f>
        <v/>
      </c>
      <c r="G565" s="18" t="str">
        <f aca="true">IF(AND(A565="",B565=""),"",IF(A565="","Missing product",IF(B565="","Missing material",IF(COUNTIF(ProductList,A565)=0,"Product not in Products list",IF(COUNTIF(MaterialList,B565)=0,"Material not in Materials list","OK")))))</f>
        <v/>
      </c>
      <c r="H565" s="18" t="str">
        <f aca="false">IF(F565="Active",A565&amp;"|"&amp;COUNTIFS(A$2:A565,A565,F$2:F565,"Active"),"")</f>
        <v/>
      </c>
      <c r="I565" s="18" t="str">
        <f aca="false">IF(B565="","",IF(SUMPRODUCT(MAX((A$1:A564=A565)*(B$1:B564=B565)*ROW(A$1:A564)))=0,C565&amp;"",IF(C565="",INDEX(I$1:I564,SUMPRODUCT(MAX((A$1:A564=A565)*(B$1:B564=B565)*ROW(A$1:A564)))),IF(INDEX(I$1:I564,SUMPRODUCT(MAX((A$1:A564=A565)*(B$1:B564=B565)*ROW(A$1:A564))))="",C565&amp;"",INDEX(I$1:I564,SUMPRODUCT(MAX((A$1:A564=A565)*(B$1:B564=B565)*ROW(A$1:A564))))&amp;"; "&amp;C565))))</f>
        <v/>
      </c>
      <c r="J565" s="18" t="str">
        <f aca="false">IF(A565="","",A565&amp;"|"&amp;COUNTIF(A$2:A565,A565))</f>
        <v/>
      </c>
      <c r="K565" s="18" t="n">
        <f aca="false">IF(OR(A565="",B565=""),0,IF(COUNTIFS(A$2:A565,A565,B$2:B565,B565)=1,1,0))</f>
        <v>0</v>
      </c>
    </row>
    <row r="566" customFormat="false" ht="15" hidden="false" customHeight="false" outlineLevel="0" collapsed="false">
      <c r="A566" s="15"/>
      <c r="B566" s="15"/>
      <c r="C566" s="15"/>
      <c r="D566" s="15"/>
      <c r="F566" s="18" t="str">
        <f aca="false">IF(B566="","",IFERROR(INDEX(Materials!$B$2:$B$201,MATCH(B566,Materials!$A$2:$A$201,0)),""))</f>
        <v/>
      </c>
      <c r="G566" s="18" t="str">
        <f aca="true">IF(AND(A566="",B566=""),"",IF(A566="","Missing product",IF(B566="","Missing material",IF(COUNTIF(ProductList,A566)=0,"Product not in Products list",IF(COUNTIF(MaterialList,B566)=0,"Material not in Materials list","OK")))))</f>
        <v/>
      </c>
      <c r="H566" s="18" t="str">
        <f aca="false">IF(F566="Active",A566&amp;"|"&amp;COUNTIFS(A$2:A566,A566,F$2:F566,"Active"),"")</f>
        <v/>
      </c>
      <c r="I566" s="18" t="str">
        <f aca="false">IF(B566="","",IF(SUMPRODUCT(MAX((A$1:A565=A566)*(B$1:B565=B566)*ROW(A$1:A565)))=0,C566&amp;"",IF(C566="",INDEX(I$1:I565,SUMPRODUCT(MAX((A$1:A565=A566)*(B$1:B565=B566)*ROW(A$1:A565)))),IF(INDEX(I$1:I565,SUMPRODUCT(MAX((A$1:A565=A566)*(B$1:B565=B566)*ROW(A$1:A565))))="",C566&amp;"",INDEX(I$1:I565,SUMPRODUCT(MAX((A$1:A565=A566)*(B$1:B565=B566)*ROW(A$1:A565))))&amp;"; "&amp;C566))))</f>
        <v/>
      </c>
      <c r="J566" s="18" t="str">
        <f aca="false">IF(A566="","",A566&amp;"|"&amp;COUNTIF(A$2:A566,A566))</f>
        <v/>
      </c>
      <c r="K566" s="18" t="n">
        <f aca="false">IF(OR(A566="",B566=""),0,IF(COUNTIFS(A$2:A566,A566,B$2:B566,B566)=1,1,0))</f>
        <v>0</v>
      </c>
    </row>
    <row r="567" customFormat="false" ht="15" hidden="false" customHeight="false" outlineLevel="0" collapsed="false">
      <c r="A567" s="15"/>
      <c r="B567" s="15"/>
      <c r="C567" s="15"/>
      <c r="D567" s="15"/>
      <c r="F567" s="18" t="str">
        <f aca="false">IF(B567="","",IFERROR(INDEX(Materials!$B$2:$B$201,MATCH(B567,Materials!$A$2:$A$201,0)),""))</f>
        <v/>
      </c>
      <c r="G567" s="18" t="str">
        <f aca="true">IF(AND(A567="",B567=""),"",IF(A567="","Missing product",IF(B567="","Missing material",IF(COUNTIF(ProductList,A567)=0,"Product not in Products list",IF(COUNTIF(MaterialList,B567)=0,"Material not in Materials list","OK")))))</f>
        <v/>
      </c>
      <c r="H567" s="18" t="str">
        <f aca="false">IF(F567="Active",A567&amp;"|"&amp;COUNTIFS(A$2:A567,A567,F$2:F567,"Active"),"")</f>
        <v/>
      </c>
      <c r="I567" s="18" t="str">
        <f aca="false">IF(B567="","",IF(SUMPRODUCT(MAX((A$1:A566=A567)*(B$1:B566=B567)*ROW(A$1:A566)))=0,C567&amp;"",IF(C567="",INDEX(I$1:I566,SUMPRODUCT(MAX((A$1:A566=A567)*(B$1:B566=B567)*ROW(A$1:A566)))),IF(INDEX(I$1:I566,SUMPRODUCT(MAX((A$1:A566=A567)*(B$1:B566=B567)*ROW(A$1:A566))))="",C567&amp;"",INDEX(I$1:I566,SUMPRODUCT(MAX((A$1:A566=A567)*(B$1:B566=B567)*ROW(A$1:A566))))&amp;"; "&amp;C567))))</f>
        <v/>
      </c>
      <c r="J567" s="18" t="str">
        <f aca="false">IF(A567="","",A567&amp;"|"&amp;COUNTIF(A$2:A567,A567))</f>
        <v/>
      </c>
      <c r="K567" s="18" t="n">
        <f aca="false">IF(OR(A567="",B567=""),0,IF(COUNTIFS(A$2:A567,A567,B$2:B567,B567)=1,1,0))</f>
        <v>0</v>
      </c>
    </row>
    <row r="568" customFormat="false" ht="15" hidden="false" customHeight="false" outlineLevel="0" collapsed="false">
      <c r="A568" s="15"/>
      <c r="B568" s="15"/>
      <c r="C568" s="15"/>
      <c r="D568" s="15"/>
      <c r="F568" s="18" t="str">
        <f aca="false">IF(B568="","",IFERROR(INDEX(Materials!$B$2:$B$201,MATCH(B568,Materials!$A$2:$A$201,0)),""))</f>
        <v/>
      </c>
      <c r="G568" s="18" t="str">
        <f aca="true">IF(AND(A568="",B568=""),"",IF(A568="","Missing product",IF(B568="","Missing material",IF(COUNTIF(ProductList,A568)=0,"Product not in Products list",IF(COUNTIF(MaterialList,B568)=0,"Material not in Materials list","OK")))))</f>
        <v/>
      </c>
      <c r="H568" s="18" t="str">
        <f aca="false">IF(F568="Active",A568&amp;"|"&amp;COUNTIFS(A$2:A568,A568,F$2:F568,"Active"),"")</f>
        <v/>
      </c>
      <c r="I568" s="18" t="str">
        <f aca="false">IF(B568="","",IF(SUMPRODUCT(MAX((A$1:A567=A568)*(B$1:B567=B568)*ROW(A$1:A567)))=0,C568&amp;"",IF(C568="",INDEX(I$1:I567,SUMPRODUCT(MAX((A$1:A567=A568)*(B$1:B567=B568)*ROW(A$1:A567)))),IF(INDEX(I$1:I567,SUMPRODUCT(MAX((A$1:A567=A568)*(B$1:B567=B568)*ROW(A$1:A567))))="",C568&amp;"",INDEX(I$1:I567,SUMPRODUCT(MAX((A$1:A567=A568)*(B$1:B567=B568)*ROW(A$1:A567))))&amp;"; "&amp;C568))))</f>
        <v/>
      </c>
      <c r="J568" s="18" t="str">
        <f aca="false">IF(A568="","",A568&amp;"|"&amp;COUNTIF(A$2:A568,A568))</f>
        <v/>
      </c>
      <c r="K568" s="18" t="n">
        <f aca="false">IF(OR(A568="",B568=""),0,IF(COUNTIFS(A$2:A568,A568,B$2:B568,B568)=1,1,0))</f>
        <v>0</v>
      </c>
    </row>
    <row r="569" customFormat="false" ht="15" hidden="false" customHeight="false" outlineLevel="0" collapsed="false">
      <c r="A569" s="15"/>
      <c r="B569" s="15"/>
      <c r="C569" s="15"/>
      <c r="D569" s="15"/>
      <c r="F569" s="18" t="str">
        <f aca="false">IF(B569="","",IFERROR(INDEX(Materials!$B$2:$B$201,MATCH(B569,Materials!$A$2:$A$201,0)),""))</f>
        <v/>
      </c>
      <c r="G569" s="18" t="str">
        <f aca="true">IF(AND(A569="",B569=""),"",IF(A569="","Missing product",IF(B569="","Missing material",IF(COUNTIF(ProductList,A569)=0,"Product not in Products list",IF(COUNTIF(MaterialList,B569)=0,"Material not in Materials list","OK")))))</f>
        <v/>
      </c>
      <c r="H569" s="18" t="str">
        <f aca="false">IF(F569="Active",A569&amp;"|"&amp;COUNTIFS(A$2:A569,A569,F$2:F569,"Active"),"")</f>
        <v/>
      </c>
      <c r="I569" s="18" t="str">
        <f aca="false">IF(B569="","",IF(SUMPRODUCT(MAX((A$1:A568=A569)*(B$1:B568=B569)*ROW(A$1:A568)))=0,C569&amp;"",IF(C569="",INDEX(I$1:I568,SUMPRODUCT(MAX((A$1:A568=A569)*(B$1:B568=B569)*ROW(A$1:A568)))),IF(INDEX(I$1:I568,SUMPRODUCT(MAX((A$1:A568=A569)*(B$1:B568=B569)*ROW(A$1:A568))))="",C569&amp;"",INDEX(I$1:I568,SUMPRODUCT(MAX((A$1:A568=A569)*(B$1:B568=B569)*ROW(A$1:A568))))&amp;"; "&amp;C569))))</f>
        <v/>
      </c>
      <c r="J569" s="18" t="str">
        <f aca="false">IF(A569="","",A569&amp;"|"&amp;COUNTIF(A$2:A569,A569))</f>
        <v/>
      </c>
      <c r="K569" s="18" t="n">
        <f aca="false">IF(OR(A569="",B569=""),0,IF(COUNTIFS(A$2:A569,A569,B$2:B569,B569)=1,1,0))</f>
        <v>0</v>
      </c>
    </row>
    <row r="570" customFormat="false" ht="15" hidden="false" customHeight="false" outlineLevel="0" collapsed="false">
      <c r="A570" s="15"/>
      <c r="B570" s="15"/>
      <c r="C570" s="15"/>
      <c r="D570" s="15"/>
      <c r="F570" s="18" t="str">
        <f aca="false">IF(B570="","",IFERROR(INDEX(Materials!$B$2:$B$201,MATCH(B570,Materials!$A$2:$A$201,0)),""))</f>
        <v/>
      </c>
      <c r="G570" s="18" t="str">
        <f aca="true">IF(AND(A570="",B570=""),"",IF(A570="","Missing product",IF(B570="","Missing material",IF(COUNTIF(ProductList,A570)=0,"Product not in Products list",IF(COUNTIF(MaterialList,B570)=0,"Material not in Materials list","OK")))))</f>
        <v/>
      </c>
      <c r="H570" s="18" t="str">
        <f aca="false">IF(F570="Active",A570&amp;"|"&amp;COUNTIFS(A$2:A570,A570,F$2:F570,"Active"),"")</f>
        <v/>
      </c>
      <c r="I570" s="18" t="str">
        <f aca="false">IF(B570="","",IF(SUMPRODUCT(MAX((A$1:A569=A570)*(B$1:B569=B570)*ROW(A$1:A569)))=0,C570&amp;"",IF(C570="",INDEX(I$1:I569,SUMPRODUCT(MAX((A$1:A569=A570)*(B$1:B569=B570)*ROW(A$1:A569)))),IF(INDEX(I$1:I569,SUMPRODUCT(MAX((A$1:A569=A570)*(B$1:B569=B570)*ROW(A$1:A569))))="",C570&amp;"",INDEX(I$1:I569,SUMPRODUCT(MAX((A$1:A569=A570)*(B$1:B569=B570)*ROW(A$1:A569))))&amp;"; "&amp;C570))))</f>
        <v/>
      </c>
      <c r="J570" s="18" t="str">
        <f aca="false">IF(A570="","",A570&amp;"|"&amp;COUNTIF(A$2:A570,A570))</f>
        <v/>
      </c>
      <c r="K570" s="18" t="n">
        <f aca="false">IF(OR(A570="",B570=""),0,IF(COUNTIFS(A$2:A570,A570,B$2:B570,B570)=1,1,0))</f>
        <v>0</v>
      </c>
    </row>
    <row r="571" customFormat="false" ht="15" hidden="false" customHeight="false" outlineLevel="0" collapsed="false">
      <c r="A571" s="15"/>
      <c r="B571" s="15"/>
      <c r="C571" s="15"/>
      <c r="D571" s="15"/>
      <c r="F571" s="18" t="str">
        <f aca="false">IF(B571="","",IFERROR(INDEX(Materials!$B$2:$B$201,MATCH(B571,Materials!$A$2:$A$201,0)),""))</f>
        <v/>
      </c>
      <c r="G571" s="18" t="str">
        <f aca="true">IF(AND(A571="",B571=""),"",IF(A571="","Missing product",IF(B571="","Missing material",IF(COUNTIF(ProductList,A571)=0,"Product not in Products list",IF(COUNTIF(MaterialList,B571)=0,"Material not in Materials list","OK")))))</f>
        <v/>
      </c>
      <c r="H571" s="18" t="str">
        <f aca="false">IF(F571="Active",A571&amp;"|"&amp;COUNTIFS(A$2:A571,A571,F$2:F571,"Active"),"")</f>
        <v/>
      </c>
      <c r="I571" s="18" t="str">
        <f aca="false">IF(B571="","",IF(SUMPRODUCT(MAX((A$1:A570=A571)*(B$1:B570=B571)*ROW(A$1:A570)))=0,C571&amp;"",IF(C571="",INDEX(I$1:I570,SUMPRODUCT(MAX((A$1:A570=A571)*(B$1:B570=B571)*ROW(A$1:A570)))),IF(INDEX(I$1:I570,SUMPRODUCT(MAX((A$1:A570=A571)*(B$1:B570=B571)*ROW(A$1:A570))))="",C571&amp;"",INDEX(I$1:I570,SUMPRODUCT(MAX((A$1:A570=A571)*(B$1:B570=B571)*ROW(A$1:A570))))&amp;"; "&amp;C571))))</f>
        <v/>
      </c>
      <c r="J571" s="18" t="str">
        <f aca="false">IF(A571="","",A571&amp;"|"&amp;COUNTIF(A$2:A571,A571))</f>
        <v/>
      </c>
      <c r="K571" s="18" t="n">
        <f aca="false">IF(OR(A571="",B571=""),0,IF(COUNTIFS(A$2:A571,A571,B$2:B571,B571)=1,1,0))</f>
        <v>0</v>
      </c>
    </row>
    <row r="572" customFormat="false" ht="15" hidden="false" customHeight="false" outlineLevel="0" collapsed="false">
      <c r="A572" s="15"/>
      <c r="B572" s="15"/>
      <c r="C572" s="15"/>
      <c r="D572" s="15"/>
      <c r="F572" s="18" t="str">
        <f aca="false">IF(B572="","",IFERROR(INDEX(Materials!$B$2:$B$201,MATCH(B572,Materials!$A$2:$A$201,0)),""))</f>
        <v/>
      </c>
      <c r="G572" s="18" t="str">
        <f aca="true">IF(AND(A572="",B572=""),"",IF(A572="","Missing product",IF(B572="","Missing material",IF(COUNTIF(ProductList,A572)=0,"Product not in Products list",IF(COUNTIF(MaterialList,B572)=0,"Material not in Materials list","OK")))))</f>
        <v/>
      </c>
      <c r="H572" s="18" t="str">
        <f aca="false">IF(F572="Active",A572&amp;"|"&amp;COUNTIFS(A$2:A572,A572,F$2:F572,"Active"),"")</f>
        <v/>
      </c>
      <c r="I572" s="18" t="str">
        <f aca="false">IF(B572="","",IF(SUMPRODUCT(MAX((A$1:A571=A572)*(B$1:B571=B572)*ROW(A$1:A571)))=0,C572&amp;"",IF(C572="",INDEX(I$1:I571,SUMPRODUCT(MAX((A$1:A571=A572)*(B$1:B571=B572)*ROW(A$1:A571)))),IF(INDEX(I$1:I571,SUMPRODUCT(MAX((A$1:A571=A572)*(B$1:B571=B572)*ROW(A$1:A571))))="",C572&amp;"",INDEX(I$1:I571,SUMPRODUCT(MAX((A$1:A571=A572)*(B$1:B571=B572)*ROW(A$1:A571))))&amp;"; "&amp;C572))))</f>
        <v/>
      </c>
      <c r="J572" s="18" t="str">
        <f aca="false">IF(A572="","",A572&amp;"|"&amp;COUNTIF(A$2:A572,A572))</f>
        <v/>
      </c>
      <c r="K572" s="18" t="n">
        <f aca="false">IF(OR(A572="",B572=""),0,IF(COUNTIFS(A$2:A572,A572,B$2:B572,B572)=1,1,0))</f>
        <v>0</v>
      </c>
    </row>
    <row r="573" customFormat="false" ht="15" hidden="false" customHeight="false" outlineLevel="0" collapsed="false">
      <c r="A573" s="15"/>
      <c r="B573" s="15"/>
      <c r="C573" s="15"/>
      <c r="D573" s="15"/>
      <c r="F573" s="18" t="str">
        <f aca="false">IF(B573="","",IFERROR(INDEX(Materials!$B$2:$B$201,MATCH(B573,Materials!$A$2:$A$201,0)),""))</f>
        <v/>
      </c>
      <c r="G573" s="18" t="str">
        <f aca="true">IF(AND(A573="",B573=""),"",IF(A573="","Missing product",IF(B573="","Missing material",IF(COUNTIF(ProductList,A573)=0,"Product not in Products list",IF(COUNTIF(MaterialList,B573)=0,"Material not in Materials list","OK")))))</f>
        <v/>
      </c>
      <c r="H573" s="18" t="str">
        <f aca="false">IF(F573="Active",A573&amp;"|"&amp;COUNTIFS(A$2:A573,A573,F$2:F573,"Active"),"")</f>
        <v/>
      </c>
      <c r="I573" s="18" t="str">
        <f aca="false">IF(B573="","",IF(SUMPRODUCT(MAX((A$1:A572=A573)*(B$1:B572=B573)*ROW(A$1:A572)))=0,C573&amp;"",IF(C573="",INDEX(I$1:I572,SUMPRODUCT(MAX((A$1:A572=A573)*(B$1:B572=B573)*ROW(A$1:A572)))),IF(INDEX(I$1:I572,SUMPRODUCT(MAX((A$1:A572=A573)*(B$1:B572=B573)*ROW(A$1:A572))))="",C573&amp;"",INDEX(I$1:I572,SUMPRODUCT(MAX((A$1:A572=A573)*(B$1:B572=B573)*ROW(A$1:A572))))&amp;"; "&amp;C573))))</f>
        <v/>
      </c>
      <c r="J573" s="18" t="str">
        <f aca="false">IF(A573="","",A573&amp;"|"&amp;COUNTIF(A$2:A573,A573))</f>
        <v/>
      </c>
      <c r="K573" s="18" t="n">
        <f aca="false">IF(OR(A573="",B573=""),0,IF(COUNTIFS(A$2:A573,A573,B$2:B573,B573)=1,1,0))</f>
        <v>0</v>
      </c>
    </row>
    <row r="574" customFormat="false" ht="15" hidden="false" customHeight="false" outlineLevel="0" collapsed="false">
      <c r="A574" s="15"/>
      <c r="B574" s="15"/>
      <c r="C574" s="15"/>
      <c r="D574" s="15"/>
      <c r="F574" s="18" t="str">
        <f aca="false">IF(B574="","",IFERROR(INDEX(Materials!$B$2:$B$201,MATCH(B574,Materials!$A$2:$A$201,0)),""))</f>
        <v/>
      </c>
      <c r="G574" s="18" t="str">
        <f aca="true">IF(AND(A574="",B574=""),"",IF(A574="","Missing product",IF(B574="","Missing material",IF(COUNTIF(ProductList,A574)=0,"Product not in Products list",IF(COUNTIF(MaterialList,B574)=0,"Material not in Materials list","OK")))))</f>
        <v/>
      </c>
      <c r="H574" s="18" t="str">
        <f aca="false">IF(F574="Active",A574&amp;"|"&amp;COUNTIFS(A$2:A574,A574,F$2:F574,"Active"),"")</f>
        <v/>
      </c>
      <c r="I574" s="18" t="str">
        <f aca="false">IF(B574="","",IF(SUMPRODUCT(MAX((A$1:A573=A574)*(B$1:B573=B574)*ROW(A$1:A573)))=0,C574&amp;"",IF(C574="",INDEX(I$1:I573,SUMPRODUCT(MAX((A$1:A573=A574)*(B$1:B573=B574)*ROW(A$1:A573)))),IF(INDEX(I$1:I573,SUMPRODUCT(MAX((A$1:A573=A574)*(B$1:B573=B574)*ROW(A$1:A573))))="",C574&amp;"",INDEX(I$1:I573,SUMPRODUCT(MAX((A$1:A573=A574)*(B$1:B573=B574)*ROW(A$1:A573))))&amp;"; "&amp;C574))))</f>
        <v/>
      </c>
      <c r="J574" s="18" t="str">
        <f aca="false">IF(A574="","",A574&amp;"|"&amp;COUNTIF(A$2:A574,A574))</f>
        <v/>
      </c>
      <c r="K574" s="18" t="n">
        <f aca="false">IF(OR(A574="",B574=""),0,IF(COUNTIFS(A$2:A574,A574,B$2:B574,B574)=1,1,0))</f>
        <v>0</v>
      </c>
    </row>
    <row r="575" customFormat="false" ht="15" hidden="false" customHeight="false" outlineLevel="0" collapsed="false">
      <c r="A575" s="15"/>
      <c r="B575" s="15"/>
      <c r="C575" s="15"/>
      <c r="D575" s="15"/>
      <c r="F575" s="18" t="str">
        <f aca="false">IF(B575="","",IFERROR(INDEX(Materials!$B$2:$B$201,MATCH(B575,Materials!$A$2:$A$201,0)),""))</f>
        <v/>
      </c>
      <c r="G575" s="18" t="str">
        <f aca="true">IF(AND(A575="",B575=""),"",IF(A575="","Missing product",IF(B575="","Missing material",IF(COUNTIF(ProductList,A575)=0,"Product not in Products list",IF(COUNTIF(MaterialList,B575)=0,"Material not in Materials list","OK")))))</f>
        <v/>
      </c>
      <c r="H575" s="18" t="str">
        <f aca="false">IF(F575="Active",A575&amp;"|"&amp;COUNTIFS(A$2:A575,A575,F$2:F575,"Active"),"")</f>
        <v/>
      </c>
      <c r="I575" s="18" t="str">
        <f aca="false">IF(B575="","",IF(SUMPRODUCT(MAX((A$1:A574=A575)*(B$1:B574=B575)*ROW(A$1:A574)))=0,C575&amp;"",IF(C575="",INDEX(I$1:I574,SUMPRODUCT(MAX((A$1:A574=A575)*(B$1:B574=B575)*ROW(A$1:A574)))),IF(INDEX(I$1:I574,SUMPRODUCT(MAX((A$1:A574=A575)*(B$1:B574=B575)*ROW(A$1:A574))))="",C575&amp;"",INDEX(I$1:I574,SUMPRODUCT(MAX((A$1:A574=A575)*(B$1:B574=B575)*ROW(A$1:A574))))&amp;"; "&amp;C575))))</f>
        <v/>
      </c>
      <c r="J575" s="18" t="str">
        <f aca="false">IF(A575="","",A575&amp;"|"&amp;COUNTIF(A$2:A575,A575))</f>
        <v/>
      </c>
      <c r="K575" s="18" t="n">
        <f aca="false">IF(OR(A575="",B575=""),0,IF(COUNTIFS(A$2:A575,A575,B$2:B575,B575)=1,1,0))</f>
        <v>0</v>
      </c>
    </row>
    <row r="576" customFormat="false" ht="15" hidden="false" customHeight="false" outlineLevel="0" collapsed="false">
      <c r="A576" s="15"/>
      <c r="B576" s="15"/>
      <c r="C576" s="15"/>
      <c r="D576" s="15"/>
      <c r="F576" s="18" t="str">
        <f aca="false">IF(B576="","",IFERROR(INDEX(Materials!$B$2:$B$201,MATCH(B576,Materials!$A$2:$A$201,0)),""))</f>
        <v/>
      </c>
      <c r="G576" s="18" t="str">
        <f aca="true">IF(AND(A576="",B576=""),"",IF(A576="","Missing product",IF(B576="","Missing material",IF(COUNTIF(ProductList,A576)=0,"Product not in Products list",IF(COUNTIF(MaterialList,B576)=0,"Material not in Materials list","OK")))))</f>
        <v/>
      </c>
      <c r="H576" s="18" t="str">
        <f aca="false">IF(F576="Active",A576&amp;"|"&amp;COUNTIFS(A$2:A576,A576,F$2:F576,"Active"),"")</f>
        <v/>
      </c>
      <c r="I576" s="18" t="str">
        <f aca="false">IF(B576="","",IF(SUMPRODUCT(MAX((A$1:A575=A576)*(B$1:B575=B576)*ROW(A$1:A575)))=0,C576&amp;"",IF(C576="",INDEX(I$1:I575,SUMPRODUCT(MAX((A$1:A575=A576)*(B$1:B575=B576)*ROW(A$1:A575)))),IF(INDEX(I$1:I575,SUMPRODUCT(MAX((A$1:A575=A576)*(B$1:B575=B576)*ROW(A$1:A575))))="",C576&amp;"",INDEX(I$1:I575,SUMPRODUCT(MAX((A$1:A575=A576)*(B$1:B575=B576)*ROW(A$1:A575))))&amp;"; "&amp;C576))))</f>
        <v/>
      </c>
      <c r="J576" s="18" t="str">
        <f aca="false">IF(A576="","",A576&amp;"|"&amp;COUNTIF(A$2:A576,A576))</f>
        <v/>
      </c>
      <c r="K576" s="18" t="n">
        <f aca="false">IF(OR(A576="",B576=""),0,IF(COUNTIFS(A$2:A576,A576,B$2:B576,B576)=1,1,0))</f>
        <v>0</v>
      </c>
    </row>
    <row r="577" customFormat="false" ht="15" hidden="false" customHeight="false" outlineLevel="0" collapsed="false">
      <c r="A577" s="15"/>
      <c r="B577" s="15"/>
      <c r="C577" s="15"/>
      <c r="D577" s="15"/>
      <c r="F577" s="18" t="str">
        <f aca="false">IF(B577="","",IFERROR(INDEX(Materials!$B$2:$B$201,MATCH(B577,Materials!$A$2:$A$201,0)),""))</f>
        <v/>
      </c>
      <c r="G577" s="18" t="str">
        <f aca="true">IF(AND(A577="",B577=""),"",IF(A577="","Missing product",IF(B577="","Missing material",IF(COUNTIF(ProductList,A577)=0,"Product not in Products list",IF(COUNTIF(MaterialList,B577)=0,"Material not in Materials list","OK")))))</f>
        <v/>
      </c>
      <c r="H577" s="18" t="str">
        <f aca="false">IF(F577="Active",A577&amp;"|"&amp;COUNTIFS(A$2:A577,A577,F$2:F577,"Active"),"")</f>
        <v/>
      </c>
      <c r="I577" s="18" t="str">
        <f aca="false">IF(B577="","",IF(SUMPRODUCT(MAX((A$1:A576=A577)*(B$1:B576=B577)*ROW(A$1:A576)))=0,C577&amp;"",IF(C577="",INDEX(I$1:I576,SUMPRODUCT(MAX((A$1:A576=A577)*(B$1:B576=B577)*ROW(A$1:A576)))),IF(INDEX(I$1:I576,SUMPRODUCT(MAX((A$1:A576=A577)*(B$1:B576=B577)*ROW(A$1:A576))))="",C577&amp;"",INDEX(I$1:I576,SUMPRODUCT(MAX((A$1:A576=A577)*(B$1:B576=B577)*ROW(A$1:A576))))&amp;"; "&amp;C577))))</f>
        <v/>
      </c>
      <c r="J577" s="18" t="str">
        <f aca="false">IF(A577="","",A577&amp;"|"&amp;COUNTIF(A$2:A577,A577))</f>
        <v/>
      </c>
      <c r="K577" s="18" t="n">
        <f aca="false">IF(OR(A577="",B577=""),0,IF(COUNTIFS(A$2:A577,A577,B$2:B577,B577)=1,1,0))</f>
        <v>0</v>
      </c>
    </row>
    <row r="578" customFormat="false" ht="15" hidden="false" customHeight="false" outlineLevel="0" collapsed="false">
      <c r="A578" s="15"/>
      <c r="B578" s="15"/>
      <c r="C578" s="15"/>
      <c r="D578" s="15"/>
      <c r="F578" s="18" t="str">
        <f aca="false">IF(B578="","",IFERROR(INDEX(Materials!$B$2:$B$201,MATCH(B578,Materials!$A$2:$A$201,0)),""))</f>
        <v/>
      </c>
      <c r="G578" s="18" t="str">
        <f aca="true">IF(AND(A578="",B578=""),"",IF(A578="","Missing product",IF(B578="","Missing material",IF(COUNTIF(ProductList,A578)=0,"Product not in Products list",IF(COUNTIF(MaterialList,B578)=0,"Material not in Materials list","OK")))))</f>
        <v/>
      </c>
      <c r="H578" s="18" t="str">
        <f aca="false">IF(F578="Active",A578&amp;"|"&amp;COUNTIFS(A$2:A578,A578,F$2:F578,"Active"),"")</f>
        <v/>
      </c>
      <c r="I578" s="18" t="str">
        <f aca="false">IF(B578="","",IF(SUMPRODUCT(MAX((A$1:A577=A578)*(B$1:B577=B578)*ROW(A$1:A577)))=0,C578&amp;"",IF(C578="",INDEX(I$1:I577,SUMPRODUCT(MAX((A$1:A577=A578)*(B$1:B577=B578)*ROW(A$1:A577)))),IF(INDEX(I$1:I577,SUMPRODUCT(MAX((A$1:A577=A578)*(B$1:B577=B578)*ROW(A$1:A577))))="",C578&amp;"",INDEX(I$1:I577,SUMPRODUCT(MAX((A$1:A577=A578)*(B$1:B577=B578)*ROW(A$1:A577))))&amp;"; "&amp;C578))))</f>
        <v/>
      </c>
      <c r="J578" s="18" t="str">
        <f aca="false">IF(A578="","",A578&amp;"|"&amp;COUNTIF(A$2:A578,A578))</f>
        <v/>
      </c>
      <c r="K578" s="18" t="n">
        <f aca="false">IF(OR(A578="",B578=""),0,IF(COUNTIFS(A$2:A578,A578,B$2:B578,B578)=1,1,0))</f>
        <v>0</v>
      </c>
    </row>
    <row r="579" customFormat="false" ht="15" hidden="false" customHeight="false" outlineLevel="0" collapsed="false">
      <c r="A579" s="15"/>
      <c r="B579" s="15"/>
      <c r="C579" s="15"/>
      <c r="D579" s="15"/>
      <c r="F579" s="18" t="str">
        <f aca="false">IF(B579="","",IFERROR(INDEX(Materials!$B$2:$B$201,MATCH(B579,Materials!$A$2:$A$201,0)),""))</f>
        <v/>
      </c>
      <c r="G579" s="18" t="str">
        <f aca="true">IF(AND(A579="",B579=""),"",IF(A579="","Missing product",IF(B579="","Missing material",IF(COUNTIF(ProductList,A579)=0,"Product not in Products list",IF(COUNTIF(MaterialList,B579)=0,"Material not in Materials list","OK")))))</f>
        <v/>
      </c>
      <c r="H579" s="18" t="str">
        <f aca="false">IF(F579="Active",A579&amp;"|"&amp;COUNTIFS(A$2:A579,A579,F$2:F579,"Active"),"")</f>
        <v/>
      </c>
      <c r="I579" s="18" t="str">
        <f aca="false">IF(B579="","",IF(SUMPRODUCT(MAX((A$1:A578=A579)*(B$1:B578=B579)*ROW(A$1:A578)))=0,C579&amp;"",IF(C579="",INDEX(I$1:I578,SUMPRODUCT(MAX((A$1:A578=A579)*(B$1:B578=B579)*ROW(A$1:A578)))),IF(INDEX(I$1:I578,SUMPRODUCT(MAX((A$1:A578=A579)*(B$1:B578=B579)*ROW(A$1:A578))))="",C579&amp;"",INDEX(I$1:I578,SUMPRODUCT(MAX((A$1:A578=A579)*(B$1:B578=B579)*ROW(A$1:A578))))&amp;"; "&amp;C579))))</f>
        <v/>
      </c>
      <c r="J579" s="18" t="str">
        <f aca="false">IF(A579="","",A579&amp;"|"&amp;COUNTIF(A$2:A579,A579))</f>
        <v/>
      </c>
      <c r="K579" s="18" t="n">
        <f aca="false">IF(OR(A579="",B579=""),0,IF(COUNTIFS(A$2:A579,A579,B$2:B579,B579)=1,1,0))</f>
        <v>0</v>
      </c>
    </row>
    <row r="580" customFormat="false" ht="15" hidden="false" customHeight="false" outlineLevel="0" collapsed="false">
      <c r="A580" s="15"/>
      <c r="B580" s="15"/>
      <c r="C580" s="15"/>
      <c r="D580" s="15"/>
      <c r="F580" s="18" t="str">
        <f aca="false">IF(B580="","",IFERROR(INDEX(Materials!$B$2:$B$201,MATCH(B580,Materials!$A$2:$A$201,0)),""))</f>
        <v/>
      </c>
      <c r="G580" s="18" t="str">
        <f aca="true">IF(AND(A580="",B580=""),"",IF(A580="","Missing product",IF(B580="","Missing material",IF(COUNTIF(ProductList,A580)=0,"Product not in Products list",IF(COUNTIF(MaterialList,B580)=0,"Material not in Materials list","OK")))))</f>
        <v/>
      </c>
      <c r="H580" s="18" t="str">
        <f aca="false">IF(F580="Active",A580&amp;"|"&amp;COUNTIFS(A$2:A580,A580,F$2:F580,"Active"),"")</f>
        <v/>
      </c>
      <c r="I580" s="18" t="str">
        <f aca="false">IF(B580="","",IF(SUMPRODUCT(MAX((A$1:A579=A580)*(B$1:B579=B580)*ROW(A$1:A579)))=0,C580&amp;"",IF(C580="",INDEX(I$1:I579,SUMPRODUCT(MAX((A$1:A579=A580)*(B$1:B579=B580)*ROW(A$1:A579)))),IF(INDEX(I$1:I579,SUMPRODUCT(MAX((A$1:A579=A580)*(B$1:B579=B580)*ROW(A$1:A579))))="",C580&amp;"",INDEX(I$1:I579,SUMPRODUCT(MAX((A$1:A579=A580)*(B$1:B579=B580)*ROW(A$1:A579))))&amp;"; "&amp;C580))))</f>
        <v/>
      </c>
      <c r="J580" s="18" t="str">
        <f aca="false">IF(A580="","",A580&amp;"|"&amp;COUNTIF(A$2:A580,A580))</f>
        <v/>
      </c>
      <c r="K580" s="18" t="n">
        <f aca="false">IF(OR(A580="",B580=""),0,IF(COUNTIFS(A$2:A580,A580,B$2:B580,B580)=1,1,0))</f>
        <v>0</v>
      </c>
    </row>
    <row r="581" customFormat="false" ht="15" hidden="false" customHeight="false" outlineLevel="0" collapsed="false">
      <c r="A581" s="15"/>
      <c r="B581" s="15"/>
      <c r="C581" s="15"/>
      <c r="D581" s="15"/>
      <c r="F581" s="18" t="str">
        <f aca="false">IF(B581="","",IFERROR(INDEX(Materials!$B$2:$B$201,MATCH(B581,Materials!$A$2:$A$201,0)),""))</f>
        <v/>
      </c>
      <c r="G581" s="18" t="str">
        <f aca="true">IF(AND(A581="",B581=""),"",IF(A581="","Missing product",IF(B581="","Missing material",IF(COUNTIF(ProductList,A581)=0,"Product not in Products list",IF(COUNTIF(MaterialList,B581)=0,"Material not in Materials list","OK")))))</f>
        <v/>
      </c>
      <c r="H581" s="18" t="str">
        <f aca="false">IF(F581="Active",A581&amp;"|"&amp;COUNTIFS(A$2:A581,A581,F$2:F581,"Active"),"")</f>
        <v/>
      </c>
      <c r="I581" s="18" t="str">
        <f aca="false">IF(B581="","",IF(SUMPRODUCT(MAX((A$1:A580=A581)*(B$1:B580=B581)*ROW(A$1:A580)))=0,C581&amp;"",IF(C581="",INDEX(I$1:I580,SUMPRODUCT(MAX((A$1:A580=A581)*(B$1:B580=B581)*ROW(A$1:A580)))),IF(INDEX(I$1:I580,SUMPRODUCT(MAX((A$1:A580=A581)*(B$1:B580=B581)*ROW(A$1:A580))))="",C581&amp;"",INDEX(I$1:I580,SUMPRODUCT(MAX((A$1:A580=A581)*(B$1:B580=B581)*ROW(A$1:A580))))&amp;"; "&amp;C581))))</f>
        <v/>
      </c>
      <c r="J581" s="18" t="str">
        <f aca="false">IF(A581="","",A581&amp;"|"&amp;COUNTIF(A$2:A581,A581))</f>
        <v/>
      </c>
      <c r="K581" s="18" t="n">
        <f aca="false">IF(OR(A581="",B581=""),0,IF(COUNTIFS(A$2:A581,A581,B$2:B581,B581)=1,1,0))</f>
        <v>0</v>
      </c>
    </row>
    <row r="582" customFormat="false" ht="15" hidden="false" customHeight="false" outlineLevel="0" collapsed="false">
      <c r="A582" s="15"/>
      <c r="B582" s="15"/>
      <c r="C582" s="15"/>
      <c r="D582" s="15"/>
      <c r="F582" s="18" t="str">
        <f aca="false">IF(B582="","",IFERROR(INDEX(Materials!$B$2:$B$201,MATCH(B582,Materials!$A$2:$A$201,0)),""))</f>
        <v/>
      </c>
      <c r="G582" s="18" t="str">
        <f aca="true">IF(AND(A582="",B582=""),"",IF(A582="","Missing product",IF(B582="","Missing material",IF(COUNTIF(ProductList,A582)=0,"Product not in Products list",IF(COUNTIF(MaterialList,B582)=0,"Material not in Materials list","OK")))))</f>
        <v/>
      </c>
      <c r="H582" s="18" t="str">
        <f aca="false">IF(F582="Active",A582&amp;"|"&amp;COUNTIFS(A$2:A582,A582,F$2:F582,"Active"),"")</f>
        <v/>
      </c>
      <c r="I582" s="18" t="str">
        <f aca="false">IF(B582="","",IF(SUMPRODUCT(MAX((A$1:A581=A582)*(B$1:B581=B582)*ROW(A$1:A581)))=0,C582&amp;"",IF(C582="",INDEX(I$1:I581,SUMPRODUCT(MAX((A$1:A581=A582)*(B$1:B581=B582)*ROW(A$1:A581)))),IF(INDEX(I$1:I581,SUMPRODUCT(MAX((A$1:A581=A582)*(B$1:B581=B582)*ROW(A$1:A581))))="",C582&amp;"",INDEX(I$1:I581,SUMPRODUCT(MAX((A$1:A581=A582)*(B$1:B581=B582)*ROW(A$1:A581))))&amp;"; "&amp;C582))))</f>
        <v/>
      </c>
      <c r="J582" s="18" t="str">
        <f aca="false">IF(A582="","",A582&amp;"|"&amp;COUNTIF(A$2:A582,A582))</f>
        <v/>
      </c>
      <c r="K582" s="18" t="n">
        <f aca="false">IF(OR(A582="",B582=""),0,IF(COUNTIFS(A$2:A582,A582,B$2:B582,B582)=1,1,0))</f>
        <v>0</v>
      </c>
    </row>
    <row r="583" customFormat="false" ht="15" hidden="false" customHeight="false" outlineLevel="0" collapsed="false">
      <c r="A583" s="15"/>
      <c r="B583" s="15"/>
      <c r="C583" s="15"/>
      <c r="D583" s="15"/>
      <c r="F583" s="18" t="str">
        <f aca="false">IF(B583="","",IFERROR(INDEX(Materials!$B$2:$B$201,MATCH(B583,Materials!$A$2:$A$201,0)),""))</f>
        <v/>
      </c>
      <c r="G583" s="18" t="str">
        <f aca="true">IF(AND(A583="",B583=""),"",IF(A583="","Missing product",IF(B583="","Missing material",IF(COUNTIF(ProductList,A583)=0,"Product not in Products list",IF(COUNTIF(MaterialList,B583)=0,"Material not in Materials list","OK")))))</f>
        <v/>
      </c>
      <c r="H583" s="18" t="str">
        <f aca="false">IF(F583="Active",A583&amp;"|"&amp;COUNTIFS(A$2:A583,A583,F$2:F583,"Active"),"")</f>
        <v/>
      </c>
      <c r="I583" s="18" t="str">
        <f aca="false">IF(B583="","",IF(SUMPRODUCT(MAX((A$1:A582=A583)*(B$1:B582=B583)*ROW(A$1:A582)))=0,C583&amp;"",IF(C583="",INDEX(I$1:I582,SUMPRODUCT(MAX((A$1:A582=A583)*(B$1:B582=B583)*ROW(A$1:A582)))),IF(INDEX(I$1:I582,SUMPRODUCT(MAX((A$1:A582=A583)*(B$1:B582=B583)*ROW(A$1:A582))))="",C583&amp;"",INDEX(I$1:I582,SUMPRODUCT(MAX((A$1:A582=A583)*(B$1:B582=B583)*ROW(A$1:A582))))&amp;"; "&amp;C583))))</f>
        <v/>
      </c>
      <c r="J583" s="18" t="str">
        <f aca="false">IF(A583="","",A583&amp;"|"&amp;COUNTIF(A$2:A583,A583))</f>
        <v/>
      </c>
      <c r="K583" s="18" t="n">
        <f aca="false">IF(OR(A583="",B583=""),0,IF(COUNTIFS(A$2:A583,A583,B$2:B583,B583)=1,1,0))</f>
        <v>0</v>
      </c>
    </row>
    <row r="584" customFormat="false" ht="15" hidden="false" customHeight="false" outlineLevel="0" collapsed="false">
      <c r="A584" s="15"/>
      <c r="B584" s="15"/>
      <c r="C584" s="15"/>
      <c r="D584" s="15"/>
      <c r="F584" s="18" t="str">
        <f aca="false">IF(B584="","",IFERROR(INDEX(Materials!$B$2:$B$201,MATCH(B584,Materials!$A$2:$A$201,0)),""))</f>
        <v/>
      </c>
      <c r="G584" s="18" t="str">
        <f aca="true">IF(AND(A584="",B584=""),"",IF(A584="","Missing product",IF(B584="","Missing material",IF(COUNTIF(ProductList,A584)=0,"Product not in Products list",IF(COUNTIF(MaterialList,B584)=0,"Material not in Materials list","OK")))))</f>
        <v/>
      </c>
      <c r="H584" s="18" t="str">
        <f aca="false">IF(F584="Active",A584&amp;"|"&amp;COUNTIFS(A$2:A584,A584,F$2:F584,"Active"),"")</f>
        <v/>
      </c>
      <c r="I584" s="18" t="str">
        <f aca="false">IF(B584="","",IF(SUMPRODUCT(MAX((A$1:A583=A584)*(B$1:B583=B584)*ROW(A$1:A583)))=0,C584&amp;"",IF(C584="",INDEX(I$1:I583,SUMPRODUCT(MAX((A$1:A583=A584)*(B$1:B583=B584)*ROW(A$1:A583)))),IF(INDEX(I$1:I583,SUMPRODUCT(MAX((A$1:A583=A584)*(B$1:B583=B584)*ROW(A$1:A583))))="",C584&amp;"",INDEX(I$1:I583,SUMPRODUCT(MAX((A$1:A583=A584)*(B$1:B583=B584)*ROW(A$1:A583))))&amp;"; "&amp;C584))))</f>
        <v/>
      </c>
      <c r="J584" s="18" t="str">
        <f aca="false">IF(A584="","",A584&amp;"|"&amp;COUNTIF(A$2:A584,A584))</f>
        <v/>
      </c>
      <c r="K584" s="18" t="n">
        <f aca="false">IF(OR(A584="",B584=""),0,IF(COUNTIFS(A$2:A584,A584,B$2:B584,B584)=1,1,0))</f>
        <v>0</v>
      </c>
    </row>
    <row r="585" customFormat="false" ht="15" hidden="false" customHeight="false" outlineLevel="0" collapsed="false">
      <c r="A585" s="15"/>
      <c r="B585" s="15"/>
      <c r="C585" s="15"/>
      <c r="D585" s="15"/>
      <c r="F585" s="18" t="str">
        <f aca="false">IF(B585="","",IFERROR(INDEX(Materials!$B$2:$B$201,MATCH(B585,Materials!$A$2:$A$201,0)),""))</f>
        <v/>
      </c>
      <c r="G585" s="18" t="str">
        <f aca="true">IF(AND(A585="",B585=""),"",IF(A585="","Missing product",IF(B585="","Missing material",IF(COUNTIF(ProductList,A585)=0,"Product not in Products list",IF(COUNTIF(MaterialList,B585)=0,"Material not in Materials list","OK")))))</f>
        <v/>
      </c>
      <c r="H585" s="18" t="str">
        <f aca="false">IF(F585="Active",A585&amp;"|"&amp;COUNTIFS(A$2:A585,A585,F$2:F585,"Active"),"")</f>
        <v/>
      </c>
      <c r="I585" s="18" t="str">
        <f aca="false">IF(B585="","",IF(SUMPRODUCT(MAX((A$1:A584=A585)*(B$1:B584=B585)*ROW(A$1:A584)))=0,C585&amp;"",IF(C585="",INDEX(I$1:I584,SUMPRODUCT(MAX((A$1:A584=A585)*(B$1:B584=B585)*ROW(A$1:A584)))),IF(INDEX(I$1:I584,SUMPRODUCT(MAX((A$1:A584=A585)*(B$1:B584=B585)*ROW(A$1:A584))))="",C585&amp;"",INDEX(I$1:I584,SUMPRODUCT(MAX((A$1:A584=A585)*(B$1:B584=B585)*ROW(A$1:A584))))&amp;"; "&amp;C585))))</f>
        <v/>
      </c>
      <c r="J585" s="18" t="str">
        <f aca="false">IF(A585="","",A585&amp;"|"&amp;COUNTIF(A$2:A585,A585))</f>
        <v/>
      </c>
      <c r="K585" s="18" t="n">
        <f aca="false">IF(OR(A585="",B585=""),0,IF(COUNTIFS(A$2:A585,A585,B$2:B585,B585)=1,1,0))</f>
        <v>0</v>
      </c>
    </row>
    <row r="586" customFormat="false" ht="15" hidden="false" customHeight="false" outlineLevel="0" collapsed="false">
      <c r="A586" s="15"/>
      <c r="B586" s="15"/>
      <c r="C586" s="15"/>
      <c r="D586" s="15"/>
      <c r="F586" s="18" t="str">
        <f aca="false">IF(B586="","",IFERROR(INDEX(Materials!$B$2:$B$201,MATCH(B586,Materials!$A$2:$A$201,0)),""))</f>
        <v/>
      </c>
      <c r="G586" s="18" t="str">
        <f aca="true">IF(AND(A586="",B586=""),"",IF(A586="","Missing product",IF(B586="","Missing material",IF(COUNTIF(ProductList,A586)=0,"Product not in Products list",IF(COUNTIF(MaterialList,B586)=0,"Material not in Materials list","OK")))))</f>
        <v/>
      </c>
      <c r="H586" s="18" t="str">
        <f aca="false">IF(F586="Active",A586&amp;"|"&amp;COUNTIFS(A$2:A586,A586,F$2:F586,"Active"),"")</f>
        <v/>
      </c>
      <c r="I586" s="18" t="str">
        <f aca="false">IF(B586="","",IF(SUMPRODUCT(MAX((A$1:A585=A586)*(B$1:B585=B586)*ROW(A$1:A585)))=0,C586&amp;"",IF(C586="",INDEX(I$1:I585,SUMPRODUCT(MAX((A$1:A585=A586)*(B$1:B585=B586)*ROW(A$1:A585)))),IF(INDEX(I$1:I585,SUMPRODUCT(MAX((A$1:A585=A586)*(B$1:B585=B586)*ROW(A$1:A585))))="",C586&amp;"",INDEX(I$1:I585,SUMPRODUCT(MAX((A$1:A585=A586)*(B$1:B585=B586)*ROW(A$1:A585))))&amp;"; "&amp;C586))))</f>
        <v/>
      </c>
      <c r="J586" s="18" t="str">
        <f aca="false">IF(A586="","",A586&amp;"|"&amp;COUNTIF(A$2:A586,A586))</f>
        <v/>
      </c>
      <c r="K586" s="18" t="n">
        <f aca="false">IF(OR(A586="",B586=""),0,IF(COUNTIFS(A$2:A586,A586,B$2:B586,B586)=1,1,0))</f>
        <v>0</v>
      </c>
    </row>
    <row r="587" customFormat="false" ht="15" hidden="false" customHeight="false" outlineLevel="0" collapsed="false">
      <c r="A587" s="15"/>
      <c r="B587" s="15"/>
      <c r="C587" s="15"/>
      <c r="D587" s="15"/>
      <c r="F587" s="18" t="str">
        <f aca="false">IF(B587="","",IFERROR(INDEX(Materials!$B$2:$B$201,MATCH(B587,Materials!$A$2:$A$201,0)),""))</f>
        <v/>
      </c>
      <c r="G587" s="18" t="str">
        <f aca="true">IF(AND(A587="",B587=""),"",IF(A587="","Missing product",IF(B587="","Missing material",IF(COUNTIF(ProductList,A587)=0,"Product not in Products list",IF(COUNTIF(MaterialList,B587)=0,"Material not in Materials list","OK")))))</f>
        <v/>
      </c>
      <c r="H587" s="18" t="str">
        <f aca="false">IF(F587="Active",A587&amp;"|"&amp;COUNTIFS(A$2:A587,A587,F$2:F587,"Active"),"")</f>
        <v/>
      </c>
      <c r="I587" s="18" t="str">
        <f aca="false">IF(B587="","",IF(SUMPRODUCT(MAX((A$1:A586=A587)*(B$1:B586=B587)*ROW(A$1:A586)))=0,C587&amp;"",IF(C587="",INDEX(I$1:I586,SUMPRODUCT(MAX((A$1:A586=A587)*(B$1:B586=B587)*ROW(A$1:A586)))),IF(INDEX(I$1:I586,SUMPRODUCT(MAX((A$1:A586=A587)*(B$1:B586=B587)*ROW(A$1:A586))))="",C587&amp;"",INDEX(I$1:I586,SUMPRODUCT(MAX((A$1:A586=A587)*(B$1:B586=B587)*ROW(A$1:A586))))&amp;"; "&amp;C587))))</f>
        <v/>
      </c>
      <c r="J587" s="18" t="str">
        <f aca="false">IF(A587="","",A587&amp;"|"&amp;COUNTIF(A$2:A587,A587))</f>
        <v/>
      </c>
      <c r="K587" s="18" t="n">
        <f aca="false">IF(OR(A587="",B587=""),0,IF(COUNTIFS(A$2:A587,A587,B$2:B587,B587)=1,1,0))</f>
        <v>0</v>
      </c>
    </row>
    <row r="588" customFormat="false" ht="15" hidden="false" customHeight="false" outlineLevel="0" collapsed="false">
      <c r="A588" s="15"/>
      <c r="B588" s="15"/>
      <c r="C588" s="15"/>
      <c r="D588" s="15"/>
      <c r="F588" s="18" t="str">
        <f aca="false">IF(B588="","",IFERROR(INDEX(Materials!$B$2:$B$201,MATCH(B588,Materials!$A$2:$A$201,0)),""))</f>
        <v/>
      </c>
      <c r="G588" s="18" t="str">
        <f aca="true">IF(AND(A588="",B588=""),"",IF(A588="","Missing product",IF(B588="","Missing material",IF(COUNTIF(ProductList,A588)=0,"Product not in Products list",IF(COUNTIF(MaterialList,B588)=0,"Material not in Materials list","OK")))))</f>
        <v/>
      </c>
      <c r="H588" s="18" t="str">
        <f aca="false">IF(F588="Active",A588&amp;"|"&amp;COUNTIFS(A$2:A588,A588,F$2:F588,"Active"),"")</f>
        <v/>
      </c>
      <c r="I588" s="18" t="str">
        <f aca="false">IF(B588="","",IF(SUMPRODUCT(MAX((A$1:A587=A588)*(B$1:B587=B588)*ROW(A$1:A587)))=0,C588&amp;"",IF(C588="",INDEX(I$1:I587,SUMPRODUCT(MAX((A$1:A587=A588)*(B$1:B587=B588)*ROW(A$1:A587)))),IF(INDEX(I$1:I587,SUMPRODUCT(MAX((A$1:A587=A588)*(B$1:B587=B588)*ROW(A$1:A587))))="",C588&amp;"",INDEX(I$1:I587,SUMPRODUCT(MAX((A$1:A587=A588)*(B$1:B587=B588)*ROW(A$1:A587))))&amp;"; "&amp;C588))))</f>
        <v/>
      </c>
      <c r="J588" s="18" t="str">
        <f aca="false">IF(A588="","",A588&amp;"|"&amp;COUNTIF(A$2:A588,A588))</f>
        <v/>
      </c>
      <c r="K588" s="18" t="n">
        <f aca="false">IF(OR(A588="",B588=""),0,IF(COUNTIFS(A$2:A588,A588,B$2:B588,B588)=1,1,0))</f>
        <v>0</v>
      </c>
    </row>
    <row r="589" customFormat="false" ht="15" hidden="false" customHeight="false" outlineLevel="0" collapsed="false">
      <c r="A589" s="15"/>
      <c r="B589" s="15"/>
      <c r="C589" s="15"/>
      <c r="D589" s="15"/>
      <c r="F589" s="18" t="str">
        <f aca="false">IF(B589="","",IFERROR(INDEX(Materials!$B$2:$B$201,MATCH(B589,Materials!$A$2:$A$201,0)),""))</f>
        <v/>
      </c>
      <c r="G589" s="18" t="str">
        <f aca="true">IF(AND(A589="",B589=""),"",IF(A589="","Missing product",IF(B589="","Missing material",IF(COUNTIF(ProductList,A589)=0,"Product not in Products list",IF(COUNTIF(MaterialList,B589)=0,"Material not in Materials list","OK")))))</f>
        <v/>
      </c>
      <c r="H589" s="18" t="str">
        <f aca="false">IF(F589="Active",A589&amp;"|"&amp;COUNTIFS(A$2:A589,A589,F$2:F589,"Active"),"")</f>
        <v/>
      </c>
      <c r="I589" s="18" t="str">
        <f aca="false">IF(B589="","",IF(SUMPRODUCT(MAX((A$1:A588=A589)*(B$1:B588=B589)*ROW(A$1:A588)))=0,C589&amp;"",IF(C589="",INDEX(I$1:I588,SUMPRODUCT(MAX((A$1:A588=A589)*(B$1:B588=B589)*ROW(A$1:A588)))),IF(INDEX(I$1:I588,SUMPRODUCT(MAX((A$1:A588=A589)*(B$1:B588=B589)*ROW(A$1:A588))))="",C589&amp;"",INDEX(I$1:I588,SUMPRODUCT(MAX((A$1:A588=A589)*(B$1:B588=B589)*ROW(A$1:A588))))&amp;"; "&amp;C589))))</f>
        <v/>
      </c>
      <c r="J589" s="18" t="str">
        <f aca="false">IF(A589="","",A589&amp;"|"&amp;COUNTIF(A$2:A589,A589))</f>
        <v/>
      </c>
      <c r="K589" s="18" t="n">
        <f aca="false">IF(OR(A589="",B589=""),0,IF(COUNTIFS(A$2:A589,A589,B$2:B589,B589)=1,1,0))</f>
        <v>0</v>
      </c>
    </row>
    <row r="590" customFormat="false" ht="15" hidden="false" customHeight="false" outlineLevel="0" collapsed="false">
      <c r="A590" s="15"/>
      <c r="B590" s="15"/>
      <c r="C590" s="15"/>
      <c r="D590" s="15"/>
      <c r="F590" s="18" t="str">
        <f aca="false">IF(B590="","",IFERROR(INDEX(Materials!$B$2:$B$201,MATCH(B590,Materials!$A$2:$A$201,0)),""))</f>
        <v/>
      </c>
      <c r="G590" s="18" t="str">
        <f aca="true">IF(AND(A590="",B590=""),"",IF(A590="","Missing product",IF(B590="","Missing material",IF(COUNTIF(ProductList,A590)=0,"Product not in Products list",IF(COUNTIF(MaterialList,B590)=0,"Material not in Materials list","OK")))))</f>
        <v/>
      </c>
      <c r="H590" s="18" t="str">
        <f aca="false">IF(F590="Active",A590&amp;"|"&amp;COUNTIFS(A$2:A590,A590,F$2:F590,"Active"),"")</f>
        <v/>
      </c>
      <c r="I590" s="18" t="str">
        <f aca="false">IF(B590="","",IF(SUMPRODUCT(MAX((A$1:A589=A590)*(B$1:B589=B590)*ROW(A$1:A589)))=0,C590&amp;"",IF(C590="",INDEX(I$1:I589,SUMPRODUCT(MAX((A$1:A589=A590)*(B$1:B589=B590)*ROW(A$1:A589)))),IF(INDEX(I$1:I589,SUMPRODUCT(MAX((A$1:A589=A590)*(B$1:B589=B590)*ROW(A$1:A589))))="",C590&amp;"",INDEX(I$1:I589,SUMPRODUCT(MAX((A$1:A589=A590)*(B$1:B589=B590)*ROW(A$1:A589))))&amp;"; "&amp;C590))))</f>
        <v/>
      </c>
      <c r="J590" s="18" t="str">
        <f aca="false">IF(A590="","",A590&amp;"|"&amp;COUNTIF(A$2:A590,A590))</f>
        <v/>
      </c>
      <c r="K590" s="18" t="n">
        <f aca="false">IF(OR(A590="",B590=""),0,IF(COUNTIFS(A$2:A590,A590,B$2:B590,B590)=1,1,0))</f>
        <v>0</v>
      </c>
    </row>
    <row r="591" customFormat="false" ht="15" hidden="false" customHeight="false" outlineLevel="0" collapsed="false">
      <c r="A591" s="15"/>
      <c r="B591" s="15"/>
      <c r="C591" s="15"/>
      <c r="D591" s="15"/>
      <c r="F591" s="18" t="str">
        <f aca="false">IF(B591="","",IFERROR(INDEX(Materials!$B$2:$B$201,MATCH(B591,Materials!$A$2:$A$201,0)),""))</f>
        <v/>
      </c>
      <c r="G591" s="18" t="str">
        <f aca="true">IF(AND(A591="",B591=""),"",IF(A591="","Missing product",IF(B591="","Missing material",IF(COUNTIF(ProductList,A591)=0,"Product not in Products list",IF(COUNTIF(MaterialList,B591)=0,"Material not in Materials list","OK")))))</f>
        <v/>
      </c>
      <c r="H591" s="18" t="str">
        <f aca="false">IF(F591="Active",A591&amp;"|"&amp;COUNTIFS(A$2:A591,A591,F$2:F591,"Active"),"")</f>
        <v/>
      </c>
      <c r="I591" s="18" t="str">
        <f aca="false">IF(B591="","",IF(SUMPRODUCT(MAX((A$1:A590=A591)*(B$1:B590=B591)*ROW(A$1:A590)))=0,C591&amp;"",IF(C591="",INDEX(I$1:I590,SUMPRODUCT(MAX((A$1:A590=A591)*(B$1:B590=B591)*ROW(A$1:A590)))),IF(INDEX(I$1:I590,SUMPRODUCT(MAX((A$1:A590=A591)*(B$1:B590=B591)*ROW(A$1:A590))))="",C591&amp;"",INDEX(I$1:I590,SUMPRODUCT(MAX((A$1:A590=A591)*(B$1:B590=B591)*ROW(A$1:A590))))&amp;"; "&amp;C591))))</f>
        <v/>
      </c>
      <c r="J591" s="18" t="str">
        <f aca="false">IF(A591="","",A591&amp;"|"&amp;COUNTIF(A$2:A591,A591))</f>
        <v/>
      </c>
      <c r="K591" s="18" t="n">
        <f aca="false">IF(OR(A591="",B591=""),0,IF(COUNTIFS(A$2:A591,A591,B$2:B591,B591)=1,1,0))</f>
        <v>0</v>
      </c>
    </row>
    <row r="592" customFormat="false" ht="15" hidden="false" customHeight="false" outlineLevel="0" collapsed="false">
      <c r="A592" s="15"/>
      <c r="B592" s="15"/>
      <c r="C592" s="15"/>
      <c r="D592" s="15"/>
      <c r="F592" s="18" t="str">
        <f aca="false">IF(B592="","",IFERROR(INDEX(Materials!$B$2:$B$201,MATCH(B592,Materials!$A$2:$A$201,0)),""))</f>
        <v/>
      </c>
      <c r="G592" s="18" t="str">
        <f aca="true">IF(AND(A592="",B592=""),"",IF(A592="","Missing product",IF(B592="","Missing material",IF(COUNTIF(ProductList,A592)=0,"Product not in Products list",IF(COUNTIF(MaterialList,B592)=0,"Material not in Materials list","OK")))))</f>
        <v/>
      </c>
      <c r="H592" s="18" t="str">
        <f aca="false">IF(F592="Active",A592&amp;"|"&amp;COUNTIFS(A$2:A592,A592,F$2:F592,"Active"),"")</f>
        <v/>
      </c>
      <c r="I592" s="18" t="str">
        <f aca="false">IF(B592="","",IF(SUMPRODUCT(MAX((A$1:A591=A592)*(B$1:B591=B592)*ROW(A$1:A591)))=0,C592&amp;"",IF(C592="",INDEX(I$1:I591,SUMPRODUCT(MAX((A$1:A591=A592)*(B$1:B591=B592)*ROW(A$1:A591)))),IF(INDEX(I$1:I591,SUMPRODUCT(MAX((A$1:A591=A592)*(B$1:B591=B592)*ROW(A$1:A591))))="",C592&amp;"",INDEX(I$1:I591,SUMPRODUCT(MAX((A$1:A591=A592)*(B$1:B591=B592)*ROW(A$1:A591))))&amp;"; "&amp;C592))))</f>
        <v/>
      </c>
      <c r="J592" s="18" t="str">
        <f aca="false">IF(A592="","",A592&amp;"|"&amp;COUNTIF(A$2:A592,A592))</f>
        <v/>
      </c>
      <c r="K592" s="18" t="n">
        <f aca="false">IF(OR(A592="",B592=""),0,IF(COUNTIFS(A$2:A592,A592,B$2:B592,B592)=1,1,0))</f>
        <v>0</v>
      </c>
    </row>
    <row r="593" customFormat="false" ht="15" hidden="false" customHeight="false" outlineLevel="0" collapsed="false">
      <c r="A593" s="15"/>
      <c r="B593" s="15"/>
      <c r="C593" s="15"/>
      <c r="D593" s="15"/>
      <c r="F593" s="18" t="str">
        <f aca="false">IF(B593="","",IFERROR(INDEX(Materials!$B$2:$B$201,MATCH(B593,Materials!$A$2:$A$201,0)),""))</f>
        <v/>
      </c>
      <c r="G593" s="18" t="str">
        <f aca="true">IF(AND(A593="",B593=""),"",IF(A593="","Missing product",IF(B593="","Missing material",IF(COUNTIF(ProductList,A593)=0,"Product not in Products list",IF(COUNTIF(MaterialList,B593)=0,"Material not in Materials list","OK")))))</f>
        <v/>
      </c>
      <c r="H593" s="18" t="str">
        <f aca="false">IF(F593="Active",A593&amp;"|"&amp;COUNTIFS(A$2:A593,A593,F$2:F593,"Active"),"")</f>
        <v/>
      </c>
      <c r="I593" s="18" t="str">
        <f aca="false">IF(B593="","",IF(SUMPRODUCT(MAX((A$1:A592=A593)*(B$1:B592=B593)*ROW(A$1:A592)))=0,C593&amp;"",IF(C593="",INDEX(I$1:I592,SUMPRODUCT(MAX((A$1:A592=A593)*(B$1:B592=B593)*ROW(A$1:A592)))),IF(INDEX(I$1:I592,SUMPRODUCT(MAX((A$1:A592=A593)*(B$1:B592=B593)*ROW(A$1:A592))))="",C593&amp;"",INDEX(I$1:I592,SUMPRODUCT(MAX((A$1:A592=A593)*(B$1:B592=B593)*ROW(A$1:A592))))&amp;"; "&amp;C593))))</f>
        <v/>
      </c>
      <c r="J593" s="18" t="str">
        <f aca="false">IF(A593="","",A593&amp;"|"&amp;COUNTIF(A$2:A593,A593))</f>
        <v/>
      </c>
      <c r="K593" s="18" t="n">
        <f aca="false">IF(OR(A593="",B593=""),0,IF(COUNTIFS(A$2:A593,A593,B$2:B593,B593)=1,1,0))</f>
        <v>0</v>
      </c>
    </row>
    <row r="594" customFormat="false" ht="15" hidden="false" customHeight="false" outlineLevel="0" collapsed="false">
      <c r="A594" s="15"/>
      <c r="B594" s="15"/>
      <c r="C594" s="15"/>
      <c r="D594" s="15"/>
      <c r="F594" s="18" t="str">
        <f aca="false">IF(B594="","",IFERROR(INDEX(Materials!$B$2:$B$201,MATCH(B594,Materials!$A$2:$A$201,0)),""))</f>
        <v/>
      </c>
      <c r="G594" s="18" t="str">
        <f aca="true">IF(AND(A594="",B594=""),"",IF(A594="","Missing product",IF(B594="","Missing material",IF(COUNTIF(ProductList,A594)=0,"Product not in Products list",IF(COUNTIF(MaterialList,B594)=0,"Material not in Materials list","OK")))))</f>
        <v/>
      </c>
      <c r="H594" s="18" t="str">
        <f aca="false">IF(F594="Active",A594&amp;"|"&amp;COUNTIFS(A$2:A594,A594,F$2:F594,"Active"),"")</f>
        <v/>
      </c>
      <c r="I594" s="18" t="str">
        <f aca="false">IF(B594="","",IF(SUMPRODUCT(MAX((A$1:A593=A594)*(B$1:B593=B594)*ROW(A$1:A593)))=0,C594&amp;"",IF(C594="",INDEX(I$1:I593,SUMPRODUCT(MAX((A$1:A593=A594)*(B$1:B593=B594)*ROW(A$1:A593)))),IF(INDEX(I$1:I593,SUMPRODUCT(MAX((A$1:A593=A594)*(B$1:B593=B594)*ROW(A$1:A593))))="",C594&amp;"",INDEX(I$1:I593,SUMPRODUCT(MAX((A$1:A593=A594)*(B$1:B593=B594)*ROW(A$1:A593))))&amp;"; "&amp;C594))))</f>
        <v/>
      </c>
      <c r="J594" s="18" t="str">
        <f aca="false">IF(A594="","",A594&amp;"|"&amp;COUNTIF(A$2:A594,A594))</f>
        <v/>
      </c>
      <c r="K594" s="18" t="n">
        <f aca="false">IF(OR(A594="",B594=""),0,IF(COUNTIFS(A$2:A594,A594,B$2:B594,B594)=1,1,0))</f>
        <v>0</v>
      </c>
    </row>
    <row r="595" customFormat="false" ht="15" hidden="false" customHeight="false" outlineLevel="0" collapsed="false">
      <c r="A595" s="15"/>
      <c r="B595" s="15"/>
      <c r="C595" s="15"/>
      <c r="D595" s="15"/>
      <c r="F595" s="18" t="str">
        <f aca="false">IF(B595="","",IFERROR(INDEX(Materials!$B$2:$B$201,MATCH(B595,Materials!$A$2:$A$201,0)),""))</f>
        <v/>
      </c>
      <c r="G595" s="18" t="str">
        <f aca="true">IF(AND(A595="",B595=""),"",IF(A595="","Missing product",IF(B595="","Missing material",IF(COUNTIF(ProductList,A595)=0,"Product not in Products list",IF(COUNTIF(MaterialList,B595)=0,"Material not in Materials list","OK")))))</f>
        <v/>
      </c>
      <c r="H595" s="18" t="str">
        <f aca="false">IF(F595="Active",A595&amp;"|"&amp;COUNTIFS(A$2:A595,A595,F$2:F595,"Active"),"")</f>
        <v/>
      </c>
      <c r="I595" s="18" t="str">
        <f aca="false">IF(B595="","",IF(SUMPRODUCT(MAX((A$1:A594=A595)*(B$1:B594=B595)*ROW(A$1:A594)))=0,C595&amp;"",IF(C595="",INDEX(I$1:I594,SUMPRODUCT(MAX((A$1:A594=A595)*(B$1:B594=B595)*ROW(A$1:A594)))),IF(INDEX(I$1:I594,SUMPRODUCT(MAX((A$1:A594=A595)*(B$1:B594=B595)*ROW(A$1:A594))))="",C595&amp;"",INDEX(I$1:I594,SUMPRODUCT(MAX((A$1:A594=A595)*(B$1:B594=B595)*ROW(A$1:A594))))&amp;"; "&amp;C595))))</f>
        <v/>
      </c>
      <c r="J595" s="18" t="str">
        <f aca="false">IF(A595="","",A595&amp;"|"&amp;COUNTIF(A$2:A595,A595))</f>
        <v/>
      </c>
      <c r="K595" s="18" t="n">
        <f aca="false">IF(OR(A595="",B595=""),0,IF(COUNTIFS(A$2:A595,A595,B$2:B595,B595)=1,1,0))</f>
        <v>0</v>
      </c>
    </row>
    <row r="596" customFormat="false" ht="15" hidden="false" customHeight="false" outlineLevel="0" collapsed="false">
      <c r="A596" s="15"/>
      <c r="B596" s="15"/>
      <c r="C596" s="15"/>
      <c r="D596" s="15"/>
      <c r="F596" s="18" t="str">
        <f aca="false">IF(B596="","",IFERROR(INDEX(Materials!$B$2:$B$201,MATCH(B596,Materials!$A$2:$A$201,0)),""))</f>
        <v/>
      </c>
      <c r="G596" s="18" t="str">
        <f aca="true">IF(AND(A596="",B596=""),"",IF(A596="","Missing product",IF(B596="","Missing material",IF(COUNTIF(ProductList,A596)=0,"Product not in Products list",IF(COUNTIF(MaterialList,B596)=0,"Material not in Materials list","OK")))))</f>
        <v/>
      </c>
      <c r="H596" s="18" t="str">
        <f aca="false">IF(F596="Active",A596&amp;"|"&amp;COUNTIFS(A$2:A596,A596,F$2:F596,"Active"),"")</f>
        <v/>
      </c>
      <c r="I596" s="18" t="str">
        <f aca="false">IF(B596="","",IF(SUMPRODUCT(MAX((A$1:A595=A596)*(B$1:B595=B596)*ROW(A$1:A595)))=0,C596&amp;"",IF(C596="",INDEX(I$1:I595,SUMPRODUCT(MAX((A$1:A595=A596)*(B$1:B595=B596)*ROW(A$1:A595)))),IF(INDEX(I$1:I595,SUMPRODUCT(MAX((A$1:A595=A596)*(B$1:B595=B596)*ROW(A$1:A595))))="",C596&amp;"",INDEX(I$1:I595,SUMPRODUCT(MAX((A$1:A595=A596)*(B$1:B595=B596)*ROW(A$1:A595))))&amp;"; "&amp;C596))))</f>
        <v/>
      </c>
      <c r="J596" s="18" t="str">
        <f aca="false">IF(A596="","",A596&amp;"|"&amp;COUNTIF(A$2:A596,A596))</f>
        <v/>
      </c>
      <c r="K596" s="18" t="n">
        <f aca="false">IF(OR(A596="",B596=""),0,IF(COUNTIFS(A$2:A596,A596,B$2:B596,B596)=1,1,0))</f>
        <v>0</v>
      </c>
    </row>
    <row r="597" customFormat="false" ht="15" hidden="false" customHeight="false" outlineLevel="0" collapsed="false">
      <c r="A597" s="15"/>
      <c r="B597" s="15"/>
      <c r="C597" s="15"/>
      <c r="D597" s="15"/>
      <c r="F597" s="18" t="str">
        <f aca="false">IF(B597="","",IFERROR(INDEX(Materials!$B$2:$B$201,MATCH(B597,Materials!$A$2:$A$201,0)),""))</f>
        <v/>
      </c>
      <c r="G597" s="18" t="str">
        <f aca="true">IF(AND(A597="",B597=""),"",IF(A597="","Missing product",IF(B597="","Missing material",IF(COUNTIF(ProductList,A597)=0,"Product not in Products list",IF(COUNTIF(MaterialList,B597)=0,"Material not in Materials list","OK")))))</f>
        <v/>
      </c>
      <c r="H597" s="18" t="str">
        <f aca="false">IF(F597="Active",A597&amp;"|"&amp;COUNTIFS(A$2:A597,A597,F$2:F597,"Active"),"")</f>
        <v/>
      </c>
      <c r="I597" s="18" t="str">
        <f aca="false">IF(B597="","",IF(SUMPRODUCT(MAX((A$1:A596=A597)*(B$1:B596=B597)*ROW(A$1:A596)))=0,C597&amp;"",IF(C597="",INDEX(I$1:I596,SUMPRODUCT(MAX((A$1:A596=A597)*(B$1:B596=B597)*ROW(A$1:A596)))),IF(INDEX(I$1:I596,SUMPRODUCT(MAX((A$1:A596=A597)*(B$1:B596=B597)*ROW(A$1:A596))))="",C597&amp;"",INDEX(I$1:I596,SUMPRODUCT(MAX((A$1:A596=A597)*(B$1:B596=B597)*ROW(A$1:A596))))&amp;"; "&amp;C597))))</f>
        <v/>
      </c>
      <c r="J597" s="18" t="str">
        <f aca="false">IF(A597="","",A597&amp;"|"&amp;COUNTIF(A$2:A597,A597))</f>
        <v/>
      </c>
      <c r="K597" s="18" t="n">
        <f aca="false">IF(OR(A597="",B597=""),0,IF(COUNTIFS(A$2:A597,A597,B$2:B597,B597)=1,1,0))</f>
        <v>0</v>
      </c>
    </row>
    <row r="598" customFormat="false" ht="15" hidden="false" customHeight="false" outlineLevel="0" collapsed="false">
      <c r="A598" s="15"/>
      <c r="B598" s="15"/>
      <c r="C598" s="15"/>
      <c r="D598" s="15"/>
      <c r="F598" s="18" t="str">
        <f aca="false">IF(B598="","",IFERROR(INDEX(Materials!$B$2:$B$201,MATCH(B598,Materials!$A$2:$A$201,0)),""))</f>
        <v/>
      </c>
      <c r="G598" s="18" t="str">
        <f aca="true">IF(AND(A598="",B598=""),"",IF(A598="","Missing product",IF(B598="","Missing material",IF(COUNTIF(ProductList,A598)=0,"Product not in Products list",IF(COUNTIF(MaterialList,B598)=0,"Material not in Materials list","OK")))))</f>
        <v/>
      </c>
      <c r="H598" s="18" t="str">
        <f aca="false">IF(F598="Active",A598&amp;"|"&amp;COUNTIFS(A$2:A598,A598,F$2:F598,"Active"),"")</f>
        <v/>
      </c>
      <c r="I598" s="18" t="str">
        <f aca="false">IF(B598="","",IF(SUMPRODUCT(MAX((A$1:A597=A598)*(B$1:B597=B598)*ROW(A$1:A597)))=0,C598&amp;"",IF(C598="",INDEX(I$1:I597,SUMPRODUCT(MAX((A$1:A597=A598)*(B$1:B597=B598)*ROW(A$1:A597)))),IF(INDEX(I$1:I597,SUMPRODUCT(MAX((A$1:A597=A598)*(B$1:B597=B598)*ROW(A$1:A597))))="",C598&amp;"",INDEX(I$1:I597,SUMPRODUCT(MAX((A$1:A597=A598)*(B$1:B597=B598)*ROW(A$1:A597))))&amp;"; "&amp;C598))))</f>
        <v/>
      </c>
      <c r="J598" s="18" t="str">
        <f aca="false">IF(A598="","",A598&amp;"|"&amp;COUNTIF(A$2:A598,A598))</f>
        <v/>
      </c>
      <c r="K598" s="18" t="n">
        <f aca="false">IF(OR(A598="",B598=""),0,IF(COUNTIFS(A$2:A598,A598,B$2:B598,B598)=1,1,0))</f>
        <v>0</v>
      </c>
    </row>
    <row r="599" customFormat="false" ht="15" hidden="false" customHeight="false" outlineLevel="0" collapsed="false">
      <c r="A599" s="15"/>
      <c r="B599" s="15"/>
      <c r="C599" s="15"/>
      <c r="D599" s="15"/>
      <c r="F599" s="18" t="str">
        <f aca="false">IF(B599="","",IFERROR(INDEX(Materials!$B$2:$B$201,MATCH(B599,Materials!$A$2:$A$201,0)),""))</f>
        <v/>
      </c>
      <c r="G599" s="18" t="str">
        <f aca="true">IF(AND(A599="",B599=""),"",IF(A599="","Missing product",IF(B599="","Missing material",IF(COUNTIF(ProductList,A599)=0,"Product not in Products list",IF(COUNTIF(MaterialList,B599)=0,"Material not in Materials list","OK")))))</f>
        <v/>
      </c>
      <c r="H599" s="18" t="str">
        <f aca="false">IF(F599="Active",A599&amp;"|"&amp;COUNTIFS(A$2:A599,A599,F$2:F599,"Active"),"")</f>
        <v/>
      </c>
      <c r="I599" s="18" t="str">
        <f aca="false">IF(B599="","",IF(SUMPRODUCT(MAX((A$1:A598=A599)*(B$1:B598=B599)*ROW(A$1:A598)))=0,C599&amp;"",IF(C599="",INDEX(I$1:I598,SUMPRODUCT(MAX((A$1:A598=A599)*(B$1:B598=B599)*ROW(A$1:A598)))),IF(INDEX(I$1:I598,SUMPRODUCT(MAX((A$1:A598=A599)*(B$1:B598=B599)*ROW(A$1:A598))))="",C599&amp;"",INDEX(I$1:I598,SUMPRODUCT(MAX((A$1:A598=A599)*(B$1:B598=B599)*ROW(A$1:A598))))&amp;"; "&amp;C599))))</f>
        <v/>
      </c>
      <c r="J599" s="18" t="str">
        <f aca="false">IF(A599="","",A599&amp;"|"&amp;COUNTIF(A$2:A599,A599))</f>
        <v/>
      </c>
      <c r="K599" s="18" t="n">
        <f aca="false">IF(OR(A599="",B599=""),0,IF(COUNTIFS(A$2:A599,A599,B$2:B599,B599)=1,1,0))</f>
        <v>0</v>
      </c>
    </row>
    <row r="600" customFormat="false" ht="15" hidden="false" customHeight="false" outlineLevel="0" collapsed="false">
      <c r="A600" s="15"/>
      <c r="B600" s="15"/>
      <c r="C600" s="15"/>
      <c r="D600" s="15"/>
      <c r="F600" s="18" t="str">
        <f aca="false">IF(B600="","",IFERROR(INDEX(Materials!$B$2:$B$201,MATCH(B600,Materials!$A$2:$A$201,0)),""))</f>
        <v/>
      </c>
      <c r="G600" s="18" t="str">
        <f aca="true">IF(AND(A600="",B600=""),"",IF(A600="","Missing product",IF(B600="","Missing material",IF(COUNTIF(ProductList,A600)=0,"Product not in Products list",IF(COUNTIF(MaterialList,B600)=0,"Material not in Materials list","OK")))))</f>
        <v/>
      </c>
      <c r="H600" s="18" t="str">
        <f aca="false">IF(F600="Active",A600&amp;"|"&amp;COUNTIFS(A$2:A600,A600,F$2:F600,"Active"),"")</f>
        <v/>
      </c>
      <c r="I600" s="18" t="str">
        <f aca="false">IF(B600="","",IF(SUMPRODUCT(MAX((A$1:A599=A600)*(B$1:B599=B600)*ROW(A$1:A599)))=0,C600&amp;"",IF(C600="",INDEX(I$1:I599,SUMPRODUCT(MAX((A$1:A599=A600)*(B$1:B599=B600)*ROW(A$1:A599)))),IF(INDEX(I$1:I599,SUMPRODUCT(MAX((A$1:A599=A600)*(B$1:B599=B600)*ROW(A$1:A599))))="",C600&amp;"",INDEX(I$1:I599,SUMPRODUCT(MAX((A$1:A599=A600)*(B$1:B599=B600)*ROW(A$1:A599))))&amp;"; "&amp;C600))))</f>
        <v/>
      </c>
      <c r="J600" s="18" t="str">
        <f aca="false">IF(A600="","",A600&amp;"|"&amp;COUNTIF(A$2:A600,A600))</f>
        <v/>
      </c>
      <c r="K600" s="18" t="n">
        <f aca="false">IF(OR(A600="",B600=""),0,IF(COUNTIFS(A$2:A600,A600,B$2:B600,B600)=1,1,0))</f>
        <v>0</v>
      </c>
    </row>
    <row r="601" customFormat="false" ht="15" hidden="false" customHeight="false" outlineLevel="0" collapsed="false">
      <c r="A601" s="15"/>
      <c r="B601" s="15"/>
      <c r="C601" s="15"/>
      <c r="D601" s="15"/>
      <c r="F601" s="18" t="str">
        <f aca="false">IF(B601="","",IFERROR(INDEX(Materials!$B$2:$B$201,MATCH(B601,Materials!$A$2:$A$201,0)),""))</f>
        <v/>
      </c>
      <c r="G601" s="18" t="str">
        <f aca="true">IF(AND(A601="",B601=""),"",IF(A601="","Missing product",IF(B601="","Missing material",IF(COUNTIF(ProductList,A601)=0,"Product not in Products list",IF(COUNTIF(MaterialList,B601)=0,"Material not in Materials list","OK")))))</f>
        <v/>
      </c>
      <c r="H601" s="18" t="str">
        <f aca="false">IF(F601="Active",A601&amp;"|"&amp;COUNTIFS(A$2:A601,A601,F$2:F601,"Active"),"")</f>
        <v/>
      </c>
      <c r="I601" s="18" t="str">
        <f aca="false">IF(B601="","",IF(SUMPRODUCT(MAX((A$1:A600=A601)*(B$1:B600=B601)*ROW(A$1:A600)))=0,C601&amp;"",IF(C601="",INDEX(I$1:I600,SUMPRODUCT(MAX((A$1:A600=A601)*(B$1:B600=B601)*ROW(A$1:A600)))),IF(INDEX(I$1:I600,SUMPRODUCT(MAX((A$1:A600=A601)*(B$1:B600=B601)*ROW(A$1:A600))))="",C601&amp;"",INDEX(I$1:I600,SUMPRODUCT(MAX((A$1:A600=A601)*(B$1:B600=B601)*ROW(A$1:A600))))&amp;"; "&amp;C601))))</f>
        <v/>
      </c>
      <c r="J601" s="18" t="str">
        <f aca="false">IF(A601="","",A601&amp;"|"&amp;COUNTIF(A$2:A601,A601))</f>
        <v/>
      </c>
      <c r="K601" s="18" t="n">
        <f aca="false">IF(OR(A601="",B601=""),0,IF(COUNTIFS(A$2:A601,A601,B$2:B601,B601)=1,1,0))</f>
        <v>0</v>
      </c>
    </row>
    <row r="602" customFormat="false" ht="15" hidden="false" customHeight="false" outlineLevel="0" collapsed="false">
      <c r="A602" s="15"/>
      <c r="B602" s="15"/>
      <c r="C602" s="15"/>
      <c r="D602" s="15"/>
      <c r="F602" s="18" t="str">
        <f aca="false">IF(B602="","",IFERROR(INDEX(Materials!$B$2:$B$201,MATCH(B602,Materials!$A$2:$A$201,0)),""))</f>
        <v/>
      </c>
      <c r="G602" s="18" t="str">
        <f aca="true">IF(AND(A602="",B602=""),"",IF(A602="","Missing product",IF(B602="","Missing material",IF(COUNTIF(ProductList,A602)=0,"Product not in Products list",IF(COUNTIF(MaterialList,B602)=0,"Material not in Materials list","OK")))))</f>
        <v/>
      </c>
      <c r="H602" s="18" t="str">
        <f aca="false">IF(F602="Active",A602&amp;"|"&amp;COUNTIFS(A$2:A602,A602,F$2:F602,"Active"),"")</f>
        <v/>
      </c>
      <c r="I602" s="18" t="str">
        <f aca="false">IF(B602="","",IF(SUMPRODUCT(MAX((A$1:A601=A602)*(B$1:B601=B602)*ROW(A$1:A601)))=0,C602&amp;"",IF(C602="",INDEX(I$1:I601,SUMPRODUCT(MAX((A$1:A601=A602)*(B$1:B601=B602)*ROW(A$1:A601)))),IF(INDEX(I$1:I601,SUMPRODUCT(MAX((A$1:A601=A602)*(B$1:B601=B602)*ROW(A$1:A601))))="",C602&amp;"",INDEX(I$1:I601,SUMPRODUCT(MAX((A$1:A601=A602)*(B$1:B601=B602)*ROW(A$1:A601))))&amp;"; "&amp;C602))))</f>
        <v/>
      </c>
      <c r="J602" s="18" t="str">
        <f aca="false">IF(A602="","",A602&amp;"|"&amp;COUNTIF(A$2:A602,A602))</f>
        <v/>
      </c>
      <c r="K602" s="18" t="n">
        <f aca="false">IF(OR(A602="",B602=""),0,IF(COUNTIFS(A$2:A602,A602,B$2:B602,B602)=1,1,0))</f>
        <v>0</v>
      </c>
    </row>
    <row r="603" customFormat="false" ht="15" hidden="false" customHeight="false" outlineLevel="0" collapsed="false">
      <c r="A603" s="15"/>
      <c r="B603" s="15"/>
      <c r="C603" s="15"/>
      <c r="D603" s="15"/>
      <c r="F603" s="18" t="str">
        <f aca="false">IF(B603="","",IFERROR(INDEX(Materials!$B$2:$B$201,MATCH(B603,Materials!$A$2:$A$201,0)),""))</f>
        <v/>
      </c>
      <c r="G603" s="18" t="str">
        <f aca="true">IF(AND(A603="",B603=""),"",IF(A603="","Missing product",IF(B603="","Missing material",IF(COUNTIF(ProductList,A603)=0,"Product not in Products list",IF(COUNTIF(MaterialList,B603)=0,"Material not in Materials list","OK")))))</f>
        <v/>
      </c>
      <c r="H603" s="18" t="str">
        <f aca="false">IF(F603="Active",A603&amp;"|"&amp;COUNTIFS(A$2:A603,A603,F$2:F603,"Active"),"")</f>
        <v/>
      </c>
      <c r="I603" s="18" t="str">
        <f aca="false">IF(B603="","",IF(SUMPRODUCT(MAX((A$1:A602=A603)*(B$1:B602=B603)*ROW(A$1:A602)))=0,C603&amp;"",IF(C603="",INDEX(I$1:I602,SUMPRODUCT(MAX((A$1:A602=A603)*(B$1:B602=B603)*ROW(A$1:A602)))),IF(INDEX(I$1:I602,SUMPRODUCT(MAX((A$1:A602=A603)*(B$1:B602=B603)*ROW(A$1:A602))))="",C603&amp;"",INDEX(I$1:I602,SUMPRODUCT(MAX((A$1:A602=A603)*(B$1:B602=B603)*ROW(A$1:A602))))&amp;"; "&amp;C603))))</f>
        <v/>
      </c>
      <c r="J603" s="18" t="str">
        <f aca="false">IF(A603="","",A603&amp;"|"&amp;COUNTIF(A$2:A603,A603))</f>
        <v/>
      </c>
      <c r="K603" s="18" t="n">
        <f aca="false">IF(OR(A603="",B603=""),0,IF(COUNTIFS(A$2:A603,A603,B$2:B603,B603)=1,1,0))</f>
        <v>0</v>
      </c>
    </row>
    <row r="604" customFormat="false" ht="15" hidden="false" customHeight="false" outlineLevel="0" collapsed="false">
      <c r="A604" s="15"/>
      <c r="B604" s="15"/>
      <c r="C604" s="15"/>
      <c r="D604" s="15"/>
      <c r="F604" s="18" t="str">
        <f aca="false">IF(B604="","",IFERROR(INDEX(Materials!$B$2:$B$201,MATCH(B604,Materials!$A$2:$A$201,0)),""))</f>
        <v/>
      </c>
      <c r="G604" s="18" t="str">
        <f aca="true">IF(AND(A604="",B604=""),"",IF(A604="","Missing product",IF(B604="","Missing material",IF(COUNTIF(ProductList,A604)=0,"Product not in Products list",IF(COUNTIF(MaterialList,B604)=0,"Material not in Materials list","OK")))))</f>
        <v/>
      </c>
      <c r="H604" s="18" t="str">
        <f aca="false">IF(F604="Active",A604&amp;"|"&amp;COUNTIFS(A$2:A604,A604,F$2:F604,"Active"),"")</f>
        <v/>
      </c>
      <c r="I604" s="18" t="str">
        <f aca="false">IF(B604="","",IF(SUMPRODUCT(MAX((A$1:A603=A604)*(B$1:B603=B604)*ROW(A$1:A603)))=0,C604&amp;"",IF(C604="",INDEX(I$1:I603,SUMPRODUCT(MAX((A$1:A603=A604)*(B$1:B603=B604)*ROW(A$1:A603)))),IF(INDEX(I$1:I603,SUMPRODUCT(MAX((A$1:A603=A604)*(B$1:B603=B604)*ROW(A$1:A603))))="",C604&amp;"",INDEX(I$1:I603,SUMPRODUCT(MAX((A$1:A603=A604)*(B$1:B603=B604)*ROW(A$1:A603))))&amp;"; "&amp;C604))))</f>
        <v/>
      </c>
      <c r="J604" s="18" t="str">
        <f aca="false">IF(A604="","",A604&amp;"|"&amp;COUNTIF(A$2:A604,A604))</f>
        <v/>
      </c>
      <c r="K604" s="18" t="n">
        <f aca="false">IF(OR(A604="",B604=""),0,IF(COUNTIFS(A$2:A604,A604,B$2:B604,B604)=1,1,0))</f>
        <v>0</v>
      </c>
    </row>
    <row r="605" customFormat="false" ht="15" hidden="false" customHeight="false" outlineLevel="0" collapsed="false">
      <c r="A605" s="15"/>
      <c r="B605" s="15"/>
      <c r="C605" s="15"/>
      <c r="D605" s="15"/>
      <c r="F605" s="18" t="str">
        <f aca="false">IF(B605="","",IFERROR(INDEX(Materials!$B$2:$B$201,MATCH(B605,Materials!$A$2:$A$201,0)),""))</f>
        <v/>
      </c>
      <c r="G605" s="18" t="str">
        <f aca="true">IF(AND(A605="",B605=""),"",IF(A605="","Missing product",IF(B605="","Missing material",IF(COUNTIF(ProductList,A605)=0,"Product not in Products list",IF(COUNTIF(MaterialList,B605)=0,"Material not in Materials list","OK")))))</f>
        <v/>
      </c>
      <c r="H605" s="18" t="str">
        <f aca="false">IF(F605="Active",A605&amp;"|"&amp;COUNTIFS(A$2:A605,A605,F$2:F605,"Active"),"")</f>
        <v/>
      </c>
      <c r="I605" s="18" t="str">
        <f aca="false">IF(B605="","",IF(SUMPRODUCT(MAX((A$1:A604=A605)*(B$1:B604=B605)*ROW(A$1:A604)))=0,C605&amp;"",IF(C605="",INDEX(I$1:I604,SUMPRODUCT(MAX((A$1:A604=A605)*(B$1:B604=B605)*ROW(A$1:A604)))),IF(INDEX(I$1:I604,SUMPRODUCT(MAX((A$1:A604=A605)*(B$1:B604=B605)*ROW(A$1:A604))))="",C605&amp;"",INDEX(I$1:I604,SUMPRODUCT(MAX((A$1:A604=A605)*(B$1:B604=B605)*ROW(A$1:A604))))&amp;"; "&amp;C605))))</f>
        <v/>
      </c>
      <c r="J605" s="18" t="str">
        <f aca="false">IF(A605="","",A605&amp;"|"&amp;COUNTIF(A$2:A605,A605))</f>
        <v/>
      </c>
      <c r="K605" s="18" t="n">
        <f aca="false">IF(OR(A605="",B605=""),0,IF(COUNTIFS(A$2:A605,A605,B$2:B605,B605)=1,1,0))</f>
        <v>0</v>
      </c>
    </row>
    <row r="606" customFormat="false" ht="15" hidden="false" customHeight="false" outlineLevel="0" collapsed="false">
      <c r="A606" s="15"/>
      <c r="B606" s="15"/>
      <c r="C606" s="15"/>
      <c r="D606" s="15"/>
      <c r="F606" s="18" t="str">
        <f aca="false">IF(B606="","",IFERROR(INDEX(Materials!$B$2:$B$201,MATCH(B606,Materials!$A$2:$A$201,0)),""))</f>
        <v/>
      </c>
      <c r="G606" s="18" t="str">
        <f aca="true">IF(AND(A606="",B606=""),"",IF(A606="","Missing product",IF(B606="","Missing material",IF(COUNTIF(ProductList,A606)=0,"Product not in Products list",IF(COUNTIF(MaterialList,B606)=0,"Material not in Materials list","OK")))))</f>
        <v/>
      </c>
      <c r="H606" s="18" t="str">
        <f aca="false">IF(F606="Active",A606&amp;"|"&amp;COUNTIFS(A$2:A606,A606,F$2:F606,"Active"),"")</f>
        <v/>
      </c>
      <c r="I606" s="18" t="str">
        <f aca="false">IF(B606="","",IF(SUMPRODUCT(MAX((A$1:A605=A606)*(B$1:B605=B606)*ROW(A$1:A605)))=0,C606&amp;"",IF(C606="",INDEX(I$1:I605,SUMPRODUCT(MAX((A$1:A605=A606)*(B$1:B605=B606)*ROW(A$1:A605)))),IF(INDEX(I$1:I605,SUMPRODUCT(MAX((A$1:A605=A606)*(B$1:B605=B606)*ROW(A$1:A605))))="",C606&amp;"",INDEX(I$1:I605,SUMPRODUCT(MAX((A$1:A605=A606)*(B$1:B605=B606)*ROW(A$1:A605))))&amp;"; "&amp;C606))))</f>
        <v/>
      </c>
      <c r="J606" s="18" t="str">
        <f aca="false">IF(A606="","",A606&amp;"|"&amp;COUNTIF(A$2:A606,A606))</f>
        <v/>
      </c>
      <c r="K606" s="18" t="n">
        <f aca="false">IF(OR(A606="",B606=""),0,IF(COUNTIFS(A$2:A606,A606,B$2:B606,B606)=1,1,0))</f>
        <v>0</v>
      </c>
    </row>
    <row r="607" customFormat="false" ht="15" hidden="false" customHeight="false" outlineLevel="0" collapsed="false">
      <c r="A607" s="15"/>
      <c r="B607" s="15"/>
      <c r="C607" s="15"/>
      <c r="D607" s="15"/>
      <c r="F607" s="18" t="str">
        <f aca="false">IF(B607="","",IFERROR(INDEX(Materials!$B$2:$B$201,MATCH(B607,Materials!$A$2:$A$201,0)),""))</f>
        <v/>
      </c>
      <c r="G607" s="18" t="str">
        <f aca="true">IF(AND(A607="",B607=""),"",IF(A607="","Missing product",IF(B607="","Missing material",IF(COUNTIF(ProductList,A607)=0,"Product not in Products list",IF(COUNTIF(MaterialList,B607)=0,"Material not in Materials list","OK")))))</f>
        <v/>
      </c>
      <c r="H607" s="18" t="str">
        <f aca="false">IF(F607="Active",A607&amp;"|"&amp;COUNTIFS(A$2:A607,A607,F$2:F607,"Active"),"")</f>
        <v/>
      </c>
      <c r="I607" s="18" t="str">
        <f aca="false">IF(B607="","",IF(SUMPRODUCT(MAX((A$1:A606=A607)*(B$1:B606=B607)*ROW(A$1:A606)))=0,C607&amp;"",IF(C607="",INDEX(I$1:I606,SUMPRODUCT(MAX((A$1:A606=A607)*(B$1:B606=B607)*ROW(A$1:A606)))),IF(INDEX(I$1:I606,SUMPRODUCT(MAX((A$1:A606=A607)*(B$1:B606=B607)*ROW(A$1:A606))))="",C607&amp;"",INDEX(I$1:I606,SUMPRODUCT(MAX((A$1:A606=A607)*(B$1:B606=B607)*ROW(A$1:A606))))&amp;"; "&amp;C607))))</f>
        <v/>
      </c>
      <c r="J607" s="18" t="str">
        <f aca="false">IF(A607="","",A607&amp;"|"&amp;COUNTIF(A$2:A607,A607))</f>
        <v/>
      </c>
      <c r="K607" s="18" t="n">
        <f aca="false">IF(OR(A607="",B607=""),0,IF(COUNTIFS(A$2:A607,A607,B$2:B607,B607)=1,1,0))</f>
        <v>0</v>
      </c>
    </row>
    <row r="608" customFormat="false" ht="15" hidden="false" customHeight="false" outlineLevel="0" collapsed="false">
      <c r="A608" s="15"/>
      <c r="B608" s="15"/>
      <c r="C608" s="15"/>
      <c r="D608" s="15"/>
      <c r="F608" s="18" t="str">
        <f aca="false">IF(B608="","",IFERROR(INDEX(Materials!$B$2:$B$201,MATCH(B608,Materials!$A$2:$A$201,0)),""))</f>
        <v/>
      </c>
      <c r="G608" s="18" t="str">
        <f aca="true">IF(AND(A608="",B608=""),"",IF(A608="","Missing product",IF(B608="","Missing material",IF(COUNTIF(ProductList,A608)=0,"Product not in Products list",IF(COUNTIF(MaterialList,B608)=0,"Material not in Materials list","OK")))))</f>
        <v/>
      </c>
      <c r="H608" s="18" t="str">
        <f aca="false">IF(F608="Active",A608&amp;"|"&amp;COUNTIFS(A$2:A608,A608,F$2:F608,"Active"),"")</f>
        <v/>
      </c>
      <c r="I608" s="18" t="str">
        <f aca="false">IF(B608="","",IF(SUMPRODUCT(MAX((A$1:A607=A608)*(B$1:B607=B608)*ROW(A$1:A607)))=0,C608&amp;"",IF(C608="",INDEX(I$1:I607,SUMPRODUCT(MAX((A$1:A607=A608)*(B$1:B607=B608)*ROW(A$1:A607)))),IF(INDEX(I$1:I607,SUMPRODUCT(MAX((A$1:A607=A608)*(B$1:B607=B608)*ROW(A$1:A607))))="",C608&amp;"",INDEX(I$1:I607,SUMPRODUCT(MAX((A$1:A607=A608)*(B$1:B607=B608)*ROW(A$1:A607))))&amp;"; "&amp;C608))))</f>
        <v/>
      </c>
      <c r="J608" s="18" t="str">
        <f aca="false">IF(A608="","",A608&amp;"|"&amp;COUNTIF(A$2:A608,A608))</f>
        <v/>
      </c>
      <c r="K608" s="18" t="n">
        <f aca="false">IF(OR(A608="",B608=""),0,IF(COUNTIFS(A$2:A608,A608,B$2:B608,B608)=1,1,0))</f>
        <v>0</v>
      </c>
    </row>
    <row r="609" customFormat="false" ht="15" hidden="false" customHeight="false" outlineLevel="0" collapsed="false">
      <c r="A609" s="15"/>
      <c r="B609" s="15"/>
      <c r="C609" s="15"/>
      <c r="D609" s="15"/>
      <c r="F609" s="18" t="str">
        <f aca="false">IF(B609="","",IFERROR(INDEX(Materials!$B$2:$B$201,MATCH(B609,Materials!$A$2:$A$201,0)),""))</f>
        <v/>
      </c>
      <c r="G609" s="18" t="str">
        <f aca="true">IF(AND(A609="",B609=""),"",IF(A609="","Missing product",IF(B609="","Missing material",IF(COUNTIF(ProductList,A609)=0,"Product not in Products list",IF(COUNTIF(MaterialList,B609)=0,"Material not in Materials list","OK")))))</f>
        <v/>
      </c>
      <c r="H609" s="18" t="str">
        <f aca="false">IF(F609="Active",A609&amp;"|"&amp;COUNTIFS(A$2:A609,A609,F$2:F609,"Active"),"")</f>
        <v/>
      </c>
      <c r="I609" s="18" t="str">
        <f aca="false">IF(B609="","",IF(SUMPRODUCT(MAX((A$1:A608=A609)*(B$1:B608=B609)*ROW(A$1:A608)))=0,C609&amp;"",IF(C609="",INDEX(I$1:I608,SUMPRODUCT(MAX((A$1:A608=A609)*(B$1:B608=B609)*ROW(A$1:A608)))),IF(INDEX(I$1:I608,SUMPRODUCT(MAX((A$1:A608=A609)*(B$1:B608=B609)*ROW(A$1:A608))))="",C609&amp;"",INDEX(I$1:I608,SUMPRODUCT(MAX((A$1:A608=A609)*(B$1:B608=B609)*ROW(A$1:A608))))&amp;"; "&amp;C609))))</f>
        <v/>
      </c>
      <c r="J609" s="18" t="str">
        <f aca="false">IF(A609="","",A609&amp;"|"&amp;COUNTIF(A$2:A609,A609))</f>
        <v/>
      </c>
      <c r="K609" s="18" t="n">
        <f aca="false">IF(OR(A609="",B609=""),0,IF(COUNTIFS(A$2:A609,A609,B$2:B609,B609)=1,1,0))</f>
        <v>0</v>
      </c>
    </row>
    <row r="610" customFormat="false" ht="15" hidden="false" customHeight="false" outlineLevel="0" collapsed="false">
      <c r="A610" s="15"/>
      <c r="B610" s="15"/>
      <c r="C610" s="15"/>
      <c r="D610" s="15"/>
      <c r="F610" s="18" t="str">
        <f aca="false">IF(B610="","",IFERROR(INDEX(Materials!$B$2:$B$201,MATCH(B610,Materials!$A$2:$A$201,0)),""))</f>
        <v/>
      </c>
      <c r="G610" s="18" t="str">
        <f aca="true">IF(AND(A610="",B610=""),"",IF(A610="","Missing product",IF(B610="","Missing material",IF(COUNTIF(ProductList,A610)=0,"Product not in Products list",IF(COUNTIF(MaterialList,B610)=0,"Material not in Materials list","OK")))))</f>
        <v/>
      </c>
      <c r="H610" s="18" t="str">
        <f aca="false">IF(F610="Active",A610&amp;"|"&amp;COUNTIFS(A$2:A610,A610,F$2:F610,"Active"),"")</f>
        <v/>
      </c>
      <c r="I610" s="18" t="str">
        <f aca="false">IF(B610="","",IF(SUMPRODUCT(MAX((A$1:A609=A610)*(B$1:B609=B610)*ROW(A$1:A609)))=0,C610&amp;"",IF(C610="",INDEX(I$1:I609,SUMPRODUCT(MAX((A$1:A609=A610)*(B$1:B609=B610)*ROW(A$1:A609)))),IF(INDEX(I$1:I609,SUMPRODUCT(MAX((A$1:A609=A610)*(B$1:B609=B610)*ROW(A$1:A609))))="",C610&amp;"",INDEX(I$1:I609,SUMPRODUCT(MAX((A$1:A609=A610)*(B$1:B609=B610)*ROW(A$1:A609))))&amp;"; "&amp;C610))))</f>
        <v/>
      </c>
      <c r="J610" s="18" t="str">
        <f aca="false">IF(A610="","",A610&amp;"|"&amp;COUNTIF(A$2:A610,A610))</f>
        <v/>
      </c>
      <c r="K610" s="18" t="n">
        <f aca="false">IF(OR(A610="",B610=""),0,IF(COUNTIFS(A$2:A610,A610,B$2:B610,B610)=1,1,0))</f>
        <v>0</v>
      </c>
    </row>
    <row r="611" customFormat="false" ht="15" hidden="false" customHeight="false" outlineLevel="0" collapsed="false">
      <c r="A611" s="15"/>
      <c r="B611" s="15"/>
      <c r="C611" s="15"/>
      <c r="D611" s="15"/>
      <c r="F611" s="18" t="str">
        <f aca="false">IF(B611="","",IFERROR(INDEX(Materials!$B$2:$B$201,MATCH(B611,Materials!$A$2:$A$201,0)),""))</f>
        <v/>
      </c>
      <c r="G611" s="18" t="str">
        <f aca="true">IF(AND(A611="",B611=""),"",IF(A611="","Missing product",IF(B611="","Missing material",IF(COUNTIF(ProductList,A611)=0,"Product not in Products list",IF(COUNTIF(MaterialList,B611)=0,"Material not in Materials list","OK")))))</f>
        <v/>
      </c>
      <c r="H611" s="18" t="str">
        <f aca="false">IF(F611="Active",A611&amp;"|"&amp;COUNTIFS(A$2:A611,A611,F$2:F611,"Active"),"")</f>
        <v/>
      </c>
      <c r="I611" s="18" t="str">
        <f aca="false">IF(B611="","",IF(SUMPRODUCT(MAX((A$1:A610=A611)*(B$1:B610=B611)*ROW(A$1:A610)))=0,C611&amp;"",IF(C611="",INDEX(I$1:I610,SUMPRODUCT(MAX((A$1:A610=A611)*(B$1:B610=B611)*ROW(A$1:A610)))),IF(INDEX(I$1:I610,SUMPRODUCT(MAX((A$1:A610=A611)*(B$1:B610=B611)*ROW(A$1:A610))))="",C611&amp;"",INDEX(I$1:I610,SUMPRODUCT(MAX((A$1:A610=A611)*(B$1:B610=B611)*ROW(A$1:A610))))&amp;"; "&amp;C611))))</f>
        <v/>
      </c>
      <c r="J611" s="18" t="str">
        <f aca="false">IF(A611="","",A611&amp;"|"&amp;COUNTIF(A$2:A611,A611))</f>
        <v/>
      </c>
      <c r="K611" s="18" t="n">
        <f aca="false">IF(OR(A611="",B611=""),0,IF(COUNTIFS(A$2:A611,A611,B$2:B611,B611)=1,1,0))</f>
        <v>0</v>
      </c>
    </row>
    <row r="612" customFormat="false" ht="15" hidden="false" customHeight="false" outlineLevel="0" collapsed="false">
      <c r="A612" s="15"/>
      <c r="B612" s="15"/>
      <c r="C612" s="15"/>
      <c r="D612" s="15"/>
      <c r="F612" s="18" t="str">
        <f aca="false">IF(B612="","",IFERROR(INDEX(Materials!$B$2:$B$201,MATCH(B612,Materials!$A$2:$A$201,0)),""))</f>
        <v/>
      </c>
      <c r="G612" s="18" t="str">
        <f aca="true">IF(AND(A612="",B612=""),"",IF(A612="","Missing product",IF(B612="","Missing material",IF(COUNTIF(ProductList,A612)=0,"Product not in Products list",IF(COUNTIF(MaterialList,B612)=0,"Material not in Materials list","OK")))))</f>
        <v/>
      </c>
      <c r="H612" s="18" t="str">
        <f aca="false">IF(F612="Active",A612&amp;"|"&amp;COUNTIFS(A$2:A612,A612,F$2:F612,"Active"),"")</f>
        <v/>
      </c>
      <c r="I612" s="18" t="str">
        <f aca="false">IF(B612="","",IF(SUMPRODUCT(MAX((A$1:A611=A612)*(B$1:B611=B612)*ROW(A$1:A611)))=0,C612&amp;"",IF(C612="",INDEX(I$1:I611,SUMPRODUCT(MAX((A$1:A611=A612)*(B$1:B611=B612)*ROW(A$1:A611)))),IF(INDEX(I$1:I611,SUMPRODUCT(MAX((A$1:A611=A612)*(B$1:B611=B612)*ROW(A$1:A611))))="",C612&amp;"",INDEX(I$1:I611,SUMPRODUCT(MAX((A$1:A611=A612)*(B$1:B611=B612)*ROW(A$1:A611))))&amp;"; "&amp;C612))))</f>
        <v/>
      </c>
      <c r="J612" s="18" t="str">
        <f aca="false">IF(A612="","",A612&amp;"|"&amp;COUNTIF(A$2:A612,A612))</f>
        <v/>
      </c>
      <c r="K612" s="18" t="n">
        <f aca="false">IF(OR(A612="",B612=""),0,IF(COUNTIFS(A$2:A612,A612,B$2:B612,B612)=1,1,0))</f>
        <v>0</v>
      </c>
    </row>
    <row r="613" customFormat="false" ht="15" hidden="false" customHeight="false" outlineLevel="0" collapsed="false">
      <c r="A613" s="15"/>
      <c r="B613" s="15"/>
      <c r="C613" s="15"/>
      <c r="D613" s="15"/>
      <c r="F613" s="18" t="str">
        <f aca="false">IF(B613="","",IFERROR(INDEX(Materials!$B$2:$B$201,MATCH(B613,Materials!$A$2:$A$201,0)),""))</f>
        <v/>
      </c>
      <c r="G613" s="18" t="str">
        <f aca="true">IF(AND(A613="",B613=""),"",IF(A613="","Missing product",IF(B613="","Missing material",IF(COUNTIF(ProductList,A613)=0,"Product not in Products list",IF(COUNTIF(MaterialList,B613)=0,"Material not in Materials list","OK")))))</f>
        <v/>
      </c>
      <c r="H613" s="18" t="str">
        <f aca="false">IF(F613="Active",A613&amp;"|"&amp;COUNTIFS(A$2:A613,A613,F$2:F613,"Active"),"")</f>
        <v/>
      </c>
      <c r="I613" s="18" t="str">
        <f aca="false">IF(B613="","",IF(SUMPRODUCT(MAX((A$1:A612=A613)*(B$1:B612=B613)*ROW(A$1:A612)))=0,C613&amp;"",IF(C613="",INDEX(I$1:I612,SUMPRODUCT(MAX((A$1:A612=A613)*(B$1:B612=B613)*ROW(A$1:A612)))),IF(INDEX(I$1:I612,SUMPRODUCT(MAX((A$1:A612=A613)*(B$1:B612=B613)*ROW(A$1:A612))))="",C613&amp;"",INDEX(I$1:I612,SUMPRODUCT(MAX((A$1:A612=A613)*(B$1:B612=B613)*ROW(A$1:A612))))&amp;"; "&amp;C613))))</f>
        <v/>
      </c>
      <c r="J613" s="18" t="str">
        <f aca="false">IF(A613="","",A613&amp;"|"&amp;COUNTIF(A$2:A613,A613))</f>
        <v/>
      </c>
      <c r="K613" s="18" t="n">
        <f aca="false">IF(OR(A613="",B613=""),0,IF(COUNTIFS(A$2:A613,A613,B$2:B613,B613)=1,1,0))</f>
        <v>0</v>
      </c>
    </row>
    <row r="614" customFormat="false" ht="15" hidden="false" customHeight="false" outlineLevel="0" collapsed="false">
      <c r="A614" s="15"/>
      <c r="B614" s="15"/>
      <c r="C614" s="15"/>
      <c r="D614" s="15"/>
      <c r="F614" s="18" t="str">
        <f aca="false">IF(B614="","",IFERROR(INDEX(Materials!$B$2:$B$201,MATCH(B614,Materials!$A$2:$A$201,0)),""))</f>
        <v/>
      </c>
      <c r="G614" s="18" t="str">
        <f aca="true">IF(AND(A614="",B614=""),"",IF(A614="","Missing product",IF(B614="","Missing material",IF(COUNTIF(ProductList,A614)=0,"Product not in Products list",IF(COUNTIF(MaterialList,B614)=0,"Material not in Materials list","OK")))))</f>
        <v/>
      </c>
      <c r="H614" s="18" t="str">
        <f aca="false">IF(F614="Active",A614&amp;"|"&amp;COUNTIFS(A$2:A614,A614,F$2:F614,"Active"),"")</f>
        <v/>
      </c>
      <c r="I614" s="18" t="str">
        <f aca="false">IF(B614="","",IF(SUMPRODUCT(MAX((A$1:A613=A614)*(B$1:B613=B614)*ROW(A$1:A613)))=0,C614&amp;"",IF(C614="",INDEX(I$1:I613,SUMPRODUCT(MAX((A$1:A613=A614)*(B$1:B613=B614)*ROW(A$1:A613)))),IF(INDEX(I$1:I613,SUMPRODUCT(MAX((A$1:A613=A614)*(B$1:B613=B614)*ROW(A$1:A613))))="",C614&amp;"",INDEX(I$1:I613,SUMPRODUCT(MAX((A$1:A613=A614)*(B$1:B613=B614)*ROW(A$1:A613))))&amp;"; "&amp;C614))))</f>
        <v/>
      </c>
      <c r="J614" s="18" t="str">
        <f aca="false">IF(A614="","",A614&amp;"|"&amp;COUNTIF(A$2:A614,A614))</f>
        <v/>
      </c>
      <c r="K614" s="18" t="n">
        <f aca="false">IF(OR(A614="",B614=""),0,IF(COUNTIFS(A$2:A614,A614,B$2:B614,B614)=1,1,0))</f>
        <v>0</v>
      </c>
    </row>
    <row r="615" customFormat="false" ht="15" hidden="false" customHeight="false" outlineLevel="0" collapsed="false">
      <c r="A615" s="15"/>
      <c r="B615" s="15"/>
      <c r="C615" s="15"/>
      <c r="D615" s="15"/>
      <c r="F615" s="18" t="str">
        <f aca="false">IF(B615="","",IFERROR(INDEX(Materials!$B$2:$B$201,MATCH(B615,Materials!$A$2:$A$201,0)),""))</f>
        <v/>
      </c>
      <c r="G615" s="18" t="str">
        <f aca="true">IF(AND(A615="",B615=""),"",IF(A615="","Missing product",IF(B615="","Missing material",IF(COUNTIF(ProductList,A615)=0,"Product not in Products list",IF(COUNTIF(MaterialList,B615)=0,"Material not in Materials list","OK")))))</f>
        <v/>
      </c>
      <c r="H615" s="18" t="str">
        <f aca="false">IF(F615="Active",A615&amp;"|"&amp;COUNTIFS(A$2:A615,A615,F$2:F615,"Active"),"")</f>
        <v/>
      </c>
      <c r="I615" s="18" t="str">
        <f aca="false">IF(B615="","",IF(SUMPRODUCT(MAX((A$1:A614=A615)*(B$1:B614=B615)*ROW(A$1:A614)))=0,C615&amp;"",IF(C615="",INDEX(I$1:I614,SUMPRODUCT(MAX((A$1:A614=A615)*(B$1:B614=B615)*ROW(A$1:A614)))),IF(INDEX(I$1:I614,SUMPRODUCT(MAX((A$1:A614=A615)*(B$1:B614=B615)*ROW(A$1:A614))))="",C615&amp;"",INDEX(I$1:I614,SUMPRODUCT(MAX((A$1:A614=A615)*(B$1:B614=B615)*ROW(A$1:A614))))&amp;"; "&amp;C615))))</f>
        <v/>
      </c>
      <c r="J615" s="18" t="str">
        <f aca="false">IF(A615="","",A615&amp;"|"&amp;COUNTIF(A$2:A615,A615))</f>
        <v/>
      </c>
      <c r="K615" s="18" t="n">
        <f aca="false">IF(OR(A615="",B615=""),0,IF(COUNTIFS(A$2:A615,A615,B$2:B615,B615)=1,1,0))</f>
        <v>0</v>
      </c>
    </row>
    <row r="616" customFormat="false" ht="15" hidden="false" customHeight="false" outlineLevel="0" collapsed="false">
      <c r="A616" s="15"/>
      <c r="B616" s="15"/>
      <c r="C616" s="15"/>
      <c r="D616" s="15"/>
      <c r="F616" s="18" t="str">
        <f aca="false">IF(B616="","",IFERROR(INDEX(Materials!$B$2:$B$201,MATCH(B616,Materials!$A$2:$A$201,0)),""))</f>
        <v/>
      </c>
      <c r="G616" s="18" t="str">
        <f aca="true">IF(AND(A616="",B616=""),"",IF(A616="","Missing product",IF(B616="","Missing material",IF(COUNTIF(ProductList,A616)=0,"Product not in Products list",IF(COUNTIF(MaterialList,B616)=0,"Material not in Materials list","OK")))))</f>
        <v/>
      </c>
      <c r="H616" s="18" t="str">
        <f aca="false">IF(F616="Active",A616&amp;"|"&amp;COUNTIFS(A$2:A616,A616,F$2:F616,"Active"),"")</f>
        <v/>
      </c>
      <c r="I616" s="18" t="str">
        <f aca="false">IF(B616="","",IF(SUMPRODUCT(MAX((A$1:A615=A616)*(B$1:B615=B616)*ROW(A$1:A615)))=0,C616&amp;"",IF(C616="",INDEX(I$1:I615,SUMPRODUCT(MAX((A$1:A615=A616)*(B$1:B615=B616)*ROW(A$1:A615)))),IF(INDEX(I$1:I615,SUMPRODUCT(MAX((A$1:A615=A616)*(B$1:B615=B616)*ROW(A$1:A615))))="",C616&amp;"",INDEX(I$1:I615,SUMPRODUCT(MAX((A$1:A615=A616)*(B$1:B615=B616)*ROW(A$1:A615))))&amp;"; "&amp;C616))))</f>
        <v/>
      </c>
      <c r="J616" s="18" t="str">
        <f aca="false">IF(A616="","",A616&amp;"|"&amp;COUNTIF(A$2:A616,A616))</f>
        <v/>
      </c>
      <c r="K616" s="18" t="n">
        <f aca="false">IF(OR(A616="",B616=""),0,IF(COUNTIFS(A$2:A616,A616,B$2:B616,B616)=1,1,0))</f>
        <v>0</v>
      </c>
    </row>
    <row r="617" customFormat="false" ht="15" hidden="false" customHeight="false" outlineLevel="0" collapsed="false">
      <c r="A617" s="15"/>
      <c r="B617" s="15"/>
      <c r="C617" s="15"/>
      <c r="D617" s="15"/>
      <c r="F617" s="18" t="str">
        <f aca="false">IF(B617="","",IFERROR(INDEX(Materials!$B$2:$B$201,MATCH(B617,Materials!$A$2:$A$201,0)),""))</f>
        <v/>
      </c>
      <c r="G617" s="18" t="str">
        <f aca="true">IF(AND(A617="",B617=""),"",IF(A617="","Missing product",IF(B617="","Missing material",IF(COUNTIF(ProductList,A617)=0,"Product not in Products list",IF(COUNTIF(MaterialList,B617)=0,"Material not in Materials list","OK")))))</f>
        <v/>
      </c>
      <c r="H617" s="18" t="str">
        <f aca="false">IF(F617="Active",A617&amp;"|"&amp;COUNTIFS(A$2:A617,A617,F$2:F617,"Active"),"")</f>
        <v/>
      </c>
      <c r="I617" s="18" t="str">
        <f aca="false">IF(B617="","",IF(SUMPRODUCT(MAX((A$1:A616=A617)*(B$1:B616=B617)*ROW(A$1:A616)))=0,C617&amp;"",IF(C617="",INDEX(I$1:I616,SUMPRODUCT(MAX((A$1:A616=A617)*(B$1:B616=B617)*ROW(A$1:A616)))),IF(INDEX(I$1:I616,SUMPRODUCT(MAX((A$1:A616=A617)*(B$1:B616=B617)*ROW(A$1:A616))))="",C617&amp;"",INDEX(I$1:I616,SUMPRODUCT(MAX((A$1:A616=A617)*(B$1:B616=B617)*ROW(A$1:A616))))&amp;"; "&amp;C617))))</f>
        <v/>
      </c>
      <c r="J617" s="18" t="str">
        <f aca="false">IF(A617="","",A617&amp;"|"&amp;COUNTIF(A$2:A617,A617))</f>
        <v/>
      </c>
      <c r="K617" s="18" t="n">
        <f aca="false">IF(OR(A617="",B617=""),0,IF(COUNTIFS(A$2:A617,A617,B$2:B617,B617)=1,1,0))</f>
        <v>0</v>
      </c>
    </row>
    <row r="618" customFormat="false" ht="15" hidden="false" customHeight="false" outlineLevel="0" collapsed="false">
      <c r="A618" s="15"/>
      <c r="B618" s="15"/>
      <c r="C618" s="15"/>
      <c r="D618" s="15"/>
      <c r="F618" s="18" t="str">
        <f aca="false">IF(B618="","",IFERROR(INDEX(Materials!$B$2:$B$201,MATCH(B618,Materials!$A$2:$A$201,0)),""))</f>
        <v/>
      </c>
      <c r="G618" s="18" t="str">
        <f aca="true">IF(AND(A618="",B618=""),"",IF(A618="","Missing product",IF(B618="","Missing material",IF(COUNTIF(ProductList,A618)=0,"Product not in Products list",IF(COUNTIF(MaterialList,B618)=0,"Material not in Materials list","OK")))))</f>
        <v/>
      </c>
      <c r="H618" s="18" t="str">
        <f aca="false">IF(F618="Active",A618&amp;"|"&amp;COUNTIFS(A$2:A618,A618,F$2:F618,"Active"),"")</f>
        <v/>
      </c>
      <c r="I618" s="18" t="str">
        <f aca="false">IF(B618="","",IF(SUMPRODUCT(MAX((A$1:A617=A618)*(B$1:B617=B618)*ROW(A$1:A617)))=0,C618&amp;"",IF(C618="",INDEX(I$1:I617,SUMPRODUCT(MAX((A$1:A617=A618)*(B$1:B617=B618)*ROW(A$1:A617)))),IF(INDEX(I$1:I617,SUMPRODUCT(MAX((A$1:A617=A618)*(B$1:B617=B618)*ROW(A$1:A617))))="",C618&amp;"",INDEX(I$1:I617,SUMPRODUCT(MAX((A$1:A617=A618)*(B$1:B617=B618)*ROW(A$1:A617))))&amp;"; "&amp;C618))))</f>
        <v/>
      </c>
      <c r="J618" s="18" t="str">
        <f aca="false">IF(A618="","",A618&amp;"|"&amp;COUNTIF(A$2:A618,A618))</f>
        <v/>
      </c>
      <c r="K618" s="18" t="n">
        <f aca="false">IF(OR(A618="",B618=""),0,IF(COUNTIFS(A$2:A618,A618,B$2:B618,B618)=1,1,0))</f>
        <v>0</v>
      </c>
    </row>
    <row r="619" customFormat="false" ht="15" hidden="false" customHeight="false" outlineLevel="0" collapsed="false">
      <c r="A619" s="15"/>
      <c r="B619" s="15"/>
      <c r="C619" s="15"/>
      <c r="D619" s="15"/>
      <c r="F619" s="18" t="str">
        <f aca="false">IF(B619="","",IFERROR(INDEX(Materials!$B$2:$B$201,MATCH(B619,Materials!$A$2:$A$201,0)),""))</f>
        <v/>
      </c>
      <c r="G619" s="18" t="str">
        <f aca="true">IF(AND(A619="",B619=""),"",IF(A619="","Missing product",IF(B619="","Missing material",IF(COUNTIF(ProductList,A619)=0,"Product not in Products list",IF(COUNTIF(MaterialList,B619)=0,"Material not in Materials list","OK")))))</f>
        <v/>
      </c>
      <c r="H619" s="18" t="str">
        <f aca="false">IF(F619="Active",A619&amp;"|"&amp;COUNTIFS(A$2:A619,A619,F$2:F619,"Active"),"")</f>
        <v/>
      </c>
      <c r="I619" s="18" t="str">
        <f aca="false">IF(B619="","",IF(SUMPRODUCT(MAX((A$1:A618=A619)*(B$1:B618=B619)*ROW(A$1:A618)))=0,C619&amp;"",IF(C619="",INDEX(I$1:I618,SUMPRODUCT(MAX((A$1:A618=A619)*(B$1:B618=B619)*ROW(A$1:A618)))),IF(INDEX(I$1:I618,SUMPRODUCT(MAX((A$1:A618=A619)*(B$1:B618=B619)*ROW(A$1:A618))))="",C619&amp;"",INDEX(I$1:I618,SUMPRODUCT(MAX((A$1:A618=A619)*(B$1:B618=B619)*ROW(A$1:A618))))&amp;"; "&amp;C619))))</f>
        <v/>
      </c>
      <c r="J619" s="18" t="str">
        <f aca="false">IF(A619="","",A619&amp;"|"&amp;COUNTIF(A$2:A619,A619))</f>
        <v/>
      </c>
      <c r="K619" s="18" t="n">
        <f aca="false">IF(OR(A619="",B619=""),0,IF(COUNTIFS(A$2:A619,A619,B$2:B619,B619)=1,1,0))</f>
        <v>0</v>
      </c>
    </row>
    <row r="620" customFormat="false" ht="15" hidden="false" customHeight="false" outlineLevel="0" collapsed="false">
      <c r="A620" s="15"/>
      <c r="B620" s="15"/>
      <c r="C620" s="15"/>
      <c r="D620" s="15"/>
      <c r="F620" s="18" t="str">
        <f aca="false">IF(B620="","",IFERROR(INDEX(Materials!$B$2:$B$201,MATCH(B620,Materials!$A$2:$A$201,0)),""))</f>
        <v/>
      </c>
      <c r="G620" s="18" t="str">
        <f aca="true">IF(AND(A620="",B620=""),"",IF(A620="","Missing product",IF(B620="","Missing material",IF(COUNTIF(ProductList,A620)=0,"Product not in Products list",IF(COUNTIF(MaterialList,B620)=0,"Material not in Materials list","OK")))))</f>
        <v/>
      </c>
      <c r="H620" s="18" t="str">
        <f aca="false">IF(F620="Active",A620&amp;"|"&amp;COUNTIFS(A$2:A620,A620,F$2:F620,"Active"),"")</f>
        <v/>
      </c>
      <c r="I620" s="18" t="str">
        <f aca="false">IF(B620="","",IF(SUMPRODUCT(MAX((A$1:A619=A620)*(B$1:B619=B620)*ROW(A$1:A619)))=0,C620&amp;"",IF(C620="",INDEX(I$1:I619,SUMPRODUCT(MAX((A$1:A619=A620)*(B$1:B619=B620)*ROW(A$1:A619)))),IF(INDEX(I$1:I619,SUMPRODUCT(MAX((A$1:A619=A620)*(B$1:B619=B620)*ROW(A$1:A619))))="",C620&amp;"",INDEX(I$1:I619,SUMPRODUCT(MAX((A$1:A619=A620)*(B$1:B619=B620)*ROW(A$1:A619))))&amp;"; "&amp;C620))))</f>
        <v/>
      </c>
      <c r="J620" s="18" t="str">
        <f aca="false">IF(A620="","",A620&amp;"|"&amp;COUNTIF(A$2:A620,A620))</f>
        <v/>
      </c>
      <c r="K620" s="18" t="n">
        <f aca="false">IF(OR(A620="",B620=""),0,IF(COUNTIFS(A$2:A620,A620,B$2:B620,B620)=1,1,0))</f>
        <v>0</v>
      </c>
    </row>
    <row r="621" customFormat="false" ht="15" hidden="false" customHeight="false" outlineLevel="0" collapsed="false">
      <c r="A621" s="15"/>
      <c r="B621" s="15"/>
      <c r="C621" s="15"/>
      <c r="D621" s="15"/>
      <c r="F621" s="18" t="str">
        <f aca="false">IF(B621="","",IFERROR(INDEX(Materials!$B$2:$B$201,MATCH(B621,Materials!$A$2:$A$201,0)),""))</f>
        <v/>
      </c>
      <c r="G621" s="18" t="str">
        <f aca="true">IF(AND(A621="",B621=""),"",IF(A621="","Missing product",IF(B621="","Missing material",IF(COUNTIF(ProductList,A621)=0,"Product not in Products list",IF(COUNTIF(MaterialList,B621)=0,"Material not in Materials list","OK")))))</f>
        <v/>
      </c>
      <c r="H621" s="18" t="str">
        <f aca="false">IF(F621="Active",A621&amp;"|"&amp;COUNTIFS(A$2:A621,A621,F$2:F621,"Active"),"")</f>
        <v/>
      </c>
      <c r="I621" s="18" t="str">
        <f aca="false">IF(B621="","",IF(SUMPRODUCT(MAX((A$1:A620=A621)*(B$1:B620=B621)*ROW(A$1:A620)))=0,C621&amp;"",IF(C621="",INDEX(I$1:I620,SUMPRODUCT(MAX((A$1:A620=A621)*(B$1:B620=B621)*ROW(A$1:A620)))),IF(INDEX(I$1:I620,SUMPRODUCT(MAX((A$1:A620=A621)*(B$1:B620=B621)*ROW(A$1:A620))))="",C621&amp;"",INDEX(I$1:I620,SUMPRODUCT(MAX((A$1:A620=A621)*(B$1:B620=B621)*ROW(A$1:A620))))&amp;"; "&amp;C621))))</f>
        <v/>
      </c>
      <c r="J621" s="18" t="str">
        <f aca="false">IF(A621="","",A621&amp;"|"&amp;COUNTIF(A$2:A621,A621))</f>
        <v/>
      </c>
      <c r="K621" s="18" t="n">
        <f aca="false">IF(OR(A621="",B621=""),0,IF(COUNTIFS(A$2:A621,A621,B$2:B621,B621)=1,1,0))</f>
        <v>0</v>
      </c>
    </row>
    <row r="622" customFormat="false" ht="15" hidden="false" customHeight="false" outlineLevel="0" collapsed="false">
      <c r="A622" s="15"/>
      <c r="B622" s="15"/>
      <c r="C622" s="15"/>
      <c r="D622" s="15"/>
      <c r="F622" s="18" t="str">
        <f aca="false">IF(B622="","",IFERROR(INDEX(Materials!$B$2:$B$201,MATCH(B622,Materials!$A$2:$A$201,0)),""))</f>
        <v/>
      </c>
      <c r="G622" s="18" t="str">
        <f aca="true">IF(AND(A622="",B622=""),"",IF(A622="","Missing product",IF(B622="","Missing material",IF(COUNTIF(ProductList,A622)=0,"Product not in Products list",IF(COUNTIF(MaterialList,B622)=0,"Material not in Materials list","OK")))))</f>
        <v/>
      </c>
      <c r="H622" s="18" t="str">
        <f aca="false">IF(F622="Active",A622&amp;"|"&amp;COUNTIFS(A$2:A622,A622,F$2:F622,"Active"),"")</f>
        <v/>
      </c>
      <c r="I622" s="18" t="str">
        <f aca="false">IF(B622="","",IF(SUMPRODUCT(MAX((A$1:A621=A622)*(B$1:B621=B622)*ROW(A$1:A621)))=0,C622&amp;"",IF(C622="",INDEX(I$1:I621,SUMPRODUCT(MAX((A$1:A621=A622)*(B$1:B621=B622)*ROW(A$1:A621)))),IF(INDEX(I$1:I621,SUMPRODUCT(MAX((A$1:A621=A622)*(B$1:B621=B622)*ROW(A$1:A621))))="",C622&amp;"",INDEX(I$1:I621,SUMPRODUCT(MAX((A$1:A621=A622)*(B$1:B621=B622)*ROW(A$1:A621))))&amp;"; "&amp;C622))))</f>
        <v/>
      </c>
      <c r="J622" s="18" t="str">
        <f aca="false">IF(A622="","",A622&amp;"|"&amp;COUNTIF(A$2:A622,A622))</f>
        <v/>
      </c>
      <c r="K622" s="18" t="n">
        <f aca="false">IF(OR(A622="",B622=""),0,IF(COUNTIFS(A$2:A622,A622,B$2:B622,B622)=1,1,0))</f>
        <v>0</v>
      </c>
    </row>
    <row r="623" customFormat="false" ht="15" hidden="false" customHeight="false" outlineLevel="0" collapsed="false">
      <c r="A623" s="15"/>
      <c r="B623" s="15"/>
      <c r="C623" s="15"/>
      <c r="D623" s="15"/>
      <c r="F623" s="18" t="str">
        <f aca="false">IF(B623="","",IFERROR(INDEX(Materials!$B$2:$B$201,MATCH(B623,Materials!$A$2:$A$201,0)),""))</f>
        <v/>
      </c>
      <c r="G623" s="18" t="str">
        <f aca="true">IF(AND(A623="",B623=""),"",IF(A623="","Missing product",IF(B623="","Missing material",IF(COUNTIF(ProductList,A623)=0,"Product not in Products list",IF(COUNTIF(MaterialList,B623)=0,"Material not in Materials list","OK")))))</f>
        <v/>
      </c>
      <c r="H623" s="18" t="str">
        <f aca="false">IF(F623="Active",A623&amp;"|"&amp;COUNTIFS(A$2:A623,A623,F$2:F623,"Active"),"")</f>
        <v/>
      </c>
      <c r="I623" s="18" t="str">
        <f aca="false">IF(B623="","",IF(SUMPRODUCT(MAX((A$1:A622=A623)*(B$1:B622=B623)*ROW(A$1:A622)))=0,C623&amp;"",IF(C623="",INDEX(I$1:I622,SUMPRODUCT(MAX((A$1:A622=A623)*(B$1:B622=B623)*ROW(A$1:A622)))),IF(INDEX(I$1:I622,SUMPRODUCT(MAX((A$1:A622=A623)*(B$1:B622=B623)*ROW(A$1:A622))))="",C623&amp;"",INDEX(I$1:I622,SUMPRODUCT(MAX((A$1:A622=A623)*(B$1:B622=B623)*ROW(A$1:A622))))&amp;"; "&amp;C623))))</f>
        <v/>
      </c>
      <c r="J623" s="18" t="str">
        <f aca="false">IF(A623="","",A623&amp;"|"&amp;COUNTIF(A$2:A623,A623))</f>
        <v/>
      </c>
      <c r="K623" s="18" t="n">
        <f aca="false">IF(OR(A623="",B623=""),0,IF(COUNTIFS(A$2:A623,A623,B$2:B623,B623)=1,1,0))</f>
        <v>0</v>
      </c>
    </row>
    <row r="624" customFormat="false" ht="15" hidden="false" customHeight="false" outlineLevel="0" collapsed="false">
      <c r="A624" s="15"/>
      <c r="B624" s="15"/>
      <c r="C624" s="15"/>
      <c r="D624" s="15"/>
      <c r="F624" s="18" t="str">
        <f aca="false">IF(B624="","",IFERROR(INDEX(Materials!$B$2:$B$201,MATCH(B624,Materials!$A$2:$A$201,0)),""))</f>
        <v/>
      </c>
      <c r="G624" s="18" t="str">
        <f aca="true">IF(AND(A624="",B624=""),"",IF(A624="","Missing product",IF(B624="","Missing material",IF(COUNTIF(ProductList,A624)=0,"Product not in Products list",IF(COUNTIF(MaterialList,B624)=0,"Material not in Materials list","OK")))))</f>
        <v/>
      </c>
      <c r="H624" s="18" t="str">
        <f aca="false">IF(F624="Active",A624&amp;"|"&amp;COUNTIFS(A$2:A624,A624,F$2:F624,"Active"),"")</f>
        <v/>
      </c>
      <c r="I624" s="18" t="str">
        <f aca="false">IF(B624="","",IF(SUMPRODUCT(MAX((A$1:A623=A624)*(B$1:B623=B624)*ROW(A$1:A623)))=0,C624&amp;"",IF(C624="",INDEX(I$1:I623,SUMPRODUCT(MAX((A$1:A623=A624)*(B$1:B623=B624)*ROW(A$1:A623)))),IF(INDEX(I$1:I623,SUMPRODUCT(MAX((A$1:A623=A624)*(B$1:B623=B624)*ROW(A$1:A623))))="",C624&amp;"",INDEX(I$1:I623,SUMPRODUCT(MAX((A$1:A623=A624)*(B$1:B623=B624)*ROW(A$1:A623))))&amp;"; "&amp;C624))))</f>
        <v/>
      </c>
      <c r="J624" s="18" t="str">
        <f aca="false">IF(A624="","",A624&amp;"|"&amp;COUNTIF(A$2:A624,A624))</f>
        <v/>
      </c>
      <c r="K624" s="18" t="n">
        <f aca="false">IF(OR(A624="",B624=""),0,IF(COUNTIFS(A$2:A624,A624,B$2:B624,B624)=1,1,0))</f>
        <v>0</v>
      </c>
    </row>
    <row r="625" customFormat="false" ht="15" hidden="false" customHeight="false" outlineLevel="0" collapsed="false">
      <c r="A625" s="15"/>
      <c r="B625" s="15"/>
      <c r="C625" s="15"/>
      <c r="D625" s="15"/>
      <c r="F625" s="18" t="str">
        <f aca="false">IF(B625="","",IFERROR(INDEX(Materials!$B$2:$B$201,MATCH(B625,Materials!$A$2:$A$201,0)),""))</f>
        <v/>
      </c>
      <c r="G625" s="18" t="str">
        <f aca="true">IF(AND(A625="",B625=""),"",IF(A625="","Missing product",IF(B625="","Missing material",IF(COUNTIF(ProductList,A625)=0,"Product not in Products list",IF(COUNTIF(MaterialList,B625)=0,"Material not in Materials list","OK")))))</f>
        <v/>
      </c>
      <c r="H625" s="18" t="str">
        <f aca="false">IF(F625="Active",A625&amp;"|"&amp;COUNTIFS(A$2:A625,A625,F$2:F625,"Active"),"")</f>
        <v/>
      </c>
      <c r="I625" s="18" t="str">
        <f aca="false">IF(B625="","",IF(SUMPRODUCT(MAX((A$1:A624=A625)*(B$1:B624=B625)*ROW(A$1:A624)))=0,C625&amp;"",IF(C625="",INDEX(I$1:I624,SUMPRODUCT(MAX((A$1:A624=A625)*(B$1:B624=B625)*ROW(A$1:A624)))),IF(INDEX(I$1:I624,SUMPRODUCT(MAX((A$1:A624=A625)*(B$1:B624=B625)*ROW(A$1:A624))))="",C625&amp;"",INDEX(I$1:I624,SUMPRODUCT(MAX((A$1:A624=A625)*(B$1:B624=B625)*ROW(A$1:A624))))&amp;"; "&amp;C625))))</f>
        <v/>
      </c>
      <c r="J625" s="18" t="str">
        <f aca="false">IF(A625="","",A625&amp;"|"&amp;COUNTIF(A$2:A625,A625))</f>
        <v/>
      </c>
      <c r="K625" s="18" t="n">
        <f aca="false">IF(OR(A625="",B625=""),0,IF(COUNTIFS(A$2:A625,A625,B$2:B625,B625)=1,1,0))</f>
        <v>0</v>
      </c>
    </row>
    <row r="626" customFormat="false" ht="15" hidden="false" customHeight="false" outlineLevel="0" collapsed="false">
      <c r="A626" s="15"/>
      <c r="B626" s="15"/>
      <c r="C626" s="15"/>
      <c r="D626" s="15"/>
      <c r="F626" s="18" t="str">
        <f aca="false">IF(B626="","",IFERROR(INDEX(Materials!$B$2:$B$201,MATCH(B626,Materials!$A$2:$A$201,0)),""))</f>
        <v/>
      </c>
      <c r="G626" s="18" t="str">
        <f aca="true">IF(AND(A626="",B626=""),"",IF(A626="","Missing product",IF(B626="","Missing material",IF(COUNTIF(ProductList,A626)=0,"Product not in Products list",IF(COUNTIF(MaterialList,B626)=0,"Material not in Materials list","OK")))))</f>
        <v/>
      </c>
      <c r="H626" s="18" t="str">
        <f aca="false">IF(F626="Active",A626&amp;"|"&amp;COUNTIFS(A$2:A626,A626,F$2:F626,"Active"),"")</f>
        <v/>
      </c>
      <c r="I626" s="18" t="str">
        <f aca="false">IF(B626="","",IF(SUMPRODUCT(MAX((A$1:A625=A626)*(B$1:B625=B626)*ROW(A$1:A625)))=0,C626&amp;"",IF(C626="",INDEX(I$1:I625,SUMPRODUCT(MAX((A$1:A625=A626)*(B$1:B625=B626)*ROW(A$1:A625)))),IF(INDEX(I$1:I625,SUMPRODUCT(MAX((A$1:A625=A626)*(B$1:B625=B626)*ROW(A$1:A625))))="",C626&amp;"",INDEX(I$1:I625,SUMPRODUCT(MAX((A$1:A625=A626)*(B$1:B625=B626)*ROW(A$1:A625))))&amp;"; "&amp;C626))))</f>
        <v/>
      </c>
      <c r="J626" s="18" t="str">
        <f aca="false">IF(A626="","",A626&amp;"|"&amp;COUNTIF(A$2:A626,A626))</f>
        <v/>
      </c>
      <c r="K626" s="18" t="n">
        <f aca="false">IF(OR(A626="",B626=""),0,IF(COUNTIFS(A$2:A626,A626,B$2:B626,B626)=1,1,0))</f>
        <v>0</v>
      </c>
    </row>
    <row r="627" customFormat="false" ht="15" hidden="false" customHeight="false" outlineLevel="0" collapsed="false">
      <c r="A627" s="15"/>
      <c r="B627" s="15"/>
      <c r="C627" s="15"/>
      <c r="D627" s="15"/>
      <c r="F627" s="18" t="str">
        <f aca="false">IF(B627="","",IFERROR(INDEX(Materials!$B$2:$B$201,MATCH(B627,Materials!$A$2:$A$201,0)),""))</f>
        <v/>
      </c>
      <c r="G627" s="18" t="str">
        <f aca="true">IF(AND(A627="",B627=""),"",IF(A627="","Missing product",IF(B627="","Missing material",IF(COUNTIF(ProductList,A627)=0,"Product not in Products list",IF(COUNTIF(MaterialList,B627)=0,"Material not in Materials list","OK")))))</f>
        <v/>
      </c>
      <c r="H627" s="18" t="str">
        <f aca="false">IF(F627="Active",A627&amp;"|"&amp;COUNTIFS(A$2:A627,A627,F$2:F627,"Active"),"")</f>
        <v/>
      </c>
      <c r="I627" s="18" t="str">
        <f aca="false">IF(B627="","",IF(SUMPRODUCT(MAX((A$1:A626=A627)*(B$1:B626=B627)*ROW(A$1:A626)))=0,C627&amp;"",IF(C627="",INDEX(I$1:I626,SUMPRODUCT(MAX((A$1:A626=A627)*(B$1:B626=B627)*ROW(A$1:A626)))),IF(INDEX(I$1:I626,SUMPRODUCT(MAX((A$1:A626=A627)*(B$1:B626=B627)*ROW(A$1:A626))))="",C627&amp;"",INDEX(I$1:I626,SUMPRODUCT(MAX((A$1:A626=A627)*(B$1:B626=B627)*ROW(A$1:A626))))&amp;"; "&amp;C627))))</f>
        <v/>
      </c>
      <c r="J627" s="18" t="str">
        <f aca="false">IF(A627="","",A627&amp;"|"&amp;COUNTIF(A$2:A627,A627))</f>
        <v/>
      </c>
      <c r="K627" s="18" t="n">
        <f aca="false">IF(OR(A627="",B627=""),0,IF(COUNTIFS(A$2:A627,A627,B$2:B627,B627)=1,1,0))</f>
        <v>0</v>
      </c>
    </row>
    <row r="628" customFormat="false" ht="15" hidden="false" customHeight="false" outlineLevel="0" collapsed="false">
      <c r="A628" s="15"/>
      <c r="B628" s="15"/>
      <c r="C628" s="15"/>
      <c r="D628" s="15"/>
      <c r="F628" s="18" t="str">
        <f aca="false">IF(B628="","",IFERROR(INDEX(Materials!$B$2:$B$201,MATCH(B628,Materials!$A$2:$A$201,0)),""))</f>
        <v/>
      </c>
      <c r="G628" s="18" t="str">
        <f aca="true">IF(AND(A628="",B628=""),"",IF(A628="","Missing product",IF(B628="","Missing material",IF(COUNTIF(ProductList,A628)=0,"Product not in Products list",IF(COUNTIF(MaterialList,B628)=0,"Material not in Materials list","OK")))))</f>
        <v/>
      </c>
      <c r="H628" s="18" t="str">
        <f aca="false">IF(F628="Active",A628&amp;"|"&amp;COUNTIFS(A$2:A628,A628,F$2:F628,"Active"),"")</f>
        <v/>
      </c>
      <c r="I628" s="18" t="str">
        <f aca="false">IF(B628="","",IF(SUMPRODUCT(MAX((A$1:A627=A628)*(B$1:B627=B628)*ROW(A$1:A627)))=0,C628&amp;"",IF(C628="",INDEX(I$1:I627,SUMPRODUCT(MAX((A$1:A627=A628)*(B$1:B627=B628)*ROW(A$1:A627)))),IF(INDEX(I$1:I627,SUMPRODUCT(MAX((A$1:A627=A628)*(B$1:B627=B628)*ROW(A$1:A627))))="",C628&amp;"",INDEX(I$1:I627,SUMPRODUCT(MAX((A$1:A627=A628)*(B$1:B627=B628)*ROW(A$1:A627))))&amp;"; "&amp;C628))))</f>
        <v/>
      </c>
      <c r="J628" s="18" t="str">
        <f aca="false">IF(A628="","",A628&amp;"|"&amp;COUNTIF(A$2:A628,A628))</f>
        <v/>
      </c>
      <c r="K628" s="18" t="n">
        <f aca="false">IF(OR(A628="",B628=""),0,IF(COUNTIFS(A$2:A628,A628,B$2:B628,B628)=1,1,0))</f>
        <v>0</v>
      </c>
    </row>
    <row r="629" customFormat="false" ht="15" hidden="false" customHeight="false" outlineLevel="0" collapsed="false">
      <c r="A629" s="15"/>
      <c r="B629" s="15"/>
      <c r="C629" s="15"/>
      <c r="D629" s="15"/>
      <c r="F629" s="18" t="str">
        <f aca="false">IF(B629="","",IFERROR(INDEX(Materials!$B$2:$B$201,MATCH(B629,Materials!$A$2:$A$201,0)),""))</f>
        <v/>
      </c>
      <c r="G629" s="18" t="str">
        <f aca="true">IF(AND(A629="",B629=""),"",IF(A629="","Missing product",IF(B629="","Missing material",IF(COUNTIF(ProductList,A629)=0,"Product not in Products list",IF(COUNTIF(MaterialList,B629)=0,"Material not in Materials list","OK")))))</f>
        <v/>
      </c>
      <c r="H629" s="18" t="str">
        <f aca="false">IF(F629="Active",A629&amp;"|"&amp;COUNTIFS(A$2:A629,A629,F$2:F629,"Active"),"")</f>
        <v/>
      </c>
      <c r="I629" s="18" t="str">
        <f aca="false">IF(B629="","",IF(SUMPRODUCT(MAX((A$1:A628=A629)*(B$1:B628=B629)*ROW(A$1:A628)))=0,C629&amp;"",IF(C629="",INDEX(I$1:I628,SUMPRODUCT(MAX((A$1:A628=A629)*(B$1:B628=B629)*ROW(A$1:A628)))),IF(INDEX(I$1:I628,SUMPRODUCT(MAX((A$1:A628=A629)*(B$1:B628=B629)*ROW(A$1:A628))))="",C629&amp;"",INDEX(I$1:I628,SUMPRODUCT(MAX((A$1:A628=A629)*(B$1:B628=B629)*ROW(A$1:A628))))&amp;"; "&amp;C629))))</f>
        <v/>
      </c>
      <c r="J629" s="18" t="str">
        <f aca="false">IF(A629="","",A629&amp;"|"&amp;COUNTIF(A$2:A629,A629))</f>
        <v/>
      </c>
      <c r="K629" s="18" t="n">
        <f aca="false">IF(OR(A629="",B629=""),0,IF(COUNTIFS(A$2:A629,A629,B$2:B629,B629)=1,1,0))</f>
        <v>0</v>
      </c>
    </row>
    <row r="630" customFormat="false" ht="15" hidden="false" customHeight="false" outlineLevel="0" collapsed="false">
      <c r="A630" s="15"/>
      <c r="B630" s="15"/>
      <c r="C630" s="15"/>
      <c r="D630" s="15"/>
      <c r="F630" s="18" t="str">
        <f aca="false">IF(B630="","",IFERROR(INDEX(Materials!$B$2:$B$201,MATCH(B630,Materials!$A$2:$A$201,0)),""))</f>
        <v/>
      </c>
      <c r="G630" s="18" t="str">
        <f aca="true">IF(AND(A630="",B630=""),"",IF(A630="","Missing product",IF(B630="","Missing material",IF(COUNTIF(ProductList,A630)=0,"Product not in Products list",IF(COUNTIF(MaterialList,B630)=0,"Material not in Materials list","OK")))))</f>
        <v/>
      </c>
      <c r="H630" s="18" t="str">
        <f aca="false">IF(F630="Active",A630&amp;"|"&amp;COUNTIFS(A$2:A630,A630,F$2:F630,"Active"),"")</f>
        <v/>
      </c>
      <c r="I630" s="18" t="str">
        <f aca="false">IF(B630="","",IF(SUMPRODUCT(MAX((A$1:A629=A630)*(B$1:B629=B630)*ROW(A$1:A629)))=0,C630&amp;"",IF(C630="",INDEX(I$1:I629,SUMPRODUCT(MAX((A$1:A629=A630)*(B$1:B629=B630)*ROW(A$1:A629)))),IF(INDEX(I$1:I629,SUMPRODUCT(MAX((A$1:A629=A630)*(B$1:B629=B630)*ROW(A$1:A629))))="",C630&amp;"",INDEX(I$1:I629,SUMPRODUCT(MAX((A$1:A629=A630)*(B$1:B629=B630)*ROW(A$1:A629))))&amp;"; "&amp;C630))))</f>
        <v/>
      </c>
      <c r="J630" s="18" t="str">
        <f aca="false">IF(A630="","",A630&amp;"|"&amp;COUNTIF(A$2:A630,A630))</f>
        <v/>
      </c>
      <c r="K630" s="18" t="n">
        <f aca="false">IF(OR(A630="",B630=""),0,IF(COUNTIFS(A$2:A630,A630,B$2:B630,B630)=1,1,0))</f>
        <v>0</v>
      </c>
    </row>
    <row r="631" customFormat="false" ht="15" hidden="false" customHeight="false" outlineLevel="0" collapsed="false">
      <c r="A631" s="15"/>
      <c r="B631" s="15"/>
      <c r="C631" s="15"/>
      <c r="D631" s="15"/>
      <c r="F631" s="18" t="str">
        <f aca="false">IF(B631="","",IFERROR(INDEX(Materials!$B$2:$B$201,MATCH(B631,Materials!$A$2:$A$201,0)),""))</f>
        <v/>
      </c>
      <c r="G631" s="18" t="str">
        <f aca="true">IF(AND(A631="",B631=""),"",IF(A631="","Missing product",IF(B631="","Missing material",IF(COUNTIF(ProductList,A631)=0,"Product not in Products list",IF(COUNTIF(MaterialList,B631)=0,"Material not in Materials list","OK")))))</f>
        <v/>
      </c>
      <c r="H631" s="18" t="str">
        <f aca="false">IF(F631="Active",A631&amp;"|"&amp;COUNTIFS(A$2:A631,A631,F$2:F631,"Active"),"")</f>
        <v/>
      </c>
      <c r="I631" s="18" t="str">
        <f aca="false">IF(B631="","",IF(SUMPRODUCT(MAX((A$1:A630=A631)*(B$1:B630=B631)*ROW(A$1:A630)))=0,C631&amp;"",IF(C631="",INDEX(I$1:I630,SUMPRODUCT(MAX((A$1:A630=A631)*(B$1:B630=B631)*ROW(A$1:A630)))),IF(INDEX(I$1:I630,SUMPRODUCT(MAX((A$1:A630=A631)*(B$1:B630=B631)*ROW(A$1:A630))))="",C631&amp;"",INDEX(I$1:I630,SUMPRODUCT(MAX((A$1:A630=A631)*(B$1:B630=B631)*ROW(A$1:A630))))&amp;"; "&amp;C631))))</f>
        <v/>
      </c>
      <c r="J631" s="18" t="str">
        <f aca="false">IF(A631="","",A631&amp;"|"&amp;COUNTIF(A$2:A631,A631))</f>
        <v/>
      </c>
      <c r="K631" s="18" t="n">
        <f aca="false">IF(OR(A631="",B631=""),0,IF(COUNTIFS(A$2:A631,A631,B$2:B631,B631)=1,1,0))</f>
        <v>0</v>
      </c>
    </row>
    <row r="632" customFormat="false" ht="15" hidden="false" customHeight="false" outlineLevel="0" collapsed="false">
      <c r="A632" s="15"/>
      <c r="B632" s="15"/>
      <c r="C632" s="15"/>
      <c r="D632" s="15"/>
      <c r="F632" s="18" t="str">
        <f aca="false">IF(B632="","",IFERROR(INDEX(Materials!$B$2:$B$201,MATCH(B632,Materials!$A$2:$A$201,0)),""))</f>
        <v/>
      </c>
      <c r="G632" s="18" t="str">
        <f aca="true">IF(AND(A632="",B632=""),"",IF(A632="","Missing product",IF(B632="","Missing material",IF(COUNTIF(ProductList,A632)=0,"Product not in Products list",IF(COUNTIF(MaterialList,B632)=0,"Material not in Materials list","OK")))))</f>
        <v/>
      </c>
      <c r="H632" s="18" t="str">
        <f aca="false">IF(F632="Active",A632&amp;"|"&amp;COUNTIFS(A$2:A632,A632,F$2:F632,"Active"),"")</f>
        <v/>
      </c>
      <c r="I632" s="18" t="str">
        <f aca="false">IF(B632="","",IF(SUMPRODUCT(MAX((A$1:A631=A632)*(B$1:B631=B632)*ROW(A$1:A631)))=0,C632&amp;"",IF(C632="",INDEX(I$1:I631,SUMPRODUCT(MAX((A$1:A631=A632)*(B$1:B631=B632)*ROW(A$1:A631)))),IF(INDEX(I$1:I631,SUMPRODUCT(MAX((A$1:A631=A632)*(B$1:B631=B632)*ROW(A$1:A631))))="",C632&amp;"",INDEX(I$1:I631,SUMPRODUCT(MAX((A$1:A631=A632)*(B$1:B631=B632)*ROW(A$1:A631))))&amp;"; "&amp;C632))))</f>
        <v/>
      </c>
      <c r="J632" s="18" t="str">
        <f aca="false">IF(A632="","",A632&amp;"|"&amp;COUNTIF(A$2:A632,A632))</f>
        <v/>
      </c>
      <c r="K632" s="18" t="n">
        <f aca="false">IF(OR(A632="",B632=""),0,IF(COUNTIFS(A$2:A632,A632,B$2:B632,B632)=1,1,0))</f>
        <v>0</v>
      </c>
    </row>
    <row r="633" customFormat="false" ht="15" hidden="false" customHeight="false" outlineLevel="0" collapsed="false">
      <c r="A633" s="15"/>
      <c r="B633" s="15"/>
      <c r="C633" s="15"/>
      <c r="D633" s="15"/>
      <c r="F633" s="18" t="str">
        <f aca="false">IF(B633="","",IFERROR(INDEX(Materials!$B$2:$B$201,MATCH(B633,Materials!$A$2:$A$201,0)),""))</f>
        <v/>
      </c>
      <c r="G633" s="18" t="str">
        <f aca="true">IF(AND(A633="",B633=""),"",IF(A633="","Missing product",IF(B633="","Missing material",IF(COUNTIF(ProductList,A633)=0,"Product not in Products list",IF(COUNTIF(MaterialList,B633)=0,"Material not in Materials list","OK")))))</f>
        <v/>
      </c>
      <c r="H633" s="18" t="str">
        <f aca="false">IF(F633="Active",A633&amp;"|"&amp;COUNTIFS(A$2:A633,A633,F$2:F633,"Active"),"")</f>
        <v/>
      </c>
      <c r="I633" s="18" t="str">
        <f aca="false">IF(B633="","",IF(SUMPRODUCT(MAX((A$1:A632=A633)*(B$1:B632=B633)*ROW(A$1:A632)))=0,C633&amp;"",IF(C633="",INDEX(I$1:I632,SUMPRODUCT(MAX((A$1:A632=A633)*(B$1:B632=B633)*ROW(A$1:A632)))),IF(INDEX(I$1:I632,SUMPRODUCT(MAX((A$1:A632=A633)*(B$1:B632=B633)*ROW(A$1:A632))))="",C633&amp;"",INDEX(I$1:I632,SUMPRODUCT(MAX((A$1:A632=A633)*(B$1:B632=B633)*ROW(A$1:A632))))&amp;"; "&amp;C633))))</f>
        <v/>
      </c>
      <c r="J633" s="18" t="str">
        <f aca="false">IF(A633="","",A633&amp;"|"&amp;COUNTIF(A$2:A633,A633))</f>
        <v/>
      </c>
      <c r="K633" s="18" t="n">
        <f aca="false">IF(OR(A633="",B633=""),0,IF(COUNTIFS(A$2:A633,A633,B$2:B633,B633)=1,1,0))</f>
        <v>0</v>
      </c>
    </row>
    <row r="634" customFormat="false" ht="15" hidden="false" customHeight="false" outlineLevel="0" collapsed="false">
      <c r="A634" s="15"/>
      <c r="B634" s="15"/>
      <c r="C634" s="15"/>
      <c r="D634" s="15"/>
      <c r="F634" s="18" t="str">
        <f aca="false">IF(B634="","",IFERROR(INDEX(Materials!$B$2:$B$201,MATCH(B634,Materials!$A$2:$A$201,0)),""))</f>
        <v/>
      </c>
      <c r="G634" s="18" t="str">
        <f aca="true">IF(AND(A634="",B634=""),"",IF(A634="","Missing product",IF(B634="","Missing material",IF(COUNTIF(ProductList,A634)=0,"Product not in Products list",IF(COUNTIF(MaterialList,B634)=0,"Material not in Materials list","OK")))))</f>
        <v/>
      </c>
      <c r="H634" s="18" t="str">
        <f aca="false">IF(F634="Active",A634&amp;"|"&amp;COUNTIFS(A$2:A634,A634,F$2:F634,"Active"),"")</f>
        <v/>
      </c>
      <c r="I634" s="18" t="str">
        <f aca="false">IF(B634="","",IF(SUMPRODUCT(MAX((A$1:A633=A634)*(B$1:B633=B634)*ROW(A$1:A633)))=0,C634&amp;"",IF(C634="",INDEX(I$1:I633,SUMPRODUCT(MAX((A$1:A633=A634)*(B$1:B633=B634)*ROW(A$1:A633)))),IF(INDEX(I$1:I633,SUMPRODUCT(MAX((A$1:A633=A634)*(B$1:B633=B634)*ROW(A$1:A633))))="",C634&amp;"",INDEX(I$1:I633,SUMPRODUCT(MAX((A$1:A633=A634)*(B$1:B633=B634)*ROW(A$1:A633))))&amp;"; "&amp;C634))))</f>
        <v/>
      </c>
      <c r="J634" s="18" t="str">
        <f aca="false">IF(A634="","",A634&amp;"|"&amp;COUNTIF(A$2:A634,A634))</f>
        <v/>
      </c>
      <c r="K634" s="18" t="n">
        <f aca="false">IF(OR(A634="",B634=""),0,IF(COUNTIFS(A$2:A634,A634,B$2:B634,B634)=1,1,0))</f>
        <v>0</v>
      </c>
    </row>
    <row r="635" customFormat="false" ht="15" hidden="false" customHeight="false" outlineLevel="0" collapsed="false">
      <c r="A635" s="15"/>
      <c r="B635" s="15"/>
      <c r="C635" s="15"/>
      <c r="D635" s="15"/>
      <c r="F635" s="18" t="str">
        <f aca="false">IF(B635="","",IFERROR(INDEX(Materials!$B$2:$B$201,MATCH(B635,Materials!$A$2:$A$201,0)),""))</f>
        <v/>
      </c>
      <c r="G635" s="18" t="str">
        <f aca="true">IF(AND(A635="",B635=""),"",IF(A635="","Missing product",IF(B635="","Missing material",IF(COUNTIF(ProductList,A635)=0,"Product not in Products list",IF(COUNTIF(MaterialList,B635)=0,"Material not in Materials list","OK")))))</f>
        <v/>
      </c>
      <c r="H635" s="18" t="str">
        <f aca="false">IF(F635="Active",A635&amp;"|"&amp;COUNTIFS(A$2:A635,A635,F$2:F635,"Active"),"")</f>
        <v/>
      </c>
      <c r="I635" s="18" t="str">
        <f aca="false">IF(B635="","",IF(SUMPRODUCT(MAX((A$1:A634=A635)*(B$1:B634=B635)*ROW(A$1:A634)))=0,C635&amp;"",IF(C635="",INDEX(I$1:I634,SUMPRODUCT(MAX((A$1:A634=A635)*(B$1:B634=B635)*ROW(A$1:A634)))),IF(INDEX(I$1:I634,SUMPRODUCT(MAX((A$1:A634=A635)*(B$1:B634=B635)*ROW(A$1:A634))))="",C635&amp;"",INDEX(I$1:I634,SUMPRODUCT(MAX((A$1:A634=A635)*(B$1:B634=B635)*ROW(A$1:A634))))&amp;"; "&amp;C635))))</f>
        <v/>
      </c>
      <c r="J635" s="18" t="str">
        <f aca="false">IF(A635="","",A635&amp;"|"&amp;COUNTIF(A$2:A635,A635))</f>
        <v/>
      </c>
      <c r="K635" s="18" t="n">
        <f aca="false">IF(OR(A635="",B635=""),0,IF(COUNTIFS(A$2:A635,A635,B$2:B635,B635)=1,1,0))</f>
        <v>0</v>
      </c>
    </row>
    <row r="636" customFormat="false" ht="15" hidden="false" customHeight="false" outlineLevel="0" collapsed="false">
      <c r="A636" s="15"/>
      <c r="B636" s="15"/>
      <c r="C636" s="15"/>
      <c r="D636" s="15"/>
      <c r="F636" s="18" t="str">
        <f aca="false">IF(B636="","",IFERROR(INDEX(Materials!$B$2:$B$201,MATCH(B636,Materials!$A$2:$A$201,0)),""))</f>
        <v/>
      </c>
      <c r="G636" s="18" t="str">
        <f aca="true">IF(AND(A636="",B636=""),"",IF(A636="","Missing product",IF(B636="","Missing material",IF(COUNTIF(ProductList,A636)=0,"Product not in Products list",IF(COUNTIF(MaterialList,B636)=0,"Material not in Materials list","OK")))))</f>
        <v/>
      </c>
      <c r="H636" s="18" t="str">
        <f aca="false">IF(F636="Active",A636&amp;"|"&amp;COUNTIFS(A$2:A636,A636,F$2:F636,"Active"),"")</f>
        <v/>
      </c>
      <c r="I636" s="18" t="str">
        <f aca="false">IF(B636="","",IF(SUMPRODUCT(MAX((A$1:A635=A636)*(B$1:B635=B636)*ROW(A$1:A635)))=0,C636&amp;"",IF(C636="",INDEX(I$1:I635,SUMPRODUCT(MAX((A$1:A635=A636)*(B$1:B635=B636)*ROW(A$1:A635)))),IF(INDEX(I$1:I635,SUMPRODUCT(MAX((A$1:A635=A636)*(B$1:B635=B636)*ROW(A$1:A635))))="",C636&amp;"",INDEX(I$1:I635,SUMPRODUCT(MAX((A$1:A635=A636)*(B$1:B635=B636)*ROW(A$1:A635))))&amp;"; "&amp;C636))))</f>
        <v/>
      </c>
      <c r="J636" s="18" t="str">
        <f aca="false">IF(A636="","",A636&amp;"|"&amp;COUNTIF(A$2:A636,A636))</f>
        <v/>
      </c>
      <c r="K636" s="18" t="n">
        <f aca="false">IF(OR(A636="",B636=""),0,IF(COUNTIFS(A$2:A636,A636,B$2:B636,B636)=1,1,0))</f>
        <v>0</v>
      </c>
    </row>
    <row r="637" customFormat="false" ht="15" hidden="false" customHeight="false" outlineLevel="0" collapsed="false">
      <c r="A637" s="15"/>
      <c r="B637" s="15"/>
      <c r="C637" s="15"/>
      <c r="D637" s="15"/>
      <c r="F637" s="18" t="str">
        <f aca="false">IF(B637="","",IFERROR(INDEX(Materials!$B$2:$B$201,MATCH(B637,Materials!$A$2:$A$201,0)),""))</f>
        <v/>
      </c>
      <c r="G637" s="18" t="str">
        <f aca="true">IF(AND(A637="",B637=""),"",IF(A637="","Missing product",IF(B637="","Missing material",IF(COUNTIF(ProductList,A637)=0,"Product not in Products list",IF(COUNTIF(MaterialList,B637)=0,"Material not in Materials list","OK")))))</f>
        <v/>
      </c>
      <c r="H637" s="18" t="str">
        <f aca="false">IF(F637="Active",A637&amp;"|"&amp;COUNTIFS(A$2:A637,A637,F$2:F637,"Active"),"")</f>
        <v/>
      </c>
      <c r="I637" s="18" t="str">
        <f aca="false">IF(B637="","",IF(SUMPRODUCT(MAX((A$1:A636=A637)*(B$1:B636=B637)*ROW(A$1:A636)))=0,C637&amp;"",IF(C637="",INDEX(I$1:I636,SUMPRODUCT(MAX((A$1:A636=A637)*(B$1:B636=B637)*ROW(A$1:A636)))),IF(INDEX(I$1:I636,SUMPRODUCT(MAX((A$1:A636=A637)*(B$1:B636=B637)*ROW(A$1:A636))))="",C637&amp;"",INDEX(I$1:I636,SUMPRODUCT(MAX((A$1:A636=A637)*(B$1:B636=B637)*ROW(A$1:A636))))&amp;"; "&amp;C637))))</f>
        <v/>
      </c>
      <c r="J637" s="18" t="str">
        <f aca="false">IF(A637="","",A637&amp;"|"&amp;COUNTIF(A$2:A637,A637))</f>
        <v/>
      </c>
      <c r="K637" s="18" t="n">
        <f aca="false">IF(OR(A637="",B637=""),0,IF(COUNTIFS(A$2:A637,A637,B$2:B637,B637)=1,1,0))</f>
        <v>0</v>
      </c>
    </row>
    <row r="638" customFormat="false" ht="15" hidden="false" customHeight="false" outlineLevel="0" collapsed="false">
      <c r="A638" s="15"/>
      <c r="B638" s="15"/>
      <c r="C638" s="15"/>
      <c r="D638" s="15"/>
      <c r="F638" s="18" t="str">
        <f aca="false">IF(B638="","",IFERROR(INDEX(Materials!$B$2:$B$201,MATCH(B638,Materials!$A$2:$A$201,0)),""))</f>
        <v/>
      </c>
      <c r="G638" s="18" t="str">
        <f aca="true">IF(AND(A638="",B638=""),"",IF(A638="","Missing product",IF(B638="","Missing material",IF(COUNTIF(ProductList,A638)=0,"Product not in Products list",IF(COUNTIF(MaterialList,B638)=0,"Material not in Materials list","OK")))))</f>
        <v/>
      </c>
      <c r="H638" s="18" t="str">
        <f aca="false">IF(F638="Active",A638&amp;"|"&amp;COUNTIFS(A$2:A638,A638,F$2:F638,"Active"),"")</f>
        <v/>
      </c>
      <c r="I638" s="18" t="str">
        <f aca="false">IF(B638="","",IF(SUMPRODUCT(MAX((A$1:A637=A638)*(B$1:B637=B638)*ROW(A$1:A637)))=0,C638&amp;"",IF(C638="",INDEX(I$1:I637,SUMPRODUCT(MAX((A$1:A637=A638)*(B$1:B637=B638)*ROW(A$1:A637)))),IF(INDEX(I$1:I637,SUMPRODUCT(MAX((A$1:A637=A638)*(B$1:B637=B638)*ROW(A$1:A637))))="",C638&amp;"",INDEX(I$1:I637,SUMPRODUCT(MAX((A$1:A637=A638)*(B$1:B637=B638)*ROW(A$1:A637))))&amp;"; "&amp;C638))))</f>
        <v/>
      </c>
      <c r="J638" s="18" t="str">
        <f aca="false">IF(A638="","",A638&amp;"|"&amp;COUNTIF(A$2:A638,A638))</f>
        <v/>
      </c>
      <c r="K638" s="18" t="n">
        <f aca="false">IF(OR(A638="",B638=""),0,IF(COUNTIFS(A$2:A638,A638,B$2:B638,B638)=1,1,0))</f>
        <v>0</v>
      </c>
    </row>
    <row r="639" customFormat="false" ht="15" hidden="false" customHeight="false" outlineLevel="0" collapsed="false">
      <c r="A639" s="15"/>
      <c r="B639" s="15"/>
      <c r="C639" s="15"/>
      <c r="D639" s="15"/>
      <c r="F639" s="18" t="str">
        <f aca="false">IF(B639="","",IFERROR(INDEX(Materials!$B$2:$B$201,MATCH(B639,Materials!$A$2:$A$201,0)),""))</f>
        <v/>
      </c>
      <c r="G639" s="18" t="str">
        <f aca="true">IF(AND(A639="",B639=""),"",IF(A639="","Missing product",IF(B639="","Missing material",IF(COUNTIF(ProductList,A639)=0,"Product not in Products list",IF(COUNTIF(MaterialList,B639)=0,"Material not in Materials list","OK")))))</f>
        <v/>
      </c>
      <c r="H639" s="18" t="str">
        <f aca="false">IF(F639="Active",A639&amp;"|"&amp;COUNTIFS(A$2:A639,A639,F$2:F639,"Active"),"")</f>
        <v/>
      </c>
      <c r="I639" s="18" t="str">
        <f aca="false">IF(B639="","",IF(SUMPRODUCT(MAX((A$1:A638=A639)*(B$1:B638=B639)*ROW(A$1:A638)))=0,C639&amp;"",IF(C639="",INDEX(I$1:I638,SUMPRODUCT(MAX((A$1:A638=A639)*(B$1:B638=B639)*ROW(A$1:A638)))),IF(INDEX(I$1:I638,SUMPRODUCT(MAX((A$1:A638=A639)*(B$1:B638=B639)*ROW(A$1:A638))))="",C639&amp;"",INDEX(I$1:I638,SUMPRODUCT(MAX((A$1:A638=A639)*(B$1:B638=B639)*ROW(A$1:A638))))&amp;"; "&amp;C639))))</f>
        <v/>
      </c>
      <c r="J639" s="18" t="str">
        <f aca="false">IF(A639="","",A639&amp;"|"&amp;COUNTIF(A$2:A639,A639))</f>
        <v/>
      </c>
      <c r="K639" s="18" t="n">
        <f aca="false">IF(OR(A639="",B639=""),0,IF(COUNTIFS(A$2:A639,A639,B$2:B639,B639)=1,1,0))</f>
        <v>0</v>
      </c>
    </row>
    <row r="640" customFormat="false" ht="15" hidden="false" customHeight="false" outlineLevel="0" collapsed="false">
      <c r="A640" s="15"/>
      <c r="B640" s="15"/>
      <c r="C640" s="15"/>
      <c r="D640" s="15"/>
      <c r="F640" s="18" t="str">
        <f aca="false">IF(B640="","",IFERROR(INDEX(Materials!$B$2:$B$201,MATCH(B640,Materials!$A$2:$A$201,0)),""))</f>
        <v/>
      </c>
      <c r="G640" s="18" t="str">
        <f aca="true">IF(AND(A640="",B640=""),"",IF(A640="","Missing product",IF(B640="","Missing material",IF(COUNTIF(ProductList,A640)=0,"Product not in Products list",IF(COUNTIF(MaterialList,B640)=0,"Material not in Materials list","OK")))))</f>
        <v/>
      </c>
      <c r="H640" s="18" t="str">
        <f aca="false">IF(F640="Active",A640&amp;"|"&amp;COUNTIFS(A$2:A640,A640,F$2:F640,"Active"),"")</f>
        <v/>
      </c>
      <c r="I640" s="18" t="str">
        <f aca="false">IF(B640="","",IF(SUMPRODUCT(MAX((A$1:A639=A640)*(B$1:B639=B640)*ROW(A$1:A639)))=0,C640&amp;"",IF(C640="",INDEX(I$1:I639,SUMPRODUCT(MAX((A$1:A639=A640)*(B$1:B639=B640)*ROW(A$1:A639)))),IF(INDEX(I$1:I639,SUMPRODUCT(MAX((A$1:A639=A640)*(B$1:B639=B640)*ROW(A$1:A639))))="",C640&amp;"",INDEX(I$1:I639,SUMPRODUCT(MAX((A$1:A639=A640)*(B$1:B639=B640)*ROW(A$1:A639))))&amp;"; "&amp;C640))))</f>
        <v/>
      </c>
      <c r="J640" s="18" t="str">
        <f aca="false">IF(A640="","",A640&amp;"|"&amp;COUNTIF(A$2:A640,A640))</f>
        <v/>
      </c>
      <c r="K640" s="18" t="n">
        <f aca="false">IF(OR(A640="",B640=""),0,IF(COUNTIFS(A$2:A640,A640,B$2:B640,B640)=1,1,0))</f>
        <v>0</v>
      </c>
    </row>
    <row r="641" customFormat="false" ht="15" hidden="false" customHeight="false" outlineLevel="0" collapsed="false">
      <c r="A641" s="15"/>
      <c r="B641" s="15"/>
      <c r="C641" s="15"/>
      <c r="D641" s="15"/>
      <c r="F641" s="18" t="str">
        <f aca="false">IF(B641="","",IFERROR(INDEX(Materials!$B$2:$B$201,MATCH(B641,Materials!$A$2:$A$201,0)),""))</f>
        <v/>
      </c>
      <c r="G641" s="18" t="str">
        <f aca="true">IF(AND(A641="",B641=""),"",IF(A641="","Missing product",IF(B641="","Missing material",IF(COUNTIF(ProductList,A641)=0,"Product not in Products list",IF(COUNTIF(MaterialList,B641)=0,"Material not in Materials list","OK")))))</f>
        <v/>
      </c>
      <c r="H641" s="18" t="str">
        <f aca="false">IF(F641="Active",A641&amp;"|"&amp;COUNTIFS(A$2:A641,A641,F$2:F641,"Active"),"")</f>
        <v/>
      </c>
      <c r="I641" s="18" t="str">
        <f aca="false">IF(B641="","",IF(SUMPRODUCT(MAX((A$1:A640=A641)*(B$1:B640=B641)*ROW(A$1:A640)))=0,C641&amp;"",IF(C641="",INDEX(I$1:I640,SUMPRODUCT(MAX((A$1:A640=A641)*(B$1:B640=B641)*ROW(A$1:A640)))),IF(INDEX(I$1:I640,SUMPRODUCT(MAX((A$1:A640=A641)*(B$1:B640=B641)*ROW(A$1:A640))))="",C641&amp;"",INDEX(I$1:I640,SUMPRODUCT(MAX((A$1:A640=A641)*(B$1:B640=B641)*ROW(A$1:A640))))&amp;"; "&amp;C641))))</f>
        <v/>
      </c>
      <c r="J641" s="18" t="str">
        <f aca="false">IF(A641="","",A641&amp;"|"&amp;COUNTIF(A$2:A641,A641))</f>
        <v/>
      </c>
      <c r="K641" s="18" t="n">
        <f aca="false">IF(OR(A641="",B641=""),0,IF(COUNTIFS(A$2:A641,A641,B$2:B641,B641)=1,1,0))</f>
        <v>0</v>
      </c>
    </row>
    <row r="642" customFormat="false" ht="15" hidden="false" customHeight="false" outlineLevel="0" collapsed="false">
      <c r="A642" s="15"/>
      <c r="B642" s="15"/>
      <c r="C642" s="15"/>
      <c r="D642" s="15"/>
      <c r="F642" s="18" t="str">
        <f aca="false">IF(B642="","",IFERROR(INDEX(Materials!$B$2:$B$201,MATCH(B642,Materials!$A$2:$A$201,0)),""))</f>
        <v/>
      </c>
      <c r="G642" s="18" t="str">
        <f aca="true">IF(AND(A642="",B642=""),"",IF(A642="","Missing product",IF(B642="","Missing material",IF(COUNTIF(ProductList,A642)=0,"Product not in Products list",IF(COUNTIF(MaterialList,B642)=0,"Material not in Materials list","OK")))))</f>
        <v/>
      </c>
      <c r="H642" s="18" t="str">
        <f aca="false">IF(F642="Active",A642&amp;"|"&amp;COUNTIFS(A$2:A642,A642,F$2:F642,"Active"),"")</f>
        <v/>
      </c>
      <c r="I642" s="18" t="str">
        <f aca="false">IF(B642="","",IF(SUMPRODUCT(MAX((A$1:A641=A642)*(B$1:B641=B642)*ROW(A$1:A641)))=0,C642&amp;"",IF(C642="",INDEX(I$1:I641,SUMPRODUCT(MAX((A$1:A641=A642)*(B$1:B641=B642)*ROW(A$1:A641)))),IF(INDEX(I$1:I641,SUMPRODUCT(MAX((A$1:A641=A642)*(B$1:B641=B642)*ROW(A$1:A641))))="",C642&amp;"",INDEX(I$1:I641,SUMPRODUCT(MAX((A$1:A641=A642)*(B$1:B641=B642)*ROW(A$1:A641))))&amp;"; "&amp;C642))))</f>
        <v/>
      </c>
      <c r="J642" s="18" t="str">
        <f aca="false">IF(A642="","",A642&amp;"|"&amp;COUNTIF(A$2:A642,A642))</f>
        <v/>
      </c>
      <c r="K642" s="18" t="n">
        <f aca="false">IF(OR(A642="",B642=""),0,IF(COUNTIFS(A$2:A642,A642,B$2:B642,B642)=1,1,0))</f>
        <v>0</v>
      </c>
    </row>
    <row r="643" customFormat="false" ht="15" hidden="false" customHeight="false" outlineLevel="0" collapsed="false">
      <c r="A643" s="15"/>
      <c r="B643" s="15"/>
      <c r="C643" s="15"/>
      <c r="D643" s="15"/>
      <c r="F643" s="18" t="str">
        <f aca="false">IF(B643="","",IFERROR(INDEX(Materials!$B$2:$B$201,MATCH(B643,Materials!$A$2:$A$201,0)),""))</f>
        <v/>
      </c>
      <c r="G643" s="18" t="str">
        <f aca="true">IF(AND(A643="",B643=""),"",IF(A643="","Missing product",IF(B643="","Missing material",IF(COUNTIF(ProductList,A643)=0,"Product not in Products list",IF(COUNTIF(MaterialList,B643)=0,"Material not in Materials list","OK")))))</f>
        <v/>
      </c>
      <c r="H643" s="18" t="str">
        <f aca="false">IF(F643="Active",A643&amp;"|"&amp;COUNTIFS(A$2:A643,A643,F$2:F643,"Active"),"")</f>
        <v/>
      </c>
      <c r="I643" s="18" t="str">
        <f aca="false">IF(B643="","",IF(SUMPRODUCT(MAX((A$1:A642=A643)*(B$1:B642=B643)*ROW(A$1:A642)))=0,C643&amp;"",IF(C643="",INDEX(I$1:I642,SUMPRODUCT(MAX((A$1:A642=A643)*(B$1:B642=B643)*ROW(A$1:A642)))),IF(INDEX(I$1:I642,SUMPRODUCT(MAX((A$1:A642=A643)*(B$1:B642=B643)*ROW(A$1:A642))))="",C643&amp;"",INDEX(I$1:I642,SUMPRODUCT(MAX((A$1:A642=A643)*(B$1:B642=B643)*ROW(A$1:A642))))&amp;"; "&amp;C643))))</f>
        <v/>
      </c>
      <c r="J643" s="18" t="str">
        <f aca="false">IF(A643="","",A643&amp;"|"&amp;COUNTIF(A$2:A643,A643))</f>
        <v/>
      </c>
      <c r="K643" s="18" t="n">
        <f aca="false">IF(OR(A643="",B643=""),0,IF(COUNTIFS(A$2:A643,A643,B$2:B643,B643)=1,1,0))</f>
        <v>0</v>
      </c>
    </row>
    <row r="644" customFormat="false" ht="15" hidden="false" customHeight="false" outlineLevel="0" collapsed="false">
      <c r="A644" s="15"/>
      <c r="B644" s="15"/>
      <c r="C644" s="15"/>
      <c r="D644" s="15"/>
      <c r="F644" s="18" t="str">
        <f aca="false">IF(B644="","",IFERROR(INDEX(Materials!$B$2:$B$201,MATCH(B644,Materials!$A$2:$A$201,0)),""))</f>
        <v/>
      </c>
      <c r="G644" s="18" t="str">
        <f aca="true">IF(AND(A644="",B644=""),"",IF(A644="","Missing product",IF(B644="","Missing material",IF(COUNTIF(ProductList,A644)=0,"Product not in Products list",IF(COUNTIF(MaterialList,B644)=0,"Material not in Materials list","OK")))))</f>
        <v/>
      </c>
      <c r="H644" s="18" t="str">
        <f aca="false">IF(F644="Active",A644&amp;"|"&amp;COUNTIFS(A$2:A644,A644,F$2:F644,"Active"),"")</f>
        <v/>
      </c>
      <c r="I644" s="18" t="str">
        <f aca="false">IF(B644="","",IF(SUMPRODUCT(MAX((A$1:A643=A644)*(B$1:B643=B644)*ROW(A$1:A643)))=0,C644&amp;"",IF(C644="",INDEX(I$1:I643,SUMPRODUCT(MAX((A$1:A643=A644)*(B$1:B643=B644)*ROW(A$1:A643)))),IF(INDEX(I$1:I643,SUMPRODUCT(MAX((A$1:A643=A644)*(B$1:B643=B644)*ROW(A$1:A643))))="",C644&amp;"",INDEX(I$1:I643,SUMPRODUCT(MAX((A$1:A643=A644)*(B$1:B643=B644)*ROW(A$1:A643))))&amp;"; "&amp;C644))))</f>
        <v/>
      </c>
      <c r="J644" s="18" t="str">
        <f aca="false">IF(A644="","",A644&amp;"|"&amp;COUNTIF(A$2:A644,A644))</f>
        <v/>
      </c>
      <c r="K644" s="18" t="n">
        <f aca="false">IF(OR(A644="",B644=""),0,IF(COUNTIFS(A$2:A644,A644,B$2:B644,B644)=1,1,0))</f>
        <v>0</v>
      </c>
    </row>
    <row r="645" customFormat="false" ht="15" hidden="false" customHeight="false" outlineLevel="0" collapsed="false">
      <c r="A645" s="15"/>
      <c r="B645" s="15"/>
      <c r="C645" s="15"/>
      <c r="D645" s="15"/>
      <c r="F645" s="18" t="str">
        <f aca="false">IF(B645="","",IFERROR(INDEX(Materials!$B$2:$B$201,MATCH(B645,Materials!$A$2:$A$201,0)),""))</f>
        <v/>
      </c>
      <c r="G645" s="18" t="str">
        <f aca="true">IF(AND(A645="",B645=""),"",IF(A645="","Missing product",IF(B645="","Missing material",IF(COUNTIF(ProductList,A645)=0,"Product not in Products list",IF(COUNTIF(MaterialList,B645)=0,"Material not in Materials list","OK")))))</f>
        <v/>
      </c>
      <c r="H645" s="18" t="str">
        <f aca="false">IF(F645="Active",A645&amp;"|"&amp;COUNTIFS(A$2:A645,A645,F$2:F645,"Active"),"")</f>
        <v/>
      </c>
      <c r="I645" s="18" t="str">
        <f aca="false">IF(B645="","",IF(SUMPRODUCT(MAX((A$1:A644=A645)*(B$1:B644=B645)*ROW(A$1:A644)))=0,C645&amp;"",IF(C645="",INDEX(I$1:I644,SUMPRODUCT(MAX((A$1:A644=A645)*(B$1:B644=B645)*ROW(A$1:A644)))),IF(INDEX(I$1:I644,SUMPRODUCT(MAX((A$1:A644=A645)*(B$1:B644=B645)*ROW(A$1:A644))))="",C645&amp;"",INDEX(I$1:I644,SUMPRODUCT(MAX((A$1:A644=A645)*(B$1:B644=B645)*ROW(A$1:A644))))&amp;"; "&amp;C645))))</f>
        <v/>
      </c>
      <c r="J645" s="18" t="str">
        <f aca="false">IF(A645="","",A645&amp;"|"&amp;COUNTIF(A$2:A645,A645))</f>
        <v/>
      </c>
      <c r="K645" s="18" t="n">
        <f aca="false">IF(OR(A645="",B645=""),0,IF(COUNTIFS(A$2:A645,A645,B$2:B645,B645)=1,1,0))</f>
        <v>0</v>
      </c>
    </row>
    <row r="646" customFormat="false" ht="15" hidden="false" customHeight="false" outlineLevel="0" collapsed="false">
      <c r="A646" s="15"/>
      <c r="B646" s="15"/>
      <c r="C646" s="15"/>
      <c r="D646" s="15"/>
      <c r="F646" s="18" t="str">
        <f aca="false">IF(B646="","",IFERROR(INDEX(Materials!$B$2:$B$201,MATCH(B646,Materials!$A$2:$A$201,0)),""))</f>
        <v/>
      </c>
      <c r="G646" s="18" t="str">
        <f aca="true">IF(AND(A646="",B646=""),"",IF(A646="","Missing product",IF(B646="","Missing material",IF(COUNTIF(ProductList,A646)=0,"Product not in Products list",IF(COUNTIF(MaterialList,B646)=0,"Material not in Materials list","OK")))))</f>
        <v/>
      </c>
      <c r="H646" s="18" t="str">
        <f aca="false">IF(F646="Active",A646&amp;"|"&amp;COUNTIFS(A$2:A646,A646,F$2:F646,"Active"),"")</f>
        <v/>
      </c>
      <c r="I646" s="18" t="str">
        <f aca="false">IF(B646="","",IF(SUMPRODUCT(MAX((A$1:A645=A646)*(B$1:B645=B646)*ROW(A$1:A645)))=0,C646&amp;"",IF(C646="",INDEX(I$1:I645,SUMPRODUCT(MAX((A$1:A645=A646)*(B$1:B645=B646)*ROW(A$1:A645)))),IF(INDEX(I$1:I645,SUMPRODUCT(MAX((A$1:A645=A646)*(B$1:B645=B646)*ROW(A$1:A645))))="",C646&amp;"",INDEX(I$1:I645,SUMPRODUCT(MAX((A$1:A645=A646)*(B$1:B645=B646)*ROW(A$1:A645))))&amp;"; "&amp;C646))))</f>
        <v/>
      </c>
      <c r="J646" s="18" t="str">
        <f aca="false">IF(A646="","",A646&amp;"|"&amp;COUNTIF(A$2:A646,A646))</f>
        <v/>
      </c>
      <c r="K646" s="18" t="n">
        <f aca="false">IF(OR(A646="",B646=""),0,IF(COUNTIFS(A$2:A646,A646,B$2:B646,B646)=1,1,0))</f>
        <v>0</v>
      </c>
    </row>
    <row r="647" customFormat="false" ht="15" hidden="false" customHeight="false" outlineLevel="0" collapsed="false">
      <c r="A647" s="15"/>
      <c r="B647" s="15"/>
      <c r="C647" s="15"/>
      <c r="D647" s="15"/>
      <c r="F647" s="18" t="str">
        <f aca="false">IF(B647="","",IFERROR(INDEX(Materials!$B$2:$B$201,MATCH(B647,Materials!$A$2:$A$201,0)),""))</f>
        <v/>
      </c>
      <c r="G647" s="18" t="str">
        <f aca="true">IF(AND(A647="",B647=""),"",IF(A647="","Missing product",IF(B647="","Missing material",IF(COUNTIF(ProductList,A647)=0,"Product not in Products list",IF(COUNTIF(MaterialList,B647)=0,"Material not in Materials list","OK")))))</f>
        <v/>
      </c>
      <c r="H647" s="18" t="str">
        <f aca="false">IF(F647="Active",A647&amp;"|"&amp;COUNTIFS(A$2:A647,A647,F$2:F647,"Active"),"")</f>
        <v/>
      </c>
      <c r="I647" s="18" t="str">
        <f aca="false">IF(B647="","",IF(SUMPRODUCT(MAX((A$1:A646=A647)*(B$1:B646=B647)*ROW(A$1:A646)))=0,C647&amp;"",IF(C647="",INDEX(I$1:I646,SUMPRODUCT(MAX((A$1:A646=A647)*(B$1:B646=B647)*ROW(A$1:A646)))),IF(INDEX(I$1:I646,SUMPRODUCT(MAX((A$1:A646=A647)*(B$1:B646=B647)*ROW(A$1:A646))))="",C647&amp;"",INDEX(I$1:I646,SUMPRODUCT(MAX((A$1:A646=A647)*(B$1:B646=B647)*ROW(A$1:A646))))&amp;"; "&amp;C647))))</f>
        <v/>
      </c>
      <c r="J647" s="18" t="str">
        <f aca="false">IF(A647="","",A647&amp;"|"&amp;COUNTIF(A$2:A647,A647))</f>
        <v/>
      </c>
      <c r="K647" s="18" t="n">
        <f aca="false">IF(OR(A647="",B647=""),0,IF(COUNTIFS(A$2:A647,A647,B$2:B647,B647)=1,1,0))</f>
        <v>0</v>
      </c>
    </row>
    <row r="648" customFormat="false" ht="15" hidden="false" customHeight="false" outlineLevel="0" collapsed="false">
      <c r="A648" s="15"/>
      <c r="B648" s="15"/>
      <c r="C648" s="15"/>
      <c r="D648" s="15"/>
      <c r="F648" s="18" t="str">
        <f aca="false">IF(B648="","",IFERROR(INDEX(Materials!$B$2:$B$201,MATCH(B648,Materials!$A$2:$A$201,0)),""))</f>
        <v/>
      </c>
      <c r="G648" s="18" t="str">
        <f aca="true">IF(AND(A648="",B648=""),"",IF(A648="","Missing product",IF(B648="","Missing material",IF(COUNTIF(ProductList,A648)=0,"Product not in Products list",IF(COUNTIF(MaterialList,B648)=0,"Material not in Materials list","OK")))))</f>
        <v/>
      </c>
      <c r="H648" s="18" t="str">
        <f aca="false">IF(F648="Active",A648&amp;"|"&amp;COUNTIFS(A$2:A648,A648,F$2:F648,"Active"),"")</f>
        <v/>
      </c>
      <c r="I648" s="18" t="str">
        <f aca="false">IF(B648="","",IF(SUMPRODUCT(MAX((A$1:A647=A648)*(B$1:B647=B648)*ROW(A$1:A647)))=0,C648&amp;"",IF(C648="",INDEX(I$1:I647,SUMPRODUCT(MAX((A$1:A647=A648)*(B$1:B647=B648)*ROW(A$1:A647)))),IF(INDEX(I$1:I647,SUMPRODUCT(MAX((A$1:A647=A648)*(B$1:B647=B648)*ROW(A$1:A647))))="",C648&amp;"",INDEX(I$1:I647,SUMPRODUCT(MAX((A$1:A647=A648)*(B$1:B647=B648)*ROW(A$1:A647))))&amp;"; "&amp;C648))))</f>
        <v/>
      </c>
      <c r="J648" s="18" t="str">
        <f aca="false">IF(A648="","",A648&amp;"|"&amp;COUNTIF(A$2:A648,A648))</f>
        <v/>
      </c>
      <c r="K648" s="18" t="n">
        <f aca="false">IF(OR(A648="",B648=""),0,IF(COUNTIFS(A$2:A648,A648,B$2:B648,B648)=1,1,0))</f>
        <v>0</v>
      </c>
    </row>
    <row r="649" customFormat="false" ht="15" hidden="false" customHeight="false" outlineLevel="0" collapsed="false">
      <c r="A649" s="15"/>
      <c r="B649" s="15"/>
      <c r="C649" s="15"/>
      <c r="D649" s="15"/>
      <c r="F649" s="18" t="str">
        <f aca="false">IF(B649="","",IFERROR(INDEX(Materials!$B$2:$B$201,MATCH(B649,Materials!$A$2:$A$201,0)),""))</f>
        <v/>
      </c>
      <c r="G649" s="18" t="str">
        <f aca="true">IF(AND(A649="",B649=""),"",IF(A649="","Missing product",IF(B649="","Missing material",IF(COUNTIF(ProductList,A649)=0,"Product not in Products list",IF(COUNTIF(MaterialList,B649)=0,"Material not in Materials list","OK")))))</f>
        <v/>
      </c>
      <c r="H649" s="18" t="str">
        <f aca="false">IF(F649="Active",A649&amp;"|"&amp;COUNTIFS(A$2:A649,A649,F$2:F649,"Active"),"")</f>
        <v/>
      </c>
      <c r="I649" s="18" t="str">
        <f aca="false">IF(B649="","",IF(SUMPRODUCT(MAX((A$1:A648=A649)*(B$1:B648=B649)*ROW(A$1:A648)))=0,C649&amp;"",IF(C649="",INDEX(I$1:I648,SUMPRODUCT(MAX((A$1:A648=A649)*(B$1:B648=B649)*ROW(A$1:A648)))),IF(INDEX(I$1:I648,SUMPRODUCT(MAX((A$1:A648=A649)*(B$1:B648=B649)*ROW(A$1:A648))))="",C649&amp;"",INDEX(I$1:I648,SUMPRODUCT(MAX((A$1:A648=A649)*(B$1:B648=B649)*ROW(A$1:A648))))&amp;"; "&amp;C649))))</f>
        <v/>
      </c>
      <c r="J649" s="18" t="str">
        <f aca="false">IF(A649="","",A649&amp;"|"&amp;COUNTIF(A$2:A649,A649))</f>
        <v/>
      </c>
      <c r="K649" s="18" t="n">
        <f aca="false">IF(OR(A649="",B649=""),0,IF(COUNTIFS(A$2:A649,A649,B$2:B649,B649)=1,1,0))</f>
        <v>0</v>
      </c>
    </row>
    <row r="650" customFormat="false" ht="15" hidden="false" customHeight="false" outlineLevel="0" collapsed="false">
      <c r="A650" s="15"/>
      <c r="B650" s="15"/>
      <c r="C650" s="15"/>
      <c r="D650" s="15"/>
      <c r="F650" s="18" t="str">
        <f aca="false">IF(B650="","",IFERROR(INDEX(Materials!$B$2:$B$201,MATCH(B650,Materials!$A$2:$A$201,0)),""))</f>
        <v/>
      </c>
      <c r="G650" s="18" t="str">
        <f aca="true">IF(AND(A650="",B650=""),"",IF(A650="","Missing product",IF(B650="","Missing material",IF(COUNTIF(ProductList,A650)=0,"Product not in Products list",IF(COUNTIF(MaterialList,B650)=0,"Material not in Materials list","OK")))))</f>
        <v/>
      </c>
      <c r="H650" s="18" t="str">
        <f aca="false">IF(F650="Active",A650&amp;"|"&amp;COUNTIFS(A$2:A650,A650,F$2:F650,"Active"),"")</f>
        <v/>
      </c>
      <c r="I650" s="18" t="str">
        <f aca="false">IF(B650="","",IF(SUMPRODUCT(MAX((A$1:A649=A650)*(B$1:B649=B650)*ROW(A$1:A649)))=0,C650&amp;"",IF(C650="",INDEX(I$1:I649,SUMPRODUCT(MAX((A$1:A649=A650)*(B$1:B649=B650)*ROW(A$1:A649)))),IF(INDEX(I$1:I649,SUMPRODUCT(MAX((A$1:A649=A650)*(B$1:B649=B650)*ROW(A$1:A649))))="",C650&amp;"",INDEX(I$1:I649,SUMPRODUCT(MAX((A$1:A649=A650)*(B$1:B649=B650)*ROW(A$1:A649))))&amp;"; "&amp;C650))))</f>
        <v/>
      </c>
      <c r="J650" s="18" t="str">
        <f aca="false">IF(A650="","",A650&amp;"|"&amp;COUNTIF(A$2:A650,A650))</f>
        <v/>
      </c>
      <c r="K650" s="18" t="n">
        <f aca="false">IF(OR(A650="",B650=""),0,IF(COUNTIFS(A$2:A650,A650,B$2:B650,B650)=1,1,0))</f>
        <v>0</v>
      </c>
    </row>
    <row r="651" customFormat="false" ht="15" hidden="false" customHeight="false" outlineLevel="0" collapsed="false">
      <c r="A651" s="15"/>
      <c r="B651" s="15"/>
      <c r="C651" s="15"/>
      <c r="D651" s="15"/>
      <c r="F651" s="18" t="str">
        <f aca="false">IF(B651="","",IFERROR(INDEX(Materials!$B$2:$B$201,MATCH(B651,Materials!$A$2:$A$201,0)),""))</f>
        <v/>
      </c>
      <c r="G651" s="18" t="str">
        <f aca="true">IF(AND(A651="",B651=""),"",IF(A651="","Missing product",IF(B651="","Missing material",IF(COUNTIF(ProductList,A651)=0,"Product not in Products list",IF(COUNTIF(MaterialList,B651)=0,"Material not in Materials list","OK")))))</f>
        <v/>
      </c>
      <c r="H651" s="18" t="str">
        <f aca="false">IF(F651="Active",A651&amp;"|"&amp;COUNTIFS(A$2:A651,A651,F$2:F651,"Active"),"")</f>
        <v/>
      </c>
      <c r="I651" s="18" t="str">
        <f aca="false">IF(B651="","",IF(SUMPRODUCT(MAX((A$1:A650=A651)*(B$1:B650=B651)*ROW(A$1:A650)))=0,C651&amp;"",IF(C651="",INDEX(I$1:I650,SUMPRODUCT(MAX((A$1:A650=A651)*(B$1:B650=B651)*ROW(A$1:A650)))),IF(INDEX(I$1:I650,SUMPRODUCT(MAX((A$1:A650=A651)*(B$1:B650=B651)*ROW(A$1:A650))))="",C651&amp;"",INDEX(I$1:I650,SUMPRODUCT(MAX((A$1:A650=A651)*(B$1:B650=B651)*ROW(A$1:A650))))&amp;"; "&amp;C651))))</f>
        <v/>
      </c>
      <c r="J651" s="18" t="str">
        <f aca="false">IF(A651="","",A651&amp;"|"&amp;COUNTIF(A$2:A651,A651))</f>
        <v/>
      </c>
      <c r="K651" s="18" t="n">
        <f aca="false">IF(OR(A651="",B651=""),0,IF(COUNTIFS(A$2:A651,A651,B$2:B651,B651)=1,1,0))</f>
        <v>0</v>
      </c>
    </row>
    <row r="652" customFormat="false" ht="15" hidden="false" customHeight="false" outlineLevel="0" collapsed="false">
      <c r="A652" s="15"/>
      <c r="B652" s="15"/>
      <c r="C652" s="15"/>
      <c r="D652" s="15"/>
      <c r="F652" s="18" t="str">
        <f aca="false">IF(B652="","",IFERROR(INDEX(Materials!$B$2:$B$201,MATCH(B652,Materials!$A$2:$A$201,0)),""))</f>
        <v/>
      </c>
      <c r="G652" s="18" t="str">
        <f aca="true">IF(AND(A652="",B652=""),"",IF(A652="","Missing product",IF(B652="","Missing material",IF(COUNTIF(ProductList,A652)=0,"Product not in Products list",IF(COUNTIF(MaterialList,B652)=0,"Material not in Materials list","OK")))))</f>
        <v/>
      </c>
      <c r="H652" s="18" t="str">
        <f aca="false">IF(F652="Active",A652&amp;"|"&amp;COUNTIFS(A$2:A652,A652,F$2:F652,"Active"),"")</f>
        <v/>
      </c>
      <c r="I652" s="18" t="str">
        <f aca="false">IF(B652="","",IF(SUMPRODUCT(MAX((A$1:A651=A652)*(B$1:B651=B652)*ROW(A$1:A651)))=0,C652&amp;"",IF(C652="",INDEX(I$1:I651,SUMPRODUCT(MAX((A$1:A651=A652)*(B$1:B651=B652)*ROW(A$1:A651)))),IF(INDEX(I$1:I651,SUMPRODUCT(MAX((A$1:A651=A652)*(B$1:B651=B652)*ROW(A$1:A651))))="",C652&amp;"",INDEX(I$1:I651,SUMPRODUCT(MAX((A$1:A651=A652)*(B$1:B651=B652)*ROW(A$1:A651))))&amp;"; "&amp;C652))))</f>
        <v/>
      </c>
      <c r="J652" s="18" t="str">
        <f aca="false">IF(A652="","",A652&amp;"|"&amp;COUNTIF(A$2:A652,A652))</f>
        <v/>
      </c>
      <c r="K652" s="18" t="n">
        <f aca="false">IF(OR(A652="",B652=""),0,IF(COUNTIFS(A$2:A652,A652,B$2:B652,B652)=1,1,0))</f>
        <v>0</v>
      </c>
    </row>
    <row r="653" customFormat="false" ht="15" hidden="false" customHeight="false" outlineLevel="0" collapsed="false">
      <c r="A653" s="15"/>
      <c r="B653" s="15"/>
      <c r="C653" s="15"/>
      <c r="D653" s="15"/>
      <c r="F653" s="18" t="str">
        <f aca="false">IF(B653="","",IFERROR(INDEX(Materials!$B$2:$B$201,MATCH(B653,Materials!$A$2:$A$201,0)),""))</f>
        <v/>
      </c>
      <c r="G653" s="18" t="str">
        <f aca="true">IF(AND(A653="",B653=""),"",IF(A653="","Missing product",IF(B653="","Missing material",IF(COUNTIF(ProductList,A653)=0,"Product not in Products list",IF(COUNTIF(MaterialList,B653)=0,"Material not in Materials list","OK")))))</f>
        <v/>
      </c>
      <c r="H653" s="18" t="str">
        <f aca="false">IF(F653="Active",A653&amp;"|"&amp;COUNTIFS(A$2:A653,A653,F$2:F653,"Active"),"")</f>
        <v/>
      </c>
      <c r="I653" s="18" t="str">
        <f aca="false">IF(B653="","",IF(SUMPRODUCT(MAX((A$1:A652=A653)*(B$1:B652=B653)*ROW(A$1:A652)))=0,C653&amp;"",IF(C653="",INDEX(I$1:I652,SUMPRODUCT(MAX((A$1:A652=A653)*(B$1:B652=B653)*ROW(A$1:A652)))),IF(INDEX(I$1:I652,SUMPRODUCT(MAX((A$1:A652=A653)*(B$1:B652=B653)*ROW(A$1:A652))))="",C653&amp;"",INDEX(I$1:I652,SUMPRODUCT(MAX((A$1:A652=A653)*(B$1:B652=B653)*ROW(A$1:A652))))&amp;"; "&amp;C653))))</f>
        <v/>
      </c>
      <c r="J653" s="18" t="str">
        <f aca="false">IF(A653="","",A653&amp;"|"&amp;COUNTIF(A$2:A653,A653))</f>
        <v/>
      </c>
      <c r="K653" s="18" t="n">
        <f aca="false">IF(OR(A653="",B653=""),0,IF(COUNTIFS(A$2:A653,A653,B$2:B653,B653)=1,1,0))</f>
        <v>0</v>
      </c>
    </row>
    <row r="654" customFormat="false" ht="15" hidden="false" customHeight="false" outlineLevel="0" collapsed="false">
      <c r="A654" s="15"/>
      <c r="B654" s="15"/>
      <c r="C654" s="15"/>
      <c r="D654" s="15"/>
      <c r="F654" s="18" t="str">
        <f aca="false">IF(B654="","",IFERROR(INDEX(Materials!$B$2:$B$201,MATCH(B654,Materials!$A$2:$A$201,0)),""))</f>
        <v/>
      </c>
      <c r="G654" s="18" t="str">
        <f aca="true">IF(AND(A654="",B654=""),"",IF(A654="","Missing product",IF(B654="","Missing material",IF(COUNTIF(ProductList,A654)=0,"Product not in Products list",IF(COUNTIF(MaterialList,B654)=0,"Material not in Materials list","OK")))))</f>
        <v/>
      </c>
      <c r="H654" s="18" t="str">
        <f aca="false">IF(F654="Active",A654&amp;"|"&amp;COUNTIFS(A$2:A654,A654,F$2:F654,"Active"),"")</f>
        <v/>
      </c>
      <c r="I654" s="18" t="str">
        <f aca="false">IF(B654="","",IF(SUMPRODUCT(MAX((A$1:A653=A654)*(B$1:B653=B654)*ROW(A$1:A653)))=0,C654&amp;"",IF(C654="",INDEX(I$1:I653,SUMPRODUCT(MAX((A$1:A653=A654)*(B$1:B653=B654)*ROW(A$1:A653)))),IF(INDEX(I$1:I653,SUMPRODUCT(MAX((A$1:A653=A654)*(B$1:B653=B654)*ROW(A$1:A653))))="",C654&amp;"",INDEX(I$1:I653,SUMPRODUCT(MAX((A$1:A653=A654)*(B$1:B653=B654)*ROW(A$1:A653))))&amp;"; "&amp;C654))))</f>
        <v/>
      </c>
      <c r="J654" s="18" t="str">
        <f aca="false">IF(A654="","",A654&amp;"|"&amp;COUNTIF(A$2:A654,A654))</f>
        <v/>
      </c>
      <c r="K654" s="18" t="n">
        <f aca="false">IF(OR(A654="",B654=""),0,IF(COUNTIFS(A$2:A654,A654,B$2:B654,B654)=1,1,0))</f>
        <v>0</v>
      </c>
    </row>
    <row r="655" customFormat="false" ht="15" hidden="false" customHeight="false" outlineLevel="0" collapsed="false">
      <c r="A655" s="15"/>
      <c r="B655" s="15"/>
      <c r="C655" s="15"/>
      <c r="D655" s="15"/>
      <c r="F655" s="18" t="str">
        <f aca="false">IF(B655="","",IFERROR(INDEX(Materials!$B$2:$B$201,MATCH(B655,Materials!$A$2:$A$201,0)),""))</f>
        <v/>
      </c>
      <c r="G655" s="18" t="str">
        <f aca="true">IF(AND(A655="",B655=""),"",IF(A655="","Missing product",IF(B655="","Missing material",IF(COUNTIF(ProductList,A655)=0,"Product not in Products list",IF(COUNTIF(MaterialList,B655)=0,"Material not in Materials list","OK")))))</f>
        <v/>
      </c>
      <c r="H655" s="18" t="str">
        <f aca="false">IF(F655="Active",A655&amp;"|"&amp;COUNTIFS(A$2:A655,A655,F$2:F655,"Active"),"")</f>
        <v/>
      </c>
      <c r="I655" s="18" t="str">
        <f aca="false">IF(B655="","",IF(SUMPRODUCT(MAX((A$1:A654=A655)*(B$1:B654=B655)*ROW(A$1:A654)))=0,C655&amp;"",IF(C655="",INDEX(I$1:I654,SUMPRODUCT(MAX((A$1:A654=A655)*(B$1:B654=B655)*ROW(A$1:A654)))),IF(INDEX(I$1:I654,SUMPRODUCT(MAX((A$1:A654=A655)*(B$1:B654=B655)*ROW(A$1:A654))))="",C655&amp;"",INDEX(I$1:I654,SUMPRODUCT(MAX((A$1:A654=A655)*(B$1:B654=B655)*ROW(A$1:A654))))&amp;"; "&amp;C655))))</f>
        <v/>
      </c>
      <c r="J655" s="18" t="str">
        <f aca="false">IF(A655="","",A655&amp;"|"&amp;COUNTIF(A$2:A655,A655))</f>
        <v/>
      </c>
      <c r="K655" s="18" t="n">
        <f aca="false">IF(OR(A655="",B655=""),0,IF(COUNTIFS(A$2:A655,A655,B$2:B655,B655)=1,1,0))</f>
        <v>0</v>
      </c>
    </row>
    <row r="656" customFormat="false" ht="15" hidden="false" customHeight="false" outlineLevel="0" collapsed="false">
      <c r="A656" s="15"/>
      <c r="B656" s="15"/>
      <c r="C656" s="15"/>
      <c r="D656" s="15"/>
      <c r="F656" s="18" t="str">
        <f aca="false">IF(B656="","",IFERROR(INDEX(Materials!$B$2:$B$201,MATCH(B656,Materials!$A$2:$A$201,0)),""))</f>
        <v/>
      </c>
      <c r="G656" s="18" t="str">
        <f aca="true">IF(AND(A656="",B656=""),"",IF(A656="","Missing product",IF(B656="","Missing material",IF(COUNTIF(ProductList,A656)=0,"Product not in Products list",IF(COUNTIF(MaterialList,B656)=0,"Material not in Materials list","OK")))))</f>
        <v/>
      </c>
      <c r="H656" s="18" t="str">
        <f aca="false">IF(F656="Active",A656&amp;"|"&amp;COUNTIFS(A$2:A656,A656,F$2:F656,"Active"),"")</f>
        <v/>
      </c>
      <c r="I656" s="18" t="str">
        <f aca="false">IF(B656="","",IF(SUMPRODUCT(MAX((A$1:A655=A656)*(B$1:B655=B656)*ROW(A$1:A655)))=0,C656&amp;"",IF(C656="",INDEX(I$1:I655,SUMPRODUCT(MAX((A$1:A655=A656)*(B$1:B655=B656)*ROW(A$1:A655)))),IF(INDEX(I$1:I655,SUMPRODUCT(MAX((A$1:A655=A656)*(B$1:B655=B656)*ROW(A$1:A655))))="",C656&amp;"",INDEX(I$1:I655,SUMPRODUCT(MAX((A$1:A655=A656)*(B$1:B655=B656)*ROW(A$1:A655))))&amp;"; "&amp;C656))))</f>
        <v/>
      </c>
      <c r="J656" s="18" t="str">
        <f aca="false">IF(A656="","",A656&amp;"|"&amp;COUNTIF(A$2:A656,A656))</f>
        <v/>
      </c>
      <c r="K656" s="18" t="n">
        <f aca="false">IF(OR(A656="",B656=""),0,IF(COUNTIFS(A$2:A656,A656,B$2:B656,B656)=1,1,0))</f>
        <v>0</v>
      </c>
    </row>
    <row r="657" customFormat="false" ht="15" hidden="false" customHeight="false" outlineLevel="0" collapsed="false">
      <c r="A657" s="15"/>
      <c r="B657" s="15"/>
      <c r="C657" s="15"/>
      <c r="D657" s="15"/>
      <c r="F657" s="18" t="str">
        <f aca="false">IF(B657="","",IFERROR(INDEX(Materials!$B$2:$B$201,MATCH(B657,Materials!$A$2:$A$201,0)),""))</f>
        <v/>
      </c>
      <c r="G657" s="18" t="str">
        <f aca="true">IF(AND(A657="",B657=""),"",IF(A657="","Missing product",IF(B657="","Missing material",IF(COUNTIF(ProductList,A657)=0,"Product not in Products list",IF(COUNTIF(MaterialList,B657)=0,"Material not in Materials list","OK")))))</f>
        <v/>
      </c>
      <c r="H657" s="18" t="str">
        <f aca="false">IF(F657="Active",A657&amp;"|"&amp;COUNTIFS(A$2:A657,A657,F$2:F657,"Active"),"")</f>
        <v/>
      </c>
      <c r="I657" s="18" t="str">
        <f aca="false">IF(B657="","",IF(SUMPRODUCT(MAX((A$1:A656=A657)*(B$1:B656=B657)*ROW(A$1:A656)))=0,C657&amp;"",IF(C657="",INDEX(I$1:I656,SUMPRODUCT(MAX((A$1:A656=A657)*(B$1:B656=B657)*ROW(A$1:A656)))),IF(INDEX(I$1:I656,SUMPRODUCT(MAX((A$1:A656=A657)*(B$1:B656=B657)*ROW(A$1:A656))))="",C657&amp;"",INDEX(I$1:I656,SUMPRODUCT(MAX((A$1:A656=A657)*(B$1:B656=B657)*ROW(A$1:A656))))&amp;"; "&amp;C657))))</f>
        <v/>
      </c>
      <c r="J657" s="18" t="str">
        <f aca="false">IF(A657="","",A657&amp;"|"&amp;COUNTIF(A$2:A657,A657))</f>
        <v/>
      </c>
      <c r="K657" s="18" t="n">
        <f aca="false">IF(OR(A657="",B657=""),0,IF(COUNTIFS(A$2:A657,A657,B$2:B657,B657)=1,1,0))</f>
        <v>0</v>
      </c>
    </row>
    <row r="658" customFormat="false" ht="15" hidden="false" customHeight="false" outlineLevel="0" collapsed="false">
      <c r="A658" s="15"/>
      <c r="B658" s="15"/>
      <c r="C658" s="15"/>
      <c r="D658" s="15"/>
      <c r="F658" s="18" t="str">
        <f aca="false">IF(B658="","",IFERROR(INDEX(Materials!$B$2:$B$201,MATCH(B658,Materials!$A$2:$A$201,0)),""))</f>
        <v/>
      </c>
      <c r="G658" s="18" t="str">
        <f aca="true">IF(AND(A658="",B658=""),"",IF(A658="","Missing product",IF(B658="","Missing material",IF(COUNTIF(ProductList,A658)=0,"Product not in Products list",IF(COUNTIF(MaterialList,B658)=0,"Material not in Materials list","OK")))))</f>
        <v/>
      </c>
      <c r="H658" s="18" t="str">
        <f aca="false">IF(F658="Active",A658&amp;"|"&amp;COUNTIFS(A$2:A658,A658,F$2:F658,"Active"),"")</f>
        <v/>
      </c>
      <c r="I658" s="18" t="str">
        <f aca="false">IF(B658="","",IF(SUMPRODUCT(MAX((A$1:A657=A658)*(B$1:B657=B658)*ROW(A$1:A657)))=0,C658&amp;"",IF(C658="",INDEX(I$1:I657,SUMPRODUCT(MAX((A$1:A657=A658)*(B$1:B657=B658)*ROW(A$1:A657)))),IF(INDEX(I$1:I657,SUMPRODUCT(MAX((A$1:A657=A658)*(B$1:B657=B658)*ROW(A$1:A657))))="",C658&amp;"",INDEX(I$1:I657,SUMPRODUCT(MAX((A$1:A657=A658)*(B$1:B657=B658)*ROW(A$1:A657))))&amp;"; "&amp;C658))))</f>
        <v/>
      </c>
      <c r="J658" s="18" t="str">
        <f aca="false">IF(A658="","",A658&amp;"|"&amp;COUNTIF(A$2:A658,A658))</f>
        <v/>
      </c>
      <c r="K658" s="18" t="n">
        <f aca="false">IF(OR(A658="",B658=""),0,IF(COUNTIFS(A$2:A658,A658,B$2:B658,B658)=1,1,0))</f>
        <v>0</v>
      </c>
    </row>
    <row r="659" customFormat="false" ht="15" hidden="false" customHeight="false" outlineLevel="0" collapsed="false">
      <c r="A659" s="15"/>
      <c r="B659" s="15"/>
      <c r="C659" s="15"/>
      <c r="D659" s="15"/>
      <c r="F659" s="18" t="str">
        <f aca="false">IF(B659="","",IFERROR(INDEX(Materials!$B$2:$B$201,MATCH(B659,Materials!$A$2:$A$201,0)),""))</f>
        <v/>
      </c>
      <c r="G659" s="18" t="str">
        <f aca="true">IF(AND(A659="",B659=""),"",IF(A659="","Missing product",IF(B659="","Missing material",IF(COUNTIF(ProductList,A659)=0,"Product not in Products list",IF(COUNTIF(MaterialList,B659)=0,"Material not in Materials list","OK")))))</f>
        <v/>
      </c>
      <c r="H659" s="18" t="str">
        <f aca="false">IF(F659="Active",A659&amp;"|"&amp;COUNTIFS(A$2:A659,A659,F$2:F659,"Active"),"")</f>
        <v/>
      </c>
      <c r="I659" s="18" t="str">
        <f aca="false">IF(B659="","",IF(SUMPRODUCT(MAX((A$1:A658=A659)*(B$1:B658=B659)*ROW(A$1:A658)))=0,C659&amp;"",IF(C659="",INDEX(I$1:I658,SUMPRODUCT(MAX((A$1:A658=A659)*(B$1:B658=B659)*ROW(A$1:A658)))),IF(INDEX(I$1:I658,SUMPRODUCT(MAX((A$1:A658=A659)*(B$1:B658=B659)*ROW(A$1:A658))))="",C659&amp;"",INDEX(I$1:I658,SUMPRODUCT(MAX((A$1:A658=A659)*(B$1:B658=B659)*ROW(A$1:A658))))&amp;"; "&amp;C659))))</f>
        <v/>
      </c>
      <c r="J659" s="18" t="str">
        <f aca="false">IF(A659="","",A659&amp;"|"&amp;COUNTIF(A$2:A659,A659))</f>
        <v/>
      </c>
      <c r="K659" s="18" t="n">
        <f aca="false">IF(OR(A659="",B659=""),0,IF(COUNTIFS(A$2:A659,A659,B$2:B659,B659)=1,1,0))</f>
        <v>0</v>
      </c>
    </row>
    <row r="660" customFormat="false" ht="15" hidden="false" customHeight="false" outlineLevel="0" collapsed="false">
      <c r="A660" s="15"/>
      <c r="B660" s="15"/>
      <c r="C660" s="15"/>
      <c r="D660" s="15"/>
      <c r="F660" s="18" t="str">
        <f aca="false">IF(B660="","",IFERROR(INDEX(Materials!$B$2:$B$201,MATCH(B660,Materials!$A$2:$A$201,0)),""))</f>
        <v/>
      </c>
      <c r="G660" s="18" t="str">
        <f aca="true">IF(AND(A660="",B660=""),"",IF(A660="","Missing product",IF(B660="","Missing material",IF(COUNTIF(ProductList,A660)=0,"Product not in Products list",IF(COUNTIF(MaterialList,B660)=0,"Material not in Materials list","OK")))))</f>
        <v/>
      </c>
      <c r="H660" s="18" t="str">
        <f aca="false">IF(F660="Active",A660&amp;"|"&amp;COUNTIFS(A$2:A660,A660,F$2:F660,"Active"),"")</f>
        <v/>
      </c>
      <c r="I660" s="18" t="str">
        <f aca="false">IF(B660="","",IF(SUMPRODUCT(MAX((A$1:A659=A660)*(B$1:B659=B660)*ROW(A$1:A659)))=0,C660&amp;"",IF(C660="",INDEX(I$1:I659,SUMPRODUCT(MAX((A$1:A659=A660)*(B$1:B659=B660)*ROW(A$1:A659)))),IF(INDEX(I$1:I659,SUMPRODUCT(MAX((A$1:A659=A660)*(B$1:B659=B660)*ROW(A$1:A659))))="",C660&amp;"",INDEX(I$1:I659,SUMPRODUCT(MAX((A$1:A659=A660)*(B$1:B659=B660)*ROW(A$1:A659))))&amp;"; "&amp;C660))))</f>
        <v/>
      </c>
      <c r="J660" s="18" t="str">
        <f aca="false">IF(A660="","",A660&amp;"|"&amp;COUNTIF(A$2:A660,A660))</f>
        <v/>
      </c>
      <c r="K660" s="18" t="n">
        <f aca="false">IF(OR(A660="",B660=""),0,IF(COUNTIFS(A$2:A660,A660,B$2:B660,B660)=1,1,0))</f>
        <v>0</v>
      </c>
    </row>
    <row r="661" customFormat="false" ht="15" hidden="false" customHeight="false" outlineLevel="0" collapsed="false">
      <c r="A661" s="15"/>
      <c r="B661" s="15"/>
      <c r="C661" s="15"/>
      <c r="D661" s="15"/>
      <c r="F661" s="18" t="str">
        <f aca="false">IF(B661="","",IFERROR(INDEX(Materials!$B$2:$B$201,MATCH(B661,Materials!$A$2:$A$201,0)),""))</f>
        <v/>
      </c>
      <c r="G661" s="18" t="str">
        <f aca="true">IF(AND(A661="",B661=""),"",IF(A661="","Missing product",IF(B661="","Missing material",IF(COUNTIF(ProductList,A661)=0,"Product not in Products list",IF(COUNTIF(MaterialList,B661)=0,"Material not in Materials list","OK")))))</f>
        <v/>
      </c>
      <c r="H661" s="18" t="str">
        <f aca="false">IF(F661="Active",A661&amp;"|"&amp;COUNTIFS(A$2:A661,A661,F$2:F661,"Active"),"")</f>
        <v/>
      </c>
      <c r="I661" s="18" t="str">
        <f aca="false">IF(B661="","",IF(SUMPRODUCT(MAX((A$1:A660=A661)*(B$1:B660=B661)*ROW(A$1:A660)))=0,C661&amp;"",IF(C661="",INDEX(I$1:I660,SUMPRODUCT(MAX((A$1:A660=A661)*(B$1:B660=B661)*ROW(A$1:A660)))),IF(INDEX(I$1:I660,SUMPRODUCT(MAX((A$1:A660=A661)*(B$1:B660=B661)*ROW(A$1:A660))))="",C661&amp;"",INDEX(I$1:I660,SUMPRODUCT(MAX((A$1:A660=A661)*(B$1:B660=B661)*ROW(A$1:A660))))&amp;"; "&amp;C661))))</f>
        <v/>
      </c>
      <c r="J661" s="18" t="str">
        <f aca="false">IF(A661="","",A661&amp;"|"&amp;COUNTIF(A$2:A661,A661))</f>
        <v/>
      </c>
      <c r="K661" s="18" t="n">
        <f aca="false">IF(OR(A661="",B661=""),0,IF(COUNTIFS(A$2:A661,A661,B$2:B661,B661)=1,1,0))</f>
        <v>0</v>
      </c>
    </row>
    <row r="662" customFormat="false" ht="15" hidden="false" customHeight="false" outlineLevel="0" collapsed="false">
      <c r="A662" s="15"/>
      <c r="B662" s="15"/>
      <c r="C662" s="15"/>
      <c r="D662" s="15"/>
      <c r="F662" s="18" t="str">
        <f aca="false">IF(B662="","",IFERROR(INDEX(Materials!$B$2:$B$201,MATCH(B662,Materials!$A$2:$A$201,0)),""))</f>
        <v/>
      </c>
      <c r="G662" s="18" t="str">
        <f aca="true">IF(AND(A662="",B662=""),"",IF(A662="","Missing product",IF(B662="","Missing material",IF(COUNTIF(ProductList,A662)=0,"Product not in Products list",IF(COUNTIF(MaterialList,B662)=0,"Material not in Materials list","OK")))))</f>
        <v/>
      </c>
      <c r="H662" s="18" t="str">
        <f aca="false">IF(F662="Active",A662&amp;"|"&amp;COUNTIFS(A$2:A662,A662,F$2:F662,"Active"),"")</f>
        <v/>
      </c>
      <c r="I662" s="18" t="str">
        <f aca="false">IF(B662="","",IF(SUMPRODUCT(MAX((A$1:A661=A662)*(B$1:B661=B662)*ROW(A$1:A661)))=0,C662&amp;"",IF(C662="",INDEX(I$1:I661,SUMPRODUCT(MAX((A$1:A661=A662)*(B$1:B661=B662)*ROW(A$1:A661)))),IF(INDEX(I$1:I661,SUMPRODUCT(MAX((A$1:A661=A662)*(B$1:B661=B662)*ROW(A$1:A661))))="",C662&amp;"",INDEX(I$1:I661,SUMPRODUCT(MAX((A$1:A661=A662)*(B$1:B661=B662)*ROW(A$1:A661))))&amp;"; "&amp;C662))))</f>
        <v/>
      </c>
      <c r="J662" s="18" t="str">
        <f aca="false">IF(A662="","",A662&amp;"|"&amp;COUNTIF(A$2:A662,A662))</f>
        <v/>
      </c>
      <c r="K662" s="18" t="n">
        <f aca="false">IF(OR(A662="",B662=""),0,IF(COUNTIFS(A$2:A662,A662,B$2:B662,B662)=1,1,0))</f>
        <v>0</v>
      </c>
    </row>
    <row r="663" customFormat="false" ht="15" hidden="false" customHeight="false" outlineLevel="0" collapsed="false">
      <c r="A663" s="15"/>
      <c r="B663" s="15"/>
      <c r="C663" s="15"/>
      <c r="D663" s="15"/>
      <c r="F663" s="18" t="str">
        <f aca="false">IF(B663="","",IFERROR(INDEX(Materials!$B$2:$B$201,MATCH(B663,Materials!$A$2:$A$201,0)),""))</f>
        <v/>
      </c>
      <c r="G663" s="18" t="str">
        <f aca="true">IF(AND(A663="",B663=""),"",IF(A663="","Missing product",IF(B663="","Missing material",IF(COUNTIF(ProductList,A663)=0,"Product not in Products list",IF(COUNTIF(MaterialList,B663)=0,"Material not in Materials list","OK")))))</f>
        <v/>
      </c>
      <c r="H663" s="18" t="str">
        <f aca="false">IF(F663="Active",A663&amp;"|"&amp;COUNTIFS(A$2:A663,A663,F$2:F663,"Active"),"")</f>
        <v/>
      </c>
      <c r="I663" s="18" t="str">
        <f aca="false">IF(B663="","",IF(SUMPRODUCT(MAX((A$1:A662=A663)*(B$1:B662=B663)*ROW(A$1:A662)))=0,C663&amp;"",IF(C663="",INDEX(I$1:I662,SUMPRODUCT(MAX((A$1:A662=A663)*(B$1:B662=B663)*ROW(A$1:A662)))),IF(INDEX(I$1:I662,SUMPRODUCT(MAX((A$1:A662=A663)*(B$1:B662=B663)*ROW(A$1:A662))))="",C663&amp;"",INDEX(I$1:I662,SUMPRODUCT(MAX((A$1:A662=A663)*(B$1:B662=B663)*ROW(A$1:A662))))&amp;"; "&amp;C663))))</f>
        <v/>
      </c>
      <c r="J663" s="18" t="str">
        <f aca="false">IF(A663="","",A663&amp;"|"&amp;COUNTIF(A$2:A663,A663))</f>
        <v/>
      </c>
      <c r="K663" s="18" t="n">
        <f aca="false">IF(OR(A663="",B663=""),0,IF(COUNTIFS(A$2:A663,A663,B$2:B663,B663)=1,1,0))</f>
        <v>0</v>
      </c>
    </row>
    <row r="664" customFormat="false" ht="15" hidden="false" customHeight="false" outlineLevel="0" collapsed="false">
      <c r="A664" s="15"/>
      <c r="B664" s="15"/>
      <c r="C664" s="15"/>
      <c r="D664" s="15"/>
      <c r="F664" s="18" t="str">
        <f aca="false">IF(B664="","",IFERROR(INDEX(Materials!$B$2:$B$201,MATCH(B664,Materials!$A$2:$A$201,0)),""))</f>
        <v/>
      </c>
      <c r="G664" s="18" t="str">
        <f aca="true">IF(AND(A664="",B664=""),"",IF(A664="","Missing product",IF(B664="","Missing material",IF(COUNTIF(ProductList,A664)=0,"Product not in Products list",IF(COUNTIF(MaterialList,B664)=0,"Material not in Materials list","OK")))))</f>
        <v/>
      </c>
      <c r="H664" s="18" t="str">
        <f aca="false">IF(F664="Active",A664&amp;"|"&amp;COUNTIFS(A$2:A664,A664,F$2:F664,"Active"),"")</f>
        <v/>
      </c>
      <c r="I664" s="18" t="str">
        <f aca="false">IF(B664="","",IF(SUMPRODUCT(MAX((A$1:A663=A664)*(B$1:B663=B664)*ROW(A$1:A663)))=0,C664&amp;"",IF(C664="",INDEX(I$1:I663,SUMPRODUCT(MAX((A$1:A663=A664)*(B$1:B663=B664)*ROW(A$1:A663)))),IF(INDEX(I$1:I663,SUMPRODUCT(MAX((A$1:A663=A664)*(B$1:B663=B664)*ROW(A$1:A663))))="",C664&amp;"",INDEX(I$1:I663,SUMPRODUCT(MAX((A$1:A663=A664)*(B$1:B663=B664)*ROW(A$1:A663))))&amp;"; "&amp;C664))))</f>
        <v/>
      </c>
      <c r="J664" s="18" t="str">
        <f aca="false">IF(A664="","",A664&amp;"|"&amp;COUNTIF(A$2:A664,A664))</f>
        <v/>
      </c>
      <c r="K664" s="18" t="n">
        <f aca="false">IF(OR(A664="",B664=""),0,IF(COUNTIFS(A$2:A664,A664,B$2:B664,B664)=1,1,0))</f>
        <v>0</v>
      </c>
    </row>
    <row r="665" customFormat="false" ht="15" hidden="false" customHeight="false" outlineLevel="0" collapsed="false">
      <c r="A665" s="15"/>
      <c r="B665" s="15"/>
      <c r="C665" s="15"/>
      <c r="D665" s="15"/>
      <c r="F665" s="18" t="str">
        <f aca="false">IF(B665="","",IFERROR(INDEX(Materials!$B$2:$B$201,MATCH(B665,Materials!$A$2:$A$201,0)),""))</f>
        <v/>
      </c>
      <c r="G665" s="18" t="str">
        <f aca="true">IF(AND(A665="",B665=""),"",IF(A665="","Missing product",IF(B665="","Missing material",IF(COUNTIF(ProductList,A665)=0,"Product not in Products list",IF(COUNTIF(MaterialList,B665)=0,"Material not in Materials list","OK")))))</f>
        <v/>
      </c>
      <c r="H665" s="18" t="str">
        <f aca="false">IF(F665="Active",A665&amp;"|"&amp;COUNTIFS(A$2:A665,A665,F$2:F665,"Active"),"")</f>
        <v/>
      </c>
      <c r="I665" s="18" t="str">
        <f aca="false">IF(B665="","",IF(SUMPRODUCT(MAX((A$1:A664=A665)*(B$1:B664=B665)*ROW(A$1:A664)))=0,C665&amp;"",IF(C665="",INDEX(I$1:I664,SUMPRODUCT(MAX((A$1:A664=A665)*(B$1:B664=B665)*ROW(A$1:A664)))),IF(INDEX(I$1:I664,SUMPRODUCT(MAX((A$1:A664=A665)*(B$1:B664=B665)*ROW(A$1:A664))))="",C665&amp;"",INDEX(I$1:I664,SUMPRODUCT(MAX((A$1:A664=A665)*(B$1:B664=B665)*ROW(A$1:A664))))&amp;"; "&amp;C665))))</f>
        <v/>
      </c>
      <c r="J665" s="18" t="str">
        <f aca="false">IF(A665="","",A665&amp;"|"&amp;COUNTIF(A$2:A665,A665))</f>
        <v/>
      </c>
      <c r="K665" s="18" t="n">
        <f aca="false">IF(OR(A665="",B665=""),0,IF(COUNTIFS(A$2:A665,A665,B$2:B665,B665)=1,1,0))</f>
        <v>0</v>
      </c>
    </row>
    <row r="666" customFormat="false" ht="15" hidden="false" customHeight="false" outlineLevel="0" collapsed="false">
      <c r="A666" s="15"/>
      <c r="B666" s="15"/>
      <c r="C666" s="15"/>
      <c r="D666" s="15"/>
      <c r="F666" s="18" t="str">
        <f aca="false">IF(B666="","",IFERROR(INDEX(Materials!$B$2:$B$201,MATCH(B666,Materials!$A$2:$A$201,0)),""))</f>
        <v/>
      </c>
      <c r="G666" s="18" t="str">
        <f aca="true">IF(AND(A666="",B666=""),"",IF(A666="","Missing product",IF(B666="","Missing material",IF(COUNTIF(ProductList,A666)=0,"Product not in Products list",IF(COUNTIF(MaterialList,B666)=0,"Material not in Materials list","OK")))))</f>
        <v/>
      </c>
      <c r="H666" s="18" t="str">
        <f aca="false">IF(F666="Active",A666&amp;"|"&amp;COUNTIFS(A$2:A666,A666,F$2:F666,"Active"),"")</f>
        <v/>
      </c>
      <c r="I666" s="18" t="str">
        <f aca="false">IF(B666="","",IF(SUMPRODUCT(MAX((A$1:A665=A666)*(B$1:B665=B666)*ROW(A$1:A665)))=0,C666&amp;"",IF(C666="",INDEX(I$1:I665,SUMPRODUCT(MAX((A$1:A665=A666)*(B$1:B665=B666)*ROW(A$1:A665)))),IF(INDEX(I$1:I665,SUMPRODUCT(MAX((A$1:A665=A666)*(B$1:B665=B666)*ROW(A$1:A665))))="",C666&amp;"",INDEX(I$1:I665,SUMPRODUCT(MAX((A$1:A665=A666)*(B$1:B665=B666)*ROW(A$1:A665))))&amp;"; "&amp;C666))))</f>
        <v/>
      </c>
      <c r="J666" s="18" t="str">
        <f aca="false">IF(A666="","",A666&amp;"|"&amp;COUNTIF(A$2:A666,A666))</f>
        <v/>
      </c>
      <c r="K666" s="18" t="n">
        <f aca="false">IF(OR(A666="",B666=""),0,IF(COUNTIFS(A$2:A666,A666,B$2:B666,B666)=1,1,0))</f>
        <v>0</v>
      </c>
    </row>
    <row r="667" customFormat="false" ht="15" hidden="false" customHeight="false" outlineLevel="0" collapsed="false">
      <c r="A667" s="15"/>
      <c r="B667" s="15"/>
      <c r="C667" s="15"/>
      <c r="D667" s="15"/>
      <c r="F667" s="18" t="str">
        <f aca="false">IF(B667="","",IFERROR(INDEX(Materials!$B$2:$B$201,MATCH(B667,Materials!$A$2:$A$201,0)),""))</f>
        <v/>
      </c>
      <c r="G667" s="18" t="str">
        <f aca="true">IF(AND(A667="",B667=""),"",IF(A667="","Missing product",IF(B667="","Missing material",IF(COUNTIF(ProductList,A667)=0,"Product not in Products list",IF(COUNTIF(MaterialList,B667)=0,"Material not in Materials list","OK")))))</f>
        <v/>
      </c>
      <c r="H667" s="18" t="str">
        <f aca="false">IF(F667="Active",A667&amp;"|"&amp;COUNTIFS(A$2:A667,A667,F$2:F667,"Active"),"")</f>
        <v/>
      </c>
      <c r="I667" s="18" t="str">
        <f aca="false">IF(B667="","",IF(SUMPRODUCT(MAX((A$1:A666=A667)*(B$1:B666=B667)*ROW(A$1:A666)))=0,C667&amp;"",IF(C667="",INDEX(I$1:I666,SUMPRODUCT(MAX((A$1:A666=A667)*(B$1:B666=B667)*ROW(A$1:A666)))),IF(INDEX(I$1:I666,SUMPRODUCT(MAX((A$1:A666=A667)*(B$1:B666=B667)*ROW(A$1:A666))))="",C667&amp;"",INDEX(I$1:I666,SUMPRODUCT(MAX((A$1:A666=A667)*(B$1:B666=B667)*ROW(A$1:A666))))&amp;"; "&amp;C667))))</f>
        <v/>
      </c>
      <c r="J667" s="18" t="str">
        <f aca="false">IF(A667="","",A667&amp;"|"&amp;COUNTIF(A$2:A667,A667))</f>
        <v/>
      </c>
      <c r="K667" s="18" t="n">
        <f aca="false">IF(OR(A667="",B667=""),0,IF(COUNTIFS(A$2:A667,A667,B$2:B667,B667)=1,1,0))</f>
        <v>0</v>
      </c>
    </row>
    <row r="668" customFormat="false" ht="15" hidden="false" customHeight="false" outlineLevel="0" collapsed="false">
      <c r="A668" s="15"/>
      <c r="B668" s="15"/>
      <c r="C668" s="15"/>
      <c r="D668" s="15"/>
      <c r="F668" s="18" t="str">
        <f aca="false">IF(B668="","",IFERROR(INDEX(Materials!$B$2:$B$201,MATCH(B668,Materials!$A$2:$A$201,0)),""))</f>
        <v/>
      </c>
      <c r="G668" s="18" t="str">
        <f aca="true">IF(AND(A668="",B668=""),"",IF(A668="","Missing product",IF(B668="","Missing material",IF(COUNTIF(ProductList,A668)=0,"Product not in Products list",IF(COUNTIF(MaterialList,B668)=0,"Material not in Materials list","OK")))))</f>
        <v/>
      </c>
      <c r="H668" s="18" t="str">
        <f aca="false">IF(F668="Active",A668&amp;"|"&amp;COUNTIFS(A$2:A668,A668,F$2:F668,"Active"),"")</f>
        <v/>
      </c>
      <c r="I668" s="18" t="str">
        <f aca="false">IF(B668="","",IF(SUMPRODUCT(MAX((A$1:A667=A668)*(B$1:B667=B668)*ROW(A$1:A667)))=0,C668&amp;"",IF(C668="",INDEX(I$1:I667,SUMPRODUCT(MAX((A$1:A667=A668)*(B$1:B667=B668)*ROW(A$1:A667)))),IF(INDEX(I$1:I667,SUMPRODUCT(MAX((A$1:A667=A668)*(B$1:B667=B668)*ROW(A$1:A667))))="",C668&amp;"",INDEX(I$1:I667,SUMPRODUCT(MAX((A$1:A667=A668)*(B$1:B667=B668)*ROW(A$1:A667))))&amp;"; "&amp;C668))))</f>
        <v/>
      </c>
      <c r="J668" s="18" t="str">
        <f aca="false">IF(A668="","",A668&amp;"|"&amp;COUNTIF(A$2:A668,A668))</f>
        <v/>
      </c>
      <c r="K668" s="18" t="n">
        <f aca="false">IF(OR(A668="",B668=""),0,IF(COUNTIFS(A$2:A668,A668,B$2:B668,B668)=1,1,0))</f>
        <v>0</v>
      </c>
    </row>
    <row r="669" customFormat="false" ht="15" hidden="false" customHeight="false" outlineLevel="0" collapsed="false">
      <c r="A669" s="15"/>
      <c r="B669" s="15"/>
      <c r="C669" s="15"/>
      <c r="D669" s="15"/>
      <c r="F669" s="18" t="str">
        <f aca="false">IF(B669="","",IFERROR(INDEX(Materials!$B$2:$B$201,MATCH(B669,Materials!$A$2:$A$201,0)),""))</f>
        <v/>
      </c>
      <c r="G669" s="18" t="str">
        <f aca="true">IF(AND(A669="",B669=""),"",IF(A669="","Missing product",IF(B669="","Missing material",IF(COUNTIF(ProductList,A669)=0,"Product not in Products list",IF(COUNTIF(MaterialList,B669)=0,"Material not in Materials list","OK")))))</f>
        <v/>
      </c>
      <c r="H669" s="18" t="str">
        <f aca="false">IF(F669="Active",A669&amp;"|"&amp;COUNTIFS(A$2:A669,A669,F$2:F669,"Active"),"")</f>
        <v/>
      </c>
      <c r="I669" s="18" t="str">
        <f aca="false">IF(B669="","",IF(SUMPRODUCT(MAX((A$1:A668=A669)*(B$1:B668=B669)*ROW(A$1:A668)))=0,C669&amp;"",IF(C669="",INDEX(I$1:I668,SUMPRODUCT(MAX((A$1:A668=A669)*(B$1:B668=B669)*ROW(A$1:A668)))),IF(INDEX(I$1:I668,SUMPRODUCT(MAX((A$1:A668=A669)*(B$1:B668=B669)*ROW(A$1:A668))))="",C669&amp;"",INDEX(I$1:I668,SUMPRODUCT(MAX((A$1:A668=A669)*(B$1:B668=B669)*ROW(A$1:A668))))&amp;"; "&amp;C669))))</f>
        <v/>
      </c>
      <c r="J669" s="18" t="str">
        <f aca="false">IF(A669="","",A669&amp;"|"&amp;COUNTIF(A$2:A669,A669))</f>
        <v/>
      </c>
      <c r="K669" s="18" t="n">
        <f aca="false">IF(OR(A669="",B669=""),0,IF(COUNTIFS(A$2:A669,A669,B$2:B669,B669)=1,1,0))</f>
        <v>0</v>
      </c>
    </row>
    <row r="670" customFormat="false" ht="15" hidden="false" customHeight="false" outlineLevel="0" collapsed="false">
      <c r="A670" s="15"/>
      <c r="B670" s="15"/>
      <c r="C670" s="15"/>
      <c r="D670" s="15"/>
      <c r="F670" s="18" t="str">
        <f aca="false">IF(B670="","",IFERROR(INDEX(Materials!$B$2:$B$201,MATCH(B670,Materials!$A$2:$A$201,0)),""))</f>
        <v/>
      </c>
      <c r="G670" s="18" t="str">
        <f aca="true">IF(AND(A670="",B670=""),"",IF(A670="","Missing product",IF(B670="","Missing material",IF(COUNTIF(ProductList,A670)=0,"Product not in Products list",IF(COUNTIF(MaterialList,B670)=0,"Material not in Materials list","OK")))))</f>
        <v/>
      </c>
      <c r="H670" s="18" t="str">
        <f aca="false">IF(F670="Active",A670&amp;"|"&amp;COUNTIFS(A$2:A670,A670,F$2:F670,"Active"),"")</f>
        <v/>
      </c>
      <c r="I670" s="18" t="str">
        <f aca="false">IF(B670="","",IF(SUMPRODUCT(MAX((A$1:A669=A670)*(B$1:B669=B670)*ROW(A$1:A669)))=0,C670&amp;"",IF(C670="",INDEX(I$1:I669,SUMPRODUCT(MAX((A$1:A669=A670)*(B$1:B669=B670)*ROW(A$1:A669)))),IF(INDEX(I$1:I669,SUMPRODUCT(MAX((A$1:A669=A670)*(B$1:B669=B670)*ROW(A$1:A669))))="",C670&amp;"",INDEX(I$1:I669,SUMPRODUCT(MAX((A$1:A669=A670)*(B$1:B669=B670)*ROW(A$1:A669))))&amp;"; "&amp;C670))))</f>
        <v/>
      </c>
      <c r="J670" s="18" t="str">
        <f aca="false">IF(A670="","",A670&amp;"|"&amp;COUNTIF(A$2:A670,A670))</f>
        <v/>
      </c>
      <c r="K670" s="18" t="n">
        <f aca="false">IF(OR(A670="",B670=""),0,IF(COUNTIFS(A$2:A670,A670,B$2:B670,B670)=1,1,0))</f>
        <v>0</v>
      </c>
    </row>
    <row r="671" customFormat="false" ht="15" hidden="false" customHeight="false" outlineLevel="0" collapsed="false">
      <c r="A671" s="15"/>
      <c r="B671" s="15"/>
      <c r="C671" s="15"/>
      <c r="D671" s="15"/>
      <c r="F671" s="18" t="str">
        <f aca="false">IF(B671="","",IFERROR(INDEX(Materials!$B$2:$B$201,MATCH(B671,Materials!$A$2:$A$201,0)),""))</f>
        <v/>
      </c>
      <c r="G671" s="18" t="str">
        <f aca="true">IF(AND(A671="",B671=""),"",IF(A671="","Missing product",IF(B671="","Missing material",IF(COUNTIF(ProductList,A671)=0,"Product not in Products list",IF(COUNTIF(MaterialList,B671)=0,"Material not in Materials list","OK")))))</f>
        <v/>
      </c>
      <c r="H671" s="18" t="str">
        <f aca="false">IF(F671="Active",A671&amp;"|"&amp;COUNTIFS(A$2:A671,A671,F$2:F671,"Active"),"")</f>
        <v/>
      </c>
      <c r="I671" s="18" t="str">
        <f aca="false">IF(B671="","",IF(SUMPRODUCT(MAX((A$1:A670=A671)*(B$1:B670=B671)*ROW(A$1:A670)))=0,C671&amp;"",IF(C671="",INDEX(I$1:I670,SUMPRODUCT(MAX((A$1:A670=A671)*(B$1:B670=B671)*ROW(A$1:A670)))),IF(INDEX(I$1:I670,SUMPRODUCT(MAX((A$1:A670=A671)*(B$1:B670=B671)*ROW(A$1:A670))))="",C671&amp;"",INDEX(I$1:I670,SUMPRODUCT(MAX((A$1:A670=A671)*(B$1:B670=B671)*ROW(A$1:A670))))&amp;"; "&amp;C671))))</f>
        <v/>
      </c>
      <c r="J671" s="18" t="str">
        <f aca="false">IF(A671="","",A671&amp;"|"&amp;COUNTIF(A$2:A671,A671))</f>
        <v/>
      </c>
      <c r="K671" s="18" t="n">
        <f aca="false">IF(OR(A671="",B671=""),0,IF(COUNTIFS(A$2:A671,A671,B$2:B671,B671)=1,1,0))</f>
        <v>0</v>
      </c>
    </row>
    <row r="672" customFormat="false" ht="15" hidden="false" customHeight="false" outlineLevel="0" collapsed="false">
      <c r="A672" s="15"/>
      <c r="B672" s="15"/>
      <c r="C672" s="15"/>
      <c r="D672" s="15"/>
      <c r="F672" s="18" t="str">
        <f aca="false">IF(B672="","",IFERROR(INDEX(Materials!$B$2:$B$201,MATCH(B672,Materials!$A$2:$A$201,0)),""))</f>
        <v/>
      </c>
      <c r="G672" s="18" t="str">
        <f aca="true">IF(AND(A672="",B672=""),"",IF(A672="","Missing product",IF(B672="","Missing material",IF(COUNTIF(ProductList,A672)=0,"Product not in Products list",IF(COUNTIF(MaterialList,B672)=0,"Material not in Materials list","OK")))))</f>
        <v/>
      </c>
      <c r="H672" s="18" t="str">
        <f aca="false">IF(F672="Active",A672&amp;"|"&amp;COUNTIFS(A$2:A672,A672,F$2:F672,"Active"),"")</f>
        <v/>
      </c>
      <c r="I672" s="18" t="str">
        <f aca="false">IF(B672="","",IF(SUMPRODUCT(MAX((A$1:A671=A672)*(B$1:B671=B672)*ROW(A$1:A671)))=0,C672&amp;"",IF(C672="",INDEX(I$1:I671,SUMPRODUCT(MAX((A$1:A671=A672)*(B$1:B671=B672)*ROW(A$1:A671)))),IF(INDEX(I$1:I671,SUMPRODUCT(MAX((A$1:A671=A672)*(B$1:B671=B672)*ROW(A$1:A671))))="",C672&amp;"",INDEX(I$1:I671,SUMPRODUCT(MAX((A$1:A671=A672)*(B$1:B671=B672)*ROW(A$1:A671))))&amp;"; "&amp;C672))))</f>
        <v/>
      </c>
      <c r="J672" s="18" t="str">
        <f aca="false">IF(A672="","",A672&amp;"|"&amp;COUNTIF(A$2:A672,A672))</f>
        <v/>
      </c>
      <c r="K672" s="18" t="n">
        <f aca="false">IF(OR(A672="",B672=""),0,IF(COUNTIFS(A$2:A672,A672,B$2:B672,B672)=1,1,0))</f>
        <v>0</v>
      </c>
    </row>
    <row r="673" customFormat="false" ht="15" hidden="false" customHeight="false" outlineLevel="0" collapsed="false">
      <c r="A673" s="15"/>
      <c r="B673" s="15"/>
      <c r="C673" s="15"/>
      <c r="D673" s="15"/>
      <c r="F673" s="18" t="str">
        <f aca="false">IF(B673="","",IFERROR(INDEX(Materials!$B$2:$B$201,MATCH(B673,Materials!$A$2:$A$201,0)),""))</f>
        <v/>
      </c>
      <c r="G673" s="18" t="str">
        <f aca="true">IF(AND(A673="",B673=""),"",IF(A673="","Missing product",IF(B673="","Missing material",IF(COUNTIF(ProductList,A673)=0,"Product not in Products list",IF(COUNTIF(MaterialList,B673)=0,"Material not in Materials list","OK")))))</f>
        <v/>
      </c>
      <c r="H673" s="18" t="str">
        <f aca="false">IF(F673="Active",A673&amp;"|"&amp;COUNTIFS(A$2:A673,A673,F$2:F673,"Active"),"")</f>
        <v/>
      </c>
      <c r="I673" s="18" t="str">
        <f aca="false">IF(B673="","",IF(SUMPRODUCT(MAX((A$1:A672=A673)*(B$1:B672=B673)*ROW(A$1:A672)))=0,C673&amp;"",IF(C673="",INDEX(I$1:I672,SUMPRODUCT(MAX((A$1:A672=A673)*(B$1:B672=B673)*ROW(A$1:A672)))),IF(INDEX(I$1:I672,SUMPRODUCT(MAX((A$1:A672=A673)*(B$1:B672=B673)*ROW(A$1:A672))))="",C673&amp;"",INDEX(I$1:I672,SUMPRODUCT(MAX((A$1:A672=A673)*(B$1:B672=B673)*ROW(A$1:A672))))&amp;"; "&amp;C673))))</f>
        <v/>
      </c>
      <c r="J673" s="18" t="str">
        <f aca="false">IF(A673="","",A673&amp;"|"&amp;COUNTIF(A$2:A673,A673))</f>
        <v/>
      </c>
      <c r="K673" s="18" t="n">
        <f aca="false">IF(OR(A673="",B673=""),0,IF(COUNTIFS(A$2:A673,A673,B$2:B673,B673)=1,1,0))</f>
        <v>0</v>
      </c>
    </row>
    <row r="674" customFormat="false" ht="15" hidden="false" customHeight="false" outlineLevel="0" collapsed="false">
      <c r="A674" s="15"/>
      <c r="B674" s="15"/>
      <c r="C674" s="15"/>
      <c r="D674" s="15"/>
      <c r="F674" s="18" t="str">
        <f aca="false">IF(B674="","",IFERROR(INDEX(Materials!$B$2:$B$201,MATCH(B674,Materials!$A$2:$A$201,0)),""))</f>
        <v/>
      </c>
      <c r="G674" s="18" t="str">
        <f aca="true">IF(AND(A674="",B674=""),"",IF(A674="","Missing product",IF(B674="","Missing material",IF(COUNTIF(ProductList,A674)=0,"Product not in Products list",IF(COUNTIF(MaterialList,B674)=0,"Material not in Materials list","OK")))))</f>
        <v/>
      </c>
      <c r="H674" s="18" t="str">
        <f aca="false">IF(F674="Active",A674&amp;"|"&amp;COUNTIFS(A$2:A674,A674,F$2:F674,"Active"),"")</f>
        <v/>
      </c>
      <c r="I674" s="18" t="str">
        <f aca="false">IF(B674="","",IF(SUMPRODUCT(MAX((A$1:A673=A674)*(B$1:B673=B674)*ROW(A$1:A673)))=0,C674&amp;"",IF(C674="",INDEX(I$1:I673,SUMPRODUCT(MAX((A$1:A673=A674)*(B$1:B673=B674)*ROW(A$1:A673)))),IF(INDEX(I$1:I673,SUMPRODUCT(MAX((A$1:A673=A674)*(B$1:B673=B674)*ROW(A$1:A673))))="",C674&amp;"",INDEX(I$1:I673,SUMPRODUCT(MAX((A$1:A673=A674)*(B$1:B673=B674)*ROW(A$1:A673))))&amp;"; "&amp;C674))))</f>
        <v/>
      </c>
      <c r="J674" s="18" t="str">
        <f aca="false">IF(A674="","",A674&amp;"|"&amp;COUNTIF(A$2:A674,A674))</f>
        <v/>
      </c>
      <c r="K674" s="18" t="n">
        <f aca="false">IF(OR(A674="",B674=""),0,IF(COUNTIFS(A$2:A674,A674,B$2:B674,B674)=1,1,0))</f>
        <v>0</v>
      </c>
    </row>
    <row r="675" customFormat="false" ht="15" hidden="false" customHeight="false" outlineLevel="0" collapsed="false">
      <c r="A675" s="15"/>
      <c r="B675" s="15"/>
      <c r="C675" s="15"/>
      <c r="D675" s="15"/>
      <c r="F675" s="18" t="str">
        <f aca="false">IF(B675="","",IFERROR(INDEX(Materials!$B$2:$B$201,MATCH(B675,Materials!$A$2:$A$201,0)),""))</f>
        <v/>
      </c>
      <c r="G675" s="18" t="str">
        <f aca="true">IF(AND(A675="",B675=""),"",IF(A675="","Missing product",IF(B675="","Missing material",IF(COUNTIF(ProductList,A675)=0,"Product not in Products list",IF(COUNTIF(MaterialList,B675)=0,"Material not in Materials list","OK")))))</f>
        <v/>
      </c>
      <c r="H675" s="18" t="str">
        <f aca="false">IF(F675="Active",A675&amp;"|"&amp;COUNTIFS(A$2:A675,A675,F$2:F675,"Active"),"")</f>
        <v/>
      </c>
      <c r="I675" s="18" t="str">
        <f aca="false">IF(B675="","",IF(SUMPRODUCT(MAX((A$1:A674=A675)*(B$1:B674=B675)*ROW(A$1:A674)))=0,C675&amp;"",IF(C675="",INDEX(I$1:I674,SUMPRODUCT(MAX((A$1:A674=A675)*(B$1:B674=B675)*ROW(A$1:A674)))),IF(INDEX(I$1:I674,SUMPRODUCT(MAX((A$1:A674=A675)*(B$1:B674=B675)*ROW(A$1:A674))))="",C675&amp;"",INDEX(I$1:I674,SUMPRODUCT(MAX((A$1:A674=A675)*(B$1:B674=B675)*ROW(A$1:A674))))&amp;"; "&amp;C675))))</f>
        <v/>
      </c>
      <c r="J675" s="18" t="str">
        <f aca="false">IF(A675="","",A675&amp;"|"&amp;COUNTIF(A$2:A675,A675))</f>
        <v/>
      </c>
      <c r="K675" s="18" t="n">
        <f aca="false">IF(OR(A675="",B675=""),0,IF(COUNTIFS(A$2:A675,A675,B$2:B675,B675)=1,1,0))</f>
        <v>0</v>
      </c>
    </row>
    <row r="676" customFormat="false" ht="15" hidden="false" customHeight="false" outlineLevel="0" collapsed="false">
      <c r="A676" s="15"/>
      <c r="B676" s="15"/>
      <c r="C676" s="15"/>
      <c r="D676" s="15"/>
      <c r="F676" s="18" t="str">
        <f aca="false">IF(B676="","",IFERROR(INDEX(Materials!$B$2:$B$201,MATCH(B676,Materials!$A$2:$A$201,0)),""))</f>
        <v/>
      </c>
      <c r="G676" s="18" t="str">
        <f aca="true">IF(AND(A676="",B676=""),"",IF(A676="","Missing product",IF(B676="","Missing material",IF(COUNTIF(ProductList,A676)=0,"Product not in Products list",IF(COUNTIF(MaterialList,B676)=0,"Material not in Materials list","OK")))))</f>
        <v/>
      </c>
      <c r="H676" s="18" t="str">
        <f aca="false">IF(F676="Active",A676&amp;"|"&amp;COUNTIFS(A$2:A676,A676,F$2:F676,"Active"),"")</f>
        <v/>
      </c>
      <c r="I676" s="18" t="str">
        <f aca="false">IF(B676="","",IF(SUMPRODUCT(MAX((A$1:A675=A676)*(B$1:B675=B676)*ROW(A$1:A675)))=0,C676&amp;"",IF(C676="",INDEX(I$1:I675,SUMPRODUCT(MAX((A$1:A675=A676)*(B$1:B675=B676)*ROW(A$1:A675)))),IF(INDEX(I$1:I675,SUMPRODUCT(MAX((A$1:A675=A676)*(B$1:B675=B676)*ROW(A$1:A675))))="",C676&amp;"",INDEX(I$1:I675,SUMPRODUCT(MAX((A$1:A675=A676)*(B$1:B675=B676)*ROW(A$1:A675))))&amp;"; "&amp;C676))))</f>
        <v/>
      </c>
      <c r="J676" s="18" t="str">
        <f aca="false">IF(A676="","",A676&amp;"|"&amp;COUNTIF(A$2:A676,A676))</f>
        <v/>
      </c>
      <c r="K676" s="18" t="n">
        <f aca="false">IF(OR(A676="",B676=""),0,IF(COUNTIFS(A$2:A676,A676,B$2:B676,B676)=1,1,0))</f>
        <v>0</v>
      </c>
    </row>
    <row r="677" customFormat="false" ht="15" hidden="false" customHeight="false" outlineLevel="0" collapsed="false">
      <c r="A677" s="15"/>
      <c r="B677" s="15"/>
      <c r="C677" s="15"/>
      <c r="D677" s="15"/>
      <c r="F677" s="18" t="str">
        <f aca="false">IF(B677="","",IFERROR(INDEX(Materials!$B$2:$B$201,MATCH(B677,Materials!$A$2:$A$201,0)),""))</f>
        <v/>
      </c>
      <c r="G677" s="18" t="str">
        <f aca="true">IF(AND(A677="",B677=""),"",IF(A677="","Missing product",IF(B677="","Missing material",IF(COUNTIF(ProductList,A677)=0,"Product not in Products list",IF(COUNTIF(MaterialList,B677)=0,"Material not in Materials list","OK")))))</f>
        <v/>
      </c>
      <c r="H677" s="18" t="str">
        <f aca="false">IF(F677="Active",A677&amp;"|"&amp;COUNTIFS(A$2:A677,A677,F$2:F677,"Active"),"")</f>
        <v/>
      </c>
      <c r="I677" s="18" t="str">
        <f aca="false">IF(B677="","",IF(SUMPRODUCT(MAX((A$1:A676=A677)*(B$1:B676=B677)*ROW(A$1:A676)))=0,C677&amp;"",IF(C677="",INDEX(I$1:I676,SUMPRODUCT(MAX((A$1:A676=A677)*(B$1:B676=B677)*ROW(A$1:A676)))),IF(INDEX(I$1:I676,SUMPRODUCT(MAX((A$1:A676=A677)*(B$1:B676=B677)*ROW(A$1:A676))))="",C677&amp;"",INDEX(I$1:I676,SUMPRODUCT(MAX((A$1:A676=A677)*(B$1:B676=B677)*ROW(A$1:A676))))&amp;"; "&amp;C677))))</f>
        <v/>
      </c>
      <c r="J677" s="18" t="str">
        <f aca="false">IF(A677="","",A677&amp;"|"&amp;COUNTIF(A$2:A677,A677))</f>
        <v/>
      </c>
      <c r="K677" s="18" t="n">
        <f aca="false">IF(OR(A677="",B677=""),0,IF(COUNTIFS(A$2:A677,A677,B$2:B677,B677)=1,1,0))</f>
        <v>0</v>
      </c>
    </row>
    <row r="678" customFormat="false" ht="15" hidden="false" customHeight="false" outlineLevel="0" collapsed="false">
      <c r="A678" s="15"/>
      <c r="B678" s="15"/>
      <c r="C678" s="15"/>
      <c r="D678" s="15"/>
      <c r="F678" s="18" t="str">
        <f aca="false">IF(B678="","",IFERROR(INDEX(Materials!$B$2:$B$201,MATCH(B678,Materials!$A$2:$A$201,0)),""))</f>
        <v/>
      </c>
      <c r="G678" s="18" t="str">
        <f aca="true">IF(AND(A678="",B678=""),"",IF(A678="","Missing product",IF(B678="","Missing material",IF(COUNTIF(ProductList,A678)=0,"Product not in Products list",IF(COUNTIF(MaterialList,B678)=0,"Material not in Materials list","OK")))))</f>
        <v/>
      </c>
      <c r="H678" s="18" t="str">
        <f aca="false">IF(F678="Active",A678&amp;"|"&amp;COUNTIFS(A$2:A678,A678,F$2:F678,"Active"),"")</f>
        <v/>
      </c>
      <c r="I678" s="18" t="str">
        <f aca="false">IF(B678="","",IF(SUMPRODUCT(MAX((A$1:A677=A678)*(B$1:B677=B678)*ROW(A$1:A677)))=0,C678&amp;"",IF(C678="",INDEX(I$1:I677,SUMPRODUCT(MAX((A$1:A677=A678)*(B$1:B677=B678)*ROW(A$1:A677)))),IF(INDEX(I$1:I677,SUMPRODUCT(MAX((A$1:A677=A678)*(B$1:B677=B678)*ROW(A$1:A677))))="",C678&amp;"",INDEX(I$1:I677,SUMPRODUCT(MAX((A$1:A677=A678)*(B$1:B677=B678)*ROW(A$1:A677))))&amp;"; "&amp;C678))))</f>
        <v/>
      </c>
      <c r="J678" s="18" t="str">
        <f aca="false">IF(A678="","",A678&amp;"|"&amp;COUNTIF(A$2:A678,A678))</f>
        <v/>
      </c>
      <c r="K678" s="18" t="n">
        <f aca="false">IF(OR(A678="",B678=""),0,IF(COUNTIFS(A$2:A678,A678,B$2:B678,B678)=1,1,0))</f>
        <v>0</v>
      </c>
    </row>
    <row r="679" customFormat="false" ht="15" hidden="false" customHeight="false" outlineLevel="0" collapsed="false">
      <c r="A679" s="15"/>
      <c r="B679" s="15"/>
      <c r="C679" s="15"/>
      <c r="D679" s="15"/>
      <c r="F679" s="18" t="str">
        <f aca="false">IF(B679="","",IFERROR(INDEX(Materials!$B$2:$B$201,MATCH(B679,Materials!$A$2:$A$201,0)),""))</f>
        <v/>
      </c>
      <c r="G679" s="18" t="str">
        <f aca="true">IF(AND(A679="",B679=""),"",IF(A679="","Missing product",IF(B679="","Missing material",IF(COUNTIF(ProductList,A679)=0,"Product not in Products list",IF(COUNTIF(MaterialList,B679)=0,"Material not in Materials list","OK")))))</f>
        <v/>
      </c>
      <c r="H679" s="18" t="str">
        <f aca="false">IF(F679="Active",A679&amp;"|"&amp;COUNTIFS(A$2:A679,A679,F$2:F679,"Active"),"")</f>
        <v/>
      </c>
      <c r="I679" s="18" t="str">
        <f aca="false">IF(B679="","",IF(SUMPRODUCT(MAX((A$1:A678=A679)*(B$1:B678=B679)*ROW(A$1:A678)))=0,C679&amp;"",IF(C679="",INDEX(I$1:I678,SUMPRODUCT(MAX((A$1:A678=A679)*(B$1:B678=B679)*ROW(A$1:A678)))),IF(INDEX(I$1:I678,SUMPRODUCT(MAX((A$1:A678=A679)*(B$1:B678=B679)*ROW(A$1:A678))))="",C679&amp;"",INDEX(I$1:I678,SUMPRODUCT(MAX((A$1:A678=A679)*(B$1:B678=B679)*ROW(A$1:A678))))&amp;"; "&amp;C679))))</f>
        <v/>
      </c>
      <c r="J679" s="18" t="str">
        <f aca="false">IF(A679="","",A679&amp;"|"&amp;COUNTIF(A$2:A679,A679))</f>
        <v/>
      </c>
      <c r="K679" s="18" t="n">
        <f aca="false">IF(OR(A679="",B679=""),0,IF(COUNTIFS(A$2:A679,A679,B$2:B679,B679)=1,1,0))</f>
        <v>0</v>
      </c>
    </row>
    <row r="680" customFormat="false" ht="15" hidden="false" customHeight="false" outlineLevel="0" collapsed="false">
      <c r="A680" s="15"/>
      <c r="B680" s="15"/>
      <c r="C680" s="15"/>
      <c r="D680" s="15"/>
      <c r="F680" s="18" t="str">
        <f aca="false">IF(B680="","",IFERROR(INDEX(Materials!$B$2:$B$201,MATCH(B680,Materials!$A$2:$A$201,0)),""))</f>
        <v/>
      </c>
      <c r="G680" s="18" t="str">
        <f aca="true">IF(AND(A680="",B680=""),"",IF(A680="","Missing product",IF(B680="","Missing material",IF(COUNTIF(ProductList,A680)=0,"Product not in Products list",IF(COUNTIF(MaterialList,B680)=0,"Material not in Materials list","OK")))))</f>
        <v/>
      </c>
      <c r="H680" s="18" t="str">
        <f aca="false">IF(F680="Active",A680&amp;"|"&amp;COUNTIFS(A$2:A680,A680,F$2:F680,"Active"),"")</f>
        <v/>
      </c>
      <c r="I680" s="18" t="str">
        <f aca="false">IF(B680="","",IF(SUMPRODUCT(MAX((A$1:A679=A680)*(B$1:B679=B680)*ROW(A$1:A679)))=0,C680&amp;"",IF(C680="",INDEX(I$1:I679,SUMPRODUCT(MAX((A$1:A679=A680)*(B$1:B679=B680)*ROW(A$1:A679)))),IF(INDEX(I$1:I679,SUMPRODUCT(MAX((A$1:A679=A680)*(B$1:B679=B680)*ROW(A$1:A679))))="",C680&amp;"",INDEX(I$1:I679,SUMPRODUCT(MAX((A$1:A679=A680)*(B$1:B679=B680)*ROW(A$1:A679))))&amp;"; "&amp;C680))))</f>
        <v/>
      </c>
      <c r="J680" s="18" t="str">
        <f aca="false">IF(A680="","",A680&amp;"|"&amp;COUNTIF(A$2:A680,A680))</f>
        <v/>
      </c>
      <c r="K680" s="18" t="n">
        <f aca="false">IF(OR(A680="",B680=""),0,IF(COUNTIFS(A$2:A680,A680,B$2:B680,B680)=1,1,0))</f>
        <v>0</v>
      </c>
    </row>
    <row r="681" customFormat="false" ht="15" hidden="false" customHeight="false" outlineLevel="0" collapsed="false">
      <c r="A681" s="15"/>
      <c r="B681" s="15"/>
      <c r="C681" s="15"/>
      <c r="D681" s="15"/>
      <c r="F681" s="18" t="str">
        <f aca="false">IF(B681="","",IFERROR(INDEX(Materials!$B$2:$B$201,MATCH(B681,Materials!$A$2:$A$201,0)),""))</f>
        <v/>
      </c>
      <c r="G681" s="18" t="str">
        <f aca="true">IF(AND(A681="",B681=""),"",IF(A681="","Missing product",IF(B681="","Missing material",IF(COUNTIF(ProductList,A681)=0,"Product not in Products list",IF(COUNTIF(MaterialList,B681)=0,"Material not in Materials list","OK")))))</f>
        <v/>
      </c>
      <c r="H681" s="18" t="str">
        <f aca="false">IF(F681="Active",A681&amp;"|"&amp;COUNTIFS(A$2:A681,A681,F$2:F681,"Active"),"")</f>
        <v/>
      </c>
      <c r="I681" s="18" t="str">
        <f aca="false">IF(B681="","",IF(SUMPRODUCT(MAX((A$1:A680=A681)*(B$1:B680=B681)*ROW(A$1:A680)))=0,C681&amp;"",IF(C681="",INDEX(I$1:I680,SUMPRODUCT(MAX((A$1:A680=A681)*(B$1:B680=B681)*ROW(A$1:A680)))),IF(INDEX(I$1:I680,SUMPRODUCT(MAX((A$1:A680=A681)*(B$1:B680=B681)*ROW(A$1:A680))))="",C681&amp;"",INDEX(I$1:I680,SUMPRODUCT(MAX((A$1:A680=A681)*(B$1:B680=B681)*ROW(A$1:A680))))&amp;"; "&amp;C681))))</f>
        <v/>
      </c>
      <c r="J681" s="18" t="str">
        <f aca="false">IF(A681="","",A681&amp;"|"&amp;COUNTIF(A$2:A681,A681))</f>
        <v/>
      </c>
      <c r="K681" s="18" t="n">
        <f aca="false">IF(OR(A681="",B681=""),0,IF(COUNTIFS(A$2:A681,A681,B$2:B681,B681)=1,1,0))</f>
        <v>0</v>
      </c>
    </row>
    <row r="682" customFormat="false" ht="15" hidden="false" customHeight="false" outlineLevel="0" collapsed="false">
      <c r="A682" s="15"/>
      <c r="B682" s="15"/>
      <c r="C682" s="15"/>
      <c r="D682" s="15"/>
      <c r="F682" s="18" t="str">
        <f aca="false">IF(B682="","",IFERROR(INDEX(Materials!$B$2:$B$201,MATCH(B682,Materials!$A$2:$A$201,0)),""))</f>
        <v/>
      </c>
      <c r="G682" s="18" t="str">
        <f aca="true">IF(AND(A682="",B682=""),"",IF(A682="","Missing product",IF(B682="","Missing material",IF(COUNTIF(ProductList,A682)=0,"Product not in Products list",IF(COUNTIF(MaterialList,B682)=0,"Material not in Materials list","OK")))))</f>
        <v/>
      </c>
      <c r="H682" s="18" t="str">
        <f aca="false">IF(F682="Active",A682&amp;"|"&amp;COUNTIFS(A$2:A682,A682,F$2:F682,"Active"),"")</f>
        <v/>
      </c>
      <c r="I682" s="18" t="str">
        <f aca="false">IF(B682="","",IF(SUMPRODUCT(MAX((A$1:A681=A682)*(B$1:B681=B682)*ROW(A$1:A681)))=0,C682&amp;"",IF(C682="",INDEX(I$1:I681,SUMPRODUCT(MAX((A$1:A681=A682)*(B$1:B681=B682)*ROW(A$1:A681)))),IF(INDEX(I$1:I681,SUMPRODUCT(MAX((A$1:A681=A682)*(B$1:B681=B682)*ROW(A$1:A681))))="",C682&amp;"",INDEX(I$1:I681,SUMPRODUCT(MAX((A$1:A681=A682)*(B$1:B681=B682)*ROW(A$1:A681))))&amp;"; "&amp;C682))))</f>
        <v/>
      </c>
      <c r="J682" s="18" t="str">
        <f aca="false">IF(A682="","",A682&amp;"|"&amp;COUNTIF(A$2:A682,A682))</f>
        <v/>
      </c>
      <c r="K682" s="18" t="n">
        <f aca="false">IF(OR(A682="",B682=""),0,IF(COUNTIFS(A$2:A682,A682,B$2:B682,B682)=1,1,0))</f>
        <v>0</v>
      </c>
    </row>
    <row r="683" customFormat="false" ht="15" hidden="false" customHeight="false" outlineLevel="0" collapsed="false">
      <c r="A683" s="15"/>
      <c r="B683" s="15"/>
      <c r="C683" s="15"/>
      <c r="D683" s="15"/>
      <c r="F683" s="18" t="str">
        <f aca="false">IF(B683="","",IFERROR(INDEX(Materials!$B$2:$B$201,MATCH(B683,Materials!$A$2:$A$201,0)),""))</f>
        <v/>
      </c>
      <c r="G683" s="18" t="str">
        <f aca="true">IF(AND(A683="",B683=""),"",IF(A683="","Missing product",IF(B683="","Missing material",IF(COUNTIF(ProductList,A683)=0,"Product not in Products list",IF(COUNTIF(MaterialList,B683)=0,"Material not in Materials list","OK")))))</f>
        <v/>
      </c>
      <c r="H683" s="18" t="str">
        <f aca="false">IF(F683="Active",A683&amp;"|"&amp;COUNTIFS(A$2:A683,A683,F$2:F683,"Active"),"")</f>
        <v/>
      </c>
      <c r="I683" s="18" t="str">
        <f aca="false">IF(B683="","",IF(SUMPRODUCT(MAX((A$1:A682=A683)*(B$1:B682=B683)*ROW(A$1:A682)))=0,C683&amp;"",IF(C683="",INDEX(I$1:I682,SUMPRODUCT(MAX((A$1:A682=A683)*(B$1:B682=B683)*ROW(A$1:A682)))),IF(INDEX(I$1:I682,SUMPRODUCT(MAX((A$1:A682=A683)*(B$1:B682=B683)*ROW(A$1:A682))))="",C683&amp;"",INDEX(I$1:I682,SUMPRODUCT(MAX((A$1:A682=A683)*(B$1:B682=B683)*ROW(A$1:A682))))&amp;"; "&amp;C683))))</f>
        <v/>
      </c>
      <c r="J683" s="18" t="str">
        <f aca="false">IF(A683="","",A683&amp;"|"&amp;COUNTIF(A$2:A683,A683))</f>
        <v/>
      </c>
      <c r="K683" s="18" t="n">
        <f aca="false">IF(OR(A683="",B683=""),0,IF(COUNTIFS(A$2:A683,A683,B$2:B683,B683)=1,1,0))</f>
        <v>0</v>
      </c>
    </row>
    <row r="684" customFormat="false" ht="15" hidden="false" customHeight="false" outlineLevel="0" collapsed="false">
      <c r="A684" s="15"/>
      <c r="B684" s="15"/>
      <c r="C684" s="15"/>
      <c r="D684" s="15"/>
      <c r="F684" s="18" t="str">
        <f aca="false">IF(B684="","",IFERROR(INDEX(Materials!$B$2:$B$201,MATCH(B684,Materials!$A$2:$A$201,0)),""))</f>
        <v/>
      </c>
      <c r="G684" s="18" t="str">
        <f aca="true">IF(AND(A684="",B684=""),"",IF(A684="","Missing product",IF(B684="","Missing material",IF(COUNTIF(ProductList,A684)=0,"Product not in Products list",IF(COUNTIF(MaterialList,B684)=0,"Material not in Materials list","OK")))))</f>
        <v/>
      </c>
      <c r="H684" s="18" t="str">
        <f aca="false">IF(F684="Active",A684&amp;"|"&amp;COUNTIFS(A$2:A684,A684,F$2:F684,"Active"),"")</f>
        <v/>
      </c>
      <c r="I684" s="18" t="str">
        <f aca="false">IF(B684="","",IF(SUMPRODUCT(MAX((A$1:A683=A684)*(B$1:B683=B684)*ROW(A$1:A683)))=0,C684&amp;"",IF(C684="",INDEX(I$1:I683,SUMPRODUCT(MAX((A$1:A683=A684)*(B$1:B683=B684)*ROW(A$1:A683)))),IF(INDEX(I$1:I683,SUMPRODUCT(MAX((A$1:A683=A684)*(B$1:B683=B684)*ROW(A$1:A683))))="",C684&amp;"",INDEX(I$1:I683,SUMPRODUCT(MAX((A$1:A683=A684)*(B$1:B683=B684)*ROW(A$1:A683))))&amp;"; "&amp;C684))))</f>
        <v/>
      </c>
      <c r="J684" s="18" t="str">
        <f aca="false">IF(A684="","",A684&amp;"|"&amp;COUNTIF(A$2:A684,A684))</f>
        <v/>
      </c>
      <c r="K684" s="18" t="n">
        <f aca="false">IF(OR(A684="",B684=""),0,IF(COUNTIFS(A$2:A684,A684,B$2:B684,B684)=1,1,0))</f>
        <v>0</v>
      </c>
    </row>
    <row r="685" customFormat="false" ht="15" hidden="false" customHeight="false" outlineLevel="0" collapsed="false">
      <c r="A685" s="15"/>
      <c r="B685" s="15"/>
      <c r="C685" s="15"/>
      <c r="D685" s="15"/>
      <c r="F685" s="18" t="str">
        <f aca="false">IF(B685="","",IFERROR(INDEX(Materials!$B$2:$B$201,MATCH(B685,Materials!$A$2:$A$201,0)),""))</f>
        <v/>
      </c>
      <c r="G685" s="18" t="str">
        <f aca="true">IF(AND(A685="",B685=""),"",IF(A685="","Missing product",IF(B685="","Missing material",IF(COUNTIF(ProductList,A685)=0,"Product not in Products list",IF(COUNTIF(MaterialList,B685)=0,"Material not in Materials list","OK")))))</f>
        <v/>
      </c>
      <c r="H685" s="18" t="str">
        <f aca="false">IF(F685="Active",A685&amp;"|"&amp;COUNTIFS(A$2:A685,A685,F$2:F685,"Active"),"")</f>
        <v/>
      </c>
      <c r="I685" s="18" t="str">
        <f aca="false">IF(B685="","",IF(SUMPRODUCT(MAX((A$1:A684=A685)*(B$1:B684=B685)*ROW(A$1:A684)))=0,C685&amp;"",IF(C685="",INDEX(I$1:I684,SUMPRODUCT(MAX((A$1:A684=A685)*(B$1:B684=B685)*ROW(A$1:A684)))),IF(INDEX(I$1:I684,SUMPRODUCT(MAX((A$1:A684=A685)*(B$1:B684=B685)*ROW(A$1:A684))))="",C685&amp;"",INDEX(I$1:I684,SUMPRODUCT(MAX((A$1:A684=A685)*(B$1:B684=B685)*ROW(A$1:A684))))&amp;"; "&amp;C685))))</f>
        <v/>
      </c>
      <c r="J685" s="18" t="str">
        <f aca="false">IF(A685="","",A685&amp;"|"&amp;COUNTIF(A$2:A685,A685))</f>
        <v/>
      </c>
      <c r="K685" s="18" t="n">
        <f aca="false">IF(OR(A685="",B685=""),0,IF(COUNTIFS(A$2:A685,A685,B$2:B685,B685)=1,1,0))</f>
        <v>0</v>
      </c>
    </row>
    <row r="686" customFormat="false" ht="15" hidden="false" customHeight="false" outlineLevel="0" collapsed="false">
      <c r="A686" s="15"/>
      <c r="B686" s="15"/>
      <c r="C686" s="15"/>
      <c r="D686" s="15"/>
      <c r="F686" s="18" t="str">
        <f aca="false">IF(B686="","",IFERROR(INDEX(Materials!$B$2:$B$201,MATCH(B686,Materials!$A$2:$A$201,0)),""))</f>
        <v/>
      </c>
      <c r="G686" s="18" t="str">
        <f aca="true">IF(AND(A686="",B686=""),"",IF(A686="","Missing product",IF(B686="","Missing material",IF(COUNTIF(ProductList,A686)=0,"Product not in Products list",IF(COUNTIF(MaterialList,B686)=0,"Material not in Materials list","OK")))))</f>
        <v/>
      </c>
      <c r="H686" s="18" t="str">
        <f aca="false">IF(F686="Active",A686&amp;"|"&amp;COUNTIFS(A$2:A686,A686,F$2:F686,"Active"),"")</f>
        <v/>
      </c>
      <c r="I686" s="18" t="str">
        <f aca="false">IF(B686="","",IF(SUMPRODUCT(MAX((A$1:A685=A686)*(B$1:B685=B686)*ROW(A$1:A685)))=0,C686&amp;"",IF(C686="",INDEX(I$1:I685,SUMPRODUCT(MAX((A$1:A685=A686)*(B$1:B685=B686)*ROW(A$1:A685)))),IF(INDEX(I$1:I685,SUMPRODUCT(MAX((A$1:A685=A686)*(B$1:B685=B686)*ROW(A$1:A685))))="",C686&amp;"",INDEX(I$1:I685,SUMPRODUCT(MAX((A$1:A685=A686)*(B$1:B685=B686)*ROW(A$1:A685))))&amp;"; "&amp;C686))))</f>
        <v/>
      </c>
      <c r="J686" s="18" t="str">
        <f aca="false">IF(A686="","",A686&amp;"|"&amp;COUNTIF(A$2:A686,A686))</f>
        <v/>
      </c>
      <c r="K686" s="18" t="n">
        <f aca="false">IF(OR(A686="",B686=""),0,IF(COUNTIFS(A$2:A686,A686,B$2:B686,B686)=1,1,0))</f>
        <v>0</v>
      </c>
    </row>
    <row r="687" customFormat="false" ht="15" hidden="false" customHeight="false" outlineLevel="0" collapsed="false">
      <c r="A687" s="15"/>
      <c r="B687" s="15"/>
      <c r="C687" s="15"/>
      <c r="D687" s="15"/>
      <c r="F687" s="18" t="str">
        <f aca="false">IF(B687="","",IFERROR(INDEX(Materials!$B$2:$B$201,MATCH(B687,Materials!$A$2:$A$201,0)),""))</f>
        <v/>
      </c>
      <c r="G687" s="18" t="str">
        <f aca="true">IF(AND(A687="",B687=""),"",IF(A687="","Missing product",IF(B687="","Missing material",IF(COUNTIF(ProductList,A687)=0,"Product not in Products list",IF(COUNTIF(MaterialList,B687)=0,"Material not in Materials list","OK")))))</f>
        <v/>
      </c>
      <c r="H687" s="18" t="str">
        <f aca="false">IF(F687="Active",A687&amp;"|"&amp;COUNTIFS(A$2:A687,A687,F$2:F687,"Active"),"")</f>
        <v/>
      </c>
      <c r="I687" s="18" t="str">
        <f aca="false">IF(B687="","",IF(SUMPRODUCT(MAX((A$1:A686=A687)*(B$1:B686=B687)*ROW(A$1:A686)))=0,C687&amp;"",IF(C687="",INDEX(I$1:I686,SUMPRODUCT(MAX((A$1:A686=A687)*(B$1:B686=B687)*ROW(A$1:A686)))),IF(INDEX(I$1:I686,SUMPRODUCT(MAX((A$1:A686=A687)*(B$1:B686=B687)*ROW(A$1:A686))))="",C687&amp;"",INDEX(I$1:I686,SUMPRODUCT(MAX((A$1:A686=A687)*(B$1:B686=B687)*ROW(A$1:A686))))&amp;"; "&amp;C687))))</f>
        <v/>
      </c>
      <c r="J687" s="18" t="str">
        <f aca="false">IF(A687="","",A687&amp;"|"&amp;COUNTIF(A$2:A687,A687))</f>
        <v/>
      </c>
      <c r="K687" s="18" t="n">
        <f aca="false">IF(OR(A687="",B687=""),0,IF(COUNTIFS(A$2:A687,A687,B$2:B687,B687)=1,1,0))</f>
        <v>0</v>
      </c>
    </row>
    <row r="688" customFormat="false" ht="15" hidden="false" customHeight="false" outlineLevel="0" collapsed="false">
      <c r="A688" s="15"/>
      <c r="B688" s="15"/>
      <c r="C688" s="15"/>
      <c r="D688" s="15"/>
      <c r="F688" s="18" t="str">
        <f aca="false">IF(B688="","",IFERROR(INDEX(Materials!$B$2:$B$201,MATCH(B688,Materials!$A$2:$A$201,0)),""))</f>
        <v/>
      </c>
      <c r="G688" s="18" t="str">
        <f aca="true">IF(AND(A688="",B688=""),"",IF(A688="","Missing product",IF(B688="","Missing material",IF(COUNTIF(ProductList,A688)=0,"Product not in Products list",IF(COUNTIF(MaterialList,B688)=0,"Material not in Materials list","OK")))))</f>
        <v/>
      </c>
      <c r="H688" s="18" t="str">
        <f aca="false">IF(F688="Active",A688&amp;"|"&amp;COUNTIFS(A$2:A688,A688,F$2:F688,"Active"),"")</f>
        <v/>
      </c>
      <c r="I688" s="18" t="str">
        <f aca="false">IF(B688="","",IF(SUMPRODUCT(MAX((A$1:A687=A688)*(B$1:B687=B688)*ROW(A$1:A687)))=0,C688&amp;"",IF(C688="",INDEX(I$1:I687,SUMPRODUCT(MAX((A$1:A687=A688)*(B$1:B687=B688)*ROW(A$1:A687)))),IF(INDEX(I$1:I687,SUMPRODUCT(MAX((A$1:A687=A688)*(B$1:B687=B688)*ROW(A$1:A687))))="",C688&amp;"",INDEX(I$1:I687,SUMPRODUCT(MAX((A$1:A687=A688)*(B$1:B687=B688)*ROW(A$1:A687))))&amp;"; "&amp;C688))))</f>
        <v/>
      </c>
      <c r="J688" s="18" t="str">
        <f aca="false">IF(A688="","",A688&amp;"|"&amp;COUNTIF(A$2:A688,A688))</f>
        <v/>
      </c>
      <c r="K688" s="18" t="n">
        <f aca="false">IF(OR(A688="",B688=""),0,IF(COUNTIFS(A$2:A688,A688,B$2:B688,B688)=1,1,0))</f>
        <v>0</v>
      </c>
    </row>
    <row r="689" customFormat="false" ht="15" hidden="false" customHeight="false" outlineLevel="0" collapsed="false">
      <c r="A689" s="15"/>
      <c r="B689" s="15"/>
      <c r="C689" s="15"/>
      <c r="D689" s="15"/>
      <c r="F689" s="18" t="str">
        <f aca="false">IF(B689="","",IFERROR(INDEX(Materials!$B$2:$B$201,MATCH(B689,Materials!$A$2:$A$201,0)),""))</f>
        <v/>
      </c>
      <c r="G689" s="18" t="str">
        <f aca="true">IF(AND(A689="",B689=""),"",IF(A689="","Missing product",IF(B689="","Missing material",IF(COUNTIF(ProductList,A689)=0,"Product not in Products list",IF(COUNTIF(MaterialList,B689)=0,"Material not in Materials list","OK")))))</f>
        <v/>
      </c>
      <c r="H689" s="18" t="str">
        <f aca="false">IF(F689="Active",A689&amp;"|"&amp;COUNTIFS(A$2:A689,A689,F$2:F689,"Active"),"")</f>
        <v/>
      </c>
      <c r="I689" s="18" t="str">
        <f aca="false">IF(B689="","",IF(SUMPRODUCT(MAX((A$1:A688=A689)*(B$1:B688=B689)*ROW(A$1:A688)))=0,C689&amp;"",IF(C689="",INDEX(I$1:I688,SUMPRODUCT(MAX((A$1:A688=A689)*(B$1:B688=B689)*ROW(A$1:A688)))),IF(INDEX(I$1:I688,SUMPRODUCT(MAX((A$1:A688=A689)*(B$1:B688=B689)*ROW(A$1:A688))))="",C689&amp;"",INDEX(I$1:I688,SUMPRODUCT(MAX((A$1:A688=A689)*(B$1:B688=B689)*ROW(A$1:A688))))&amp;"; "&amp;C689))))</f>
        <v/>
      </c>
      <c r="J689" s="18" t="str">
        <f aca="false">IF(A689="","",A689&amp;"|"&amp;COUNTIF(A$2:A689,A689))</f>
        <v/>
      </c>
      <c r="K689" s="18" t="n">
        <f aca="false">IF(OR(A689="",B689=""),0,IF(COUNTIFS(A$2:A689,A689,B$2:B689,B689)=1,1,0))</f>
        <v>0</v>
      </c>
    </row>
    <row r="690" customFormat="false" ht="15" hidden="false" customHeight="false" outlineLevel="0" collapsed="false">
      <c r="A690" s="15"/>
      <c r="B690" s="15"/>
      <c r="C690" s="15"/>
      <c r="D690" s="15"/>
      <c r="F690" s="18" t="str">
        <f aca="false">IF(B690="","",IFERROR(INDEX(Materials!$B$2:$B$201,MATCH(B690,Materials!$A$2:$A$201,0)),""))</f>
        <v/>
      </c>
      <c r="G690" s="18" t="str">
        <f aca="true">IF(AND(A690="",B690=""),"",IF(A690="","Missing product",IF(B690="","Missing material",IF(COUNTIF(ProductList,A690)=0,"Product not in Products list",IF(COUNTIF(MaterialList,B690)=0,"Material not in Materials list","OK")))))</f>
        <v/>
      </c>
      <c r="H690" s="18" t="str">
        <f aca="false">IF(F690="Active",A690&amp;"|"&amp;COUNTIFS(A$2:A690,A690,F$2:F690,"Active"),"")</f>
        <v/>
      </c>
      <c r="I690" s="18" t="str">
        <f aca="false">IF(B690="","",IF(SUMPRODUCT(MAX((A$1:A689=A690)*(B$1:B689=B690)*ROW(A$1:A689)))=0,C690&amp;"",IF(C690="",INDEX(I$1:I689,SUMPRODUCT(MAX((A$1:A689=A690)*(B$1:B689=B690)*ROW(A$1:A689)))),IF(INDEX(I$1:I689,SUMPRODUCT(MAX((A$1:A689=A690)*(B$1:B689=B690)*ROW(A$1:A689))))="",C690&amp;"",INDEX(I$1:I689,SUMPRODUCT(MAX((A$1:A689=A690)*(B$1:B689=B690)*ROW(A$1:A689))))&amp;"; "&amp;C690))))</f>
        <v/>
      </c>
      <c r="J690" s="18" t="str">
        <f aca="false">IF(A690="","",A690&amp;"|"&amp;COUNTIF(A$2:A690,A690))</f>
        <v/>
      </c>
      <c r="K690" s="18" t="n">
        <f aca="false">IF(OR(A690="",B690=""),0,IF(COUNTIFS(A$2:A690,A690,B$2:B690,B690)=1,1,0))</f>
        <v>0</v>
      </c>
    </row>
    <row r="691" customFormat="false" ht="15" hidden="false" customHeight="false" outlineLevel="0" collapsed="false">
      <c r="A691" s="15"/>
      <c r="B691" s="15"/>
      <c r="C691" s="15"/>
      <c r="D691" s="15"/>
      <c r="F691" s="18" t="str">
        <f aca="false">IF(B691="","",IFERROR(INDEX(Materials!$B$2:$B$201,MATCH(B691,Materials!$A$2:$A$201,0)),""))</f>
        <v/>
      </c>
      <c r="G691" s="18" t="str">
        <f aca="true">IF(AND(A691="",B691=""),"",IF(A691="","Missing product",IF(B691="","Missing material",IF(COUNTIF(ProductList,A691)=0,"Product not in Products list",IF(COUNTIF(MaterialList,B691)=0,"Material not in Materials list","OK")))))</f>
        <v/>
      </c>
      <c r="H691" s="18" t="str">
        <f aca="false">IF(F691="Active",A691&amp;"|"&amp;COUNTIFS(A$2:A691,A691,F$2:F691,"Active"),"")</f>
        <v/>
      </c>
      <c r="I691" s="18" t="str">
        <f aca="false">IF(B691="","",IF(SUMPRODUCT(MAX((A$1:A690=A691)*(B$1:B690=B691)*ROW(A$1:A690)))=0,C691&amp;"",IF(C691="",INDEX(I$1:I690,SUMPRODUCT(MAX((A$1:A690=A691)*(B$1:B690=B691)*ROW(A$1:A690)))),IF(INDEX(I$1:I690,SUMPRODUCT(MAX((A$1:A690=A691)*(B$1:B690=B691)*ROW(A$1:A690))))="",C691&amp;"",INDEX(I$1:I690,SUMPRODUCT(MAX((A$1:A690=A691)*(B$1:B690=B691)*ROW(A$1:A690))))&amp;"; "&amp;C691))))</f>
        <v/>
      </c>
      <c r="J691" s="18" t="str">
        <f aca="false">IF(A691="","",A691&amp;"|"&amp;COUNTIF(A$2:A691,A691))</f>
        <v/>
      </c>
      <c r="K691" s="18" t="n">
        <f aca="false">IF(OR(A691="",B691=""),0,IF(COUNTIFS(A$2:A691,A691,B$2:B691,B691)=1,1,0))</f>
        <v>0</v>
      </c>
    </row>
    <row r="692" customFormat="false" ht="15" hidden="false" customHeight="false" outlineLevel="0" collapsed="false">
      <c r="A692" s="15"/>
      <c r="B692" s="15"/>
      <c r="C692" s="15"/>
      <c r="D692" s="15"/>
      <c r="F692" s="18" t="str">
        <f aca="false">IF(B692="","",IFERROR(INDEX(Materials!$B$2:$B$201,MATCH(B692,Materials!$A$2:$A$201,0)),""))</f>
        <v/>
      </c>
      <c r="G692" s="18" t="str">
        <f aca="true">IF(AND(A692="",B692=""),"",IF(A692="","Missing product",IF(B692="","Missing material",IF(COUNTIF(ProductList,A692)=0,"Product not in Products list",IF(COUNTIF(MaterialList,B692)=0,"Material not in Materials list","OK")))))</f>
        <v/>
      </c>
      <c r="H692" s="18" t="str">
        <f aca="false">IF(F692="Active",A692&amp;"|"&amp;COUNTIFS(A$2:A692,A692,F$2:F692,"Active"),"")</f>
        <v/>
      </c>
      <c r="I692" s="18" t="str">
        <f aca="false">IF(B692="","",IF(SUMPRODUCT(MAX((A$1:A691=A692)*(B$1:B691=B692)*ROW(A$1:A691)))=0,C692&amp;"",IF(C692="",INDEX(I$1:I691,SUMPRODUCT(MAX((A$1:A691=A692)*(B$1:B691=B692)*ROW(A$1:A691)))),IF(INDEX(I$1:I691,SUMPRODUCT(MAX((A$1:A691=A692)*(B$1:B691=B692)*ROW(A$1:A691))))="",C692&amp;"",INDEX(I$1:I691,SUMPRODUCT(MAX((A$1:A691=A692)*(B$1:B691=B692)*ROW(A$1:A691))))&amp;"; "&amp;C692))))</f>
        <v/>
      </c>
      <c r="J692" s="18" t="str">
        <f aca="false">IF(A692="","",A692&amp;"|"&amp;COUNTIF(A$2:A692,A692))</f>
        <v/>
      </c>
      <c r="K692" s="18" t="n">
        <f aca="false">IF(OR(A692="",B692=""),0,IF(COUNTIFS(A$2:A692,A692,B$2:B692,B692)=1,1,0))</f>
        <v>0</v>
      </c>
    </row>
    <row r="693" customFormat="false" ht="15" hidden="false" customHeight="false" outlineLevel="0" collapsed="false">
      <c r="A693" s="15"/>
      <c r="B693" s="15"/>
      <c r="C693" s="15"/>
      <c r="D693" s="15"/>
      <c r="F693" s="18" t="str">
        <f aca="false">IF(B693="","",IFERROR(INDEX(Materials!$B$2:$B$201,MATCH(B693,Materials!$A$2:$A$201,0)),""))</f>
        <v/>
      </c>
      <c r="G693" s="18" t="str">
        <f aca="true">IF(AND(A693="",B693=""),"",IF(A693="","Missing product",IF(B693="","Missing material",IF(COUNTIF(ProductList,A693)=0,"Product not in Products list",IF(COUNTIF(MaterialList,B693)=0,"Material not in Materials list","OK")))))</f>
        <v/>
      </c>
      <c r="H693" s="18" t="str">
        <f aca="false">IF(F693="Active",A693&amp;"|"&amp;COUNTIFS(A$2:A693,A693,F$2:F693,"Active"),"")</f>
        <v/>
      </c>
      <c r="I693" s="18" t="str">
        <f aca="false">IF(B693="","",IF(SUMPRODUCT(MAX((A$1:A692=A693)*(B$1:B692=B693)*ROW(A$1:A692)))=0,C693&amp;"",IF(C693="",INDEX(I$1:I692,SUMPRODUCT(MAX((A$1:A692=A693)*(B$1:B692=B693)*ROW(A$1:A692)))),IF(INDEX(I$1:I692,SUMPRODUCT(MAX((A$1:A692=A693)*(B$1:B692=B693)*ROW(A$1:A692))))="",C693&amp;"",INDEX(I$1:I692,SUMPRODUCT(MAX((A$1:A692=A693)*(B$1:B692=B693)*ROW(A$1:A692))))&amp;"; "&amp;C693))))</f>
        <v/>
      </c>
      <c r="J693" s="18" t="str">
        <f aca="false">IF(A693="","",A693&amp;"|"&amp;COUNTIF(A$2:A693,A693))</f>
        <v/>
      </c>
      <c r="K693" s="18" t="n">
        <f aca="false">IF(OR(A693="",B693=""),0,IF(COUNTIFS(A$2:A693,A693,B$2:B693,B693)=1,1,0))</f>
        <v>0</v>
      </c>
    </row>
    <row r="694" customFormat="false" ht="15" hidden="false" customHeight="false" outlineLevel="0" collapsed="false">
      <c r="A694" s="15"/>
      <c r="B694" s="15"/>
      <c r="C694" s="15"/>
      <c r="D694" s="15"/>
      <c r="F694" s="18" t="str">
        <f aca="false">IF(B694="","",IFERROR(INDEX(Materials!$B$2:$B$201,MATCH(B694,Materials!$A$2:$A$201,0)),""))</f>
        <v/>
      </c>
      <c r="G694" s="18" t="str">
        <f aca="true">IF(AND(A694="",B694=""),"",IF(A694="","Missing product",IF(B694="","Missing material",IF(COUNTIF(ProductList,A694)=0,"Product not in Products list",IF(COUNTIF(MaterialList,B694)=0,"Material not in Materials list","OK")))))</f>
        <v/>
      </c>
      <c r="H694" s="18" t="str">
        <f aca="false">IF(F694="Active",A694&amp;"|"&amp;COUNTIFS(A$2:A694,A694,F$2:F694,"Active"),"")</f>
        <v/>
      </c>
      <c r="I694" s="18" t="str">
        <f aca="false">IF(B694="","",IF(SUMPRODUCT(MAX((A$1:A693=A694)*(B$1:B693=B694)*ROW(A$1:A693)))=0,C694&amp;"",IF(C694="",INDEX(I$1:I693,SUMPRODUCT(MAX((A$1:A693=A694)*(B$1:B693=B694)*ROW(A$1:A693)))),IF(INDEX(I$1:I693,SUMPRODUCT(MAX((A$1:A693=A694)*(B$1:B693=B694)*ROW(A$1:A693))))="",C694&amp;"",INDEX(I$1:I693,SUMPRODUCT(MAX((A$1:A693=A694)*(B$1:B693=B694)*ROW(A$1:A693))))&amp;"; "&amp;C694))))</f>
        <v/>
      </c>
      <c r="J694" s="18" t="str">
        <f aca="false">IF(A694="","",A694&amp;"|"&amp;COUNTIF(A$2:A694,A694))</f>
        <v/>
      </c>
      <c r="K694" s="18" t="n">
        <f aca="false">IF(OR(A694="",B694=""),0,IF(COUNTIFS(A$2:A694,A694,B$2:B694,B694)=1,1,0))</f>
        <v>0</v>
      </c>
    </row>
    <row r="695" customFormat="false" ht="15" hidden="false" customHeight="false" outlineLevel="0" collapsed="false">
      <c r="A695" s="15"/>
      <c r="B695" s="15"/>
      <c r="C695" s="15"/>
      <c r="D695" s="15"/>
      <c r="F695" s="18" t="str">
        <f aca="false">IF(B695="","",IFERROR(INDEX(Materials!$B$2:$B$201,MATCH(B695,Materials!$A$2:$A$201,0)),""))</f>
        <v/>
      </c>
      <c r="G695" s="18" t="str">
        <f aca="true">IF(AND(A695="",B695=""),"",IF(A695="","Missing product",IF(B695="","Missing material",IF(COUNTIF(ProductList,A695)=0,"Product not in Products list",IF(COUNTIF(MaterialList,B695)=0,"Material not in Materials list","OK")))))</f>
        <v/>
      </c>
      <c r="H695" s="18" t="str">
        <f aca="false">IF(F695="Active",A695&amp;"|"&amp;COUNTIFS(A$2:A695,A695,F$2:F695,"Active"),"")</f>
        <v/>
      </c>
      <c r="I695" s="18" t="str">
        <f aca="false">IF(B695="","",IF(SUMPRODUCT(MAX((A$1:A694=A695)*(B$1:B694=B695)*ROW(A$1:A694)))=0,C695&amp;"",IF(C695="",INDEX(I$1:I694,SUMPRODUCT(MAX((A$1:A694=A695)*(B$1:B694=B695)*ROW(A$1:A694)))),IF(INDEX(I$1:I694,SUMPRODUCT(MAX((A$1:A694=A695)*(B$1:B694=B695)*ROW(A$1:A694))))="",C695&amp;"",INDEX(I$1:I694,SUMPRODUCT(MAX((A$1:A694=A695)*(B$1:B694=B695)*ROW(A$1:A694))))&amp;"; "&amp;C695))))</f>
        <v/>
      </c>
      <c r="J695" s="18" t="str">
        <f aca="false">IF(A695="","",A695&amp;"|"&amp;COUNTIF(A$2:A695,A695))</f>
        <v/>
      </c>
      <c r="K695" s="18" t="n">
        <f aca="false">IF(OR(A695="",B695=""),0,IF(COUNTIFS(A$2:A695,A695,B$2:B695,B695)=1,1,0))</f>
        <v>0</v>
      </c>
    </row>
    <row r="696" customFormat="false" ht="15" hidden="false" customHeight="false" outlineLevel="0" collapsed="false">
      <c r="A696" s="15"/>
      <c r="B696" s="15"/>
      <c r="C696" s="15"/>
      <c r="D696" s="15"/>
      <c r="F696" s="18" t="str">
        <f aca="false">IF(B696="","",IFERROR(INDEX(Materials!$B$2:$B$201,MATCH(B696,Materials!$A$2:$A$201,0)),""))</f>
        <v/>
      </c>
      <c r="G696" s="18" t="str">
        <f aca="true">IF(AND(A696="",B696=""),"",IF(A696="","Missing product",IF(B696="","Missing material",IF(COUNTIF(ProductList,A696)=0,"Product not in Products list",IF(COUNTIF(MaterialList,B696)=0,"Material not in Materials list","OK")))))</f>
        <v/>
      </c>
      <c r="H696" s="18" t="str">
        <f aca="false">IF(F696="Active",A696&amp;"|"&amp;COUNTIFS(A$2:A696,A696,F$2:F696,"Active"),"")</f>
        <v/>
      </c>
      <c r="I696" s="18" t="str">
        <f aca="false">IF(B696="","",IF(SUMPRODUCT(MAX((A$1:A695=A696)*(B$1:B695=B696)*ROW(A$1:A695)))=0,C696&amp;"",IF(C696="",INDEX(I$1:I695,SUMPRODUCT(MAX((A$1:A695=A696)*(B$1:B695=B696)*ROW(A$1:A695)))),IF(INDEX(I$1:I695,SUMPRODUCT(MAX((A$1:A695=A696)*(B$1:B695=B696)*ROW(A$1:A695))))="",C696&amp;"",INDEX(I$1:I695,SUMPRODUCT(MAX((A$1:A695=A696)*(B$1:B695=B696)*ROW(A$1:A695))))&amp;"; "&amp;C696))))</f>
        <v/>
      </c>
      <c r="J696" s="18" t="str">
        <f aca="false">IF(A696="","",A696&amp;"|"&amp;COUNTIF(A$2:A696,A696))</f>
        <v/>
      </c>
      <c r="K696" s="18" t="n">
        <f aca="false">IF(OR(A696="",B696=""),0,IF(COUNTIFS(A$2:A696,A696,B$2:B696,B696)=1,1,0))</f>
        <v>0</v>
      </c>
    </row>
    <row r="697" customFormat="false" ht="15" hidden="false" customHeight="false" outlineLevel="0" collapsed="false">
      <c r="A697" s="15"/>
      <c r="B697" s="15"/>
      <c r="C697" s="15"/>
      <c r="D697" s="15"/>
      <c r="F697" s="18" t="str">
        <f aca="false">IF(B697="","",IFERROR(INDEX(Materials!$B$2:$B$201,MATCH(B697,Materials!$A$2:$A$201,0)),""))</f>
        <v/>
      </c>
      <c r="G697" s="18" t="str">
        <f aca="true">IF(AND(A697="",B697=""),"",IF(A697="","Missing product",IF(B697="","Missing material",IF(COUNTIF(ProductList,A697)=0,"Product not in Products list",IF(COUNTIF(MaterialList,B697)=0,"Material not in Materials list","OK")))))</f>
        <v/>
      </c>
      <c r="H697" s="18" t="str">
        <f aca="false">IF(F697="Active",A697&amp;"|"&amp;COUNTIFS(A$2:A697,A697,F$2:F697,"Active"),"")</f>
        <v/>
      </c>
      <c r="I697" s="18" t="str">
        <f aca="false">IF(B697="","",IF(SUMPRODUCT(MAX((A$1:A696=A697)*(B$1:B696=B697)*ROW(A$1:A696)))=0,C697&amp;"",IF(C697="",INDEX(I$1:I696,SUMPRODUCT(MAX((A$1:A696=A697)*(B$1:B696=B697)*ROW(A$1:A696)))),IF(INDEX(I$1:I696,SUMPRODUCT(MAX((A$1:A696=A697)*(B$1:B696=B697)*ROW(A$1:A696))))="",C697&amp;"",INDEX(I$1:I696,SUMPRODUCT(MAX((A$1:A696=A697)*(B$1:B696=B697)*ROW(A$1:A696))))&amp;"; "&amp;C697))))</f>
        <v/>
      </c>
      <c r="J697" s="18" t="str">
        <f aca="false">IF(A697="","",A697&amp;"|"&amp;COUNTIF(A$2:A697,A697))</f>
        <v/>
      </c>
      <c r="K697" s="18" t="n">
        <f aca="false">IF(OR(A697="",B697=""),0,IF(COUNTIFS(A$2:A697,A697,B$2:B697,B697)=1,1,0))</f>
        <v>0</v>
      </c>
    </row>
    <row r="698" customFormat="false" ht="15" hidden="false" customHeight="false" outlineLevel="0" collapsed="false">
      <c r="A698" s="15"/>
      <c r="B698" s="15"/>
      <c r="C698" s="15"/>
      <c r="D698" s="15"/>
      <c r="F698" s="18" t="str">
        <f aca="false">IF(B698="","",IFERROR(INDEX(Materials!$B$2:$B$201,MATCH(B698,Materials!$A$2:$A$201,0)),""))</f>
        <v/>
      </c>
      <c r="G698" s="18" t="str">
        <f aca="true">IF(AND(A698="",B698=""),"",IF(A698="","Missing product",IF(B698="","Missing material",IF(COUNTIF(ProductList,A698)=0,"Product not in Products list",IF(COUNTIF(MaterialList,B698)=0,"Material not in Materials list","OK")))))</f>
        <v/>
      </c>
      <c r="H698" s="18" t="str">
        <f aca="false">IF(F698="Active",A698&amp;"|"&amp;COUNTIFS(A$2:A698,A698,F$2:F698,"Active"),"")</f>
        <v/>
      </c>
      <c r="I698" s="18" t="str">
        <f aca="false">IF(B698="","",IF(SUMPRODUCT(MAX((A$1:A697=A698)*(B$1:B697=B698)*ROW(A$1:A697)))=0,C698&amp;"",IF(C698="",INDEX(I$1:I697,SUMPRODUCT(MAX((A$1:A697=A698)*(B$1:B697=B698)*ROW(A$1:A697)))),IF(INDEX(I$1:I697,SUMPRODUCT(MAX((A$1:A697=A698)*(B$1:B697=B698)*ROW(A$1:A697))))="",C698&amp;"",INDEX(I$1:I697,SUMPRODUCT(MAX((A$1:A697=A698)*(B$1:B697=B698)*ROW(A$1:A697))))&amp;"; "&amp;C698))))</f>
        <v/>
      </c>
      <c r="J698" s="18" t="str">
        <f aca="false">IF(A698="","",A698&amp;"|"&amp;COUNTIF(A$2:A698,A698))</f>
        <v/>
      </c>
      <c r="K698" s="18" t="n">
        <f aca="false">IF(OR(A698="",B698=""),0,IF(COUNTIFS(A$2:A698,A698,B$2:B698,B698)=1,1,0))</f>
        <v>0</v>
      </c>
    </row>
    <row r="699" customFormat="false" ht="15" hidden="false" customHeight="false" outlineLevel="0" collapsed="false">
      <c r="A699" s="15"/>
      <c r="B699" s="15"/>
      <c r="C699" s="15"/>
      <c r="D699" s="15"/>
      <c r="F699" s="18" t="str">
        <f aca="false">IF(B699="","",IFERROR(INDEX(Materials!$B$2:$B$201,MATCH(B699,Materials!$A$2:$A$201,0)),""))</f>
        <v/>
      </c>
      <c r="G699" s="18" t="str">
        <f aca="true">IF(AND(A699="",B699=""),"",IF(A699="","Missing product",IF(B699="","Missing material",IF(COUNTIF(ProductList,A699)=0,"Product not in Products list",IF(COUNTIF(MaterialList,B699)=0,"Material not in Materials list","OK")))))</f>
        <v/>
      </c>
      <c r="H699" s="18" t="str">
        <f aca="false">IF(F699="Active",A699&amp;"|"&amp;COUNTIFS(A$2:A699,A699,F$2:F699,"Active"),"")</f>
        <v/>
      </c>
      <c r="I699" s="18" t="str">
        <f aca="false">IF(B699="","",IF(SUMPRODUCT(MAX((A$1:A698=A699)*(B$1:B698=B699)*ROW(A$1:A698)))=0,C699&amp;"",IF(C699="",INDEX(I$1:I698,SUMPRODUCT(MAX((A$1:A698=A699)*(B$1:B698=B699)*ROW(A$1:A698)))),IF(INDEX(I$1:I698,SUMPRODUCT(MAX((A$1:A698=A699)*(B$1:B698=B699)*ROW(A$1:A698))))="",C699&amp;"",INDEX(I$1:I698,SUMPRODUCT(MAX((A$1:A698=A699)*(B$1:B698=B699)*ROW(A$1:A698))))&amp;"; "&amp;C699))))</f>
        <v/>
      </c>
      <c r="J699" s="18" t="str">
        <f aca="false">IF(A699="","",A699&amp;"|"&amp;COUNTIF(A$2:A699,A699))</f>
        <v/>
      </c>
      <c r="K699" s="18" t="n">
        <f aca="false">IF(OR(A699="",B699=""),0,IF(COUNTIFS(A$2:A699,A699,B$2:B699,B699)=1,1,0))</f>
        <v>0</v>
      </c>
    </row>
    <row r="700" customFormat="false" ht="15" hidden="false" customHeight="false" outlineLevel="0" collapsed="false">
      <c r="A700" s="15"/>
      <c r="B700" s="15"/>
      <c r="C700" s="15"/>
      <c r="D700" s="15"/>
      <c r="F700" s="18" t="str">
        <f aca="false">IF(B700="","",IFERROR(INDEX(Materials!$B$2:$B$201,MATCH(B700,Materials!$A$2:$A$201,0)),""))</f>
        <v/>
      </c>
      <c r="G700" s="18" t="str">
        <f aca="true">IF(AND(A700="",B700=""),"",IF(A700="","Missing product",IF(B700="","Missing material",IF(COUNTIF(ProductList,A700)=0,"Product not in Products list",IF(COUNTIF(MaterialList,B700)=0,"Material not in Materials list","OK")))))</f>
        <v/>
      </c>
      <c r="H700" s="18" t="str">
        <f aca="false">IF(F700="Active",A700&amp;"|"&amp;COUNTIFS(A$2:A700,A700,F$2:F700,"Active"),"")</f>
        <v/>
      </c>
      <c r="I700" s="18" t="str">
        <f aca="false">IF(B700="","",IF(SUMPRODUCT(MAX((A$1:A699=A700)*(B$1:B699=B700)*ROW(A$1:A699)))=0,C700&amp;"",IF(C700="",INDEX(I$1:I699,SUMPRODUCT(MAX((A$1:A699=A700)*(B$1:B699=B700)*ROW(A$1:A699)))),IF(INDEX(I$1:I699,SUMPRODUCT(MAX((A$1:A699=A700)*(B$1:B699=B700)*ROW(A$1:A699))))="",C700&amp;"",INDEX(I$1:I699,SUMPRODUCT(MAX((A$1:A699=A700)*(B$1:B699=B700)*ROW(A$1:A699))))&amp;"; "&amp;C700))))</f>
        <v/>
      </c>
      <c r="J700" s="18" t="str">
        <f aca="false">IF(A700="","",A700&amp;"|"&amp;COUNTIF(A$2:A700,A700))</f>
        <v/>
      </c>
      <c r="K700" s="18" t="n">
        <f aca="false">IF(OR(A700="",B700=""),0,IF(COUNTIFS(A$2:A700,A700,B$2:B700,B700)=1,1,0))</f>
        <v>0</v>
      </c>
    </row>
    <row r="701" customFormat="false" ht="15" hidden="false" customHeight="false" outlineLevel="0" collapsed="false">
      <c r="A701" s="15"/>
      <c r="B701" s="15"/>
      <c r="C701" s="15"/>
      <c r="D701" s="15"/>
      <c r="F701" s="18" t="str">
        <f aca="false">IF(B701="","",IFERROR(INDEX(Materials!$B$2:$B$201,MATCH(B701,Materials!$A$2:$A$201,0)),""))</f>
        <v/>
      </c>
      <c r="G701" s="18" t="str">
        <f aca="true">IF(AND(A701="",B701=""),"",IF(A701="","Missing product",IF(B701="","Missing material",IF(COUNTIF(ProductList,A701)=0,"Product not in Products list",IF(COUNTIF(MaterialList,B701)=0,"Material not in Materials list","OK")))))</f>
        <v/>
      </c>
      <c r="H701" s="18" t="str">
        <f aca="false">IF(F701="Active",A701&amp;"|"&amp;COUNTIFS(A$2:A701,A701,F$2:F701,"Active"),"")</f>
        <v/>
      </c>
      <c r="I701" s="18" t="str">
        <f aca="false">IF(B701="","",IF(SUMPRODUCT(MAX((A$1:A700=A701)*(B$1:B700=B701)*ROW(A$1:A700)))=0,C701&amp;"",IF(C701="",INDEX(I$1:I700,SUMPRODUCT(MAX((A$1:A700=A701)*(B$1:B700=B701)*ROW(A$1:A700)))),IF(INDEX(I$1:I700,SUMPRODUCT(MAX((A$1:A700=A701)*(B$1:B700=B701)*ROW(A$1:A700))))="",C701&amp;"",INDEX(I$1:I700,SUMPRODUCT(MAX((A$1:A700=A701)*(B$1:B700=B701)*ROW(A$1:A700))))&amp;"; "&amp;C701))))</f>
        <v/>
      </c>
      <c r="J701" s="18" t="str">
        <f aca="false">IF(A701="","",A701&amp;"|"&amp;COUNTIF(A$2:A701,A701))</f>
        <v/>
      </c>
      <c r="K701" s="18" t="n">
        <f aca="false">IF(OR(A701="",B701=""),0,IF(COUNTIFS(A$2:A701,A701,B$2:B701,B701)=1,1,0))</f>
        <v>0</v>
      </c>
    </row>
    <row r="702" customFormat="false" ht="15" hidden="false" customHeight="false" outlineLevel="0" collapsed="false">
      <c r="A702" s="15"/>
      <c r="B702" s="15"/>
      <c r="C702" s="15"/>
      <c r="D702" s="15"/>
      <c r="F702" s="18" t="str">
        <f aca="false">IF(B702="","",IFERROR(INDEX(Materials!$B$2:$B$201,MATCH(B702,Materials!$A$2:$A$201,0)),""))</f>
        <v/>
      </c>
      <c r="G702" s="18" t="str">
        <f aca="true">IF(AND(A702="",B702=""),"",IF(A702="","Missing product",IF(B702="","Missing material",IF(COUNTIF(ProductList,A702)=0,"Product not in Products list",IF(COUNTIF(MaterialList,B702)=0,"Material not in Materials list","OK")))))</f>
        <v/>
      </c>
      <c r="H702" s="18" t="str">
        <f aca="false">IF(F702="Active",A702&amp;"|"&amp;COUNTIFS(A$2:A702,A702,F$2:F702,"Active"),"")</f>
        <v/>
      </c>
      <c r="I702" s="18" t="str">
        <f aca="false">IF(B702="","",IF(SUMPRODUCT(MAX((A$1:A701=A702)*(B$1:B701=B702)*ROW(A$1:A701)))=0,C702&amp;"",IF(C702="",INDEX(I$1:I701,SUMPRODUCT(MAX((A$1:A701=A702)*(B$1:B701=B702)*ROW(A$1:A701)))),IF(INDEX(I$1:I701,SUMPRODUCT(MAX((A$1:A701=A702)*(B$1:B701=B702)*ROW(A$1:A701))))="",C702&amp;"",INDEX(I$1:I701,SUMPRODUCT(MAX((A$1:A701=A702)*(B$1:B701=B702)*ROW(A$1:A701))))&amp;"; "&amp;C702))))</f>
        <v/>
      </c>
      <c r="J702" s="18" t="str">
        <f aca="false">IF(A702="","",A702&amp;"|"&amp;COUNTIF(A$2:A702,A702))</f>
        <v/>
      </c>
      <c r="K702" s="18" t="n">
        <f aca="false">IF(OR(A702="",B702=""),0,IF(COUNTIFS(A$2:A702,A702,B$2:B702,B702)=1,1,0))</f>
        <v>0</v>
      </c>
    </row>
    <row r="703" customFormat="false" ht="15" hidden="false" customHeight="false" outlineLevel="0" collapsed="false">
      <c r="A703" s="15"/>
      <c r="B703" s="15"/>
      <c r="C703" s="15"/>
      <c r="D703" s="15"/>
      <c r="F703" s="18" t="str">
        <f aca="false">IF(B703="","",IFERROR(INDEX(Materials!$B$2:$B$201,MATCH(B703,Materials!$A$2:$A$201,0)),""))</f>
        <v/>
      </c>
      <c r="G703" s="18" t="str">
        <f aca="true">IF(AND(A703="",B703=""),"",IF(A703="","Missing product",IF(B703="","Missing material",IF(COUNTIF(ProductList,A703)=0,"Product not in Products list",IF(COUNTIF(MaterialList,B703)=0,"Material not in Materials list","OK")))))</f>
        <v/>
      </c>
      <c r="H703" s="18" t="str">
        <f aca="false">IF(F703="Active",A703&amp;"|"&amp;COUNTIFS(A$2:A703,A703,F$2:F703,"Active"),"")</f>
        <v/>
      </c>
      <c r="I703" s="18" t="str">
        <f aca="false">IF(B703="","",IF(SUMPRODUCT(MAX((A$1:A702=A703)*(B$1:B702=B703)*ROW(A$1:A702)))=0,C703&amp;"",IF(C703="",INDEX(I$1:I702,SUMPRODUCT(MAX((A$1:A702=A703)*(B$1:B702=B703)*ROW(A$1:A702)))),IF(INDEX(I$1:I702,SUMPRODUCT(MAX((A$1:A702=A703)*(B$1:B702=B703)*ROW(A$1:A702))))="",C703&amp;"",INDEX(I$1:I702,SUMPRODUCT(MAX((A$1:A702=A703)*(B$1:B702=B703)*ROW(A$1:A702))))&amp;"; "&amp;C703))))</f>
        <v/>
      </c>
      <c r="J703" s="18" t="str">
        <f aca="false">IF(A703="","",A703&amp;"|"&amp;COUNTIF(A$2:A703,A703))</f>
        <v/>
      </c>
      <c r="K703" s="18" t="n">
        <f aca="false">IF(OR(A703="",B703=""),0,IF(COUNTIFS(A$2:A703,A703,B$2:B703,B703)=1,1,0))</f>
        <v>0</v>
      </c>
    </row>
    <row r="704" customFormat="false" ht="15" hidden="false" customHeight="false" outlineLevel="0" collapsed="false">
      <c r="A704" s="15"/>
      <c r="B704" s="15"/>
      <c r="C704" s="15"/>
      <c r="D704" s="15"/>
      <c r="F704" s="18" t="str">
        <f aca="false">IF(B704="","",IFERROR(INDEX(Materials!$B$2:$B$201,MATCH(B704,Materials!$A$2:$A$201,0)),""))</f>
        <v/>
      </c>
      <c r="G704" s="18" t="str">
        <f aca="true">IF(AND(A704="",B704=""),"",IF(A704="","Missing product",IF(B704="","Missing material",IF(COUNTIF(ProductList,A704)=0,"Product not in Products list",IF(COUNTIF(MaterialList,B704)=0,"Material not in Materials list","OK")))))</f>
        <v/>
      </c>
      <c r="H704" s="18" t="str">
        <f aca="false">IF(F704="Active",A704&amp;"|"&amp;COUNTIFS(A$2:A704,A704,F$2:F704,"Active"),"")</f>
        <v/>
      </c>
      <c r="I704" s="18" t="str">
        <f aca="false">IF(B704="","",IF(SUMPRODUCT(MAX((A$1:A703=A704)*(B$1:B703=B704)*ROW(A$1:A703)))=0,C704&amp;"",IF(C704="",INDEX(I$1:I703,SUMPRODUCT(MAX((A$1:A703=A704)*(B$1:B703=B704)*ROW(A$1:A703)))),IF(INDEX(I$1:I703,SUMPRODUCT(MAX((A$1:A703=A704)*(B$1:B703=B704)*ROW(A$1:A703))))="",C704&amp;"",INDEX(I$1:I703,SUMPRODUCT(MAX((A$1:A703=A704)*(B$1:B703=B704)*ROW(A$1:A703))))&amp;"; "&amp;C704))))</f>
        <v/>
      </c>
      <c r="J704" s="18" t="str">
        <f aca="false">IF(A704="","",A704&amp;"|"&amp;COUNTIF(A$2:A704,A704))</f>
        <v/>
      </c>
      <c r="K704" s="18" t="n">
        <f aca="false">IF(OR(A704="",B704=""),0,IF(COUNTIFS(A$2:A704,A704,B$2:B704,B704)=1,1,0))</f>
        <v>0</v>
      </c>
    </row>
    <row r="705" customFormat="false" ht="15" hidden="false" customHeight="false" outlineLevel="0" collapsed="false">
      <c r="A705" s="15"/>
      <c r="B705" s="15"/>
      <c r="C705" s="15"/>
      <c r="D705" s="15"/>
      <c r="F705" s="18" t="str">
        <f aca="false">IF(B705="","",IFERROR(INDEX(Materials!$B$2:$B$201,MATCH(B705,Materials!$A$2:$A$201,0)),""))</f>
        <v/>
      </c>
      <c r="G705" s="18" t="str">
        <f aca="true">IF(AND(A705="",B705=""),"",IF(A705="","Missing product",IF(B705="","Missing material",IF(COUNTIF(ProductList,A705)=0,"Product not in Products list",IF(COUNTIF(MaterialList,B705)=0,"Material not in Materials list","OK")))))</f>
        <v/>
      </c>
      <c r="H705" s="18" t="str">
        <f aca="false">IF(F705="Active",A705&amp;"|"&amp;COUNTIFS(A$2:A705,A705,F$2:F705,"Active"),"")</f>
        <v/>
      </c>
      <c r="I705" s="18" t="str">
        <f aca="false">IF(B705="","",IF(SUMPRODUCT(MAX((A$1:A704=A705)*(B$1:B704=B705)*ROW(A$1:A704)))=0,C705&amp;"",IF(C705="",INDEX(I$1:I704,SUMPRODUCT(MAX((A$1:A704=A705)*(B$1:B704=B705)*ROW(A$1:A704)))),IF(INDEX(I$1:I704,SUMPRODUCT(MAX((A$1:A704=A705)*(B$1:B704=B705)*ROW(A$1:A704))))="",C705&amp;"",INDEX(I$1:I704,SUMPRODUCT(MAX((A$1:A704=A705)*(B$1:B704=B705)*ROW(A$1:A704))))&amp;"; "&amp;C705))))</f>
        <v/>
      </c>
      <c r="J705" s="18" t="str">
        <f aca="false">IF(A705="","",A705&amp;"|"&amp;COUNTIF(A$2:A705,A705))</f>
        <v/>
      </c>
      <c r="K705" s="18" t="n">
        <f aca="false">IF(OR(A705="",B705=""),0,IF(COUNTIFS(A$2:A705,A705,B$2:B705,B705)=1,1,0))</f>
        <v>0</v>
      </c>
    </row>
    <row r="706" customFormat="false" ht="15" hidden="false" customHeight="false" outlineLevel="0" collapsed="false">
      <c r="A706" s="15"/>
      <c r="B706" s="15"/>
      <c r="C706" s="15"/>
      <c r="D706" s="15"/>
      <c r="F706" s="18" t="str">
        <f aca="false">IF(B706="","",IFERROR(INDEX(Materials!$B$2:$B$201,MATCH(B706,Materials!$A$2:$A$201,0)),""))</f>
        <v/>
      </c>
      <c r="G706" s="18" t="str">
        <f aca="true">IF(AND(A706="",B706=""),"",IF(A706="","Missing product",IF(B706="","Missing material",IF(COUNTIF(ProductList,A706)=0,"Product not in Products list",IF(COUNTIF(MaterialList,B706)=0,"Material not in Materials list","OK")))))</f>
        <v/>
      </c>
      <c r="H706" s="18" t="str">
        <f aca="false">IF(F706="Active",A706&amp;"|"&amp;COUNTIFS(A$2:A706,A706,F$2:F706,"Active"),"")</f>
        <v/>
      </c>
      <c r="I706" s="18" t="str">
        <f aca="false">IF(B706="","",IF(SUMPRODUCT(MAX((A$1:A705=A706)*(B$1:B705=B706)*ROW(A$1:A705)))=0,C706&amp;"",IF(C706="",INDEX(I$1:I705,SUMPRODUCT(MAX((A$1:A705=A706)*(B$1:B705=B706)*ROW(A$1:A705)))),IF(INDEX(I$1:I705,SUMPRODUCT(MAX((A$1:A705=A706)*(B$1:B705=B706)*ROW(A$1:A705))))="",C706&amp;"",INDEX(I$1:I705,SUMPRODUCT(MAX((A$1:A705=A706)*(B$1:B705=B706)*ROW(A$1:A705))))&amp;"; "&amp;C706))))</f>
        <v/>
      </c>
      <c r="J706" s="18" t="str">
        <f aca="false">IF(A706="","",A706&amp;"|"&amp;COUNTIF(A$2:A706,A706))</f>
        <v/>
      </c>
      <c r="K706" s="18" t="n">
        <f aca="false">IF(OR(A706="",B706=""),0,IF(COUNTIFS(A$2:A706,A706,B$2:B706,B706)=1,1,0))</f>
        <v>0</v>
      </c>
    </row>
    <row r="707" customFormat="false" ht="15" hidden="false" customHeight="false" outlineLevel="0" collapsed="false">
      <c r="A707" s="15"/>
      <c r="B707" s="15"/>
      <c r="C707" s="15"/>
      <c r="D707" s="15"/>
      <c r="F707" s="18" t="str">
        <f aca="false">IF(B707="","",IFERROR(INDEX(Materials!$B$2:$B$201,MATCH(B707,Materials!$A$2:$A$201,0)),""))</f>
        <v/>
      </c>
      <c r="G707" s="18" t="str">
        <f aca="true">IF(AND(A707="",B707=""),"",IF(A707="","Missing product",IF(B707="","Missing material",IF(COUNTIF(ProductList,A707)=0,"Product not in Products list",IF(COUNTIF(MaterialList,B707)=0,"Material not in Materials list","OK")))))</f>
        <v/>
      </c>
      <c r="H707" s="18" t="str">
        <f aca="false">IF(F707="Active",A707&amp;"|"&amp;COUNTIFS(A$2:A707,A707,F$2:F707,"Active"),"")</f>
        <v/>
      </c>
      <c r="I707" s="18" t="str">
        <f aca="false">IF(B707="","",IF(SUMPRODUCT(MAX((A$1:A706=A707)*(B$1:B706=B707)*ROW(A$1:A706)))=0,C707&amp;"",IF(C707="",INDEX(I$1:I706,SUMPRODUCT(MAX((A$1:A706=A707)*(B$1:B706=B707)*ROW(A$1:A706)))),IF(INDEX(I$1:I706,SUMPRODUCT(MAX((A$1:A706=A707)*(B$1:B706=B707)*ROW(A$1:A706))))="",C707&amp;"",INDEX(I$1:I706,SUMPRODUCT(MAX((A$1:A706=A707)*(B$1:B706=B707)*ROW(A$1:A706))))&amp;"; "&amp;C707))))</f>
        <v/>
      </c>
      <c r="J707" s="18" t="str">
        <f aca="false">IF(A707="","",A707&amp;"|"&amp;COUNTIF(A$2:A707,A707))</f>
        <v/>
      </c>
      <c r="K707" s="18" t="n">
        <f aca="false">IF(OR(A707="",B707=""),0,IF(COUNTIFS(A$2:A707,A707,B$2:B707,B707)=1,1,0))</f>
        <v>0</v>
      </c>
    </row>
    <row r="708" customFormat="false" ht="15" hidden="false" customHeight="false" outlineLevel="0" collapsed="false">
      <c r="A708" s="15"/>
      <c r="B708" s="15"/>
      <c r="C708" s="15"/>
      <c r="D708" s="15"/>
      <c r="F708" s="18" t="str">
        <f aca="false">IF(B708="","",IFERROR(INDEX(Materials!$B$2:$B$201,MATCH(B708,Materials!$A$2:$A$201,0)),""))</f>
        <v/>
      </c>
      <c r="G708" s="18" t="str">
        <f aca="true">IF(AND(A708="",B708=""),"",IF(A708="","Missing product",IF(B708="","Missing material",IF(COUNTIF(ProductList,A708)=0,"Product not in Products list",IF(COUNTIF(MaterialList,B708)=0,"Material not in Materials list","OK")))))</f>
        <v/>
      </c>
      <c r="H708" s="18" t="str">
        <f aca="false">IF(F708="Active",A708&amp;"|"&amp;COUNTIFS(A$2:A708,A708,F$2:F708,"Active"),"")</f>
        <v/>
      </c>
      <c r="I708" s="18" t="str">
        <f aca="false">IF(B708="","",IF(SUMPRODUCT(MAX((A$1:A707=A708)*(B$1:B707=B708)*ROW(A$1:A707)))=0,C708&amp;"",IF(C708="",INDEX(I$1:I707,SUMPRODUCT(MAX((A$1:A707=A708)*(B$1:B707=B708)*ROW(A$1:A707)))),IF(INDEX(I$1:I707,SUMPRODUCT(MAX((A$1:A707=A708)*(B$1:B707=B708)*ROW(A$1:A707))))="",C708&amp;"",INDEX(I$1:I707,SUMPRODUCT(MAX((A$1:A707=A708)*(B$1:B707=B708)*ROW(A$1:A707))))&amp;"; "&amp;C708))))</f>
        <v/>
      </c>
      <c r="J708" s="18" t="str">
        <f aca="false">IF(A708="","",A708&amp;"|"&amp;COUNTIF(A$2:A708,A708))</f>
        <v/>
      </c>
      <c r="K708" s="18" t="n">
        <f aca="false">IF(OR(A708="",B708=""),0,IF(COUNTIFS(A$2:A708,A708,B$2:B708,B708)=1,1,0))</f>
        <v>0</v>
      </c>
    </row>
    <row r="709" customFormat="false" ht="15" hidden="false" customHeight="false" outlineLevel="0" collapsed="false">
      <c r="A709" s="15"/>
      <c r="B709" s="15"/>
      <c r="C709" s="15"/>
      <c r="D709" s="15"/>
      <c r="F709" s="18" t="str">
        <f aca="false">IF(B709="","",IFERROR(INDEX(Materials!$B$2:$B$201,MATCH(B709,Materials!$A$2:$A$201,0)),""))</f>
        <v/>
      </c>
      <c r="G709" s="18" t="str">
        <f aca="true">IF(AND(A709="",B709=""),"",IF(A709="","Missing product",IF(B709="","Missing material",IF(COUNTIF(ProductList,A709)=0,"Product not in Products list",IF(COUNTIF(MaterialList,B709)=0,"Material not in Materials list","OK")))))</f>
        <v/>
      </c>
      <c r="H709" s="18" t="str">
        <f aca="false">IF(F709="Active",A709&amp;"|"&amp;COUNTIFS(A$2:A709,A709,F$2:F709,"Active"),"")</f>
        <v/>
      </c>
      <c r="I709" s="18" t="str">
        <f aca="false">IF(B709="","",IF(SUMPRODUCT(MAX((A$1:A708=A709)*(B$1:B708=B709)*ROW(A$1:A708)))=0,C709&amp;"",IF(C709="",INDEX(I$1:I708,SUMPRODUCT(MAX((A$1:A708=A709)*(B$1:B708=B709)*ROW(A$1:A708)))),IF(INDEX(I$1:I708,SUMPRODUCT(MAX((A$1:A708=A709)*(B$1:B708=B709)*ROW(A$1:A708))))="",C709&amp;"",INDEX(I$1:I708,SUMPRODUCT(MAX((A$1:A708=A709)*(B$1:B708=B709)*ROW(A$1:A708))))&amp;"; "&amp;C709))))</f>
        <v/>
      </c>
      <c r="J709" s="18" t="str">
        <f aca="false">IF(A709="","",A709&amp;"|"&amp;COUNTIF(A$2:A709,A709))</f>
        <v/>
      </c>
      <c r="K709" s="18" t="n">
        <f aca="false">IF(OR(A709="",B709=""),0,IF(COUNTIFS(A$2:A709,A709,B$2:B709,B709)=1,1,0))</f>
        <v>0</v>
      </c>
    </row>
    <row r="710" customFormat="false" ht="15" hidden="false" customHeight="false" outlineLevel="0" collapsed="false">
      <c r="A710" s="15"/>
      <c r="B710" s="15"/>
      <c r="C710" s="15"/>
      <c r="D710" s="15"/>
      <c r="F710" s="18" t="str">
        <f aca="false">IF(B710="","",IFERROR(INDEX(Materials!$B$2:$B$201,MATCH(B710,Materials!$A$2:$A$201,0)),""))</f>
        <v/>
      </c>
      <c r="G710" s="18" t="str">
        <f aca="true">IF(AND(A710="",B710=""),"",IF(A710="","Missing product",IF(B710="","Missing material",IF(COUNTIF(ProductList,A710)=0,"Product not in Products list",IF(COUNTIF(MaterialList,B710)=0,"Material not in Materials list","OK")))))</f>
        <v/>
      </c>
      <c r="H710" s="18" t="str">
        <f aca="false">IF(F710="Active",A710&amp;"|"&amp;COUNTIFS(A$2:A710,A710,F$2:F710,"Active"),"")</f>
        <v/>
      </c>
      <c r="I710" s="18" t="str">
        <f aca="false">IF(B710="","",IF(SUMPRODUCT(MAX((A$1:A709=A710)*(B$1:B709=B710)*ROW(A$1:A709)))=0,C710&amp;"",IF(C710="",INDEX(I$1:I709,SUMPRODUCT(MAX((A$1:A709=A710)*(B$1:B709=B710)*ROW(A$1:A709)))),IF(INDEX(I$1:I709,SUMPRODUCT(MAX((A$1:A709=A710)*(B$1:B709=B710)*ROW(A$1:A709))))="",C710&amp;"",INDEX(I$1:I709,SUMPRODUCT(MAX((A$1:A709=A710)*(B$1:B709=B710)*ROW(A$1:A709))))&amp;"; "&amp;C710))))</f>
        <v/>
      </c>
      <c r="J710" s="18" t="str">
        <f aca="false">IF(A710="","",A710&amp;"|"&amp;COUNTIF(A$2:A710,A710))</f>
        <v/>
      </c>
      <c r="K710" s="18" t="n">
        <f aca="false">IF(OR(A710="",B710=""),0,IF(COUNTIFS(A$2:A710,A710,B$2:B710,B710)=1,1,0))</f>
        <v>0</v>
      </c>
    </row>
    <row r="711" customFormat="false" ht="15" hidden="false" customHeight="false" outlineLevel="0" collapsed="false">
      <c r="A711" s="15"/>
      <c r="B711" s="15"/>
      <c r="C711" s="15"/>
      <c r="D711" s="15"/>
      <c r="F711" s="18" t="str">
        <f aca="false">IF(B711="","",IFERROR(INDEX(Materials!$B$2:$B$201,MATCH(B711,Materials!$A$2:$A$201,0)),""))</f>
        <v/>
      </c>
      <c r="G711" s="18" t="str">
        <f aca="true">IF(AND(A711="",B711=""),"",IF(A711="","Missing product",IF(B711="","Missing material",IF(COUNTIF(ProductList,A711)=0,"Product not in Products list",IF(COUNTIF(MaterialList,B711)=0,"Material not in Materials list","OK")))))</f>
        <v/>
      </c>
      <c r="H711" s="18" t="str">
        <f aca="false">IF(F711="Active",A711&amp;"|"&amp;COUNTIFS(A$2:A711,A711,F$2:F711,"Active"),"")</f>
        <v/>
      </c>
      <c r="I711" s="18" t="str">
        <f aca="false">IF(B711="","",IF(SUMPRODUCT(MAX((A$1:A710=A711)*(B$1:B710=B711)*ROW(A$1:A710)))=0,C711&amp;"",IF(C711="",INDEX(I$1:I710,SUMPRODUCT(MAX((A$1:A710=A711)*(B$1:B710=B711)*ROW(A$1:A710)))),IF(INDEX(I$1:I710,SUMPRODUCT(MAX((A$1:A710=A711)*(B$1:B710=B711)*ROW(A$1:A710))))="",C711&amp;"",INDEX(I$1:I710,SUMPRODUCT(MAX((A$1:A710=A711)*(B$1:B710=B711)*ROW(A$1:A710))))&amp;"; "&amp;C711))))</f>
        <v/>
      </c>
      <c r="J711" s="18" t="str">
        <f aca="false">IF(A711="","",A711&amp;"|"&amp;COUNTIF(A$2:A711,A711))</f>
        <v/>
      </c>
      <c r="K711" s="18" t="n">
        <f aca="false">IF(OR(A711="",B711=""),0,IF(COUNTIFS(A$2:A711,A711,B$2:B711,B711)=1,1,0))</f>
        <v>0</v>
      </c>
    </row>
    <row r="712" customFormat="false" ht="15" hidden="false" customHeight="false" outlineLevel="0" collapsed="false">
      <c r="A712" s="15"/>
      <c r="B712" s="15"/>
      <c r="C712" s="15"/>
      <c r="D712" s="15"/>
      <c r="F712" s="18" t="str">
        <f aca="false">IF(B712="","",IFERROR(INDEX(Materials!$B$2:$B$201,MATCH(B712,Materials!$A$2:$A$201,0)),""))</f>
        <v/>
      </c>
      <c r="G712" s="18" t="str">
        <f aca="true">IF(AND(A712="",B712=""),"",IF(A712="","Missing product",IF(B712="","Missing material",IF(COUNTIF(ProductList,A712)=0,"Product not in Products list",IF(COUNTIF(MaterialList,B712)=0,"Material not in Materials list","OK")))))</f>
        <v/>
      </c>
      <c r="H712" s="18" t="str">
        <f aca="false">IF(F712="Active",A712&amp;"|"&amp;COUNTIFS(A$2:A712,A712,F$2:F712,"Active"),"")</f>
        <v/>
      </c>
      <c r="I712" s="18" t="str">
        <f aca="false">IF(B712="","",IF(SUMPRODUCT(MAX((A$1:A711=A712)*(B$1:B711=B712)*ROW(A$1:A711)))=0,C712&amp;"",IF(C712="",INDEX(I$1:I711,SUMPRODUCT(MAX((A$1:A711=A712)*(B$1:B711=B712)*ROW(A$1:A711)))),IF(INDEX(I$1:I711,SUMPRODUCT(MAX((A$1:A711=A712)*(B$1:B711=B712)*ROW(A$1:A711))))="",C712&amp;"",INDEX(I$1:I711,SUMPRODUCT(MAX((A$1:A711=A712)*(B$1:B711=B712)*ROW(A$1:A711))))&amp;"; "&amp;C712))))</f>
        <v/>
      </c>
      <c r="J712" s="18" t="str">
        <f aca="false">IF(A712="","",A712&amp;"|"&amp;COUNTIF(A$2:A712,A712))</f>
        <v/>
      </c>
      <c r="K712" s="18" t="n">
        <f aca="false">IF(OR(A712="",B712=""),0,IF(COUNTIFS(A$2:A712,A712,B$2:B712,B712)=1,1,0))</f>
        <v>0</v>
      </c>
    </row>
    <row r="713" customFormat="false" ht="15" hidden="false" customHeight="false" outlineLevel="0" collapsed="false">
      <c r="A713" s="15"/>
      <c r="B713" s="15"/>
      <c r="C713" s="15"/>
      <c r="D713" s="15"/>
      <c r="F713" s="18" t="str">
        <f aca="false">IF(B713="","",IFERROR(INDEX(Materials!$B$2:$B$201,MATCH(B713,Materials!$A$2:$A$201,0)),""))</f>
        <v/>
      </c>
      <c r="G713" s="18" t="str">
        <f aca="true">IF(AND(A713="",B713=""),"",IF(A713="","Missing product",IF(B713="","Missing material",IF(COUNTIF(ProductList,A713)=0,"Product not in Products list",IF(COUNTIF(MaterialList,B713)=0,"Material not in Materials list","OK")))))</f>
        <v/>
      </c>
      <c r="H713" s="18" t="str">
        <f aca="false">IF(F713="Active",A713&amp;"|"&amp;COUNTIFS(A$2:A713,A713,F$2:F713,"Active"),"")</f>
        <v/>
      </c>
      <c r="I713" s="18" t="str">
        <f aca="false">IF(B713="","",IF(SUMPRODUCT(MAX((A$1:A712=A713)*(B$1:B712=B713)*ROW(A$1:A712)))=0,C713&amp;"",IF(C713="",INDEX(I$1:I712,SUMPRODUCT(MAX((A$1:A712=A713)*(B$1:B712=B713)*ROW(A$1:A712)))),IF(INDEX(I$1:I712,SUMPRODUCT(MAX((A$1:A712=A713)*(B$1:B712=B713)*ROW(A$1:A712))))="",C713&amp;"",INDEX(I$1:I712,SUMPRODUCT(MAX((A$1:A712=A713)*(B$1:B712=B713)*ROW(A$1:A712))))&amp;"; "&amp;C713))))</f>
        <v/>
      </c>
      <c r="J713" s="18" t="str">
        <f aca="false">IF(A713="","",A713&amp;"|"&amp;COUNTIF(A$2:A713,A713))</f>
        <v/>
      </c>
      <c r="K713" s="18" t="n">
        <f aca="false">IF(OR(A713="",B713=""),0,IF(COUNTIFS(A$2:A713,A713,B$2:B713,B713)=1,1,0))</f>
        <v>0</v>
      </c>
    </row>
    <row r="714" customFormat="false" ht="15" hidden="false" customHeight="false" outlineLevel="0" collapsed="false">
      <c r="A714" s="15"/>
      <c r="B714" s="15"/>
      <c r="C714" s="15"/>
      <c r="D714" s="15"/>
      <c r="F714" s="18" t="str">
        <f aca="false">IF(B714="","",IFERROR(INDEX(Materials!$B$2:$B$201,MATCH(B714,Materials!$A$2:$A$201,0)),""))</f>
        <v/>
      </c>
      <c r="G714" s="18" t="str">
        <f aca="true">IF(AND(A714="",B714=""),"",IF(A714="","Missing product",IF(B714="","Missing material",IF(COUNTIF(ProductList,A714)=0,"Product not in Products list",IF(COUNTIF(MaterialList,B714)=0,"Material not in Materials list","OK")))))</f>
        <v/>
      </c>
      <c r="H714" s="18" t="str">
        <f aca="false">IF(F714="Active",A714&amp;"|"&amp;COUNTIFS(A$2:A714,A714,F$2:F714,"Active"),"")</f>
        <v/>
      </c>
      <c r="I714" s="18" t="str">
        <f aca="false">IF(B714="","",IF(SUMPRODUCT(MAX((A$1:A713=A714)*(B$1:B713=B714)*ROW(A$1:A713)))=0,C714&amp;"",IF(C714="",INDEX(I$1:I713,SUMPRODUCT(MAX((A$1:A713=A714)*(B$1:B713=B714)*ROW(A$1:A713)))),IF(INDEX(I$1:I713,SUMPRODUCT(MAX((A$1:A713=A714)*(B$1:B713=B714)*ROW(A$1:A713))))="",C714&amp;"",INDEX(I$1:I713,SUMPRODUCT(MAX((A$1:A713=A714)*(B$1:B713=B714)*ROW(A$1:A713))))&amp;"; "&amp;C714))))</f>
        <v/>
      </c>
      <c r="J714" s="18" t="str">
        <f aca="false">IF(A714="","",A714&amp;"|"&amp;COUNTIF(A$2:A714,A714))</f>
        <v/>
      </c>
      <c r="K714" s="18" t="n">
        <f aca="false">IF(OR(A714="",B714=""),0,IF(COUNTIFS(A$2:A714,A714,B$2:B714,B714)=1,1,0))</f>
        <v>0</v>
      </c>
    </row>
    <row r="715" customFormat="false" ht="15" hidden="false" customHeight="false" outlineLevel="0" collapsed="false">
      <c r="A715" s="15"/>
      <c r="B715" s="15"/>
      <c r="C715" s="15"/>
      <c r="D715" s="15"/>
      <c r="F715" s="18" t="str">
        <f aca="false">IF(B715="","",IFERROR(INDEX(Materials!$B$2:$B$201,MATCH(B715,Materials!$A$2:$A$201,0)),""))</f>
        <v/>
      </c>
      <c r="G715" s="18" t="str">
        <f aca="true">IF(AND(A715="",B715=""),"",IF(A715="","Missing product",IF(B715="","Missing material",IF(COUNTIF(ProductList,A715)=0,"Product not in Products list",IF(COUNTIF(MaterialList,B715)=0,"Material not in Materials list","OK")))))</f>
        <v/>
      </c>
      <c r="H715" s="18" t="str">
        <f aca="false">IF(F715="Active",A715&amp;"|"&amp;COUNTIFS(A$2:A715,A715,F$2:F715,"Active"),"")</f>
        <v/>
      </c>
      <c r="I715" s="18" t="str">
        <f aca="false">IF(B715="","",IF(SUMPRODUCT(MAX((A$1:A714=A715)*(B$1:B714=B715)*ROW(A$1:A714)))=0,C715&amp;"",IF(C715="",INDEX(I$1:I714,SUMPRODUCT(MAX((A$1:A714=A715)*(B$1:B714=B715)*ROW(A$1:A714)))),IF(INDEX(I$1:I714,SUMPRODUCT(MAX((A$1:A714=A715)*(B$1:B714=B715)*ROW(A$1:A714))))="",C715&amp;"",INDEX(I$1:I714,SUMPRODUCT(MAX((A$1:A714=A715)*(B$1:B714=B715)*ROW(A$1:A714))))&amp;"; "&amp;C715))))</f>
        <v/>
      </c>
      <c r="J715" s="18" t="str">
        <f aca="false">IF(A715="","",A715&amp;"|"&amp;COUNTIF(A$2:A715,A715))</f>
        <v/>
      </c>
      <c r="K715" s="18" t="n">
        <f aca="false">IF(OR(A715="",B715=""),0,IF(COUNTIFS(A$2:A715,A715,B$2:B715,B715)=1,1,0))</f>
        <v>0</v>
      </c>
    </row>
    <row r="716" customFormat="false" ht="15" hidden="false" customHeight="false" outlineLevel="0" collapsed="false">
      <c r="A716" s="15"/>
      <c r="B716" s="15"/>
      <c r="C716" s="15"/>
      <c r="D716" s="15"/>
      <c r="F716" s="18" t="str">
        <f aca="false">IF(B716="","",IFERROR(INDEX(Materials!$B$2:$B$201,MATCH(B716,Materials!$A$2:$A$201,0)),""))</f>
        <v/>
      </c>
      <c r="G716" s="18" t="str">
        <f aca="true">IF(AND(A716="",B716=""),"",IF(A716="","Missing product",IF(B716="","Missing material",IF(COUNTIF(ProductList,A716)=0,"Product not in Products list",IF(COUNTIF(MaterialList,B716)=0,"Material not in Materials list","OK")))))</f>
        <v/>
      </c>
      <c r="H716" s="18" t="str">
        <f aca="false">IF(F716="Active",A716&amp;"|"&amp;COUNTIFS(A$2:A716,A716,F$2:F716,"Active"),"")</f>
        <v/>
      </c>
      <c r="I716" s="18" t="str">
        <f aca="false">IF(B716="","",IF(SUMPRODUCT(MAX((A$1:A715=A716)*(B$1:B715=B716)*ROW(A$1:A715)))=0,C716&amp;"",IF(C716="",INDEX(I$1:I715,SUMPRODUCT(MAX((A$1:A715=A716)*(B$1:B715=B716)*ROW(A$1:A715)))),IF(INDEX(I$1:I715,SUMPRODUCT(MAX((A$1:A715=A716)*(B$1:B715=B716)*ROW(A$1:A715))))="",C716&amp;"",INDEX(I$1:I715,SUMPRODUCT(MAX((A$1:A715=A716)*(B$1:B715=B716)*ROW(A$1:A715))))&amp;"; "&amp;C716))))</f>
        <v/>
      </c>
      <c r="J716" s="18" t="str">
        <f aca="false">IF(A716="","",A716&amp;"|"&amp;COUNTIF(A$2:A716,A716))</f>
        <v/>
      </c>
      <c r="K716" s="18" t="n">
        <f aca="false">IF(OR(A716="",B716=""),0,IF(COUNTIFS(A$2:A716,A716,B$2:B716,B716)=1,1,0))</f>
        <v>0</v>
      </c>
    </row>
    <row r="717" customFormat="false" ht="15" hidden="false" customHeight="false" outlineLevel="0" collapsed="false">
      <c r="A717" s="15"/>
      <c r="B717" s="15"/>
      <c r="C717" s="15"/>
      <c r="D717" s="15"/>
      <c r="F717" s="18" t="str">
        <f aca="false">IF(B717="","",IFERROR(INDEX(Materials!$B$2:$B$201,MATCH(B717,Materials!$A$2:$A$201,0)),""))</f>
        <v/>
      </c>
      <c r="G717" s="18" t="str">
        <f aca="true">IF(AND(A717="",B717=""),"",IF(A717="","Missing product",IF(B717="","Missing material",IF(COUNTIF(ProductList,A717)=0,"Product not in Products list",IF(COUNTIF(MaterialList,B717)=0,"Material not in Materials list","OK")))))</f>
        <v/>
      </c>
      <c r="H717" s="18" t="str">
        <f aca="false">IF(F717="Active",A717&amp;"|"&amp;COUNTIFS(A$2:A717,A717,F$2:F717,"Active"),"")</f>
        <v/>
      </c>
      <c r="I717" s="18" t="str">
        <f aca="false">IF(B717="","",IF(SUMPRODUCT(MAX((A$1:A716=A717)*(B$1:B716=B717)*ROW(A$1:A716)))=0,C717&amp;"",IF(C717="",INDEX(I$1:I716,SUMPRODUCT(MAX((A$1:A716=A717)*(B$1:B716=B717)*ROW(A$1:A716)))),IF(INDEX(I$1:I716,SUMPRODUCT(MAX((A$1:A716=A717)*(B$1:B716=B717)*ROW(A$1:A716))))="",C717&amp;"",INDEX(I$1:I716,SUMPRODUCT(MAX((A$1:A716=A717)*(B$1:B716=B717)*ROW(A$1:A716))))&amp;"; "&amp;C717))))</f>
        <v/>
      </c>
      <c r="J717" s="18" t="str">
        <f aca="false">IF(A717="","",A717&amp;"|"&amp;COUNTIF(A$2:A717,A717))</f>
        <v/>
      </c>
      <c r="K717" s="18" t="n">
        <f aca="false">IF(OR(A717="",B717=""),0,IF(COUNTIFS(A$2:A717,A717,B$2:B717,B717)=1,1,0))</f>
        <v>0</v>
      </c>
    </row>
    <row r="718" customFormat="false" ht="15" hidden="false" customHeight="false" outlineLevel="0" collapsed="false">
      <c r="A718" s="15"/>
      <c r="B718" s="15"/>
      <c r="C718" s="15"/>
      <c r="D718" s="15"/>
      <c r="F718" s="18" t="str">
        <f aca="false">IF(B718="","",IFERROR(INDEX(Materials!$B$2:$B$201,MATCH(B718,Materials!$A$2:$A$201,0)),""))</f>
        <v/>
      </c>
      <c r="G718" s="18" t="str">
        <f aca="true">IF(AND(A718="",B718=""),"",IF(A718="","Missing product",IF(B718="","Missing material",IF(COUNTIF(ProductList,A718)=0,"Product not in Products list",IF(COUNTIF(MaterialList,B718)=0,"Material not in Materials list","OK")))))</f>
        <v/>
      </c>
      <c r="H718" s="18" t="str">
        <f aca="false">IF(F718="Active",A718&amp;"|"&amp;COUNTIFS(A$2:A718,A718,F$2:F718,"Active"),"")</f>
        <v/>
      </c>
      <c r="I718" s="18" t="str">
        <f aca="false">IF(B718="","",IF(SUMPRODUCT(MAX((A$1:A717=A718)*(B$1:B717=B718)*ROW(A$1:A717)))=0,C718&amp;"",IF(C718="",INDEX(I$1:I717,SUMPRODUCT(MAX((A$1:A717=A718)*(B$1:B717=B718)*ROW(A$1:A717)))),IF(INDEX(I$1:I717,SUMPRODUCT(MAX((A$1:A717=A718)*(B$1:B717=B718)*ROW(A$1:A717))))="",C718&amp;"",INDEX(I$1:I717,SUMPRODUCT(MAX((A$1:A717=A718)*(B$1:B717=B718)*ROW(A$1:A717))))&amp;"; "&amp;C718))))</f>
        <v/>
      </c>
      <c r="J718" s="18" t="str">
        <f aca="false">IF(A718="","",A718&amp;"|"&amp;COUNTIF(A$2:A718,A718))</f>
        <v/>
      </c>
      <c r="K718" s="18" t="n">
        <f aca="false">IF(OR(A718="",B718=""),0,IF(COUNTIFS(A$2:A718,A718,B$2:B718,B718)=1,1,0))</f>
        <v>0</v>
      </c>
    </row>
    <row r="719" customFormat="false" ht="15" hidden="false" customHeight="false" outlineLevel="0" collapsed="false">
      <c r="A719" s="15"/>
      <c r="B719" s="15"/>
      <c r="C719" s="15"/>
      <c r="D719" s="15"/>
      <c r="F719" s="18" t="str">
        <f aca="false">IF(B719="","",IFERROR(INDEX(Materials!$B$2:$B$201,MATCH(B719,Materials!$A$2:$A$201,0)),""))</f>
        <v/>
      </c>
      <c r="G719" s="18" t="str">
        <f aca="true">IF(AND(A719="",B719=""),"",IF(A719="","Missing product",IF(B719="","Missing material",IF(COUNTIF(ProductList,A719)=0,"Product not in Products list",IF(COUNTIF(MaterialList,B719)=0,"Material not in Materials list","OK")))))</f>
        <v/>
      </c>
      <c r="H719" s="18" t="str">
        <f aca="false">IF(F719="Active",A719&amp;"|"&amp;COUNTIFS(A$2:A719,A719,F$2:F719,"Active"),"")</f>
        <v/>
      </c>
      <c r="I719" s="18" t="str">
        <f aca="false">IF(B719="","",IF(SUMPRODUCT(MAX((A$1:A718=A719)*(B$1:B718=B719)*ROW(A$1:A718)))=0,C719&amp;"",IF(C719="",INDEX(I$1:I718,SUMPRODUCT(MAX((A$1:A718=A719)*(B$1:B718=B719)*ROW(A$1:A718)))),IF(INDEX(I$1:I718,SUMPRODUCT(MAX((A$1:A718=A719)*(B$1:B718=B719)*ROW(A$1:A718))))="",C719&amp;"",INDEX(I$1:I718,SUMPRODUCT(MAX((A$1:A718=A719)*(B$1:B718=B719)*ROW(A$1:A718))))&amp;"; "&amp;C719))))</f>
        <v/>
      </c>
      <c r="J719" s="18" t="str">
        <f aca="false">IF(A719="","",A719&amp;"|"&amp;COUNTIF(A$2:A719,A719))</f>
        <v/>
      </c>
      <c r="K719" s="18" t="n">
        <f aca="false">IF(OR(A719="",B719=""),0,IF(COUNTIFS(A$2:A719,A719,B$2:B719,B719)=1,1,0))</f>
        <v>0</v>
      </c>
    </row>
    <row r="720" customFormat="false" ht="15" hidden="false" customHeight="false" outlineLevel="0" collapsed="false">
      <c r="A720" s="15"/>
      <c r="B720" s="15"/>
      <c r="C720" s="15"/>
      <c r="D720" s="15"/>
      <c r="F720" s="18" t="str">
        <f aca="false">IF(B720="","",IFERROR(INDEX(Materials!$B$2:$B$201,MATCH(B720,Materials!$A$2:$A$201,0)),""))</f>
        <v/>
      </c>
      <c r="G720" s="18" t="str">
        <f aca="true">IF(AND(A720="",B720=""),"",IF(A720="","Missing product",IF(B720="","Missing material",IF(COUNTIF(ProductList,A720)=0,"Product not in Products list",IF(COUNTIF(MaterialList,B720)=0,"Material not in Materials list","OK")))))</f>
        <v/>
      </c>
      <c r="H720" s="18" t="str">
        <f aca="false">IF(F720="Active",A720&amp;"|"&amp;COUNTIFS(A$2:A720,A720,F$2:F720,"Active"),"")</f>
        <v/>
      </c>
      <c r="I720" s="18" t="str">
        <f aca="false">IF(B720="","",IF(SUMPRODUCT(MAX((A$1:A719=A720)*(B$1:B719=B720)*ROW(A$1:A719)))=0,C720&amp;"",IF(C720="",INDEX(I$1:I719,SUMPRODUCT(MAX((A$1:A719=A720)*(B$1:B719=B720)*ROW(A$1:A719)))),IF(INDEX(I$1:I719,SUMPRODUCT(MAX((A$1:A719=A720)*(B$1:B719=B720)*ROW(A$1:A719))))="",C720&amp;"",INDEX(I$1:I719,SUMPRODUCT(MAX((A$1:A719=A720)*(B$1:B719=B720)*ROW(A$1:A719))))&amp;"; "&amp;C720))))</f>
        <v/>
      </c>
      <c r="J720" s="18" t="str">
        <f aca="false">IF(A720="","",A720&amp;"|"&amp;COUNTIF(A$2:A720,A720))</f>
        <v/>
      </c>
      <c r="K720" s="18" t="n">
        <f aca="false">IF(OR(A720="",B720=""),0,IF(COUNTIFS(A$2:A720,A720,B$2:B720,B720)=1,1,0))</f>
        <v>0</v>
      </c>
    </row>
    <row r="721" customFormat="false" ht="15" hidden="false" customHeight="false" outlineLevel="0" collapsed="false">
      <c r="A721" s="15"/>
      <c r="B721" s="15"/>
      <c r="C721" s="15"/>
      <c r="D721" s="15"/>
      <c r="F721" s="18" t="str">
        <f aca="false">IF(B721="","",IFERROR(INDEX(Materials!$B$2:$B$201,MATCH(B721,Materials!$A$2:$A$201,0)),""))</f>
        <v/>
      </c>
      <c r="G721" s="18" t="str">
        <f aca="true">IF(AND(A721="",B721=""),"",IF(A721="","Missing product",IF(B721="","Missing material",IF(COUNTIF(ProductList,A721)=0,"Product not in Products list",IF(COUNTIF(MaterialList,B721)=0,"Material not in Materials list","OK")))))</f>
        <v/>
      </c>
      <c r="H721" s="18" t="str">
        <f aca="false">IF(F721="Active",A721&amp;"|"&amp;COUNTIFS(A$2:A721,A721,F$2:F721,"Active"),"")</f>
        <v/>
      </c>
      <c r="I721" s="18" t="str">
        <f aca="false">IF(B721="","",IF(SUMPRODUCT(MAX((A$1:A720=A721)*(B$1:B720=B721)*ROW(A$1:A720)))=0,C721&amp;"",IF(C721="",INDEX(I$1:I720,SUMPRODUCT(MAX((A$1:A720=A721)*(B$1:B720=B721)*ROW(A$1:A720)))),IF(INDEX(I$1:I720,SUMPRODUCT(MAX((A$1:A720=A721)*(B$1:B720=B721)*ROW(A$1:A720))))="",C721&amp;"",INDEX(I$1:I720,SUMPRODUCT(MAX((A$1:A720=A721)*(B$1:B720=B721)*ROW(A$1:A720))))&amp;"; "&amp;C721))))</f>
        <v/>
      </c>
      <c r="J721" s="18" t="str">
        <f aca="false">IF(A721="","",A721&amp;"|"&amp;COUNTIF(A$2:A721,A721))</f>
        <v/>
      </c>
      <c r="K721" s="18" t="n">
        <f aca="false">IF(OR(A721="",B721=""),0,IF(COUNTIFS(A$2:A721,A721,B$2:B721,B721)=1,1,0))</f>
        <v>0</v>
      </c>
    </row>
    <row r="722" customFormat="false" ht="15" hidden="false" customHeight="false" outlineLevel="0" collapsed="false">
      <c r="A722" s="15"/>
      <c r="B722" s="15"/>
      <c r="C722" s="15"/>
      <c r="D722" s="15"/>
      <c r="F722" s="18" t="str">
        <f aca="false">IF(B722="","",IFERROR(INDEX(Materials!$B$2:$B$201,MATCH(B722,Materials!$A$2:$A$201,0)),""))</f>
        <v/>
      </c>
      <c r="G722" s="18" t="str">
        <f aca="true">IF(AND(A722="",B722=""),"",IF(A722="","Missing product",IF(B722="","Missing material",IF(COUNTIF(ProductList,A722)=0,"Product not in Products list",IF(COUNTIF(MaterialList,B722)=0,"Material not in Materials list","OK")))))</f>
        <v/>
      </c>
      <c r="H722" s="18" t="str">
        <f aca="false">IF(F722="Active",A722&amp;"|"&amp;COUNTIFS(A$2:A722,A722,F$2:F722,"Active"),"")</f>
        <v/>
      </c>
      <c r="I722" s="18" t="str">
        <f aca="false">IF(B722="","",IF(SUMPRODUCT(MAX((A$1:A721=A722)*(B$1:B721=B722)*ROW(A$1:A721)))=0,C722&amp;"",IF(C722="",INDEX(I$1:I721,SUMPRODUCT(MAX((A$1:A721=A722)*(B$1:B721=B722)*ROW(A$1:A721)))),IF(INDEX(I$1:I721,SUMPRODUCT(MAX((A$1:A721=A722)*(B$1:B721=B722)*ROW(A$1:A721))))="",C722&amp;"",INDEX(I$1:I721,SUMPRODUCT(MAX((A$1:A721=A722)*(B$1:B721=B722)*ROW(A$1:A721))))&amp;"; "&amp;C722))))</f>
        <v/>
      </c>
      <c r="J722" s="18" t="str">
        <f aca="false">IF(A722="","",A722&amp;"|"&amp;COUNTIF(A$2:A722,A722))</f>
        <v/>
      </c>
      <c r="K722" s="18" t="n">
        <f aca="false">IF(OR(A722="",B722=""),0,IF(COUNTIFS(A$2:A722,A722,B$2:B722,B722)=1,1,0))</f>
        <v>0</v>
      </c>
    </row>
    <row r="723" customFormat="false" ht="15" hidden="false" customHeight="false" outlineLevel="0" collapsed="false">
      <c r="A723" s="15"/>
      <c r="B723" s="15"/>
      <c r="C723" s="15"/>
      <c r="D723" s="15"/>
      <c r="F723" s="18" t="str">
        <f aca="false">IF(B723="","",IFERROR(INDEX(Materials!$B$2:$B$201,MATCH(B723,Materials!$A$2:$A$201,0)),""))</f>
        <v/>
      </c>
      <c r="G723" s="18" t="str">
        <f aca="true">IF(AND(A723="",B723=""),"",IF(A723="","Missing product",IF(B723="","Missing material",IF(COUNTIF(ProductList,A723)=0,"Product not in Products list",IF(COUNTIF(MaterialList,B723)=0,"Material not in Materials list","OK")))))</f>
        <v/>
      </c>
      <c r="H723" s="18" t="str">
        <f aca="false">IF(F723="Active",A723&amp;"|"&amp;COUNTIFS(A$2:A723,A723,F$2:F723,"Active"),"")</f>
        <v/>
      </c>
      <c r="I723" s="18" t="str">
        <f aca="false">IF(B723="","",IF(SUMPRODUCT(MAX((A$1:A722=A723)*(B$1:B722=B723)*ROW(A$1:A722)))=0,C723&amp;"",IF(C723="",INDEX(I$1:I722,SUMPRODUCT(MAX((A$1:A722=A723)*(B$1:B722=B723)*ROW(A$1:A722)))),IF(INDEX(I$1:I722,SUMPRODUCT(MAX((A$1:A722=A723)*(B$1:B722=B723)*ROW(A$1:A722))))="",C723&amp;"",INDEX(I$1:I722,SUMPRODUCT(MAX((A$1:A722=A723)*(B$1:B722=B723)*ROW(A$1:A722))))&amp;"; "&amp;C723))))</f>
        <v/>
      </c>
      <c r="J723" s="18" t="str">
        <f aca="false">IF(A723="","",A723&amp;"|"&amp;COUNTIF(A$2:A723,A723))</f>
        <v/>
      </c>
      <c r="K723" s="18" t="n">
        <f aca="false">IF(OR(A723="",B723=""),0,IF(COUNTIFS(A$2:A723,A723,B$2:B723,B723)=1,1,0))</f>
        <v>0</v>
      </c>
    </row>
    <row r="724" customFormat="false" ht="15" hidden="false" customHeight="false" outlineLevel="0" collapsed="false">
      <c r="A724" s="15"/>
      <c r="B724" s="15"/>
      <c r="C724" s="15"/>
      <c r="D724" s="15"/>
      <c r="F724" s="18" t="str">
        <f aca="false">IF(B724="","",IFERROR(INDEX(Materials!$B$2:$B$201,MATCH(B724,Materials!$A$2:$A$201,0)),""))</f>
        <v/>
      </c>
      <c r="G724" s="18" t="str">
        <f aca="true">IF(AND(A724="",B724=""),"",IF(A724="","Missing product",IF(B724="","Missing material",IF(COUNTIF(ProductList,A724)=0,"Product not in Products list",IF(COUNTIF(MaterialList,B724)=0,"Material not in Materials list","OK")))))</f>
        <v/>
      </c>
      <c r="H724" s="18" t="str">
        <f aca="false">IF(F724="Active",A724&amp;"|"&amp;COUNTIFS(A$2:A724,A724,F$2:F724,"Active"),"")</f>
        <v/>
      </c>
      <c r="I724" s="18" t="str">
        <f aca="false">IF(B724="","",IF(SUMPRODUCT(MAX((A$1:A723=A724)*(B$1:B723=B724)*ROW(A$1:A723)))=0,C724&amp;"",IF(C724="",INDEX(I$1:I723,SUMPRODUCT(MAX((A$1:A723=A724)*(B$1:B723=B724)*ROW(A$1:A723)))),IF(INDEX(I$1:I723,SUMPRODUCT(MAX((A$1:A723=A724)*(B$1:B723=B724)*ROW(A$1:A723))))="",C724&amp;"",INDEX(I$1:I723,SUMPRODUCT(MAX((A$1:A723=A724)*(B$1:B723=B724)*ROW(A$1:A723))))&amp;"; "&amp;C724))))</f>
        <v/>
      </c>
      <c r="J724" s="18" t="str">
        <f aca="false">IF(A724="","",A724&amp;"|"&amp;COUNTIF(A$2:A724,A724))</f>
        <v/>
      </c>
      <c r="K724" s="18" t="n">
        <f aca="false">IF(OR(A724="",B724=""),0,IF(COUNTIFS(A$2:A724,A724,B$2:B724,B724)=1,1,0))</f>
        <v>0</v>
      </c>
    </row>
    <row r="725" customFormat="false" ht="15" hidden="false" customHeight="false" outlineLevel="0" collapsed="false">
      <c r="A725" s="15"/>
      <c r="B725" s="15"/>
      <c r="C725" s="15"/>
      <c r="D725" s="15"/>
      <c r="F725" s="18" t="str">
        <f aca="false">IF(B725="","",IFERROR(INDEX(Materials!$B$2:$B$201,MATCH(B725,Materials!$A$2:$A$201,0)),""))</f>
        <v/>
      </c>
      <c r="G725" s="18" t="str">
        <f aca="true">IF(AND(A725="",B725=""),"",IF(A725="","Missing product",IF(B725="","Missing material",IF(COUNTIF(ProductList,A725)=0,"Product not in Products list",IF(COUNTIF(MaterialList,B725)=0,"Material not in Materials list","OK")))))</f>
        <v/>
      </c>
      <c r="H725" s="18" t="str">
        <f aca="false">IF(F725="Active",A725&amp;"|"&amp;COUNTIFS(A$2:A725,A725,F$2:F725,"Active"),"")</f>
        <v/>
      </c>
      <c r="I725" s="18" t="str">
        <f aca="false">IF(B725="","",IF(SUMPRODUCT(MAX((A$1:A724=A725)*(B$1:B724=B725)*ROW(A$1:A724)))=0,C725&amp;"",IF(C725="",INDEX(I$1:I724,SUMPRODUCT(MAX((A$1:A724=A725)*(B$1:B724=B725)*ROW(A$1:A724)))),IF(INDEX(I$1:I724,SUMPRODUCT(MAX((A$1:A724=A725)*(B$1:B724=B725)*ROW(A$1:A724))))="",C725&amp;"",INDEX(I$1:I724,SUMPRODUCT(MAX((A$1:A724=A725)*(B$1:B724=B725)*ROW(A$1:A724))))&amp;"; "&amp;C725))))</f>
        <v/>
      </c>
      <c r="J725" s="18" t="str">
        <f aca="false">IF(A725="","",A725&amp;"|"&amp;COUNTIF(A$2:A725,A725))</f>
        <v/>
      </c>
      <c r="K725" s="18" t="n">
        <f aca="false">IF(OR(A725="",B725=""),0,IF(COUNTIFS(A$2:A725,A725,B$2:B725,B725)=1,1,0))</f>
        <v>0</v>
      </c>
    </row>
    <row r="726" customFormat="false" ht="15" hidden="false" customHeight="false" outlineLevel="0" collapsed="false">
      <c r="A726" s="15"/>
      <c r="B726" s="15"/>
      <c r="C726" s="15"/>
      <c r="D726" s="15"/>
      <c r="F726" s="18" t="str">
        <f aca="false">IF(B726="","",IFERROR(INDEX(Materials!$B$2:$B$201,MATCH(B726,Materials!$A$2:$A$201,0)),""))</f>
        <v/>
      </c>
      <c r="G726" s="18" t="str">
        <f aca="true">IF(AND(A726="",B726=""),"",IF(A726="","Missing product",IF(B726="","Missing material",IF(COUNTIF(ProductList,A726)=0,"Product not in Products list",IF(COUNTIF(MaterialList,B726)=0,"Material not in Materials list","OK")))))</f>
        <v/>
      </c>
      <c r="H726" s="18" t="str">
        <f aca="false">IF(F726="Active",A726&amp;"|"&amp;COUNTIFS(A$2:A726,A726,F$2:F726,"Active"),"")</f>
        <v/>
      </c>
      <c r="I726" s="18" t="str">
        <f aca="false">IF(B726="","",IF(SUMPRODUCT(MAX((A$1:A725=A726)*(B$1:B725=B726)*ROW(A$1:A725)))=0,C726&amp;"",IF(C726="",INDEX(I$1:I725,SUMPRODUCT(MAX((A$1:A725=A726)*(B$1:B725=B726)*ROW(A$1:A725)))),IF(INDEX(I$1:I725,SUMPRODUCT(MAX((A$1:A725=A726)*(B$1:B725=B726)*ROW(A$1:A725))))="",C726&amp;"",INDEX(I$1:I725,SUMPRODUCT(MAX((A$1:A725=A726)*(B$1:B725=B726)*ROW(A$1:A725))))&amp;"; "&amp;C726))))</f>
        <v/>
      </c>
      <c r="J726" s="18" t="str">
        <f aca="false">IF(A726="","",A726&amp;"|"&amp;COUNTIF(A$2:A726,A726))</f>
        <v/>
      </c>
      <c r="K726" s="18" t="n">
        <f aca="false">IF(OR(A726="",B726=""),0,IF(COUNTIFS(A$2:A726,A726,B$2:B726,B726)=1,1,0))</f>
        <v>0</v>
      </c>
    </row>
    <row r="727" customFormat="false" ht="15" hidden="false" customHeight="false" outlineLevel="0" collapsed="false">
      <c r="A727" s="15"/>
      <c r="B727" s="15"/>
      <c r="C727" s="15"/>
      <c r="D727" s="15"/>
      <c r="F727" s="18" t="str">
        <f aca="false">IF(B727="","",IFERROR(INDEX(Materials!$B$2:$B$201,MATCH(B727,Materials!$A$2:$A$201,0)),""))</f>
        <v/>
      </c>
      <c r="G727" s="18" t="str">
        <f aca="true">IF(AND(A727="",B727=""),"",IF(A727="","Missing product",IF(B727="","Missing material",IF(COUNTIF(ProductList,A727)=0,"Product not in Products list",IF(COUNTIF(MaterialList,B727)=0,"Material not in Materials list","OK")))))</f>
        <v/>
      </c>
      <c r="H727" s="18" t="str">
        <f aca="false">IF(F727="Active",A727&amp;"|"&amp;COUNTIFS(A$2:A727,A727,F$2:F727,"Active"),"")</f>
        <v/>
      </c>
      <c r="I727" s="18" t="str">
        <f aca="false">IF(B727="","",IF(SUMPRODUCT(MAX((A$1:A726=A727)*(B$1:B726=B727)*ROW(A$1:A726)))=0,C727&amp;"",IF(C727="",INDEX(I$1:I726,SUMPRODUCT(MAX((A$1:A726=A727)*(B$1:B726=B727)*ROW(A$1:A726)))),IF(INDEX(I$1:I726,SUMPRODUCT(MAX((A$1:A726=A727)*(B$1:B726=B727)*ROW(A$1:A726))))="",C727&amp;"",INDEX(I$1:I726,SUMPRODUCT(MAX((A$1:A726=A727)*(B$1:B726=B727)*ROW(A$1:A726))))&amp;"; "&amp;C727))))</f>
        <v/>
      </c>
      <c r="J727" s="18" t="str">
        <f aca="false">IF(A727="","",A727&amp;"|"&amp;COUNTIF(A$2:A727,A727))</f>
        <v/>
      </c>
      <c r="K727" s="18" t="n">
        <f aca="false">IF(OR(A727="",B727=""),0,IF(COUNTIFS(A$2:A727,A727,B$2:B727,B727)=1,1,0))</f>
        <v>0</v>
      </c>
    </row>
    <row r="728" customFormat="false" ht="15" hidden="false" customHeight="false" outlineLevel="0" collapsed="false">
      <c r="A728" s="15"/>
      <c r="B728" s="15"/>
      <c r="C728" s="15"/>
      <c r="D728" s="15"/>
      <c r="F728" s="18" t="str">
        <f aca="false">IF(B728="","",IFERROR(INDEX(Materials!$B$2:$B$201,MATCH(B728,Materials!$A$2:$A$201,0)),""))</f>
        <v/>
      </c>
      <c r="G728" s="18" t="str">
        <f aca="true">IF(AND(A728="",B728=""),"",IF(A728="","Missing product",IF(B728="","Missing material",IF(COUNTIF(ProductList,A728)=0,"Product not in Products list",IF(COUNTIF(MaterialList,B728)=0,"Material not in Materials list","OK")))))</f>
        <v/>
      </c>
      <c r="H728" s="18" t="str">
        <f aca="false">IF(F728="Active",A728&amp;"|"&amp;COUNTIFS(A$2:A728,A728,F$2:F728,"Active"),"")</f>
        <v/>
      </c>
      <c r="I728" s="18" t="str">
        <f aca="false">IF(B728="","",IF(SUMPRODUCT(MAX((A$1:A727=A728)*(B$1:B727=B728)*ROW(A$1:A727)))=0,C728&amp;"",IF(C728="",INDEX(I$1:I727,SUMPRODUCT(MAX((A$1:A727=A728)*(B$1:B727=B728)*ROW(A$1:A727)))),IF(INDEX(I$1:I727,SUMPRODUCT(MAX((A$1:A727=A728)*(B$1:B727=B728)*ROW(A$1:A727))))="",C728&amp;"",INDEX(I$1:I727,SUMPRODUCT(MAX((A$1:A727=A728)*(B$1:B727=B728)*ROW(A$1:A727))))&amp;"; "&amp;C728))))</f>
        <v/>
      </c>
      <c r="J728" s="18" t="str">
        <f aca="false">IF(A728="","",A728&amp;"|"&amp;COUNTIF(A$2:A728,A728))</f>
        <v/>
      </c>
      <c r="K728" s="18" t="n">
        <f aca="false">IF(OR(A728="",B728=""),0,IF(COUNTIFS(A$2:A728,A728,B$2:B728,B728)=1,1,0))</f>
        <v>0</v>
      </c>
    </row>
    <row r="729" customFormat="false" ht="15" hidden="false" customHeight="false" outlineLevel="0" collapsed="false">
      <c r="A729" s="15"/>
      <c r="B729" s="15"/>
      <c r="C729" s="15"/>
      <c r="D729" s="15"/>
      <c r="F729" s="18" t="str">
        <f aca="false">IF(B729="","",IFERROR(INDEX(Materials!$B$2:$B$201,MATCH(B729,Materials!$A$2:$A$201,0)),""))</f>
        <v/>
      </c>
      <c r="G729" s="18" t="str">
        <f aca="true">IF(AND(A729="",B729=""),"",IF(A729="","Missing product",IF(B729="","Missing material",IF(COUNTIF(ProductList,A729)=0,"Product not in Products list",IF(COUNTIF(MaterialList,B729)=0,"Material not in Materials list","OK")))))</f>
        <v/>
      </c>
      <c r="H729" s="18" t="str">
        <f aca="false">IF(F729="Active",A729&amp;"|"&amp;COUNTIFS(A$2:A729,A729,F$2:F729,"Active"),"")</f>
        <v/>
      </c>
      <c r="I729" s="18" t="str">
        <f aca="false">IF(B729="","",IF(SUMPRODUCT(MAX((A$1:A728=A729)*(B$1:B728=B729)*ROW(A$1:A728)))=0,C729&amp;"",IF(C729="",INDEX(I$1:I728,SUMPRODUCT(MAX((A$1:A728=A729)*(B$1:B728=B729)*ROW(A$1:A728)))),IF(INDEX(I$1:I728,SUMPRODUCT(MAX((A$1:A728=A729)*(B$1:B728=B729)*ROW(A$1:A728))))="",C729&amp;"",INDEX(I$1:I728,SUMPRODUCT(MAX((A$1:A728=A729)*(B$1:B728=B729)*ROW(A$1:A728))))&amp;"; "&amp;C729))))</f>
        <v/>
      </c>
      <c r="J729" s="18" t="str">
        <f aca="false">IF(A729="","",A729&amp;"|"&amp;COUNTIF(A$2:A729,A729))</f>
        <v/>
      </c>
      <c r="K729" s="18" t="n">
        <f aca="false">IF(OR(A729="",B729=""),0,IF(COUNTIFS(A$2:A729,A729,B$2:B729,B729)=1,1,0))</f>
        <v>0</v>
      </c>
    </row>
    <row r="730" customFormat="false" ht="15" hidden="false" customHeight="false" outlineLevel="0" collapsed="false">
      <c r="A730" s="15"/>
      <c r="B730" s="15"/>
      <c r="C730" s="15"/>
      <c r="D730" s="15"/>
      <c r="F730" s="18" t="str">
        <f aca="false">IF(B730="","",IFERROR(INDEX(Materials!$B$2:$B$201,MATCH(B730,Materials!$A$2:$A$201,0)),""))</f>
        <v/>
      </c>
      <c r="G730" s="18" t="str">
        <f aca="true">IF(AND(A730="",B730=""),"",IF(A730="","Missing product",IF(B730="","Missing material",IF(COUNTIF(ProductList,A730)=0,"Product not in Products list",IF(COUNTIF(MaterialList,B730)=0,"Material not in Materials list","OK")))))</f>
        <v/>
      </c>
      <c r="H730" s="18" t="str">
        <f aca="false">IF(F730="Active",A730&amp;"|"&amp;COUNTIFS(A$2:A730,A730,F$2:F730,"Active"),"")</f>
        <v/>
      </c>
      <c r="I730" s="18" t="str">
        <f aca="false">IF(B730="","",IF(SUMPRODUCT(MAX((A$1:A729=A730)*(B$1:B729=B730)*ROW(A$1:A729)))=0,C730&amp;"",IF(C730="",INDEX(I$1:I729,SUMPRODUCT(MAX((A$1:A729=A730)*(B$1:B729=B730)*ROW(A$1:A729)))),IF(INDEX(I$1:I729,SUMPRODUCT(MAX((A$1:A729=A730)*(B$1:B729=B730)*ROW(A$1:A729))))="",C730&amp;"",INDEX(I$1:I729,SUMPRODUCT(MAX((A$1:A729=A730)*(B$1:B729=B730)*ROW(A$1:A729))))&amp;"; "&amp;C730))))</f>
        <v/>
      </c>
      <c r="J730" s="18" t="str">
        <f aca="false">IF(A730="","",A730&amp;"|"&amp;COUNTIF(A$2:A730,A730))</f>
        <v/>
      </c>
      <c r="K730" s="18" t="n">
        <f aca="false">IF(OR(A730="",B730=""),0,IF(COUNTIFS(A$2:A730,A730,B$2:B730,B730)=1,1,0))</f>
        <v>0</v>
      </c>
    </row>
    <row r="731" customFormat="false" ht="15" hidden="false" customHeight="false" outlineLevel="0" collapsed="false">
      <c r="A731" s="15"/>
      <c r="B731" s="15"/>
      <c r="C731" s="15"/>
      <c r="D731" s="15"/>
      <c r="F731" s="18" t="str">
        <f aca="false">IF(B731="","",IFERROR(INDEX(Materials!$B$2:$B$201,MATCH(B731,Materials!$A$2:$A$201,0)),""))</f>
        <v/>
      </c>
      <c r="G731" s="18" t="str">
        <f aca="true">IF(AND(A731="",B731=""),"",IF(A731="","Missing product",IF(B731="","Missing material",IF(COUNTIF(ProductList,A731)=0,"Product not in Products list",IF(COUNTIF(MaterialList,B731)=0,"Material not in Materials list","OK")))))</f>
        <v/>
      </c>
      <c r="H731" s="18" t="str">
        <f aca="false">IF(F731="Active",A731&amp;"|"&amp;COUNTIFS(A$2:A731,A731,F$2:F731,"Active"),"")</f>
        <v/>
      </c>
      <c r="I731" s="18" t="str">
        <f aca="false">IF(B731="","",IF(SUMPRODUCT(MAX((A$1:A730=A731)*(B$1:B730=B731)*ROW(A$1:A730)))=0,C731&amp;"",IF(C731="",INDEX(I$1:I730,SUMPRODUCT(MAX((A$1:A730=A731)*(B$1:B730=B731)*ROW(A$1:A730)))),IF(INDEX(I$1:I730,SUMPRODUCT(MAX((A$1:A730=A731)*(B$1:B730=B731)*ROW(A$1:A730))))="",C731&amp;"",INDEX(I$1:I730,SUMPRODUCT(MAX((A$1:A730=A731)*(B$1:B730=B731)*ROW(A$1:A730))))&amp;"; "&amp;C731))))</f>
        <v/>
      </c>
      <c r="J731" s="18" t="str">
        <f aca="false">IF(A731="","",A731&amp;"|"&amp;COUNTIF(A$2:A731,A731))</f>
        <v/>
      </c>
      <c r="K731" s="18" t="n">
        <f aca="false">IF(OR(A731="",B731=""),0,IF(COUNTIFS(A$2:A731,A731,B$2:B731,B731)=1,1,0))</f>
        <v>0</v>
      </c>
    </row>
    <row r="732" customFormat="false" ht="15" hidden="false" customHeight="false" outlineLevel="0" collapsed="false">
      <c r="A732" s="15"/>
      <c r="B732" s="15"/>
      <c r="C732" s="15"/>
      <c r="D732" s="15"/>
      <c r="F732" s="18" t="str">
        <f aca="false">IF(B732="","",IFERROR(INDEX(Materials!$B$2:$B$201,MATCH(B732,Materials!$A$2:$A$201,0)),""))</f>
        <v/>
      </c>
      <c r="G732" s="18" t="str">
        <f aca="true">IF(AND(A732="",B732=""),"",IF(A732="","Missing product",IF(B732="","Missing material",IF(COUNTIF(ProductList,A732)=0,"Product not in Products list",IF(COUNTIF(MaterialList,B732)=0,"Material not in Materials list","OK")))))</f>
        <v/>
      </c>
      <c r="H732" s="18" t="str">
        <f aca="false">IF(F732="Active",A732&amp;"|"&amp;COUNTIFS(A$2:A732,A732,F$2:F732,"Active"),"")</f>
        <v/>
      </c>
      <c r="I732" s="18" t="str">
        <f aca="false">IF(B732="","",IF(SUMPRODUCT(MAX((A$1:A731=A732)*(B$1:B731=B732)*ROW(A$1:A731)))=0,C732&amp;"",IF(C732="",INDEX(I$1:I731,SUMPRODUCT(MAX((A$1:A731=A732)*(B$1:B731=B732)*ROW(A$1:A731)))),IF(INDEX(I$1:I731,SUMPRODUCT(MAX((A$1:A731=A732)*(B$1:B731=B732)*ROW(A$1:A731))))="",C732&amp;"",INDEX(I$1:I731,SUMPRODUCT(MAX((A$1:A731=A732)*(B$1:B731=B732)*ROW(A$1:A731))))&amp;"; "&amp;C732))))</f>
        <v/>
      </c>
      <c r="J732" s="18" t="str">
        <f aca="false">IF(A732="","",A732&amp;"|"&amp;COUNTIF(A$2:A732,A732))</f>
        <v/>
      </c>
      <c r="K732" s="18" t="n">
        <f aca="false">IF(OR(A732="",B732=""),0,IF(COUNTIFS(A$2:A732,A732,B$2:B732,B732)=1,1,0))</f>
        <v>0</v>
      </c>
    </row>
    <row r="733" customFormat="false" ht="15" hidden="false" customHeight="false" outlineLevel="0" collapsed="false">
      <c r="A733" s="15"/>
      <c r="B733" s="15"/>
      <c r="C733" s="15"/>
      <c r="D733" s="15"/>
      <c r="F733" s="18" t="str">
        <f aca="false">IF(B733="","",IFERROR(INDEX(Materials!$B$2:$B$201,MATCH(B733,Materials!$A$2:$A$201,0)),""))</f>
        <v/>
      </c>
      <c r="G733" s="18" t="str">
        <f aca="true">IF(AND(A733="",B733=""),"",IF(A733="","Missing product",IF(B733="","Missing material",IF(COUNTIF(ProductList,A733)=0,"Product not in Products list",IF(COUNTIF(MaterialList,B733)=0,"Material not in Materials list","OK")))))</f>
        <v/>
      </c>
      <c r="H733" s="18" t="str">
        <f aca="false">IF(F733="Active",A733&amp;"|"&amp;COUNTIFS(A$2:A733,A733,F$2:F733,"Active"),"")</f>
        <v/>
      </c>
      <c r="I733" s="18" t="str">
        <f aca="false">IF(B733="","",IF(SUMPRODUCT(MAX((A$1:A732=A733)*(B$1:B732=B733)*ROW(A$1:A732)))=0,C733&amp;"",IF(C733="",INDEX(I$1:I732,SUMPRODUCT(MAX((A$1:A732=A733)*(B$1:B732=B733)*ROW(A$1:A732)))),IF(INDEX(I$1:I732,SUMPRODUCT(MAX((A$1:A732=A733)*(B$1:B732=B733)*ROW(A$1:A732))))="",C733&amp;"",INDEX(I$1:I732,SUMPRODUCT(MAX((A$1:A732=A733)*(B$1:B732=B733)*ROW(A$1:A732))))&amp;"; "&amp;C733))))</f>
        <v/>
      </c>
      <c r="J733" s="18" t="str">
        <f aca="false">IF(A733="","",A733&amp;"|"&amp;COUNTIF(A$2:A733,A733))</f>
        <v/>
      </c>
      <c r="K733" s="18" t="n">
        <f aca="false">IF(OR(A733="",B733=""),0,IF(COUNTIFS(A$2:A733,A733,B$2:B733,B733)=1,1,0))</f>
        <v>0</v>
      </c>
    </row>
    <row r="734" customFormat="false" ht="15" hidden="false" customHeight="false" outlineLevel="0" collapsed="false">
      <c r="A734" s="15"/>
      <c r="B734" s="15"/>
      <c r="C734" s="15"/>
      <c r="D734" s="15"/>
      <c r="F734" s="18" t="str">
        <f aca="false">IF(B734="","",IFERROR(INDEX(Materials!$B$2:$B$201,MATCH(B734,Materials!$A$2:$A$201,0)),""))</f>
        <v/>
      </c>
      <c r="G734" s="18" t="str">
        <f aca="true">IF(AND(A734="",B734=""),"",IF(A734="","Missing product",IF(B734="","Missing material",IF(COUNTIF(ProductList,A734)=0,"Product not in Products list",IF(COUNTIF(MaterialList,B734)=0,"Material not in Materials list","OK")))))</f>
        <v/>
      </c>
      <c r="H734" s="18" t="str">
        <f aca="false">IF(F734="Active",A734&amp;"|"&amp;COUNTIFS(A$2:A734,A734,F$2:F734,"Active"),"")</f>
        <v/>
      </c>
      <c r="I734" s="18" t="str">
        <f aca="false">IF(B734="","",IF(SUMPRODUCT(MAX((A$1:A733=A734)*(B$1:B733=B734)*ROW(A$1:A733)))=0,C734&amp;"",IF(C734="",INDEX(I$1:I733,SUMPRODUCT(MAX((A$1:A733=A734)*(B$1:B733=B734)*ROW(A$1:A733)))),IF(INDEX(I$1:I733,SUMPRODUCT(MAX((A$1:A733=A734)*(B$1:B733=B734)*ROW(A$1:A733))))="",C734&amp;"",INDEX(I$1:I733,SUMPRODUCT(MAX((A$1:A733=A734)*(B$1:B733=B734)*ROW(A$1:A733))))&amp;"; "&amp;C734))))</f>
        <v/>
      </c>
      <c r="J734" s="18" t="str">
        <f aca="false">IF(A734="","",A734&amp;"|"&amp;COUNTIF(A$2:A734,A734))</f>
        <v/>
      </c>
      <c r="K734" s="18" t="n">
        <f aca="false">IF(OR(A734="",B734=""),0,IF(COUNTIFS(A$2:A734,A734,B$2:B734,B734)=1,1,0))</f>
        <v>0</v>
      </c>
    </row>
    <row r="735" customFormat="false" ht="15" hidden="false" customHeight="false" outlineLevel="0" collapsed="false">
      <c r="A735" s="15"/>
      <c r="B735" s="15"/>
      <c r="C735" s="15"/>
      <c r="D735" s="15"/>
      <c r="F735" s="18" t="str">
        <f aca="false">IF(B735="","",IFERROR(INDEX(Materials!$B$2:$B$201,MATCH(B735,Materials!$A$2:$A$201,0)),""))</f>
        <v/>
      </c>
      <c r="G735" s="18" t="str">
        <f aca="true">IF(AND(A735="",B735=""),"",IF(A735="","Missing product",IF(B735="","Missing material",IF(COUNTIF(ProductList,A735)=0,"Product not in Products list",IF(COUNTIF(MaterialList,B735)=0,"Material not in Materials list","OK")))))</f>
        <v/>
      </c>
      <c r="H735" s="18" t="str">
        <f aca="false">IF(F735="Active",A735&amp;"|"&amp;COUNTIFS(A$2:A735,A735,F$2:F735,"Active"),"")</f>
        <v/>
      </c>
      <c r="I735" s="18" t="str">
        <f aca="false">IF(B735="","",IF(SUMPRODUCT(MAX((A$1:A734=A735)*(B$1:B734=B735)*ROW(A$1:A734)))=0,C735&amp;"",IF(C735="",INDEX(I$1:I734,SUMPRODUCT(MAX((A$1:A734=A735)*(B$1:B734=B735)*ROW(A$1:A734)))),IF(INDEX(I$1:I734,SUMPRODUCT(MAX((A$1:A734=A735)*(B$1:B734=B735)*ROW(A$1:A734))))="",C735&amp;"",INDEX(I$1:I734,SUMPRODUCT(MAX((A$1:A734=A735)*(B$1:B734=B735)*ROW(A$1:A734))))&amp;"; "&amp;C735))))</f>
        <v/>
      </c>
      <c r="J735" s="18" t="str">
        <f aca="false">IF(A735="","",A735&amp;"|"&amp;COUNTIF(A$2:A735,A735))</f>
        <v/>
      </c>
      <c r="K735" s="18" t="n">
        <f aca="false">IF(OR(A735="",B735=""),0,IF(COUNTIFS(A$2:A735,A735,B$2:B735,B735)=1,1,0))</f>
        <v>0</v>
      </c>
    </row>
    <row r="736" customFormat="false" ht="15" hidden="false" customHeight="false" outlineLevel="0" collapsed="false">
      <c r="A736" s="15"/>
      <c r="B736" s="15"/>
      <c r="C736" s="15"/>
      <c r="D736" s="15"/>
      <c r="F736" s="18" t="str">
        <f aca="false">IF(B736="","",IFERROR(INDEX(Materials!$B$2:$B$201,MATCH(B736,Materials!$A$2:$A$201,0)),""))</f>
        <v/>
      </c>
      <c r="G736" s="18" t="str">
        <f aca="true">IF(AND(A736="",B736=""),"",IF(A736="","Missing product",IF(B736="","Missing material",IF(COUNTIF(ProductList,A736)=0,"Product not in Products list",IF(COUNTIF(MaterialList,B736)=0,"Material not in Materials list","OK")))))</f>
        <v/>
      </c>
      <c r="H736" s="18" t="str">
        <f aca="false">IF(F736="Active",A736&amp;"|"&amp;COUNTIFS(A$2:A736,A736,F$2:F736,"Active"),"")</f>
        <v/>
      </c>
      <c r="I736" s="18" t="str">
        <f aca="false">IF(B736="","",IF(SUMPRODUCT(MAX((A$1:A735=A736)*(B$1:B735=B736)*ROW(A$1:A735)))=0,C736&amp;"",IF(C736="",INDEX(I$1:I735,SUMPRODUCT(MAX((A$1:A735=A736)*(B$1:B735=B736)*ROW(A$1:A735)))),IF(INDEX(I$1:I735,SUMPRODUCT(MAX((A$1:A735=A736)*(B$1:B735=B736)*ROW(A$1:A735))))="",C736&amp;"",INDEX(I$1:I735,SUMPRODUCT(MAX((A$1:A735=A736)*(B$1:B735=B736)*ROW(A$1:A735))))&amp;"; "&amp;C736))))</f>
        <v/>
      </c>
      <c r="J736" s="18" t="str">
        <f aca="false">IF(A736="","",A736&amp;"|"&amp;COUNTIF(A$2:A736,A736))</f>
        <v/>
      </c>
      <c r="K736" s="18" t="n">
        <f aca="false">IF(OR(A736="",B736=""),0,IF(COUNTIFS(A$2:A736,A736,B$2:B736,B736)=1,1,0))</f>
        <v>0</v>
      </c>
    </row>
    <row r="737" customFormat="false" ht="15" hidden="false" customHeight="false" outlineLevel="0" collapsed="false">
      <c r="A737" s="15"/>
      <c r="B737" s="15"/>
      <c r="C737" s="15"/>
      <c r="D737" s="15"/>
      <c r="F737" s="18" t="str">
        <f aca="false">IF(B737="","",IFERROR(INDEX(Materials!$B$2:$B$201,MATCH(B737,Materials!$A$2:$A$201,0)),""))</f>
        <v/>
      </c>
      <c r="G737" s="18" t="str">
        <f aca="true">IF(AND(A737="",B737=""),"",IF(A737="","Missing product",IF(B737="","Missing material",IF(COUNTIF(ProductList,A737)=0,"Product not in Products list",IF(COUNTIF(MaterialList,B737)=0,"Material not in Materials list","OK")))))</f>
        <v/>
      </c>
      <c r="H737" s="18" t="str">
        <f aca="false">IF(F737="Active",A737&amp;"|"&amp;COUNTIFS(A$2:A737,A737,F$2:F737,"Active"),"")</f>
        <v/>
      </c>
      <c r="I737" s="18" t="str">
        <f aca="false">IF(B737="","",IF(SUMPRODUCT(MAX((A$1:A736=A737)*(B$1:B736=B737)*ROW(A$1:A736)))=0,C737&amp;"",IF(C737="",INDEX(I$1:I736,SUMPRODUCT(MAX((A$1:A736=A737)*(B$1:B736=B737)*ROW(A$1:A736)))),IF(INDEX(I$1:I736,SUMPRODUCT(MAX((A$1:A736=A737)*(B$1:B736=B737)*ROW(A$1:A736))))="",C737&amp;"",INDEX(I$1:I736,SUMPRODUCT(MAX((A$1:A736=A737)*(B$1:B736=B737)*ROW(A$1:A736))))&amp;"; "&amp;C737))))</f>
        <v/>
      </c>
      <c r="J737" s="18" t="str">
        <f aca="false">IF(A737="","",A737&amp;"|"&amp;COUNTIF(A$2:A737,A737))</f>
        <v/>
      </c>
      <c r="K737" s="18" t="n">
        <f aca="false">IF(OR(A737="",B737=""),0,IF(COUNTIFS(A$2:A737,A737,B$2:B737,B737)=1,1,0))</f>
        <v>0</v>
      </c>
    </row>
    <row r="738" customFormat="false" ht="15" hidden="false" customHeight="false" outlineLevel="0" collapsed="false">
      <c r="A738" s="15"/>
      <c r="B738" s="15"/>
      <c r="C738" s="15"/>
      <c r="D738" s="15"/>
      <c r="F738" s="18" t="str">
        <f aca="false">IF(B738="","",IFERROR(INDEX(Materials!$B$2:$B$201,MATCH(B738,Materials!$A$2:$A$201,0)),""))</f>
        <v/>
      </c>
      <c r="G738" s="18" t="str">
        <f aca="true">IF(AND(A738="",B738=""),"",IF(A738="","Missing product",IF(B738="","Missing material",IF(COUNTIF(ProductList,A738)=0,"Product not in Products list",IF(COUNTIF(MaterialList,B738)=0,"Material not in Materials list","OK")))))</f>
        <v/>
      </c>
      <c r="H738" s="18" t="str">
        <f aca="false">IF(F738="Active",A738&amp;"|"&amp;COUNTIFS(A$2:A738,A738,F$2:F738,"Active"),"")</f>
        <v/>
      </c>
      <c r="I738" s="18" t="str">
        <f aca="false">IF(B738="","",IF(SUMPRODUCT(MAX((A$1:A737=A738)*(B$1:B737=B738)*ROW(A$1:A737)))=0,C738&amp;"",IF(C738="",INDEX(I$1:I737,SUMPRODUCT(MAX((A$1:A737=A738)*(B$1:B737=B738)*ROW(A$1:A737)))),IF(INDEX(I$1:I737,SUMPRODUCT(MAX((A$1:A737=A738)*(B$1:B737=B738)*ROW(A$1:A737))))="",C738&amp;"",INDEX(I$1:I737,SUMPRODUCT(MAX((A$1:A737=A738)*(B$1:B737=B738)*ROW(A$1:A737))))&amp;"; "&amp;C738))))</f>
        <v/>
      </c>
      <c r="J738" s="18" t="str">
        <f aca="false">IF(A738="","",A738&amp;"|"&amp;COUNTIF(A$2:A738,A738))</f>
        <v/>
      </c>
      <c r="K738" s="18" t="n">
        <f aca="false">IF(OR(A738="",B738=""),0,IF(COUNTIFS(A$2:A738,A738,B$2:B738,B738)=1,1,0))</f>
        <v>0</v>
      </c>
    </row>
    <row r="739" customFormat="false" ht="15" hidden="false" customHeight="false" outlineLevel="0" collapsed="false">
      <c r="A739" s="15"/>
      <c r="B739" s="15"/>
      <c r="C739" s="15"/>
      <c r="D739" s="15"/>
      <c r="F739" s="18" t="str">
        <f aca="false">IF(B739="","",IFERROR(INDEX(Materials!$B$2:$B$201,MATCH(B739,Materials!$A$2:$A$201,0)),""))</f>
        <v/>
      </c>
      <c r="G739" s="18" t="str">
        <f aca="true">IF(AND(A739="",B739=""),"",IF(A739="","Missing product",IF(B739="","Missing material",IF(COUNTIF(ProductList,A739)=0,"Product not in Products list",IF(COUNTIF(MaterialList,B739)=0,"Material not in Materials list","OK")))))</f>
        <v/>
      </c>
      <c r="H739" s="18" t="str">
        <f aca="false">IF(F739="Active",A739&amp;"|"&amp;COUNTIFS(A$2:A739,A739,F$2:F739,"Active"),"")</f>
        <v/>
      </c>
      <c r="I739" s="18" t="str">
        <f aca="false">IF(B739="","",IF(SUMPRODUCT(MAX((A$1:A738=A739)*(B$1:B738=B739)*ROW(A$1:A738)))=0,C739&amp;"",IF(C739="",INDEX(I$1:I738,SUMPRODUCT(MAX((A$1:A738=A739)*(B$1:B738=B739)*ROW(A$1:A738)))),IF(INDEX(I$1:I738,SUMPRODUCT(MAX((A$1:A738=A739)*(B$1:B738=B739)*ROW(A$1:A738))))="",C739&amp;"",INDEX(I$1:I738,SUMPRODUCT(MAX((A$1:A738=A739)*(B$1:B738=B739)*ROW(A$1:A738))))&amp;"; "&amp;C739))))</f>
        <v/>
      </c>
      <c r="J739" s="18" t="str">
        <f aca="false">IF(A739="","",A739&amp;"|"&amp;COUNTIF(A$2:A739,A739))</f>
        <v/>
      </c>
      <c r="K739" s="18" t="n">
        <f aca="false">IF(OR(A739="",B739=""),0,IF(COUNTIFS(A$2:A739,A739,B$2:B739,B739)=1,1,0))</f>
        <v>0</v>
      </c>
    </row>
    <row r="740" customFormat="false" ht="15" hidden="false" customHeight="false" outlineLevel="0" collapsed="false">
      <c r="A740" s="15"/>
      <c r="B740" s="15"/>
      <c r="C740" s="15"/>
      <c r="D740" s="15"/>
      <c r="F740" s="18" t="str">
        <f aca="false">IF(B740="","",IFERROR(INDEX(Materials!$B$2:$B$201,MATCH(B740,Materials!$A$2:$A$201,0)),""))</f>
        <v/>
      </c>
      <c r="G740" s="18" t="str">
        <f aca="true">IF(AND(A740="",B740=""),"",IF(A740="","Missing product",IF(B740="","Missing material",IF(COUNTIF(ProductList,A740)=0,"Product not in Products list",IF(COUNTIF(MaterialList,B740)=0,"Material not in Materials list","OK")))))</f>
        <v/>
      </c>
      <c r="H740" s="18" t="str">
        <f aca="false">IF(F740="Active",A740&amp;"|"&amp;COUNTIFS(A$2:A740,A740,F$2:F740,"Active"),"")</f>
        <v/>
      </c>
      <c r="I740" s="18" t="str">
        <f aca="false">IF(B740="","",IF(SUMPRODUCT(MAX((A$1:A739=A740)*(B$1:B739=B740)*ROW(A$1:A739)))=0,C740&amp;"",IF(C740="",INDEX(I$1:I739,SUMPRODUCT(MAX((A$1:A739=A740)*(B$1:B739=B740)*ROW(A$1:A739)))),IF(INDEX(I$1:I739,SUMPRODUCT(MAX((A$1:A739=A740)*(B$1:B739=B740)*ROW(A$1:A739))))="",C740&amp;"",INDEX(I$1:I739,SUMPRODUCT(MAX((A$1:A739=A740)*(B$1:B739=B740)*ROW(A$1:A739))))&amp;"; "&amp;C740))))</f>
        <v/>
      </c>
      <c r="J740" s="18" t="str">
        <f aca="false">IF(A740="","",A740&amp;"|"&amp;COUNTIF(A$2:A740,A740))</f>
        <v/>
      </c>
      <c r="K740" s="18" t="n">
        <f aca="false">IF(OR(A740="",B740=""),0,IF(COUNTIFS(A$2:A740,A740,B$2:B740,B740)=1,1,0))</f>
        <v>0</v>
      </c>
    </row>
    <row r="741" customFormat="false" ht="15" hidden="false" customHeight="false" outlineLevel="0" collapsed="false">
      <c r="A741" s="15"/>
      <c r="B741" s="15"/>
      <c r="C741" s="15"/>
      <c r="D741" s="15"/>
      <c r="F741" s="18" t="str">
        <f aca="false">IF(B741="","",IFERROR(INDEX(Materials!$B$2:$B$201,MATCH(B741,Materials!$A$2:$A$201,0)),""))</f>
        <v/>
      </c>
      <c r="G741" s="18" t="str">
        <f aca="true">IF(AND(A741="",B741=""),"",IF(A741="","Missing product",IF(B741="","Missing material",IF(COUNTIF(ProductList,A741)=0,"Product not in Products list",IF(COUNTIF(MaterialList,B741)=0,"Material not in Materials list","OK")))))</f>
        <v/>
      </c>
      <c r="H741" s="18" t="str">
        <f aca="false">IF(F741="Active",A741&amp;"|"&amp;COUNTIFS(A$2:A741,A741,F$2:F741,"Active"),"")</f>
        <v/>
      </c>
      <c r="I741" s="18" t="str">
        <f aca="false">IF(B741="","",IF(SUMPRODUCT(MAX((A$1:A740=A741)*(B$1:B740=B741)*ROW(A$1:A740)))=0,C741&amp;"",IF(C741="",INDEX(I$1:I740,SUMPRODUCT(MAX((A$1:A740=A741)*(B$1:B740=B741)*ROW(A$1:A740)))),IF(INDEX(I$1:I740,SUMPRODUCT(MAX((A$1:A740=A741)*(B$1:B740=B741)*ROW(A$1:A740))))="",C741&amp;"",INDEX(I$1:I740,SUMPRODUCT(MAX((A$1:A740=A741)*(B$1:B740=B741)*ROW(A$1:A740))))&amp;"; "&amp;C741))))</f>
        <v/>
      </c>
      <c r="J741" s="18" t="str">
        <f aca="false">IF(A741="","",A741&amp;"|"&amp;COUNTIF(A$2:A741,A741))</f>
        <v/>
      </c>
      <c r="K741" s="18" t="n">
        <f aca="false">IF(OR(A741="",B741=""),0,IF(COUNTIFS(A$2:A741,A741,B$2:B741,B741)=1,1,0))</f>
        <v>0</v>
      </c>
    </row>
    <row r="742" customFormat="false" ht="15" hidden="false" customHeight="false" outlineLevel="0" collapsed="false">
      <c r="A742" s="15"/>
      <c r="B742" s="15"/>
      <c r="C742" s="15"/>
      <c r="D742" s="15"/>
      <c r="F742" s="18" t="str">
        <f aca="false">IF(B742="","",IFERROR(INDEX(Materials!$B$2:$B$201,MATCH(B742,Materials!$A$2:$A$201,0)),""))</f>
        <v/>
      </c>
      <c r="G742" s="18" t="str">
        <f aca="true">IF(AND(A742="",B742=""),"",IF(A742="","Missing product",IF(B742="","Missing material",IF(COUNTIF(ProductList,A742)=0,"Product not in Products list",IF(COUNTIF(MaterialList,B742)=0,"Material not in Materials list","OK")))))</f>
        <v/>
      </c>
      <c r="H742" s="18" t="str">
        <f aca="false">IF(F742="Active",A742&amp;"|"&amp;COUNTIFS(A$2:A742,A742,F$2:F742,"Active"),"")</f>
        <v/>
      </c>
      <c r="I742" s="18" t="str">
        <f aca="false">IF(B742="","",IF(SUMPRODUCT(MAX((A$1:A741=A742)*(B$1:B741=B742)*ROW(A$1:A741)))=0,C742&amp;"",IF(C742="",INDEX(I$1:I741,SUMPRODUCT(MAX((A$1:A741=A742)*(B$1:B741=B742)*ROW(A$1:A741)))),IF(INDEX(I$1:I741,SUMPRODUCT(MAX((A$1:A741=A742)*(B$1:B741=B742)*ROW(A$1:A741))))="",C742&amp;"",INDEX(I$1:I741,SUMPRODUCT(MAX((A$1:A741=A742)*(B$1:B741=B742)*ROW(A$1:A741))))&amp;"; "&amp;C742))))</f>
        <v/>
      </c>
      <c r="J742" s="18" t="str">
        <f aca="false">IF(A742="","",A742&amp;"|"&amp;COUNTIF(A$2:A742,A742))</f>
        <v/>
      </c>
      <c r="K742" s="18" t="n">
        <f aca="false">IF(OR(A742="",B742=""),0,IF(COUNTIFS(A$2:A742,A742,B$2:B742,B742)=1,1,0))</f>
        <v>0</v>
      </c>
    </row>
    <row r="743" customFormat="false" ht="15" hidden="false" customHeight="false" outlineLevel="0" collapsed="false">
      <c r="A743" s="15"/>
      <c r="B743" s="15"/>
      <c r="C743" s="15"/>
      <c r="D743" s="15"/>
      <c r="F743" s="18" t="str">
        <f aca="false">IF(B743="","",IFERROR(INDEX(Materials!$B$2:$B$201,MATCH(B743,Materials!$A$2:$A$201,0)),""))</f>
        <v/>
      </c>
      <c r="G743" s="18" t="str">
        <f aca="true">IF(AND(A743="",B743=""),"",IF(A743="","Missing product",IF(B743="","Missing material",IF(COUNTIF(ProductList,A743)=0,"Product not in Products list",IF(COUNTIF(MaterialList,B743)=0,"Material not in Materials list","OK")))))</f>
        <v/>
      </c>
      <c r="H743" s="18" t="str">
        <f aca="false">IF(F743="Active",A743&amp;"|"&amp;COUNTIFS(A$2:A743,A743,F$2:F743,"Active"),"")</f>
        <v/>
      </c>
      <c r="I743" s="18" t="str">
        <f aca="false">IF(B743="","",IF(SUMPRODUCT(MAX((A$1:A742=A743)*(B$1:B742=B743)*ROW(A$1:A742)))=0,C743&amp;"",IF(C743="",INDEX(I$1:I742,SUMPRODUCT(MAX((A$1:A742=A743)*(B$1:B742=B743)*ROW(A$1:A742)))),IF(INDEX(I$1:I742,SUMPRODUCT(MAX((A$1:A742=A743)*(B$1:B742=B743)*ROW(A$1:A742))))="",C743&amp;"",INDEX(I$1:I742,SUMPRODUCT(MAX((A$1:A742=A743)*(B$1:B742=B743)*ROW(A$1:A742))))&amp;"; "&amp;C743))))</f>
        <v/>
      </c>
      <c r="J743" s="18" t="str">
        <f aca="false">IF(A743="","",A743&amp;"|"&amp;COUNTIF(A$2:A743,A743))</f>
        <v/>
      </c>
      <c r="K743" s="18" t="n">
        <f aca="false">IF(OR(A743="",B743=""),0,IF(COUNTIFS(A$2:A743,A743,B$2:B743,B743)=1,1,0))</f>
        <v>0</v>
      </c>
    </row>
    <row r="744" customFormat="false" ht="15" hidden="false" customHeight="false" outlineLevel="0" collapsed="false">
      <c r="A744" s="15"/>
      <c r="B744" s="15"/>
      <c r="C744" s="15"/>
      <c r="D744" s="15"/>
      <c r="F744" s="18" t="str">
        <f aca="false">IF(B744="","",IFERROR(INDEX(Materials!$B$2:$B$201,MATCH(B744,Materials!$A$2:$A$201,0)),""))</f>
        <v/>
      </c>
      <c r="G744" s="18" t="str">
        <f aca="true">IF(AND(A744="",B744=""),"",IF(A744="","Missing product",IF(B744="","Missing material",IF(COUNTIF(ProductList,A744)=0,"Product not in Products list",IF(COUNTIF(MaterialList,B744)=0,"Material not in Materials list","OK")))))</f>
        <v/>
      </c>
      <c r="H744" s="18" t="str">
        <f aca="false">IF(F744="Active",A744&amp;"|"&amp;COUNTIFS(A$2:A744,A744,F$2:F744,"Active"),"")</f>
        <v/>
      </c>
      <c r="I744" s="18" t="str">
        <f aca="false">IF(B744="","",IF(SUMPRODUCT(MAX((A$1:A743=A744)*(B$1:B743=B744)*ROW(A$1:A743)))=0,C744&amp;"",IF(C744="",INDEX(I$1:I743,SUMPRODUCT(MAX((A$1:A743=A744)*(B$1:B743=B744)*ROW(A$1:A743)))),IF(INDEX(I$1:I743,SUMPRODUCT(MAX((A$1:A743=A744)*(B$1:B743=B744)*ROW(A$1:A743))))="",C744&amp;"",INDEX(I$1:I743,SUMPRODUCT(MAX((A$1:A743=A744)*(B$1:B743=B744)*ROW(A$1:A743))))&amp;"; "&amp;C744))))</f>
        <v/>
      </c>
      <c r="J744" s="18" t="str">
        <f aca="false">IF(A744="","",A744&amp;"|"&amp;COUNTIF(A$2:A744,A744))</f>
        <v/>
      </c>
      <c r="K744" s="18" t="n">
        <f aca="false">IF(OR(A744="",B744=""),0,IF(COUNTIFS(A$2:A744,A744,B$2:B744,B744)=1,1,0))</f>
        <v>0</v>
      </c>
    </row>
    <row r="745" customFormat="false" ht="15" hidden="false" customHeight="false" outlineLevel="0" collapsed="false">
      <c r="A745" s="15"/>
      <c r="B745" s="15"/>
      <c r="C745" s="15"/>
      <c r="D745" s="15"/>
      <c r="F745" s="18" t="str">
        <f aca="false">IF(B745="","",IFERROR(INDEX(Materials!$B$2:$B$201,MATCH(B745,Materials!$A$2:$A$201,0)),""))</f>
        <v/>
      </c>
      <c r="G745" s="18" t="str">
        <f aca="true">IF(AND(A745="",B745=""),"",IF(A745="","Missing product",IF(B745="","Missing material",IF(COUNTIF(ProductList,A745)=0,"Product not in Products list",IF(COUNTIF(MaterialList,B745)=0,"Material not in Materials list","OK")))))</f>
        <v/>
      </c>
      <c r="H745" s="18" t="str">
        <f aca="false">IF(F745="Active",A745&amp;"|"&amp;COUNTIFS(A$2:A745,A745,F$2:F745,"Active"),"")</f>
        <v/>
      </c>
      <c r="I745" s="18" t="str">
        <f aca="false">IF(B745="","",IF(SUMPRODUCT(MAX((A$1:A744=A745)*(B$1:B744=B745)*ROW(A$1:A744)))=0,C745&amp;"",IF(C745="",INDEX(I$1:I744,SUMPRODUCT(MAX((A$1:A744=A745)*(B$1:B744=B745)*ROW(A$1:A744)))),IF(INDEX(I$1:I744,SUMPRODUCT(MAX((A$1:A744=A745)*(B$1:B744=B745)*ROW(A$1:A744))))="",C745&amp;"",INDEX(I$1:I744,SUMPRODUCT(MAX((A$1:A744=A745)*(B$1:B744=B745)*ROW(A$1:A744))))&amp;"; "&amp;C745))))</f>
        <v/>
      </c>
      <c r="J745" s="18" t="str">
        <f aca="false">IF(A745="","",A745&amp;"|"&amp;COUNTIF(A$2:A745,A745))</f>
        <v/>
      </c>
      <c r="K745" s="18" t="n">
        <f aca="false">IF(OR(A745="",B745=""),0,IF(COUNTIFS(A$2:A745,A745,B$2:B745,B745)=1,1,0))</f>
        <v>0</v>
      </c>
    </row>
    <row r="746" customFormat="false" ht="15" hidden="false" customHeight="false" outlineLevel="0" collapsed="false">
      <c r="A746" s="15"/>
      <c r="B746" s="15"/>
      <c r="C746" s="15"/>
      <c r="D746" s="15"/>
      <c r="F746" s="18" t="str">
        <f aca="false">IF(B746="","",IFERROR(INDEX(Materials!$B$2:$B$201,MATCH(B746,Materials!$A$2:$A$201,0)),""))</f>
        <v/>
      </c>
      <c r="G746" s="18" t="str">
        <f aca="true">IF(AND(A746="",B746=""),"",IF(A746="","Missing product",IF(B746="","Missing material",IF(COUNTIF(ProductList,A746)=0,"Product not in Products list",IF(COUNTIF(MaterialList,B746)=0,"Material not in Materials list","OK")))))</f>
        <v/>
      </c>
      <c r="H746" s="18" t="str">
        <f aca="false">IF(F746="Active",A746&amp;"|"&amp;COUNTIFS(A$2:A746,A746,F$2:F746,"Active"),"")</f>
        <v/>
      </c>
      <c r="I746" s="18" t="str">
        <f aca="false">IF(B746="","",IF(SUMPRODUCT(MAX((A$1:A745=A746)*(B$1:B745=B746)*ROW(A$1:A745)))=0,C746&amp;"",IF(C746="",INDEX(I$1:I745,SUMPRODUCT(MAX((A$1:A745=A746)*(B$1:B745=B746)*ROW(A$1:A745)))),IF(INDEX(I$1:I745,SUMPRODUCT(MAX((A$1:A745=A746)*(B$1:B745=B746)*ROW(A$1:A745))))="",C746&amp;"",INDEX(I$1:I745,SUMPRODUCT(MAX((A$1:A745=A746)*(B$1:B745=B746)*ROW(A$1:A745))))&amp;"; "&amp;C746))))</f>
        <v/>
      </c>
      <c r="J746" s="18" t="str">
        <f aca="false">IF(A746="","",A746&amp;"|"&amp;COUNTIF(A$2:A746,A746))</f>
        <v/>
      </c>
      <c r="K746" s="18" t="n">
        <f aca="false">IF(OR(A746="",B746=""),0,IF(COUNTIFS(A$2:A746,A746,B$2:B746,B746)=1,1,0))</f>
        <v>0</v>
      </c>
    </row>
    <row r="747" customFormat="false" ht="15" hidden="false" customHeight="false" outlineLevel="0" collapsed="false">
      <c r="A747" s="15"/>
      <c r="B747" s="15"/>
      <c r="C747" s="15"/>
      <c r="D747" s="15"/>
      <c r="F747" s="18" t="str">
        <f aca="false">IF(B747="","",IFERROR(INDEX(Materials!$B$2:$B$201,MATCH(B747,Materials!$A$2:$A$201,0)),""))</f>
        <v/>
      </c>
      <c r="G747" s="18" t="str">
        <f aca="true">IF(AND(A747="",B747=""),"",IF(A747="","Missing product",IF(B747="","Missing material",IF(COUNTIF(ProductList,A747)=0,"Product not in Products list",IF(COUNTIF(MaterialList,B747)=0,"Material not in Materials list","OK")))))</f>
        <v/>
      </c>
      <c r="H747" s="18" t="str">
        <f aca="false">IF(F747="Active",A747&amp;"|"&amp;COUNTIFS(A$2:A747,A747,F$2:F747,"Active"),"")</f>
        <v/>
      </c>
      <c r="I747" s="18" t="str">
        <f aca="false">IF(B747="","",IF(SUMPRODUCT(MAX((A$1:A746=A747)*(B$1:B746=B747)*ROW(A$1:A746)))=0,C747&amp;"",IF(C747="",INDEX(I$1:I746,SUMPRODUCT(MAX((A$1:A746=A747)*(B$1:B746=B747)*ROW(A$1:A746)))),IF(INDEX(I$1:I746,SUMPRODUCT(MAX((A$1:A746=A747)*(B$1:B746=B747)*ROW(A$1:A746))))="",C747&amp;"",INDEX(I$1:I746,SUMPRODUCT(MAX((A$1:A746=A747)*(B$1:B746=B747)*ROW(A$1:A746))))&amp;"; "&amp;C747))))</f>
        <v/>
      </c>
      <c r="J747" s="18" t="str">
        <f aca="false">IF(A747="","",A747&amp;"|"&amp;COUNTIF(A$2:A747,A747))</f>
        <v/>
      </c>
      <c r="K747" s="18" t="n">
        <f aca="false">IF(OR(A747="",B747=""),0,IF(COUNTIFS(A$2:A747,A747,B$2:B747,B747)=1,1,0))</f>
        <v>0</v>
      </c>
    </row>
    <row r="748" customFormat="false" ht="15" hidden="false" customHeight="false" outlineLevel="0" collapsed="false">
      <c r="A748" s="15"/>
      <c r="B748" s="15"/>
      <c r="C748" s="15"/>
      <c r="D748" s="15"/>
      <c r="F748" s="18" t="str">
        <f aca="false">IF(B748="","",IFERROR(INDEX(Materials!$B$2:$B$201,MATCH(B748,Materials!$A$2:$A$201,0)),""))</f>
        <v/>
      </c>
      <c r="G748" s="18" t="str">
        <f aca="true">IF(AND(A748="",B748=""),"",IF(A748="","Missing product",IF(B748="","Missing material",IF(COUNTIF(ProductList,A748)=0,"Product not in Products list",IF(COUNTIF(MaterialList,B748)=0,"Material not in Materials list","OK")))))</f>
        <v/>
      </c>
      <c r="H748" s="18" t="str">
        <f aca="false">IF(F748="Active",A748&amp;"|"&amp;COUNTIFS(A$2:A748,A748,F$2:F748,"Active"),"")</f>
        <v/>
      </c>
      <c r="I748" s="18" t="str">
        <f aca="false">IF(B748="","",IF(SUMPRODUCT(MAX((A$1:A747=A748)*(B$1:B747=B748)*ROW(A$1:A747)))=0,C748&amp;"",IF(C748="",INDEX(I$1:I747,SUMPRODUCT(MAX((A$1:A747=A748)*(B$1:B747=B748)*ROW(A$1:A747)))),IF(INDEX(I$1:I747,SUMPRODUCT(MAX((A$1:A747=A748)*(B$1:B747=B748)*ROW(A$1:A747))))="",C748&amp;"",INDEX(I$1:I747,SUMPRODUCT(MAX((A$1:A747=A748)*(B$1:B747=B748)*ROW(A$1:A747))))&amp;"; "&amp;C748))))</f>
        <v/>
      </c>
      <c r="J748" s="18" t="str">
        <f aca="false">IF(A748="","",A748&amp;"|"&amp;COUNTIF(A$2:A748,A748))</f>
        <v/>
      </c>
      <c r="K748" s="18" t="n">
        <f aca="false">IF(OR(A748="",B748=""),0,IF(COUNTIFS(A$2:A748,A748,B$2:B748,B748)=1,1,0))</f>
        <v>0</v>
      </c>
    </row>
    <row r="749" customFormat="false" ht="15" hidden="false" customHeight="false" outlineLevel="0" collapsed="false">
      <c r="A749" s="15"/>
      <c r="B749" s="15"/>
      <c r="C749" s="15"/>
      <c r="D749" s="15"/>
      <c r="F749" s="18" t="str">
        <f aca="false">IF(B749="","",IFERROR(INDEX(Materials!$B$2:$B$201,MATCH(B749,Materials!$A$2:$A$201,0)),""))</f>
        <v/>
      </c>
      <c r="G749" s="18" t="str">
        <f aca="true">IF(AND(A749="",B749=""),"",IF(A749="","Missing product",IF(B749="","Missing material",IF(COUNTIF(ProductList,A749)=0,"Product not in Products list",IF(COUNTIF(MaterialList,B749)=0,"Material not in Materials list","OK")))))</f>
        <v/>
      </c>
      <c r="H749" s="18" t="str">
        <f aca="false">IF(F749="Active",A749&amp;"|"&amp;COUNTIFS(A$2:A749,A749,F$2:F749,"Active"),"")</f>
        <v/>
      </c>
      <c r="I749" s="18" t="str">
        <f aca="false">IF(B749="","",IF(SUMPRODUCT(MAX((A$1:A748=A749)*(B$1:B748=B749)*ROW(A$1:A748)))=0,C749&amp;"",IF(C749="",INDEX(I$1:I748,SUMPRODUCT(MAX((A$1:A748=A749)*(B$1:B748=B749)*ROW(A$1:A748)))),IF(INDEX(I$1:I748,SUMPRODUCT(MAX((A$1:A748=A749)*(B$1:B748=B749)*ROW(A$1:A748))))="",C749&amp;"",INDEX(I$1:I748,SUMPRODUCT(MAX((A$1:A748=A749)*(B$1:B748=B749)*ROW(A$1:A748))))&amp;"; "&amp;C749))))</f>
        <v/>
      </c>
      <c r="J749" s="18" t="str">
        <f aca="false">IF(A749="","",A749&amp;"|"&amp;COUNTIF(A$2:A749,A749))</f>
        <v/>
      </c>
      <c r="K749" s="18" t="n">
        <f aca="false">IF(OR(A749="",B749=""),0,IF(COUNTIFS(A$2:A749,A749,B$2:B749,B749)=1,1,0))</f>
        <v>0</v>
      </c>
    </row>
    <row r="750" customFormat="false" ht="15" hidden="false" customHeight="false" outlineLevel="0" collapsed="false">
      <c r="A750" s="15"/>
      <c r="B750" s="15"/>
      <c r="C750" s="15"/>
      <c r="D750" s="15"/>
      <c r="F750" s="18" t="str">
        <f aca="false">IF(B750="","",IFERROR(INDEX(Materials!$B$2:$B$201,MATCH(B750,Materials!$A$2:$A$201,0)),""))</f>
        <v/>
      </c>
      <c r="G750" s="18" t="str">
        <f aca="true">IF(AND(A750="",B750=""),"",IF(A750="","Missing product",IF(B750="","Missing material",IF(COUNTIF(ProductList,A750)=0,"Product not in Products list",IF(COUNTIF(MaterialList,B750)=0,"Material not in Materials list","OK")))))</f>
        <v/>
      </c>
      <c r="H750" s="18" t="str">
        <f aca="false">IF(F750="Active",A750&amp;"|"&amp;COUNTIFS(A$2:A750,A750,F$2:F750,"Active"),"")</f>
        <v/>
      </c>
      <c r="I750" s="18" t="str">
        <f aca="false">IF(B750="","",IF(SUMPRODUCT(MAX((A$1:A749=A750)*(B$1:B749=B750)*ROW(A$1:A749)))=0,C750&amp;"",IF(C750="",INDEX(I$1:I749,SUMPRODUCT(MAX((A$1:A749=A750)*(B$1:B749=B750)*ROW(A$1:A749)))),IF(INDEX(I$1:I749,SUMPRODUCT(MAX((A$1:A749=A750)*(B$1:B749=B750)*ROW(A$1:A749))))="",C750&amp;"",INDEX(I$1:I749,SUMPRODUCT(MAX((A$1:A749=A750)*(B$1:B749=B750)*ROW(A$1:A749))))&amp;"; "&amp;C750))))</f>
        <v/>
      </c>
      <c r="J750" s="18" t="str">
        <f aca="false">IF(A750="","",A750&amp;"|"&amp;COUNTIF(A$2:A750,A750))</f>
        <v/>
      </c>
      <c r="K750" s="18" t="n">
        <f aca="false">IF(OR(A750="",B750=""),0,IF(COUNTIFS(A$2:A750,A750,B$2:B750,B750)=1,1,0))</f>
        <v>0</v>
      </c>
    </row>
    <row r="751" customFormat="false" ht="15" hidden="false" customHeight="false" outlineLevel="0" collapsed="false">
      <c r="A751" s="15"/>
      <c r="B751" s="15"/>
      <c r="C751" s="15"/>
      <c r="D751" s="15"/>
      <c r="F751" s="18" t="str">
        <f aca="false">IF(B751="","",IFERROR(INDEX(Materials!$B$2:$B$201,MATCH(B751,Materials!$A$2:$A$201,0)),""))</f>
        <v/>
      </c>
      <c r="G751" s="18" t="str">
        <f aca="true">IF(AND(A751="",B751=""),"",IF(A751="","Missing product",IF(B751="","Missing material",IF(COUNTIF(ProductList,A751)=0,"Product not in Products list",IF(COUNTIF(MaterialList,B751)=0,"Material not in Materials list","OK")))))</f>
        <v/>
      </c>
      <c r="H751" s="18" t="str">
        <f aca="false">IF(F751="Active",A751&amp;"|"&amp;COUNTIFS(A$2:A751,A751,F$2:F751,"Active"),"")</f>
        <v/>
      </c>
      <c r="I751" s="18" t="str">
        <f aca="false">IF(B751="","",IF(SUMPRODUCT(MAX((A$1:A750=A751)*(B$1:B750=B751)*ROW(A$1:A750)))=0,C751&amp;"",IF(C751="",INDEX(I$1:I750,SUMPRODUCT(MAX((A$1:A750=A751)*(B$1:B750=B751)*ROW(A$1:A750)))),IF(INDEX(I$1:I750,SUMPRODUCT(MAX((A$1:A750=A751)*(B$1:B750=B751)*ROW(A$1:A750))))="",C751&amp;"",INDEX(I$1:I750,SUMPRODUCT(MAX((A$1:A750=A751)*(B$1:B750=B751)*ROW(A$1:A750))))&amp;"; "&amp;C751))))</f>
        <v/>
      </c>
      <c r="J751" s="18" t="str">
        <f aca="false">IF(A751="","",A751&amp;"|"&amp;COUNTIF(A$2:A751,A751))</f>
        <v/>
      </c>
      <c r="K751" s="18" t="n">
        <f aca="false">IF(OR(A751="",B751=""),0,IF(COUNTIFS(A$2:A751,A751,B$2:B751,B751)=1,1,0))</f>
        <v>0</v>
      </c>
    </row>
    <row r="752" customFormat="false" ht="15" hidden="false" customHeight="false" outlineLevel="0" collapsed="false">
      <c r="A752" s="15"/>
      <c r="B752" s="15"/>
      <c r="C752" s="15"/>
      <c r="D752" s="15"/>
      <c r="F752" s="18" t="str">
        <f aca="false">IF(B752="","",IFERROR(INDEX(Materials!$B$2:$B$201,MATCH(B752,Materials!$A$2:$A$201,0)),""))</f>
        <v/>
      </c>
      <c r="G752" s="18" t="str">
        <f aca="true">IF(AND(A752="",B752=""),"",IF(A752="","Missing product",IF(B752="","Missing material",IF(COUNTIF(ProductList,A752)=0,"Product not in Products list",IF(COUNTIF(MaterialList,B752)=0,"Material not in Materials list","OK")))))</f>
        <v/>
      </c>
      <c r="H752" s="18" t="str">
        <f aca="false">IF(F752="Active",A752&amp;"|"&amp;COUNTIFS(A$2:A752,A752,F$2:F752,"Active"),"")</f>
        <v/>
      </c>
      <c r="I752" s="18" t="str">
        <f aca="false">IF(B752="","",IF(SUMPRODUCT(MAX((A$1:A751=A752)*(B$1:B751=B752)*ROW(A$1:A751)))=0,C752&amp;"",IF(C752="",INDEX(I$1:I751,SUMPRODUCT(MAX((A$1:A751=A752)*(B$1:B751=B752)*ROW(A$1:A751)))),IF(INDEX(I$1:I751,SUMPRODUCT(MAX((A$1:A751=A752)*(B$1:B751=B752)*ROW(A$1:A751))))="",C752&amp;"",INDEX(I$1:I751,SUMPRODUCT(MAX((A$1:A751=A752)*(B$1:B751=B752)*ROW(A$1:A751))))&amp;"; "&amp;C752))))</f>
        <v/>
      </c>
      <c r="J752" s="18" t="str">
        <f aca="false">IF(A752="","",A752&amp;"|"&amp;COUNTIF(A$2:A752,A752))</f>
        <v/>
      </c>
      <c r="K752" s="18" t="n">
        <f aca="false">IF(OR(A752="",B752=""),0,IF(COUNTIFS(A$2:A752,A752,B$2:B752,B752)=1,1,0))</f>
        <v>0</v>
      </c>
    </row>
    <row r="753" customFormat="false" ht="15" hidden="false" customHeight="false" outlineLevel="0" collapsed="false">
      <c r="A753" s="15"/>
      <c r="B753" s="15"/>
      <c r="C753" s="15"/>
      <c r="D753" s="15"/>
      <c r="F753" s="18" t="str">
        <f aca="false">IF(B753="","",IFERROR(INDEX(Materials!$B$2:$B$201,MATCH(B753,Materials!$A$2:$A$201,0)),""))</f>
        <v/>
      </c>
      <c r="G753" s="18" t="str">
        <f aca="true">IF(AND(A753="",B753=""),"",IF(A753="","Missing product",IF(B753="","Missing material",IF(COUNTIF(ProductList,A753)=0,"Product not in Products list",IF(COUNTIF(MaterialList,B753)=0,"Material not in Materials list","OK")))))</f>
        <v/>
      </c>
      <c r="H753" s="18" t="str">
        <f aca="false">IF(F753="Active",A753&amp;"|"&amp;COUNTIFS(A$2:A753,A753,F$2:F753,"Active"),"")</f>
        <v/>
      </c>
      <c r="I753" s="18" t="str">
        <f aca="false">IF(B753="","",IF(SUMPRODUCT(MAX((A$1:A752=A753)*(B$1:B752=B753)*ROW(A$1:A752)))=0,C753&amp;"",IF(C753="",INDEX(I$1:I752,SUMPRODUCT(MAX((A$1:A752=A753)*(B$1:B752=B753)*ROW(A$1:A752)))),IF(INDEX(I$1:I752,SUMPRODUCT(MAX((A$1:A752=A753)*(B$1:B752=B753)*ROW(A$1:A752))))="",C753&amp;"",INDEX(I$1:I752,SUMPRODUCT(MAX((A$1:A752=A753)*(B$1:B752=B753)*ROW(A$1:A752))))&amp;"; "&amp;C753))))</f>
        <v/>
      </c>
      <c r="J753" s="18" t="str">
        <f aca="false">IF(A753="","",A753&amp;"|"&amp;COUNTIF(A$2:A753,A753))</f>
        <v/>
      </c>
      <c r="K753" s="18" t="n">
        <f aca="false">IF(OR(A753="",B753=""),0,IF(COUNTIFS(A$2:A753,A753,B$2:B753,B753)=1,1,0))</f>
        <v>0</v>
      </c>
    </row>
    <row r="754" customFormat="false" ht="15" hidden="false" customHeight="false" outlineLevel="0" collapsed="false">
      <c r="A754" s="15"/>
      <c r="B754" s="15"/>
      <c r="C754" s="15"/>
      <c r="D754" s="15"/>
      <c r="F754" s="18" t="str">
        <f aca="false">IF(B754="","",IFERROR(INDEX(Materials!$B$2:$B$201,MATCH(B754,Materials!$A$2:$A$201,0)),""))</f>
        <v/>
      </c>
      <c r="G754" s="18" t="str">
        <f aca="true">IF(AND(A754="",B754=""),"",IF(A754="","Missing product",IF(B754="","Missing material",IF(COUNTIF(ProductList,A754)=0,"Product not in Products list",IF(COUNTIF(MaterialList,B754)=0,"Material not in Materials list","OK")))))</f>
        <v/>
      </c>
      <c r="H754" s="18" t="str">
        <f aca="false">IF(F754="Active",A754&amp;"|"&amp;COUNTIFS(A$2:A754,A754,F$2:F754,"Active"),"")</f>
        <v/>
      </c>
      <c r="I754" s="18" t="str">
        <f aca="false">IF(B754="","",IF(SUMPRODUCT(MAX((A$1:A753=A754)*(B$1:B753=B754)*ROW(A$1:A753)))=0,C754&amp;"",IF(C754="",INDEX(I$1:I753,SUMPRODUCT(MAX((A$1:A753=A754)*(B$1:B753=B754)*ROW(A$1:A753)))),IF(INDEX(I$1:I753,SUMPRODUCT(MAX((A$1:A753=A754)*(B$1:B753=B754)*ROW(A$1:A753))))="",C754&amp;"",INDEX(I$1:I753,SUMPRODUCT(MAX((A$1:A753=A754)*(B$1:B753=B754)*ROW(A$1:A753))))&amp;"; "&amp;C754))))</f>
        <v/>
      </c>
      <c r="J754" s="18" t="str">
        <f aca="false">IF(A754="","",A754&amp;"|"&amp;COUNTIF(A$2:A754,A754))</f>
        <v/>
      </c>
      <c r="K754" s="18" t="n">
        <f aca="false">IF(OR(A754="",B754=""),0,IF(COUNTIFS(A$2:A754,A754,B$2:B754,B754)=1,1,0))</f>
        <v>0</v>
      </c>
    </row>
    <row r="755" customFormat="false" ht="15" hidden="false" customHeight="false" outlineLevel="0" collapsed="false">
      <c r="A755" s="15"/>
      <c r="B755" s="15"/>
      <c r="C755" s="15"/>
      <c r="D755" s="15"/>
      <c r="F755" s="18" t="str">
        <f aca="false">IF(B755="","",IFERROR(INDEX(Materials!$B$2:$B$201,MATCH(B755,Materials!$A$2:$A$201,0)),""))</f>
        <v/>
      </c>
      <c r="G755" s="18" t="str">
        <f aca="true">IF(AND(A755="",B755=""),"",IF(A755="","Missing product",IF(B755="","Missing material",IF(COUNTIF(ProductList,A755)=0,"Product not in Products list",IF(COUNTIF(MaterialList,B755)=0,"Material not in Materials list","OK")))))</f>
        <v/>
      </c>
      <c r="H755" s="18" t="str">
        <f aca="false">IF(F755="Active",A755&amp;"|"&amp;COUNTIFS(A$2:A755,A755,F$2:F755,"Active"),"")</f>
        <v/>
      </c>
      <c r="I755" s="18" t="str">
        <f aca="false">IF(B755="","",IF(SUMPRODUCT(MAX((A$1:A754=A755)*(B$1:B754=B755)*ROW(A$1:A754)))=0,C755&amp;"",IF(C755="",INDEX(I$1:I754,SUMPRODUCT(MAX((A$1:A754=A755)*(B$1:B754=B755)*ROW(A$1:A754)))),IF(INDEX(I$1:I754,SUMPRODUCT(MAX((A$1:A754=A755)*(B$1:B754=B755)*ROW(A$1:A754))))="",C755&amp;"",INDEX(I$1:I754,SUMPRODUCT(MAX((A$1:A754=A755)*(B$1:B754=B755)*ROW(A$1:A754))))&amp;"; "&amp;C755))))</f>
        <v/>
      </c>
      <c r="J755" s="18" t="str">
        <f aca="false">IF(A755="","",A755&amp;"|"&amp;COUNTIF(A$2:A755,A755))</f>
        <v/>
      </c>
      <c r="K755" s="18" t="n">
        <f aca="false">IF(OR(A755="",B755=""),0,IF(COUNTIFS(A$2:A755,A755,B$2:B755,B755)=1,1,0))</f>
        <v>0</v>
      </c>
    </row>
    <row r="756" customFormat="false" ht="15" hidden="false" customHeight="false" outlineLevel="0" collapsed="false">
      <c r="A756" s="15"/>
      <c r="B756" s="15"/>
      <c r="C756" s="15"/>
      <c r="D756" s="15"/>
      <c r="F756" s="18" t="str">
        <f aca="false">IF(B756="","",IFERROR(INDEX(Materials!$B$2:$B$201,MATCH(B756,Materials!$A$2:$A$201,0)),""))</f>
        <v/>
      </c>
      <c r="G756" s="18" t="str">
        <f aca="true">IF(AND(A756="",B756=""),"",IF(A756="","Missing product",IF(B756="","Missing material",IF(COUNTIF(ProductList,A756)=0,"Product not in Products list",IF(COUNTIF(MaterialList,B756)=0,"Material not in Materials list","OK")))))</f>
        <v/>
      </c>
      <c r="H756" s="18" t="str">
        <f aca="false">IF(F756="Active",A756&amp;"|"&amp;COUNTIFS(A$2:A756,A756,F$2:F756,"Active"),"")</f>
        <v/>
      </c>
      <c r="I756" s="18" t="str">
        <f aca="false">IF(B756="","",IF(SUMPRODUCT(MAX((A$1:A755=A756)*(B$1:B755=B756)*ROW(A$1:A755)))=0,C756&amp;"",IF(C756="",INDEX(I$1:I755,SUMPRODUCT(MAX((A$1:A755=A756)*(B$1:B755=B756)*ROW(A$1:A755)))),IF(INDEX(I$1:I755,SUMPRODUCT(MAX((A$1:A755=A756)*(B$1:B755=B756)*ROW(A$1:A755))))="",C756&amp;"",INDEX(I$1:I755,SUMPRODUCT(MAX((A$1:A755=A756)*(B$1:B755=B756)*ROW(A$1:A755))))&amp;"; "&amp;C756))))</f>
        <v/>
      </c>
      <c r="J756" s="18" t="str">
        <f aca="false">IF(A756="","",A756&amp;"|"&amp;COUNTIF(A$2:A756,A756))</f>
        <v/>
      </c>
      <c r="K756" s="18" t="n">
        <f aca="false">IF(OR(A756="",B756=""),0,IF(COUNTIFS(A$2:A756,A756,B$2:B756,B756)=1,1,0))</f>
        <v>0</v>
      </c>
    </row>
    <row r="757" customFormat="false" ht="15" hidden="false" customHeight="false" outlineLevel="0" collapsed="false">
      <c r="A757" s="15"/>
      <c r="B757" s="15"/>
      <c r="C757" s="15"/>
      <c r="D757" s="15"/>
      <c r="F757" s="18" t="str">
        <f aca="false">IF(B757="","",IFERROR(INDEX(Materials!$B$2:$B$201,MATCH(B757,Materials!$A$2:$A$201,0)),""))</f>
        <v/>
      </c>
      <c r="G757" s="18" t="str">
        <f aca="true">IF(AND(A757="",B757=""),"",IF(A757="","Missing product",IF(B757="","Missing material",IF(COUNTIF(ProductList,A757)=0,"Product not in Products list",IF(COUNTIF(MaterialList,B757)=0,"Material not in Materials list","OK")))))</f>
        <v/>
      </c>
      <c r="H757" s="18" t="str">
        <f aca="false">IF(F757="Active",A757&amp;"|"&amp;COUNTIFS(A$2:A757,A757,F$2:F757,"Active"),"")</f>
        <v/>
      </c>
      <c r="I757" s="18" t="str">
        <f aca="false">IF(B757="","",IF(SUMPRODUCT(MAX((A$1:A756=A757)*(B$1:B756=B757)*ROW(A$1:A756)))=0,C757&amp;"",IF(C757="",INDEX(I$1:I756,SUMPRODUCT(MAX((A$1:A756=A757)*(B$1:B756=B757)*ROW(A$1:A756)))),IF(INDEX(I$1:I756,SUMPRODUCT(MAX((A$1:A756=A757)*(B$1:B756=B757)*ROW(A$1:A756))))="",C757&amp;"",INDEX(I$1:I756,SUMPRODUCT(MAX((A$1:A756=A757)*(B$1:B756=B757)*ROW(A$1:A756))))&amp;"; "&amp;C757))))</f>
        <v/>
      </c>
      <c r="J757" s="18" t="str">
        <f aca="false">IF(A757="","",A757&amp;"|"&amp;COUNTIF(A$2:A757,A757))</f>
        <v/>
      </c>
      <c r="K757" s="18" t="n">
        <f aca="false">IF(OR(A757="",B757=""),0,IF(COUNTIFS(A$2:A757,A757,B$2:B757,B757)=1,1,0))</f>
        <v>0</v>
      </c>
    </row>
    <row r="758" customFormat="false" ht="15" hidden="false" customHeight="false" outlineLevel="0" collapsed="false">
      <c r="A758" s="15"/>
      <c r="B758" s="15"/>
      <c r="C758" s="15"/>
      <c r="D758" s="15"/>
      <c r="F758" s="18" t="str">
        <f aca="false">IF(B758="","",IFERROR(INDEX(Materials!$B$2:$B$201,MATCH(B758,Materials!$A$2:$A$201,0)),""))</f>
        <v/>
      </c>
      <c r="G758" s="18" t="str">
        <f aca="true">IF(AND(A758="",B758=""),"",IF(A758="","Missing product",IF(B758="","Missing material",IF(COUNTIF(ProductList,A758)=0,"Product not in Products list",IF(COUNTIF(MaterialList,B758)=0,"Material not in Materials list","OK")))))</f>
        <v/>
      </c>
      <c r="H758" s="18" t="str">
        <f aca="false">IF(F758="Active",A758&amp;"|"&amp;COUNTIFS(A$2:A758,A758,F$2:F758,"Active"),"")</f>
        <v/>
      </c>
      <c r="I758" s="18" t="str">
        <f aca="false">IF(B758="","",IF(SUMPRODUCT(MAX((A$1:A757=A758)*(B$1:B757=B758)*ROW(A$1:A757)))=0,C758&amp;"",IF(C758="",INDEX(I$1:I757,SUMPRODUCT(MAX((A$1:A757=A758)*(B$1:B757=B758)*ROW(A$1:A757)))),IF(INDEX(I$1:I757,SUMPRODUCT(MAX((A$1:A757=A758)*(B$1:B757=B758)*ROW(A$1:A757))))="",C758&amp;"",INDEX(I$1:I757,SUMPRODUCT(MAX((A$1:A757=A758)*(B$1:B757=B758)*ROW(A$1:A757))))&amp;"; "&amp;C758))))</f>
        <v/>
      </c>
      <c r="J758" s="18" t="str">
        <f aca="false">IF(A758="","",A758&amp;"|"&amp;COUNTIF(A$2:A758,A758))</f>
        <v/>
      </c>
      <c r="K758" s="18" t="n">
        <f aca="false">IF(OR(A758="",B758=""),0,IF(COUNTIFS(A$2:A758,A758,B$2:B758,B758)=1,1,0))</f>
        <v>0</v>
      </c>
    </row>
    <row r="759" customFormat="false" ht="15" hidden="false" customHeight="false" outlineLevel="0" collapsed="false">
      <c r="A759" s="15"/>
      <c r="B759" s="15"/>
      <c r="C759" s="15"/>
      <c r="D759" s="15"/>
      <c r="F759" s="18" t="str">
        <f aca="false">IF(B759="","",IFERROR(INDEX(Materials!$B$2:$B$201,MATCH(B759,Materials!$A$2:$A$201,0)),""))</f>
        <v/>
      </c>
      <c r="G759" s="18" t="str">
        <f aca="true">IF(AND(A759="",B759=""),"",IF(A759="","Missing product",IF(B759="","Missing material",IF(COUNTIF(ProductList,A759)=0,"Product not in Products list",IF(COUNTIF(MaterialList,B759)=0,"Material not in Materials list","OK")))))</f>
        <v/>
      </c>
      <c r="H759" s="18" t="str">
        <f aca="false">IF(F759="Active",A759&amp;"|"&amp;COUNTIFS(A$2:A759,A759,F$2:F759,"Active"),"")</f>
        <v/>
      </c>
      <c r="I759" s="18" t="str">
        <f aca="false">IF(B759="","",IF(SUMPRODUCT(MAX((A$1:A758=A759)*(B$1:B758=B759)*ROW(A$1:A758)))=0,C759&amp;"",IF(C759="",INDEX(I$1:I758,SUMPRODUCT(MAX((A$1:A758=A759)*(B$1:B758=B759)*ROW(A$1:A758)))),IF(INDEX(I$1:I758,SUMPRODUCT(MAX((A$1:A758=A759)*(B$1:B758=B759)*ROW(A$1:A758))))="",C759&amp;"",INDEX(I$1:I758,SUMPRODUCT(MAX((A$1:A758=A759)*(B$1:B758=B759)*ROW(A$1:A758))))&amp;"; "&amp;C759))))</f>
        <v/>
      </c>
      <c r="J759" s="18" t="str">
        <f aca="false">IF(A759="","",A759&amp;"|"&amp;COUNTIF(A$2:A759,A759))</f>
        <v/>
      </c>
      <c r="K759" s="18" t="n">
        <f aca="false">IF(OR(A759="",B759=""),0,IF(COUNTIFS(A$2:A759,A759,B$2:B759,B759)=1,1,0))</f>
        <v>0</v>
      </c>
    </row>
    <row r="760" customFormat="false" ht="15" hidden="false" customHeight="false" outlineLevel="0" collapsed="false">
      <c r="A760" s="15"/>
      <c r="B760" s="15"/>
      <c r="C760" s="15"/>
      <c r="D760" s="15"/>
      <c r="F760" s="18" t="str">
        <f aca="false">IF(B760="","",IFERROR(INDEX(Materials!$B$2:$B$201,MATCH(B760,Materials!$A$2:$A$201,0)),""))</f>
        <v/>
      </c>
      <c r="G760" s="18" t="str">
        <f aca="true">IF(AND(A760="",B760=""),"",IF(A760="","Missing product",IF(B760="","Missing material",IF(COUNTIF(ProductList,A760)=0,"Product not in Products list",IF(COUNTIF(MaterialList,B760)=0,"Material not in Materials list","OK")))))</f>
        <v/>
      </c>
      <c r="H760" s="18" t="str">
        <f aca="false">IF(F760="Active",A760&amp;"|"&amp;COUNTIFS(A$2:A760,A760,F$2:F760,"Active"),"")</f>
        <v/>
      </c>
      <c r="I760" s="18" t="str">
        <f aca="false">IF(B760="","",IF(SUMPRODUCT(MAX((A$1:A759=A760)*(B$1:B759=B760)*ROW(A$1:A759)))=0,C760&amp;"",IF(C760="",INDEX(I$1:I759,SUMPRODUCT(MAX((A$1:A759=A760)*(B$1:B759=B760)*ROW(A$1:A759)))),IF(INDEX(I$1:I759,SUMPRODUCT(MAX((A$1:A759=A760)*(B$1:B759=B760)*ROW(A$1:A759))))="",C760&amp;"",INDEX(I$1:I759,SUMPRODUCT(MAX((A$1:A759=A760)*(B$1:B759=B760)*ROW(A$1:A759))))&amp;"; "&amp;C760))))</f>
        <v/>
      </c>
      <c r="J760" s="18" t="str">
        <f aca="false">IF(A760="","",A760&amp;"|"&amp;COUNTIF(A$2:A760,A760))</f>
        <v/>
      </c>
      <c r="K760" s="18" t="n">
        <f aca="false">IF(OR(A760="",B760=""),0,IF(COUNTIFS(A$2:A760,A760,B$2:B760,B760)=1,1,0))</f>
        <v>0</v>
      </c>
    </row>
    <row r="761" customFormat="false" ht="15" hidden="false" customHeight="false" outlineLevel="0" collapsed="false">
      <c r="A761" s="15"/>
      <c r="B761" s="15"/>
      <c r="C761" s="15"/>
      <c r="D761" s="15"/>
      <c r="F761" s="18" t="str">
        <f aca="false">IF(B761="","",IFERROR(INDEX(Materials!$B$2:$B$201,MATCH(B761,Materials!$A$2:$A$201,0)),""))</f>
        <v/>
      </c>
      <c r="G761" s="18" t="str">
        <f aca="true">IF(AND(A761="",B761=""),"",IF(A761="","Missing product",IF(B761="","Missing material",IF(COUNTIF(ProductList,A761)=0,"Product not in Products list",IF(COUNTIF(MaterialList,B761)=0,"Material not in Materials list","OK")))))</f>
        <v/>
      </c>
      <c r="H761" s="18" t="str">
        <f aca="false">IF(F761="Active",A761&amp;"|"&amp;COUNTIFS(A$2:A761,A761,F$2:F761,"Active"),"")</f>
        <v/>
      </c>
      <c r="I761" s="18" t="str">
        <f aca="false">IF(B761="","",IF(SUMPRODUCT(MAX((A$1:A760=A761)*(B$1:B760=B761)*ROW(A$1:A760)))=0,C761&amp;"",IF(C761="",INDEX(I$1:I760,SUMPRODUCT(MAX((A$1:A760=A761)*(B$1:B760=B761)*ROW(A$1:A760)))),IF(INDEX(I$1:I760,SUMPRODUCT(MAX((A$1:A760=A761)*(B$1:B760=B761)*ROW(A$1:A760))))="",C761&amp;"",INDEX(I$1:I760,SUMPRODUCT(MAX((A$1:A760=A761)*(B$1:B760=B761)*ROW(A$1:A760))))&amp;"; "&amp;C761))))</f>
        <v/>
      </c>
      <c r="J761" s="18" t="str">
        <f aca="false">IF(A761="","",A761&amp;"|"&amp;COUNTIF(A$2:A761,A761))</f>
        <v/>
      </c>
      <c r="K761" s="18" t="n">
        <f aca="false">IF(OR(A761="",B761=""),0,IF(COUNTIFS(A$2:A761,A761,B$2:B761,B761)=1,1,0))</f>
        <v>0</v>
      </c>
    </row>
    <row r="762" customFormat="false" ht="15" hidden="false" customHeight="false" outlineLevel="0" collapsed="false">
      <c r="A762" s="15"/>
      <c r="B762" s="15"/>
      <c r="C762" s="15"/>
      <c r="D762" s="15"/>
      <c r="F762" s="18" t="str">
        <f aca="false">IF(B762="","",IFERROR(INDEX(Materials!$B$2:$B$201,MATCH(B762,Materials!$A$2:$A$201,0)),""))</f>
        <v/>
      </c>
      <c r="G762" s="18" t="str">
        <f aca="true">IF(AND(A762="",B762=""),"",IF(A762="","Missing product",IF(B762="","Missing material",IF(COUNTIF(ProductList,A762)=0,"Product not in Products list",IF(COUNTIF(MaterialList,B762)=0,"Material not in Materials list","OK")))))</f>
        <v/>
      </c>
      <c r="H762" s="18" t="str">
        <f aca="false">IF(F762="Active",A762&amp;"|"&amp;COUNTIFS(A$2:A762,A762,F$2:F762,"Active"),"")</f>
        <v/>
      </c>
      <c r="I762" s="18" t="str">
        <f aca="false">IF(B762="","",IF(SUMPRODUCT(MAX((A$1:A761=A762)*(B$1:B761=B762)*ROW(A$1:A761)))=0,C762&amp;"",IF(C762="",INDEX(I$1:I761,SUMPRODUCT(MAX((A$1:A761=A762)*(B$1:B761=B762)*ROW(A$1:A761)))),IF(INDEX(I$1:I761,SUMPRODUCT(MAX((A$1:A761=A762)*(B$1:B761=B762)*ROW(A$1:A761))))="",C762&amp;"",INDEX(I$1:I761,SUMPRODUCT(MAX((A$1:A761=A762)*(B$1:B761=B762)*ROW(A$1:A761))))&amp;"; "&amp;C762))))</f>
        <v/>
      </c>
      <c r="J762" s="18" t="str">
        <f aca="false">IF(A762="","",A762&amp;"|"&amp;COUNTIF(A$2:A762,A762))</f>
        <v/>
      </c>
      <c r="K762" s="18" t="n">
        <f aca="false">IF(OR(A762="",B762=""),0,IF(COUNTIFS(A$2:A762,A762,B$2:B762,B762)=1,1,0))</f>
        <v>0</v>
      </c>
    </row>
    <row r="763" customFormat="false" ht="15" hidden="false" customHeight="false" outlineLevel="0" collapsed="false">
      <c r="A763" s="15"/>
      <c r="B763" s="15"/>
      <c r="C763" s="15"/>
      <c r="D763" s="15"/>
      <c r="F763" s="18" t="str">
        <f aca="false">IF(B763="","",IFERROR(INDEX(Materials!$B$2:$B$201,MATCH(B763,Materials!$A$2:$A$201,0)),""))</f>
        <v/>
      </c>
      <c r="G763" s="18" t="str">
        <f aca="true">IF(AND(A763="",B763=""),"",IF(A763="","Missing product",IF(B763="","Missing material",IF(COUNTIF(ProductList,A763)=0,"Product not in Products list",IF(COUNTIF(MaterialList,B763)=0,"Material not in Materials list","OK")))))</f>
        <v/>
      </c>
      <c r="H763" s="18" t="str">
        <f aca="false">IF(F763="Active",A763&amp;"|"&amp;COUNTIFS(A$2:A763,A763,F$2:F763,"Active"),"")</f>
        <v/>
      </c>
      <c r="I763" s="18" t="str">
        <f aca="false">IF(B763="","",IF(SUMPRODUCT(MAX((A$1:A762=A763)*(B$1:B762=B763)*ROW(A$1:A762)))=0,C763&amp;"",IF(C763="",INDEX(I$1:I762,SUMPRODUCT(MAX((A$1:A762=A763)*(B$1:B762=B763)*ROW(A$1:A762)))),IF(INDEX(I$1:I762,SUMPRODUCT(MAX((A$1:A762=A763)*(B$1:B762=B763)*ROW(A$1:A762))))="",C763&amp;"",INDEX(I$1:I762,SUMPRODUCT(MAX((A$1:A762=A763)*(B$1:B762=B763)*ROW(A$1:A762))))&amp;"; "&amp;C763))))</f>
        <v/>
      </c>
      <c r="J763" s="18" t="str">
        <f aca="false">IF(A763="","",A763&amp;"|"&amp;COUNTIF(A$2:A763,A763))</f>
        <v/>
      </c>
      <c r="K763" s="18" t="n">
        <f aca="false">IF(OR(A763="",B763=""),0,IF(COUNTIFS(A$2:A763,A763,B$2:B763,B763)=1,1,0))</f>
        <v>0</v>
      </c>
    </row>
    <row r="764" customFormat="false" ht="15" hidden="false" customHeight="false" outlineLevel="0" collapsed="false">
      <c r="A764" s="15"/>
      <c r="B764" s="15"/>
      <c r="C764" s="15"/>
      <c r="D764" s="15"/>
      <c r="F764" s="18" t="str">
        <f aca="false">IF(B764="","",IFERROR(INDEX(Materials!$B$2:$B$201,MATCH(B764,Materials!$A$2:$A$201,0)),""))</f>
        <v/>
      </c>
      <c r="G764" s="18" t="str">
        <f aca="true">IF(AND(A764="",B764=""),"",IF(A764="","Missing product",IF(B764="","Missing material",IF(COUNTIF(ProductList,A764)=0,"Product not in Products list",IF(COUNTIF(MaterialList,B764)=0,"Material not in Materials list","OK")))))</f>
        <v/>
      </c>
      <c r="H764" s="18" t="str">
        <f aca="false">IF(F764="Active",A764&amp;"|"&amp;COUNTIFS(A$2:A764,A764,F$2:F764,"Active"),"")</f>
        <v/>
      </c>
      <c r="I764" s="18" t="str">
        <f aca="false">IF(B764="","",IF(SUMPRODUCT(MAX((A$1:A763=A764)*(B$1:B763=B764)*ROW(A$1:A763)))=0,C764&amp;"",IF(C764="",INDEX(I$1:I763,SUMPRODUCT(MAX((A$1:A763=A764)*(B$1:B763=B764)*ROW(A$1:A763)))),IF(INDEX(I$1:I763,SUMPRODUCT(MAX((A$1:A763=A764)*(B$1:B763=B764)*ROW(A$1:A763))))="",C764&amp;"",INDEX(I$1:I763,SUMPRODUCT(MAX((A$1:A763=A764)*(B$1:B763=B764)*ROW(A$1:A763))))&amp;"; "&amp;C764))))</f>
        <v/>
      </c>
      <c r="J764" s="18" t="str">
        <f aca="false">IF(A764="","",A764&amp;"|"&amp;COUNTIF(A$2:A764,A764))</f>
        <v/>
      </c>
      <c r="K764" s="18" t="n">
        <f aca="false">IF(OR(A764="",B764=""),0,IF(COUNTIFS(A$2:A764,A764,B$2:B764,B764)=1,1,0))</f>
        <v>0</v>
      </c>
    </row>
    <row r="765" customFormat="false" ht="15" hidden="false" customHeight="false" outlineLevel="0" collapsed="false">
      <c r="A765" s="15"/>
      <c r="B765" s="15"/>
      <c r="C765" s="15"/>
      <c r="D765" s="15"/>
      <c r="F765" s="18" t="str">
        <f aca="false">IF(B765="","",IFERROR(INDEX(Materials!$B$2:$B$201,MATCH(B765,Materials!$A$2:$A$201,0)),""))</f>
        <v/>
      </c>
      <c r="G765" s="18" t="str">
        <f aca="true">IF(AND(A765="",B765=""),"",IF(A765="","Missing product",IF(B765="","Missing material",IF(COUNTIF(ProductList,A765)=0,"Product not in Products list",IF(COUNTIF(MaterialList,B765)=0,"Material not in Materials list","OK")))))</f>
        <v/>
      </c>
      <c r="H765" s="18" t="str">
        <f aca="false">IF(F765="Active",A765&amp;"|"&amp;COUNTIFS(A$2:A765,A765,F$2:F765,"Active"),"")</f>
        <v/>
      </c>
      <c r="I765" s="18" t="str">
        <f aca="false">IF(B765="","",IF(SUMPRODUCT(MAX((A$1:A764=A765)*(B$1:B764=B765)*ROW(A$1:A764)))=0,C765&amp;"",IF(C765="",INDEX(I$1:I764,SUMPRODUCT(MAX((A$1:A764=A765)*(B$1:B764=B765)*ROW(A$1:A764)))),IF(INDEX(I$1:I764,SUMPRODUCT(MAX((A$1:A764=A765)*(B$1:B764=B765)*ROW(A$1:A764))))="",C765&amp;"",INDEX(I$1:I764,SUMPRODUCT(MAX((A$1:A764=A765)*(B$1:B764=B765)*ROW(A$1:A764))))&amp;"; "&amp;C765))))</f>
        <v/>
      </c>
      <c r="J765" s="18" t="str">
        <f aca="false">IF(A765="","",A765&amp;"|"&amp;COUNTIF(A$2:A765,A765))</f>
        <v/>
      </c>
      <c r="K765" s="18" t="n">
        <f aca="false">IF(OR(A765="",B765=""),0,IF(COUNTIFS(A$2:A765,A765,B$2:B765,B765)=1,1,0))</f>
        <v>0</v>
      </c>
    </row>
    <row r="766" customFormat="false" ht="15" hidden="false" customHeight="false" outlineLevel="0" collapsed="false">
      <c r="A766" s="15"/>
      <c r="B766" s="15"/>
      <c r="C766" s="15"/>
      <c r="D766" s="15"/>
      <c r="F766" s="18" t="str">
        <f aca="false">IF(B766="","",IFERROR(INDEX(Materials!$B$2:$B$201,MATCH(B766,Materials!$A$2:$A$201,0)),""))</f>
        <v/>
      </c>
      <c r="G766" s="18" t="str">
        <f aca="true">IF(AND(A766="",B766=""),"",IF(A766="","Missing product",IF(B766="","Missing material",IF(COUNTIF(ProductList,A766)=0,"Product not in Products list",IF(COUNTIF(MaterialList,B766)=0,"Material not in Materials list","OK")))))</f>
        <v/>
      </c>
      <c r="H766" s="18" t="str">
        <f aca="false">IF(F766="Active",A766&amp;"|"&amp;COUNTIFS(A$2:A766,A766,F$2:F766,"Active"),"")</f>
        <v/>
      </c>
      <c r="I766" s="18" t="str">
        <f aca="false">IF(B766="","",IF(SUMPRODUCT(MAX((A$1:A765=A766)*(B$1:B765=B766)*ROW(A$1:A765)))=0,C766&amp;"",IF(C766="",INDEX(I$1:I765,SUMPRODUCT(MAX((A$1:A765=A766)*(B$1:B765=B766)*ROW(A$1:A765)))),IF(INDEX(I$1:I765,SUMPRODUCT(MAX((A$1:A765=A766)*(B$1:B765=B766)*ROW(A$1:A765))))="",C766&amp;"",INDEX(I$1:I765,SUMPRODUCT(MAX((A$1:A765=A766)*(B$1:B765=B766)*ROW(A$1:A765))))&amp;"; "&amp;C766))))</f>
        <v/>
      </c>
      <c r="J766" s="18" t="str">
        <f aca="false">IF(A766="","",A766&amp;"|"&amp;COUNTIF(A$2:A766,A766))</f>
        <v/>
      </c>
      <c r="K766" s="18" t="n">
        <f aca="false">IF(OR(A766="",B766=""),0,IF(COUNTIFS(A$2:A766,A766,B$2:B766,B766)=1,1,0))</f>
        <v>0</v>
      </c>
    </row>
    <row r="767" customFormat="false" ht="15" hidden="false" customHeight="false" outlineLevel="0" collapsed="false">
      <c r="A767" s="15"/>
      <c r="B767" s="15"/>
      <c r="C767" s="15"/>
      <c r="D767" s="15"/>
      <c r="F767" s="18" t="str">
        <f aca="false">IF(B767="","",IFERROR(INDEX(Materials!$B$2:$B$201,MATCH(B767,Materials!$A$2:$A$201,0)),""))</f>
        <v/>
      </c>
      <c r="G767" s="18" t="str">
        <f aca="true">IF(AND(A767="",B767=""),"",IF(A767="","Missing product",IF(B767="","Missing material",IF(COUNTIF(ProductList,A767)=0,"Product not in Products list",IF(COUNTIF(MaterialList,B767)=0,"Material not in Materials list","OK")))))</f>
        <v/>
      </c>
      <c r="H767" s="18" t="str">
        <f aca="false">IF(F767="Active",A767&amp;"|"&amp;COUNTIFS(A$2:A767,A767,F$2:F767,"Active"),"")</f>
        <v/>
      </c>
      <c r="I767" s="18" t="str">
        <f aca="false">IF(B767="","",IF(SUMPRODUCT(MAX((A$1:A766=A767)*(B$1:B766=B767)*ROW(A$1:A766)))=0,C767&amp;"",IF(C767="",INDEX(I$1:I766,SUMPRODUCT(MAX((A$1:A766=A767)*(B$1:B766=B767)*ROW(A$1:A766)))),IF(INDEX(I$1:I766,SUMPRODUCT(MAX((A$1:A766=A767)*(B$1:B766=B767)*ROW(A$1:A766))))="",C767&amp;"",INDEX(I$1:I766,SUMPRODUCT(MAX((A$1:A766=A767)*(B$1:B766=B767)*ROW(A$1:A766))))&amp;"; "&amp;C767))))</f>
        <v/>
      </c>
      <c r="J767" s="18" t="str">
        <f aca="false">IF(A767="","",A767&amp;"|"&amp;COUNTIF(A$2:A767,A767))</f>
        <v/>
      </c>
      <c r="K767" s="18" t="n">
        <f aca="false">IF(OR(A767="",B767=""),0,IF(COUNTIFS(A$2:A767,A767,B$2:B767,B767)=1,1,0))</f>
        <v>0</v>
      </c>
    </row>
    <row r="768" customFormat="false" ht="15" hidden="false" customHeight="false" outlineLevel="0" collapsed="false">
      <c r="A768" s="15"/>
      <c r="B768" s="15"/>
      <c r="C768" s="15"/>
      <c r="D768" s="15"/>
      <c r="F768" s="18" t="str">
        <f aca="false">IF(B768="","",IFERROR(INDEX(Materials!$B$2:$B$201,MATCH(B768,Materials!$A$2:$A$201,0)),""))</f>
        <v/>
      </c>
      <c r="G768" s="18" t="str">
        <f aca="true">IF(AND(A768="",B768=""),"",IF(A768="","Missing product",IF(B768="","Missing material",IF(COUNTIF(ProductList,A768)=0,"Product not in Products list",IF(COUNTIF(MaterialList,B768)=0,"Material not in Materials list","OK")))))</f>
        <v/>
      </c>
      <c r="H768" s="18" t="str">
        <f aca="false">IF(F768="Active",A768&amp;"|"&amp;COUNTIFS(A$2:A768,A768,F$2:F768,"Active"),"")</f>
        <v/>
      </c>
      <c r="I768" s="18" t="str">
        <f aca="false">IF(B768="","",IF(SUMPRODUCT(MAX((A$1:A767=A768)*(B$1:B767=B768)*ROW(A$1:A767)))=0,C768&amp;"",IF(C768="",INDEX(I$1:I767,SUMPRODUCT(MAX((A$1:A767=A768)*(B$1:B767=B768)*ROW(A$1:A767)))),IF(INDEX(I$1:I767,SUMPRODUCT(MAX((A$1:A767=A768)*(B$1:B767=B768)*ROW(A$1:A767))))="",C768&amp;"",INDEX(I$1:I767,SUMPRODUCT(MAX((A$1:A767=A768)*(B$1:B767=B768)*ROW(A$1:A767))))&amp;"; "&amp;C768))))</f>
        <v/>
      </c>
      <c r="J768" s="18" t="str">
        <f aca="false">IF(A768="","",A768&amp;"|"&amp;COUNTIF(A$2:A768,A768))</f>
        <v/>
      </c>
      <c r="K768" s="18" t="n">
        <f aca="false">IF(OR(A768="",B768=""),0,IF(COUNTIFS(A$2:A768,A768,B$2:B768,B768)=1,1,0))</f>
        <v>0</v>
      </c>
    </row>
    <row r="769" customFormat="false" ht="15" hidden="false" customHeight="false" outlineLevel="0" collapsed="false">
      <c r="A769" s="15"/>
      <c r="B769" s="15"/>
      <c r="C769" s="15"/>
      <c r="D769" s="15"/>
      <c r="F769" s="18" t="str">
        <f aca="false">IF(B769="","",IFERROR(INDEX(Materials!$B$2:$B$201,MATCH(B769,Materials!$A$2:$A$201,0)),""))</f>
        <v/>
      </c>
      <c r="G769" s="18" t="str">
        <f aca="true">IF(AND(A769="",B769=""),"",IF(A769="","Missing product",IF(B769="","Missing material",IF(COUNTIF(ProductList,A769)=0,"Product not in Products list",IF(COUNTIF(MaterialList,B769)=0,"Material not in Materials list","OK")))))</f>
        <v/>
      </c>
      <c r="H769" s="18" t="str">
        <f aca="false">IF(F769="Active",A769&amp;"|"&amp;COUNTIFS(A$2:A769,A769,F$2:F769,"Active"),"")</f>
        <v/>
      </c>
      <c r="I769" s="18" t="str">
        <f aca="false">IF(B769="","",IF(SUMPRODUCT(MAX((A$1:A768=A769)*(B$1:B768=B769)*ROW(A$1:A768)))=0,C769&amp;"",IF(C769="",INDEX(I$1:I768,SUMPRODUCT(MAX((A$1:A768=A769)*(B$1:B768=B769)*ROW(A$1:A768)))),IF(INDEX(I$1:I768,SUMPRODUCT(MAX((A$1:A768=A769)*(B$1:B768=B769)*ROW(A$1:A768))))="",C769&amp;"",INDEX(I$1:I768,SUMPRODUCT(MAX((A$1:A768=A769)*(B$1:B768=B769)*ROW(A$1:A768))))&amp;"; "&amp;C769))))</f>
        <v/>
      </c>
      <c r="J769" s="18" t="str">
        <f aca="false">IF(A769="","",A769&amp;"|"&amp;COUNTIF(A$2:A769,A769))</f>
        <v/>
      </c>
      <c r="K769" s="18" t="n">
        <f aca="false">IF(OR(A769="",B769=""),0,IF(COUNTIFS(A$2:A769,A769,B$2:B769,B769)=1,1,0))</f>
        <v>0</v>
      </c>
    </row>
    <row r="770" customFormat="false" ht="15" hidden="false" customHeight="false" outlineLevel="0" collapsed="false">
      <c r="A770" s="15"/>
      <c r="B770" s="15"/>
      <c r="C770" s="15"/>
      <c r="D770" s="15"/>
      <c r="F770" s="18" t="str">
        <f aca="false">IF(B770="","",IFERROR(INDEX(Materials!$B$2:$B$201,MATCH(B770,Materials!$A$2:$A$201,0)),""))</f>
        <v/>
      </c>
      <c r="G770" s="18" t="str">
        <f aca="true">IF(AND(A770="",B770=""),"",IF(A770="","Missing product",IF(B770="","Missing material",IF(COUNTIF(ProductList,A770)=0,"Product not in Products list",IF(COUNTIF(MaterialList,B770)=0,"Material not in Materials list","OK")))))</f>
        <v/>
      </c>
      <c r="H770" s="18" t="str">
        <f aca="false">IF(F770="Active",A770&amp;"|"&amp;COUNTIFS(A$2:A770,A770,F$2:F770,"Active"),"")</f>
        <v/>
      </c>
      <c r="I770" s="18" t="str">
        <f aca="false">IF(B770="","",IF(SUMPRODUCT(MAX((A$1:A769=A770)*(B$1:B769=B770)*ROW(A$1:A769)))=0,C770&amp;"",IF(C770="",INDEX(I$1:I769,SUMPRODUCT(MAX((A$1:A769=A770)*(B$1:B769=B770)*ROW(A$1:A769)))),IF(INDEX(I$1:I769,SUMPRODUCT(MAX((A$1:A769=A770)*(B$1:B769=B770)*ROW(A$1:A769))))="",C770&amp;"",INDEX(I$1:I769,SUMPRODUCT(MAX((A$1:A769=A770)*(B$1:B769=B770)*ROW(A$1:A769))))&amp;"; "&amp;C770))))</f>
        <v/>
      </c>
      <c r="J770" s="18" t="str">
        <f aca="false">IF(A770="","",A770&amp;"|"&amp;COUNTIF(A$2:A770,A770))</f>
        <v/>
      </c>
      <c r="K770" s="18" t="n">
        <f aca="false">IF(OR(A770="",B770=""),0,IF(COUNTIFS(A$2:A770,A770,B$2:B770,B770)=1,1,0))</f>
        <v>0</v>
      </c>
    </row>
    <row r="771" customFormat="false" ht="15" hidden="false" customHeight="false" outlineLevel="0" collapsed="false">
      <c r="A771" s="15"/>
      <c r="B771" s="15"/>
      <c r="C771" s="15"/>
      <c r="D771" s="15"/>
      <c r="F771" s="18" t="str">
        <f aca="false">IF(B771="","",IFERROR(INDEX(Materials!$B$2:$B$201,MATCH(B771,Materials!$A$2:$A$201,0)),""))</f>
        <v/>
      </c>
      <c r="G771" s="18" t="str">
        <f aca="true">IF(AND(A771="",B771=""),"",IF(A771="","Missing product",IF(B771="","Missing material",IF(COUNTIF(ProductList,A771)=0,"Product not in Products list",IF(COUNTIF(MaterialList,B771)=0,"Material not in Materials list","OK")))))</f>
        <v/>
      </c>
      <c r="H771" s="18" t="str">
        <f aca="false">IF(F771="Active",A771&amp;"|"&amp;COUNTIFS(A$2:A771,A771,F$2:F771,"Active"),"")</f>
        <v/>
      </c>
      <c r="I771" s="18" t="str">
        <f aca="false">IF(B771="","",IF(SUMPRODUCT(MAX((A$1:A770=A771)*(B$1:B770=B771)*ROW(A$1:A770)))=0,C771&amp;"",IF(C771="",INDEX(I$1:I770,SUMPRODUCT(MAX((A$1:A770=A771)*(B$1:B770=B771)*ROW(A$1:A770)))),IF(INDEX(I$1:I770,SUMPRODUCT(MAX((A$1:A770=A771)*(B$1:B770=B771)*ROW(A$1:A770))))="",C771&amp;"",INDEX(I$1:I770,SUMPRODUCT(MAX((A$1:A770=A771)*(B$1:B770=B771)*ROW(A$1:A770))))&amp;"; "&amp;C771))))</f>
        <v/>
      </c>
      <c r="J771" s="18" t="str">
        <f aca="false">IF(A771="","",A771&amp;"|"&amp;COUNTIF(A$2:A771,A771))</f>
        <v/>
      </c>
      <c r="K771" s="18" t="n">
        <f aca="false">IF(OR(A771="",B771=""),0,IF(COUNTIFS(A$2:A771,A771,B$2:B771,B771)=1,1,0))</f>
        <v>0</v>
      </c>
    </row>
    <row r="772" customFormat="false" ht="15" hidden="false" customHeight="false" outlineLevel="0" collapsed="false">
      <c r="A772" s="15"/>
      <c r="B772" s="15"/>
      <c r="C772" s="15"/>
      <c r="D772" s="15"/>
      <c r="F772" s="18" t="str">
        <f aca="false">IF(B772="","",IFERROR(INDEX(Materials!$B$2:$B$201,MATCH(B772,Materials!$A$2:$A$201,0)),""))</f>
        <v/>
      </c>
      <c r="G772" s="18" t="str">
        <f aca="true">IF(AND(A772="",B772=""),"",IF(A772="","Missing product",IF(B772="","Missing material",IF(COUNTIF(ProductList,A772)=0,"Product not in Products list",IF(COUNTIF(MaterialList,B772)=0,"Material not in Materials list","OK")))))</f>
        <v/>
      </c>
      <c r="H772" s="18" t="str">
        <f aca="false">IF(F772="Active",A772&amp;"|"&amp;COUNTIFS(A$2:A772,A772,F$2:F772,"Active"),"")</f>
        <v/>
      </c>
      <c r="I772" s="18" t="str">
        <f aca="false">IF(B772="","",IF(SUMPRODUCT(MAX((A$1:A771=A772)*(B$1:B771=B772)*ROW(A$1:A771)))=0,C772&amp;"",IF(C772="",INDEX(I$1:I771,SUMPRODUCT(MAX((A$1:A771=A772)*(B$1:B771=B772)*ROW(A$1:A771)))),IF(INDEX(I$1:I771,SUMPRODUCT(MAX((A$1:A771=A772)*(B$1:B771=B772)*ROW(A$1:A771))))="",C772&amp;"",INDEX(I$1:I771,SUMPRODUCT(MAX((A$1:A771=A772)*(B$1:B771=B772)*ROW(A$1:A771))))&amp;"; "&amp;C772))))</f>
        <v/>
      </c>
      <c r="J772" s="18" t="str">
        <f aca="false">IF(A772="","",A772&amp;"|"&amp;COUNTIF(A$2:A772,A772))</f>
        <v/>
      </c>
      <c r="K772" s="18" t="n">
        <f aca="false">IF(OR(A772="",B772=""),0,IF(COUNTIFS(A$2:A772,A772,B$2:B772,B772)=1,1,0))</f>
        <v>0</v>
      </c>
    </row>
    <row r="773" customFormat="false" ht="15" hidden="false" customHeight="false" outlineLevel="0" collapsed="false">
      <c r="A773" s="15"/>
      <c r="B773" s="15"/>
      <c r="C773" s="15"/>
      <c r="D773" s="15"/>
      <c r="F773" s="18" t="str">
        <f aca="false">IF(B773="","",IFERROR(INDEX(Materials!$B$2:$B$201,MATCH(B773,Materials!$A$2:$A$201,0)),""))</f>
        <v/>
      </c>
      <c r="G773" s="18" t="str">
        <f aca="true">IF(AND(A773="",B773=""),"",IF(A773="","Missing product",IF(B773="","Missing material",IF(COUNTIF(ProductList,A773)=0,"Product not in Products list",IF(COUNTIF(MaterialList,B773)=0,"Material not in Materials list","OK")))))</f>
        <v/>
      </c>
      <c r="H773" s="18" t="str">
        <f aca="false">IF(F773="Active",A773&amp;"|"&amp;COUNTIFS(A$2:A773,A773,F$2:F773,"Active"),"")</f>
        <v/>
      </c>
      <c r="I773" s="18" t="str">
        <f aca="false">IF(B773="","",IF(SUMPRODUCT(MAX((A$1:A772=A773)*(B$1:B772=B773)*ROW(A$1:A772)))=0,C773&amp;"",IF(C773="",INDEX(I$1:I772,SUMPRODUCT(MAX((A$1:A772=A773)*(B$1:B772=B773)*ROW(A$1:A772)))),IF(INDEX(I$1:I772,SUMPRODUCT(MAX((A$1:A772=A773)*(B$1:B772=B773)*ROW(A$1:A772))))="",C773&amp;"",INDEX(I$1:I772,SUMPRODUCT(MAX((A$1:A772=A773)*(B$1:B772=B773)*ROW(A$1:A772))))&amp;"; "&amp;C773))))</f>
        <v/>
      </c>
      <c r="J773" s="18" t="str">
        <f aca="false">IF(A773="","",A773&amp;"|"&amp;COUNTIF(A$2:A773,A773))</f>
        <v/>
      </c>
      <c r="K773" s="18" t="n">
        <f aca="false">IF(OR(A773="",B773=""),0,IF(COUNTIFS(A$2:A773,A773,B$2:B773,B773)=1,1,0))</f>
        <v>0</v>
      </c>
    </row>
    <row r="774" customFormat="false" ht="15" hidden="false" customHeight="false" outlineLevel="0" collapsed="false">
      <c r="A774" s="15"/>
      <c r="B774" s="15"/>
      <c r="C774" s="15"/>
      <c r="D774" s="15"/>
      <c r="F774" s="18" t="str">
        <f aca="false">IF(B774="","",IFERROR(INDEX(Materials!$B$2:$B$201,MATCH(B774,Materials!$A$2:$A$201,0)),""))</f>
        <v/>
      </c>
      <c r="G774" s="18" t="str">
        <f aca="true">IF(AND(A774="",B774=""),"",IF(A774="","Missing product",IF(B774="","Missing material",IF(COUNTIF(ProductList,A774)=0,"Product not in Products list",IF(COUNTIF(MaterialList,B774)=0,"Material not in Materials list","OK")))))</f>
        <v/>
      </c>
      <c r="H774" s="18" t="str">
        <f aca="false">IF(F774="Active",A774&amp;"|"&amp;COUNTIFS(A$2:A774,A774,F$2:F774,"Active"),"")</f>
        <v/>
      </c>
      <c r="I774" s="18" t="str">
        <f aca="false">IF(B774="","",IF(SUMPRODUCT(MAX((A$1:A773=A774)*(B$1:B773=B774)*ROW(A$1:A773)))=0,C774&amp;"",IF(C774="",INDEX(I$1:I773,SUMPRODUCT(MAX((A$1:A773=A774)*(B$1:B773=B774)*ROW(A$1:A773)))),IF(INDEX(I$1:I773,SUMPRODUCT(MAX((A$1:A773=A774)*(B$1:B773=B774)*ROW(A$1:A773))))="",C774&amp;"",INDEX(I$1:I773,SUMPRODUCT(MAX((A$1:A773=A774)*(B$1:B773=B774)*ROW(A$1:A773))))&amp;"; "&amp;C774))))</f>
        <v/>
      </c>
      <c r="J774" s="18" t="str">
        <f aca="false">IF(A774="","",A774&amp;"|"&amp;COUNTIF(A$2:A774,A774))</f>
        <v/>
      </c>
      <c r="K774" s="18" t="n">
        <f aca="false">IF(OR(A774="",B774=""),0,IF(COUNTIFS(A$2:A774,A774,B$2:B774,B774)=1,1,0))</f>
        <v>0</v>
      </c>
    </row>
    <row r="775" customFormat="false" ht="15" hidden="false" customHeight="false" outlineLevel="0" collapsed="false">
      <c r="A775" s="15"/>
      <c r="B775" s="15"/>
      <c r="C775" s="15"/>
      <c r="D775" s="15"/>
      <c r="F775" s="18" t="str">
        <f aca="false">IF(B775="","",IFERROR(INDEX(Materials!$B$2:$B$201,MATCH(B775,Materials!$A$2:$A$201,0)),""))</f>
        <v/>
      </c>
      <c r="G775" s="18" t="str">
        <f aca="true">IF(AND(A775="",B775=""),"",IF(A775="","Missing product",IF(B775="","Missing material",IF(COUNTIF(ProductList,A775)=0,"Product not in Products list",IF(COUNTIF(MaterialList,B775)=0,"Material not in Materials list","OK")))))</f>
        <v/>
      </c>
      <c r="H775" s="18" t="str">
        <f aca="false">IF(F775="Active",A775&amp;"|"&amp;COUNTIFS(A$2:A775,A775,F$2:F775,"Active"),"")</f>
        <v/>
      </c>
      <c r="I775" s="18" t="str">
        <f aca="false">IF(B775="","",IF(SUMPRODUCT(MAX((A$1:A774=A775)*(B$1:B774=B775)*ROW(A$1:A774)))=0,C775&amp;"",IF(C775="",INDEX(I$1:I774,SUMPRODUCT(MAX((A$1:A774=A775)*(B$1:B774=B775)*ROW(A$1:A774)))),IF(INDEX(I$1:I774,SUMPRODUCT(MAX((A$1:A774=A775)*(B$1:B774=B775)*ROW(A$1:A774))))="",C775&amp;"",INDEX(I$1:I774,SUMPRODUCT(MAX((A$1:A774=A775)*(B$1:B774=B775)*ROW(A$1:A774))))&amp;"; "&amp;C775))))</f>
        <v/>
      </c>
      <c r="J775" s="18" t="str">
        <f aca="false">IF(A775="","",A775&amp;"|"&amp;COUNTIF(A$2:A775,A775))</f>
        <v/>
      </c>
      <c r="K775" s="18" t="n">
        <f aca="false">IF(OR(A775="",B775=""),0,IF(COUNTIFS(A$2:A775,A775,B$2:B775,B775)=1,1,0))</f>
        <v>0</v>
      </c>
    </row>
    <row r="776" customFormat="false" ht="15" hidden="false" customHeight="false" outlineLevel="0" collapsed="false">
      <c r="A776" s="15"/>
      <c r="B776" s="15"/>
      <c r="C776" s="15"/>
      <c r="D776" s="15"/>
      <c r="F776" s="18" t="str">
        <f aca="false">IF(B776="","",IFERROR(INDEX(Materials!$B$2:$B$201,MATCH(B776,Materials!$A$2:$A$201,0)),""))</f>
        <v/>
      </c>
      <c r="G776" s="18" t="str">
        <f aca="true">IF(AND(A776="",B776=""),"",IF(A776="","Missing product",IF(B776="","Missing material",IF(COUNTIF(ProductList,A776)=0,"Product not in Products list",IF(COUNTIF(MaterialList,B776)=0,"Material not in Materials list","OK")))))</f>
        <v/>
      </c>
      <c r="H776" s="18" t="str">
        <f aca="false">IF(F776="Active",A776&amp;"|"&amp;COUNTIFS(A$2:A776,A776,F$2:F776,"Active"),"")</f>
        <v/>
      </c>
      <c r="I776" s="18" t="str">
        <f aca="false">IF(B776="","",IF(SUMPRODUCT(MAX((A$1:A775=A776)*(B$1:B775=B776)*ROW(A$1:A775)))=0,C776&amp;"",IF(C776="",INDEX(I$1:I775,SUMPRODUCT(MAX((A$1:A775=A776)*(B$1:B775=B776)*ROW(A$1:A775)))),IF(INDEX(I$1:I775,SUMPRODUCT(MAX((A$1:A775=A776)*(B$1:B775=B776)*ROW(A$1:A775))))="",C776&amp;"",INDEX(I$1:I775,SUMPRODUCT(MAX((A$1:A775=A776)*(B$1:B775=B776)*ROW(A$1:A775))))&amp;"; "&amp;C776))))</f>
        <v/>
      </c>
      <c r="J776" s="18" t="str">
        <f aca="false">IF(A776="","",A776&amp;"|"&amp;COUNTIF(A$2:A776,A776))</f>
        <v/>
      </c>
      <c r="K776" s="18" t="n">
        <f aca="false">IF(OR(A776="",B776=""),0,IF(COUNTIFS(A$2:A776,A776,B$2:B776,B776)=1,1,0))</f>
        <v>0</v>
      </c>
    </row>
    <row r="777" customFormat="false" ht="15" hidden="false" customHeight="false" outlineLevel="0" collapsed="false">
      <c r="A777" s="15"/>
      <c r="B777" s="15"/>
      <c r="C777" s="15"/>
      <c r="D777" s="15"/>
      <c r="F777" s="18" t="str">
        <f aca="false">IF(B777="","",IFERROR(INDEX(Materials!$B$2:$B$201,MATCH(B777,Materials!$A$2:$A$201,0)),""))</f>
        <v/>
      </c>
      <c r="G777" s="18" t="str">
        <f aca="true">IF(AND(A777="",B777=""),"",IF(A777="","Missing product",IF(B777="","Missing material",IF(COUNTIF(ProductList,A777)=0,"Product not in Products list",IF(COUNTIF(MaterialList,B777)=0,"Material not in Materials list","OK")))))</f>
        <v/>
      </c>
      <c r="H777" s="18" t="str">
        <f aca="false">IF(F777="Active",A777&amp;"|"&amp;COUNTIFS(A$2:A777,A777,F$2:F777,"Active"),"")</f>
        <v/>
      </c>
      <c r="I777" s="18" t="str">
        <f aca="false">IF(B777="","",IF(SUMPRODUCT(MAX((A$1:A776=A777)*(B$1:B776=B777)*ROW(A$1:A776)))=0,C777&amp;"",IF(C777="",INDEX(I$1:I776,SUMPRODUCT(MAX((A$1:A776=A777)*(B$1:B776=B777)*ROW(A$1:A776)))),IF(INDEX(I$1:I776,SUMPRODUCT(MAX((A$1:A776=A777)*(B$1:B776=B777)*ROW(A$1:A776))))="",C777&amp;"",INDEX(I$1:I776,SUMPRODUCT(MAX((A$1:A776=A777)*(B$1:B776=B777)*ROW(A$1:A776))))&amp;"; "&amp;C777))))</f>
        <v/>
      </c>
      <c r="J777" s="18" t="str">
        <f aca="false">IF(A777="","",A777&amp;"|"&amp;COUNTIF(A$2:A777,A777))</f>
        <v/>
      </c>
      <c r="K777" s="18" t="n">
        <f aca="false">IF(OR(A777="",B777=""),0,IF(COUNTIFS(A$2:A777,A777,B$2:B777,B777)=1,1,0))</f>
        <v>0</v>
      </c>
    </row>
    <row r="778" customFormat="false" ht="15" hidden="false" customHeight="false" outlineLevel="0" collapsed="false">
      <c r="A778" s="15"/>
      <c r="B778" s="15"/>
      <c r="C778" s="15"/>
      <c r="D778" s="15"/>
      <c r="F778" s="18" t="str">
        <f aca="false">IF(B778="","",IFERROR(INDEX(Materials!$B$2:$B$201,MATCH(B778,Materials!$A$2:$A$201,0)),""))</f>
        <v/>
      </c>
      <c r="G778" s="18" t="str">
        <f aca="true">IF(AND(A778="",B778=""),"",IF(A778="","Missing product",IF(B778="","Missing material",IF(COUNTIF(ProductList,A778)=0,"Product not in Products list",IF(COUNTIF(MaterialList,B778)=0,"Material not in Materials list","OK")))))</f>
        <v/>
      </c>
      <c r="H778" s="18" t="str">
        <f aca="false">IF(F778="Active",A778&amp;"|"&amp;COUNTIFS(A$2:A778,A778,F$2:F778,"Active"),"")</f>
        <v/>
      </c>
      <c r="I778" s="18" t="str">
        <f aca="false">IF(B778="","",IF(SUMPRODUCT(MAX((A$1:A777=A778)*(B$1:B777=B778)*ROW(A$1:A777)))=0,C778&amp;"",IF(C778="",INDEX(I$1:I777,SUMPRODUCT(MAX((A$1:A777=A778)*(B$1:B777=B778)*ROW(A$1:A777)))),IF(INDEX(I$1:I777,SUMPRODUCT(MAX((A$1:A777=A778)*(B$1:B777=B778)*ROW(A$1:A777))))="",C778&amp;"",INDEX(I$1:I777,SUMPRODUCT(MAX((A$1:A777=A778)*(B$1:B777=B778)*ROW(A$1:A777))))&amp;"; "&amp;C778))))</f>
        <v/>
      </c>
      <c r="J778" s="18" t="str">
        <f aca="false">IF(A778="","",A778&amp;"|"&amp;COUNTIF(A$2:A778,A778))</f>
        <v/>
      </c>
      <c r="K778" s="18" t="n">
        <f aca="false">IF(OR(A778="",B778=""),0,IF(COUNTIFS(A$2:A778,A778,B$2:B778,B778)=1,1,0))</f>
        <v>0</v>
      </c>
    </row>
    <row r="779" customFormat="false" ht="15" hidden="false" customHeight="false" outlineLevel="0" collapsed="false">
      <c r="A779" s="15"/>
      <c r="B779" s="15"/>
      <c r="C779" s="15"/>
      <c r="D779" s="15"/>
      <c r="F779" s="18" t="str">
        <f aca="false">IF(B779="","",IFERROR(INDEX(Materials!$B$2:$B$201,MATCH(B779,Materials!$A$2:$A$201,0)),""))</f>
        <v/>
      </c>
      <c r="G779" s="18" t="str">
        <f aca="true">IF(AND(A779="",B779=""),"",IF(A779="","Missing product",IF(B779="","Missing material",IF(COUNTIF(ProductList,A779)=0,"Product not in Products list",IF(COUNTIF(MaterialList,B779)=0,"Material not in Materials list","OK")))))</f>
        <v/>
      </c>
      <c r="H779" s="18" t="str">
        <f aca="false">IF(F779="Active",A779&amp;"|"&amp;COUNTIFS(A$2:A779,A779,F$2:F779,"Active"),"")</f>
        <v/>
      </c>
      <c r="I779" s="18" t="str">
        <f aca="false">IF(B779="","",IF(SUMPRODUCT(MAX((A$1:A778=A779)*(B$1:B778=B779)*ROW(A$1:A778)))=0,C779&amp;"",IF(C779="",INDEX(I$1:I778,SUMPRODUCT(MAX((A$1:A778=A779)*(B$1:B778=B779)*ROW(A$1:A778)))),IF(INDEX(I$1:I778,SUMPRODUCT(MAX((A$1:A778=A779)*(B$1:B778=B779)*ROW(A$1:A778))))="",C779&amp;"",INDEX(I$1:I778,SUMPRODUCT(MAX((A$1:A778=A779)*(B$1:B778=B779)*ROW(A$1:A778))))&amp;"; "&amp;C779))))</f>
        <v/>
      </c>
      <c r="J779" s="18" t="str">
        <f aca="false">IF(A779="","",A779&amp;"|"&amp;COUNTIF(A$2:A779,A779))</f>
        <v/>
      </c>
      <c r="K779" s="18" t="n">
        <f aca="false">IF(OR(A779="",B779=""),0,IF(COUNTIFS(A$2:A779,A779,B$2:B779,B779)=1,1,0))</f>
        <v>0</v>
      </c>
    </row>
    <row r="780" customFormat="false" ht="15" hidden="false" customHeight="false" outlineLevel="0" collapsed="false">
      <c r="A780" s="15"/>
      <c r="B780" s="15"/>
      <c r="C780" s="15"/>
      <c r="D780" s="15"/>
      <c r="F780" s="18" t="str">
        <f aca="false">IF(B780="","",IFERROR(INDEX(Materials!$B$2:$B$201,MATCH(B780,Materials!$A$2:$A$201,0)),""))</f>
        <v/>
      </c>
      <c r="G780" s="18" t="str">
        <f aca="true">IF(AND(A780="",B780=""),"",IF(A780="","Missing product",IF(B780="","Missing material",IF(COUNTIF(ProductList,A780)=0,"Product not in Products list",IF(COUNTIF(MaterialList,B780)=0,"Material not in Materials list","OK")))))</f>
        <v/>
      </c>
      <c r="H780" s="18" t="str">
        <f aca="false">IF(F780="Active",A780&amp;"|"&amp;COUNTIFS(A$2:A780,A780,F$2:F780,"Active"),"")</f>
        <v/>
      </c>
      <c r="I780" s="18" t="str">
        <f aca="false">IF(B780="","",IF(SUMPRODUCT(MAX((A$1:A779=A780)*(B$1:B779=B780)*ROW(A$1:A779)))=0,C780&amp;"",IF(C780="",INDEX(I$1:I779,SUMPRODUCT(MAX((A$1:A779=A780)*(B$1:B779=B780)*ROW(A$1:A779)))),IF(INDEX(I$1:I779,SUMPRODUCT(MAX((A$1:A779=A780)*(B$1:B779=B780)*ROW(A$1:A779))))="",C780&amp;"",INDEX(I$1:I779,SUMPRODUCT(MAX((A$1:A779=A780)*(B$1:B779=B780)*ROW(A$1:A779))))&amp;"; "&amp;C780))))</f>
        <v/>
      </c>
      <c r="J780" s="18" t="str">
        <f aca="false">IF(A780="","",A780&amp;"|"&amp;COUNTIF(A$2:A780,A780))</f>
        <v/>
      </c>
      <c r="K780" s="18" t="n">
        <f aca="false">IF(OR(A780="",B780=""),0,IF(COUNTIFS(A$2:A780,A780,B$2:B780,B780)=1,1,0))</f>
        <v>0</v>
      </c>
    </row>
    <row r="781" customFormat="false" ht="15" hidden="false" customHeight="false" outlineLevel="0" collapsed="false">
      <c r="A781" s="15"/>
      <c r="B781" s="15"/>
      <c r="C781" s="15"/>
      <c r="D781" s="15"/>
      <c r="F781" s="18" t="str">
        <f aca="false">IF(B781="","",IFERROR(INDEX(Materials!$B$2:$B$201,MATCH(B781,Materials!$A$2:$A$201,0)),""))</f>
        <v/>
      </c>
      <c r="G781" s="18" t="str">
        <f aca="true">IF(AND(A781="",B781=""),"",IF(A781="","Missing product",IF(B781="","Missing material",IF(COUNTIF(ProductList,A781)=0,"Product not in Products list",IF(COUNTIF(MaterialList,B781)=0,"Material not in Materials list","OK")))))</f>
        <v/>
      </c>
      <c r="H781" s="18" t="str">
        <f aca="false">IF(F781="Active",A781&amp;"|"&amp;COUNTIFS(A$2:A781,A781,F$2:F781,"Active"),"")</f>
        <v/>
      </c>
      <c r="I781" s="18" t="str">
        <f aca="false">IF(B781="","",IF(SUMPRODUCT(MAX((A$1:A780=A781)*(B$1:B780=B781)*ROW(A$1:A780)))=0,C781&amp;"",IF(C781="",INDEX(I$1:I780,SUMPRODUCT(MAX((A$1:A780=A781)*(B$1:B780=B781)*ROW(A$1:A780)))),IF(INDEX(I$1:I780,SUMPRODUCT(MAX((A$1:A780=A781)*(B$1:B780=B781)*ROW(A$1:A780))))="",C781&amp;"",INDEX(I$1:I780,SUMPRODUCT(MAX((A$1:A780=A781)*(B$1:B780=B781)*ROW(A$1:A780))))&amp;"; "&amp;C781))))</f>
        <v/>
      </c>
      <c r="J781" s="18" t="str">
        <f aca="false">IF(A781="","",A781&amp;"|"&amp;COUNTIF(A$2:A781,A781))</f>
        <v/>
      </c>
      <c r="K781" s="18" t="n">
        <f aca="false">IF(OR(A781="",B781=""),0,IF(COUNTIFS(A$2:A781,A781,B$2:B781,B781)=1,1,0))</f>
        <v>0</v>
      </c>
    </row>
    <row r="782" customFormat="false" ht="15" hidden="false" customHeight="false" outlineLevel="0" collapsed="false">
      <c r="A782" s="15"/>
      <c r="B782" s="15"/>
      <c r="C782" s="15"/>
      <c r="D782" s="15"/>
      <c r="F782" s="18" t="str">
        <f aca="false">IF(B782="","",IFERROR(INDEX(Materials!$B$2:$B$201,MATCH(B782,Materials!$A$2:$A$201,0)),""))</f>
        <v/>
      </c>
      <c r="G782" s="18" t="str">
        <f aca="true">IF(AND(A782="",B782=""),"",IF(A782="","Missing product",IF(B782="","Missing material",IF(COUNTIF(ProductList,A782)=0,"Product not in Products list",IF(COUNTIF(MaterialList,B782)=0,"Material not in Materials list","OK")))))</f>
        <v/>
      </c>
      <c r="H782" s="18" t="str">
        <f aca="false">IF(F782="Active",A782&amp;"|"&amp;COUNTIFS(A$2:A782,A782,F$2:F782,"Active"),"")</f>
        <v/>
      </c>
      <c r="I782" s="18" t="str">
        <f aca="false">IF(B782="","",IF(SUMPRODUCT(MAX((A$1:A781=A782)*(B$1:B781=B782)*ROW(A$1:A781)))=0,C782&amp;"",IF(C782="",INDEX(I$1:I781,SUMPRODUCT(MAX((A$1:A781=A782)*(B$1:B781=B782)*ROW(A$1:A781)))),IF(INDEX(I$1:I781,SUMPRODUCT(MAX((A$1:A781=A782)*(B$1:B781=B782)*ROW(A$1:A781))))="",C782&amp;"",INDEX(I$1:I781,SUMPRODUCT(MAX((A$1:A781=A782)*(B$1:B781=B782)*ROW(A$1:A781))))&amp;"; "&amp;C782))))</f>
        <v/>
      </c>
      <c r="J782" s="18" t="str">
        <f aca="false">IF(A782="","",A782&amp;"|"&amp;COUNTIF(A$2:A782,A782))</f>
        <v/>
      </c>
      <c r="K782" s="18" t="n">
        <f aca="false">IF(OR(A782="",B782=""),0,IF(COUNTIFS(A$2:A782,A782,B$2:B782,B782)=1,1,0))</f>
        <v>0</v>
      </c>
    </row>
    <row r="783" customFormat="false" ht="15" hidden="false" customHeight="false" outlineLevel="0" collapsed="false">
      <c r="A783" s="15"/>
      <c r="B783" s="15"/>
      <c r="C783" s="15"/>
      <c r="D783" s="15"/>
      <c r="F783" s="18" t="str">
        <f aca="false">IF(B783="","",IFERROR(INDEX(Materials!$B$2:$B$201,MATCH(B783,Materials!$A$2:$A$201,0)),""))</f>
        <v/>
      </c>
      <c r="G783" s="18" t="str">
        <f aca="true">IF(AND(A783="",B783=""),"",IF(A783="","Missing product",IF(B783="","Missing material",IF(COUNTIF(ProductList,A783)=0,"Product not in Products list",IF(COUNTIF(MaterialList,B783)=0,"Material not in Materials list","OK")))))</f>
        <v/>
      </c>
      <c r="H783" s="18" t="str">
        <f aca="false">IF(F783="Active",A783&amp;"|"&amp;COUNTIFS(A$2:A783,A783,F$2:F783,"Active"),"")</f>
        <v/>
      </c>
      <c r="I783" s="18" t="str">
        <f aca="false">IF(B783="","",IF(SUMPRODUCT(MAX((A$1:A782=A783)*(B$1:B782=B783)*ROW(A$1:A782)))=0,C783&amp;"",IF(C783="",INDEX(I$1:I782,SUMPRODUCT(MAX((A$1:A782=A783)*(B$1:B782=B783)*ROW(A$1:A782)))),IF(INDEX(I$1:I782,SUMPRODUCT(MAX((A$1:A782=A783)*(B$1:B782=B783)*ROW(A$1:A782))))="",C783&amp;"",INDEX(I$1:I782,SUMPRODUCT(MAX((A$1:A782=A783)*(B$1:B782=B783)*ROW(A$1:A782))))&amp;"; "&amp;C783))))</f>
        <v/>
      </c>
      <c r="J783" s="18" t="str">
        <f aca="false">IF(A783="","",A783&amp;"|"&amp;COUNTIF(A$2:A783,A783))</f>
        <v/>
      </c>
      <c r="K783" s="18" t="n">
        <f aca="false">IF(OR(A783="",B783=""),0,IF(COUNTIFS(A$2:A783,A783,B$2:B783,B783)=1,1,0))</f>
        <v>0</v>
      </c>
    </row>
    <row r="784" customFormat="false" ht="15" hidden="false" customHeight="false" outlineLevel="0" collapsed="false">
      <c r="A784" s="15"/>
      <c r="B784" s="15"/>
      <c r="C784" s="15"/>
      <c r="D784" s="15"/>
      <c r="F784" s="18" t="str">
        <f aca="false">IF(B784="","",IFERROR(INDEX(Materials!$B$2:$B$201,MATCH(B784,Materials!$A$2:$A$201,0)),""))</f>
        <v/>
      </c>
      <c r="G784" s="18" t="str">
        <f aca="true">IF(AND(A784="",B784=""),"",IF(A784="","Missing product",IF(B784="","Missing material",IF(COUNTIF(ProductList,A784)=0,"Product not in Products list",IF(COUNTIF(MaterialList,B784)=0,"Material not in Materials list","OK")))))</f>
        <v/>
      </c>
      <c r="H784" s="18" t="str">
        <f aca="false">IF(F784="Active",A784&amp;"|"&amp;COUNTIFS(A$2:A784,A784,F$2:F784,"Active"),"")</f>
        <v/>
      </c>
      <c r="I784" s="18" t="str">
        <f aca="false">IF(B784="","",IF(SUMPRODUCT(MAX((A$1:A783=A784)*(B$1:B783=B784)*ROW(A$1:A783)))=0,C784&amp;"",IF(C784="",INDEX(I$1:I783,SUMPRODUCT(MAX((A$1:A783=A784)*(B$1:B783=B784)*ROW(A$1:A783)))),IF(INDEX(I$1:I783,SUMPRODUCT(MAX((A$1:A783=A784)*(B$1:B783=B784)*ROW(A$1:A783))))="",C784&amp;"",INDEX(I$1:I783,SUMPRODUCT(MAX((A$1:A783=A784)*(B$1:B783=B784)*ROW(A$1:A783))))&amp;"; "&amp;C784))))</f>
        <v/>
      </c>
      <c r="J784" s="18" t="str">
        <f aca="false">IF(A784="","",A784&amp;"|"&amp;COUNTIF(A$2:A784,A784))</f>
        <v/>
      </c>
      <c r="K784" s="18" t="n">
        <f aca="false">IF(OR(A784="",B784=""),0,IF(COUNTIFS(A$2:A784,A784,B$2:B784,B784)=1,1,0))</f>
        <v>0</v>
      </c>
    </row>
    <row r="785" customFormat="false" ht="15" hidden="false" customHeight="false" outlineLevel="0" collapsed="false">
      <c r="A785" s="15"/>
      <c r="B785" s="15"/>
      <c r="C785" s="15"/>
      <c r="D785" s="15"/>
      <c r="F785" s="18" t="str">
        <f aca="false">IF(B785="","",IFERROR(INDEX(Materials!$B$2:$B$201,MATCH(B785,Materials!$A$2:$A$201,0)),""))</f>
        <v/>
      </c>
      <c r="G785" s="18" t="str">
        <f aca="true">IF(AND(A785="",B785=""),"",IF(A785="","Missing product",IF(B785="","Missing material",IF(COUNTIF(ProductList,A785)=0,"Product not in Products list",IF(COUNTIF(MaterialList,B785)=0,"Material not in Materials list","OK")))))</f>
        <v/>
      </c>
      <c r="H785" s="18" t="str">
        <f aca="false">IF(F785="Active",A785&amp;"|"&amp;COUNTIFS(A$2:A785,A785,F$2:F785,"Active"),"")</f>
        <v/>
      </c>
      <c r="I785" s="18" t="str">
        <f aca="false">IF(B785="","",IF(SUMPRODUCT(MAX((A$1:A784=A785)*(B$1:B784=B785)*ROW(A$1:A784)))=0,C785&amp;"",IF(C785="",INDEX(I$1:I784,SUMPRODUCT(MAX((A$1:A784=A785)*(B$1:B784=B785)*ROW(A$1:A784)))),IF(INDEX(I$1:I784,SUMPRODUCT(MAX((A$1:A784=A785)*(B$1:B784=B785)*ROW(A$1:A784))))="",C785&amp;"",INDEX(I$1:I784,SUMPRODUCT(MAX((A$1:A784=A785)*(B$1:B784=B785)*ROW(A$1:A784))))&amp;"; "&amp;C785))))</f>
        <v/>
      </c>
      <c r="J785" s="18" t="str">
        <f aca="false">IF(A785="","",A785&amp;"|"&amp;COUNTIF(A$2:A785,A785))</f>
        <v/>
      </c>
      <c r="K785" s="18" t="n">
        <f aca="false">IF(OR(A785="",B785=""),0,IF(COUNTIFS(A$2:A785,A785,B$2:B785,B785)=1,1,0))</f>
        <v>0</v>
      </c>
    </row>
    <row r="786" customFormat="false" ht="15" hidden="false" customHeight="false" outlineLevel="0" collapsed="false">
      <c r="A786" s="15"/>
      <c r="B786" s="15"/>
      <c r="C786" s="15"/>
      <c r="D786" s="15"/>
      <c r="F786" s="18" t="str">
        <f aca="false">IF(B786="","",IFERROR(INDEX(Materials!$B$2:$B$201,MATCH(B786,Materials!$A$2:$A$201,0)),""))</f>
        <v/>
      </c>
      <c r="G786" s="18" t="str">
        <f aca="true">IF(AND(A786="",B786=""),"",IF(A786="","Missing product",IF(B786="","Missing material",IF(COUNTIF(ProductList,A786)=0,"Product not in Products list",IF(COUNTIF(MaterialList,B786)=0,"Material not in Materials list","OK")))))</f>
        <v/>
      </c>
      <c r="H786" s="18" t="str">
        <f aca="false">IF(F786="Active",A786&amp;"|"&amp;COUNTIFS(A$2:A786,A786,F$2:F786,"Active"),"")</f>
        <v/>
      </c>
      <c r="I786" s="18" t="str">
        <f aca="false">IF(B786="","",IF(SUMPRODUCT(MAX((A$1:A785=A786)*(B$1:B785=B786)*ROW(A$1:A785)))=0,C786&amp;"",IF(C786="",INDEX(I$1:I785,SUMPRODUCT(MAX((A$1:A785=A786)*(B$1:B785=B786)*ROW(A$1:A785)))),IF(INDEX(I$1:I785,SUMPRODUCT(MAX((A$1:A785=A786)*(B$1:B785=B786)*ROW(A$1:A785))))="",C786&amp;"",INDEX(I$1:I785,SUMPRODUCT(MAX((A$1:A785=A786)*(B$1:B785=B786)*ROW(A$1:A785))))&amp;"; "&amp;C786))))</f>
        <v/>
      </c>
      <c r="J786" s="18" t="str">
        <f aca="false">IF(A786="","",A786&amp;"|"&amp;COUNTIF(A$2:A786,A786))</f>
        <v/>
      </c>
      <c r="K786" s="18" t="n">
        <f aca="false">IF(OR(A786="",B786=""),0,IF(COUNTIFS(A$2:A786,A786,B$2:B786,B786)=1,1,0))</f>
        <v>0</v>
      </c>
    </row>
    <row r="787" customFormat="false" ht="15" hidden="false" customHeight="false" outlineLevel="0" collapsed="false">
      <c r="A787" s="15"/>
      <c r="B787" s="15"/>
      <c r="C787" s="15"/>
      <c r="D787" s="15"/>
      <c r="F787" s="18" t="str">
        <f aca="false">IF(B787="","",IFERROR(INDEX(Materials!$B$2:$B$201,MATCH(B787,Materials!$A$2:$A$201,0)),""))</f>
        <v/>
      </c>
      <c r="G787" s="18" t="str">
        <f aca="true">IF(AND(A787="",B787=""),"",IF(A787="","Missing product",IF(B787="","Missing material",IF(COUNTIF(ProductList,A787)=0,"Product not in Products list",IF(COUNTIF(MaterialList,B787)=0,"Material not in Materials list","OK")))))</f>
        <v/>
      </c>
      <c r="H787" s="18" t="str">
        <f aca="false">IF(F787="Active",A787&amp;"|"&amp;COUNTIFS(A$2:A787,A787,F$2:F787,"Active"),"")</f>
        <v/>
      </c>
      <c r="I787" s="18" t="str">
        <f aca="false">IF(B787="","",IF(SUMPRODUCT(MAX((A$1:A786=A787)*(B$1:B786=B787)*ROW(A$1:A786)))=0,C787&amp;"",IF(C787="",INDEX(I$1:I786,SUMPRODUCT(MAX((A$1:A786=A787)*(B$1:B786=B787)*ROW(A$1:A786)))),IF(INDEX(I$1:I786,SUMPRODUCT(MAX((A$1:A786=A787)*(B$1:B786=B787)*ROW(A$1:A786))))="",C787&amp;"",INDEX(I$1:I786,SUMPRODUCT(MAX((A$1:A786=A787)*(B$1:B786=B787)*ROW(A$1:A786))))&amp;"; "&amp;C787))))</f>
        <v/>
      </c>
      <c r="J787" s="18" t="str">
        <f aca="false">IF(A787="","",A787&amp;"|"&amp;COUNTIF(A$2:A787,A787))</f>
        <v/>
      </c>
      <c r="K787" s="18" t="n">
        <f aca="false">IF(OR(A787="",B787=""),0,IF(COUNTIFS(A$2:A787,A787,B$2:B787,B787)=1,1,0))</f>
        <v>0</v>
      </c>
    </row>
    <row r="788" customFormat="false" ht="15" hidden="false" customHeight="false" outlineLevel="0" collapsed="false">
      <c r="A788" s="15"/>
      <c r="B788" s="15"/>
      <c r="C788" s="15"/>
      <c r="D788" s="15"/>
      <c r="F788" s="18" t="str">
        <f aca="false">IF(B788="","",IFERROR(INDEX(Materials!$B$2:$B$201,MATCH(B788,Materials!$A$2:$A$201,0)),""))</f>
        <v/>
      </c>
      <c r="G788" s="18" t="str">
        <f aca="true">IF(AND(A788="",B788=""),"",IF(A788="","Missing product",IF(B788="","Missing material",IF(COUNTIF(ProductList,A788)=0,"Product not in Products list",IF(COUNTIF(MaterialList,B788)=0,"Material not in Materials list","OK")))))</f>
        <v/>
      </c>
      <c r="H788" s="18" t="str">
        <f aca="false">IF(F788="Active",A788&amp;"|"&amp;COUNTIFS(A$2:A788,A788,F$2:F788,"Active"),"")</f>
        <v/>
      </c>
      <c r="I788" s="18" t="str">
        <f aca="false">IF(B788="","",IF(SUMPRODUCT(MAX((A$1:A787=A788)*(B$1:B787=B788)*ROW(A$1:A787)))=0,C788&amp;"",IF(C788="",INDEX(I$1:I787,SUMPRODUCT(MAX((A$1:A787=A788)*(B$1:B787=B788)*ROW(A$1:A787)))),IF(INDEX(I$1:I787,SUMPRODUCT(MAX((A$1:A787=A788)*(B$1:B787=B788)*ROW(A$1:A787))))="",C788&amp;"",INDEX(I$1:I787,SUMPRODUCT(MAX((A$1:A787=A788)*(B$1:B787=B788)*ROW(A$1:A787))))&amp;"; "&amp;C788))))</f>
        <v/>
      </c>
      <c r="J788" s="18" t="str">
        <f aca="false">IF(A788="","",A788&amp;"|"&amp;COUNTIF(A$2:A788,A788))</f>
        <v/>
      </c>
      <c r="K788" s="18" t="n">
        <f aca="false">IF(OR(A788="",B788=""),0,IF(COUNTIFS(A$2:A788,A788,B$2:B788,B788)=1,1,0))</f>
        <v>0</v>
      </c>
    </row>
    <row r="789" customFormat="false" ht="15" hidden="false" customHeight="false" outlineLevel="0" collapsed="false">
      <c r="A789" s="15"/>
      <c r="B789" s="15"/>
      <c r="C789" s="15"/>
      <c r="D789" s="15"/>
      <c r="F789" s="18" t="str">
        <f aca="false">IF(B789="","",IFERROR(INDEX(Materials!$B$2:$B$201,MATCH(B789,Materials!$A$2:$A$201,0)),""))</f>
        <v/>
      </c>
      <c r="G789" s="18" t="str">
        <f aca="true">IF(AND(A789="",B789=""),"",IF(A789="","Missing product",IF(B789="","Missing material",IF(COUNTIF(ProductList,A789)=0,"Product not in Products list",IF(COUNTIF(MaterialList,B789)=0,"Material not in Materials list","OK")))))</f>
        <v/>
      </c>
      <c r="H789" s="18" t="str">
        <f aca="false">IF(F789="Active",A789&amp;"|"&amp;COUNTIFS(A$2:A789,A789,F$2:F789,"Active"),"")</f>
        <v/>
      </c>
      <c r="I789" s="18" t="str">
        <f aca="false">IF(B789="","",IF(SUMPRODUCT(MAX((A$1:A788=A789)*(B$1:B788=B789)*ROW(A$1:A788)))=0,C789&amp;"",IF(C789="",INDEX(I$1:I788,SUMPRODUCT(MAX((A$1:A788=A789)*(B$1:B788=B789)*ROW(A$1:A788)))),IF(INDEX(I$1:I788,SUMPRODUCT(MAX((A$1:A788=A789)*(B$1:B788=B789)*ROW(A$1:A788))))="",C789&amp;"",INDEX(I$1:I788,SUMPRODUCT(MAX((A$1:A788=A789)*(B$1:B788=B789)*ROW(A$1:A788))))&amp;"; "&amp;C789))))</f>
        <v/>
      </c>
      <c r="J789" s="18" t="str">
        <f aca="false">IF(A789="","",A789&amp;"|"&amp;COUNTIF(A$2:A789,A789))</f>
        <v/>
      </c>
      <c r="K789" s="18" t="n">
        <f aca="false">IF(OR(A789="",B789=""),0,IF(COUNTIFS(A$2:A789,A789,B$2:B789,B789)=1,1,0))</f>
        <v>0</v>
      </c>
    </row>
    <row r="790" customFormat="false" ht="15" hidden="false" customHeight="false" outlineLevel="0" collapsed="false">
      <c r="A790" s="15"/>
      <c r="B790" s="15"/>
      <c r="C790" s="15"/>
      <c r="D790" s="15"/>
      <c r="F790" s="18" t="str">
        <f aca="false">IF(B790="","",IFERROR(INDEX(Materials!$B$2:$B$201,MATCH(B790,Materials!$A$2:$A$201,0)),""))</f>
        <v/>
      </c>
      <c r="G790" s="18" t="str">
        <f aca="true">IF(AND(A790="",B790=""),"",IF(A790="","Missing product",IF(B790="","Missing material",IF(COUNTIF(ProductList,A790)=0,"Product not in Products list",IF(COUNTIF(MaterialList,B790)=0,"Material not in Materials list","OK")))))</f>
        <v/>
      </c>
      <c r="H790" s="18" t="str">
        <f aca="false">IF(F790="Active",A790&amp;"|"&amp;COUNTIFS(A$2:A790,A790,F$2:F790,"Active"),"")</f>
        <v/>
      </c>
      <c r="I790" s="18" t="str">
        <f aca="false">IF(B790="","",IF(SUMPRODUCT(MAX((A$1:A789=A790)*(B$1:B789=B790)*ROW(A$1:A789)))=0,C790&amp;"",IF(C790="",INDEX(I$1:I789,SUMPRODUCT(MAX((A$1:A789=A790)*(B$1:B789=B790)*ROW(A$1:A789)))),IF(INDEX(I$1:I789,SUMPRODUCT(MAX((A$1:A789=A790)*(B$1:B789=B790)*ROW(A$1:A789))))="",C790&amp;"",INDEX(I$1:I789,SUMPRODUCT(MAX((A$1:A789=A790)*(B$1:B789=B790)*ROW(A$1:A789))))&amp;"; "&amp;C790))))</f>
        <v/>
      </c>
      <c r="J790" s="18" t="str">
        <f aca="false">IF(A790="","",A790&amp;"|"&amp;COUNTIF(A$2:A790,A790))</f>
        <v/>
      </c>
      <c r="K790" s="18" t="n">
        <f aca="false">IF(OR(A790="",B790=""),0,IF(COUNTIFS(A$2:A790,A790,B$2:B790,B790)=1,1,0))</f>
        <v>0</v>
      </c>
    </row>
    <row r="791" customFormat="false" ht="15" hidden="false" customHeight="false" outlineLevel="0" collapsed="false">
      <c r="A791" s="15"/>
      <c r="B791" s="15"/>
      <c r="C791" s="15"/>
      <c r="D791" s="15"/>
      <c r="F791" s="18" t="str">
        <f aca="false">IF(B791="","",IFERROR(INDEX(Materials!$B$2:$B$201,MATCH(B791,Materials!$A$2:$A$201,0)),""))</f>
        <v/>
      </c>
      <c r="G791" s="18" t="str">
        <f aca="true">IF(AND(A791="",B791=""),"",IF(A791="","Missing product",IF(B791="","Missing material",IF(COUNTIF(ProductList,A791)=0,"Product not in Products list",IF(COUNTIF(MaterialList,B791)=0,"Material not in Materials list","OK")))))</f>
        <v/>
      </c>
      <c r="H791" s="18" t="str">
        <f aca="false">IF(F791="Active",A791&amp;"|"&amp;COUNTIFS(A$2:A791,A791,F$2:F791,"Active"),"")</f>
        <v/>
      </c>
      <c r="I791" s="18" t="str">
        <f aca="false">IF(B791="","",IF(SUMPRODUCT(MAX((A$1:A790=A791)*(B$1:B790=B791)*ROW(A$1:A790)))=0,C791&amp;"",IF(C791="",INDEX(I$1:I790,SUMPRODUCT(MAX((A$1:A790=A791)*(B$1:B790=B791)*ROW(A$1:A790)))),IF(INDEX(I$1:I790,SUMPRODUCT(MAX((A$1:A790=A791)*(B$1:B790=B791)*ROW(A$1:A790))))="",C791&amp;"",INDEX(I$1:I790,SUMPRODUCT(MAX((A$1:A790=A791)*(B$1:B790=B791)*ROW(A$1:A790))))&amp;"; "&amp;C791))))</f>
        <v/>
      </c>
      <c r="J791" s="18" t="str">
        <f aca="false">IF(A791="","",A791&amp;"|"&amp;COUNTIF(A$2:A791,A791))</f>
        <v/>
      </c>
      <c r="K791" s="18" t="n">
        <f aca="false">IF(OR(A791="",B791=""),0,IF(COUNTIFS(A$2:A791,A791,B$2:B791,B791)=1,1,0))</f>
        <v>0</v>
      </c>
    </row>
    <row r="792" customFormat="false" ht="15" hidden="false" customHeight="false" outlineLevel="0" collapsed="false">
      <c r="A792" s="15"/>
      <c r="B792" s="15"/>
      <c r="C792" s="15"/>
      <c r="D792" s="15"/>
      <c r="F792" s="18" t="str">
        <f aca="false">IF(B792="","",IFERROR(INDEX(Materials!$B$2:$B$201,MATCH(B792,Materials!$A$2:$A$201,0)),""))</f>
        <v/>
      </c>
      <c r="G792" s="18" t="str">
        <f aca="true">IF(AND(A792="",B792=""),"",IF(A792="","Missing product",IF(B792="","Missing material",IF(COUNTIF(ProductList,A792)=0,"Product not in Products list",IF(COUNTIF(MaterialList,B792)=0,"Material not in Materials list","OK")))))</f>
        <v/>
      </c>
      <c r="H792" s="18" t="str">
        <f aca="false">IF(F792="Active",A792&amp;"|"&amp;COUNTIFS(A$2:A792,A792,F$2:F792,"Active"),"")</f>
        <v/>
      </c>
      <c r="I792" s="18" t="str">
        <f aca="false">IF(B792="","",IF(SUMPRODUCT(MAX((A$1:A791=A792)*(B$1:B791=B792)*ROW(A$1:A791)))=0,C792&amp;"",IF(C792="",INDEX(I$1:I791,SUMPRODUCT(MAX((A$1:A791=A792)*(B$1:B791=B792)*ROW(A$1:A791)))),IF(INDEX(I$1:I791,SUMPRODUCT(MAX((A$1:A791=A792)*(B$1:B791=B792)*ROW(A$1:A791))))="",C792&amp;"",INDEX(I$1:I791,SUMPRODUCT(MAX((A$1:A791=A792)*(B$1:B791=B792)*ROW(A$1:A791))))&amp;"; "&amp;C792))))</f>
        <v/>
      </c>
      <c r="J792" s="18" t="str">
        <f aca="false">IF(A792="","",A792&amp;"|"&amp;COUNTIF(A$2:A792,A792))</f>
        <v/>
      </c>
      <c r="K792" s="18" t="n">
        <f aca="false">IF(OR(A792="",B792=""),0,IF(COUNTIFS(A$2:A792,A792,B$2:B792,B792)=1,1,0))</f>
        <v>0</v>
      </c>
    </row>
    <row r="793" customFormat="false" ht="15" hidden="false" customHeight="false" outlineLevel="0" collapsed="false">
      <c r="A793" s="15"/>
      <c r="B793" s="15"/>
      <c r="C793" s="15"/>
      <c r="D793" s="15"/>
      <c r="F793" s="18" t="str">
        <f aca="false">IF(B793="","",IFERROR(INDEX(Materials!$B$2:$B$201,MATCH(B793,Materials!$A$2:$A$201,0)),""))</f>
        <v/>
      </c>
      <c r="G793" s="18" t="str">
        <f aca="true">IF(AND(A793="",B793=""),"",IF(A793="","Missing product",IF(B793="","Missing material",IF(COUNTIF(ProductList,A793)=0,"Product not in Products list",IF(COUNTIF(MaterialList,B793)=0,"Material not in Materials list","OK")))))</f>
        <v/>
      </c>
      <c r="H793" s="18" t="str">
        <f aca="false">IF(F793="Active",A793&amp;"|"&amp;COUNTIFS(A$2:A793,A793,F$2:F793,"Active"),"")</f>
        <v/>
      </c>
      <c r="I793" s="18" t="str">
        <f aca="false">IF(B793="","",IF(SUMPRODUCT(MAX((A$1:A792=A793)*(B$1:B792=B793)*ROW(A$1:A792)))=0,C793&amp;"",IF(C793="",INDEX(I$1:I792,SUMPRODUCT(MAX((A$1:A792=A793)*(B$1:B792=B793)*ROW(A$1:A792)))),IF(INDEX(I$1:I792,SUMPRODUCT(MAX((A$1:A792=A793)*(B$1:B792=B793)*ROW(A$1:A792))))="",C793&amp;"",INDEX(I$1:I792,SUMPRODUCT(MAX((A$1:A792=A793)*(B$1:B792=B793)*ROW(A$1:A792))))&amp;"; "&amp;C793))))</f>
        <v/>
      </c>
      <c r="J793" s="18" t="str">
        <f aca="false">IF(A793="","",A793&amp;"|"&amp;COUNTIF(A$2:A793,A793))</f>
        <v/>
      </c>
      <c r="K793" s="18" t="n">
        <f aca="false">IF(OR(A793="",B793=""),0,IF(COUNTIFS(A$2:A793,A793,B$2:B793,B793)=1,1,0))</f>
        <v>0</v>
      </c>
    </row>
    <row r="794" customFormat="false" ht="15" hidden="false" customHeight="false" outlineLevel="0" collapsed="false">
      <c r="A794" s="15"/>
      <c r="B794" s="15"/>
      <c r="C794" s="15"/>
      <c r="D794" s="15"/>
      <c r="F794" s="18" t="str">
        <f aca="false">IF(B794="","",IFERROR(INDEX(Materials!$B$2:$B$201,MATCH(B794,Materials!$A$2:$A$201,0)),""))</f>
        <v/>
      </c>
      <c r="G794" s="18" t="str">
        <f aca="true">IF(AND(A794="",B794=""),"",IF(A794="","Missing product",IF(B794="","Missing material",IF(COUNTIF(ProductList,A794)=0,"Product not in Products list",IF(COUNTIF(MaterialList,B794)=0,"Material not in Materials list","OK")))))</f>
        <v/>
      </c>
      <c r="H794" s="18" t="str">
        <f aca="false">IF(F794="Active",A794&amp;"|"&amp;COUNTIFS(A$2:A794,A794,F$2:F794,"Active"),"")</f>
        <v/>
      </c>
      <c r="I794" s="18" t="str">
        <f aca="false">IF(B794="","",IF(SUMPRODUCT(MAX((A$1:A793=A794)*(B$1:B793=B794)*ROW(A$1:A793)))=0,C794&amp;"",IF(C794="",INDEX(I$1:I793,SUMPRODUCT(MAX((A$1:A793=A794)*(B$1:B793=B794)*ROW(A$1:A793)))),IF(INDEX(I$1:I793,SUMPRODUCT(MAX((A$1:A793=A794)*(B$1:B793=B794)*ROW(A$1:A793))))="",C794&amp;"",INDEX(I$1:I793,SUMPRODUCT(MAX((A$1:A793=A794)*(B$1:B793=B794)*ROW(A$1:A793))))&amp;"; "&amp;C794))))</f>
        <v/>
      </c>
      <c r="J794" s="18" t="str">
        <f aca="false">IF(A794="","",A794&amp;"|"&amp;COUNTIF(A$2:A794,A794))</f>
        <v/>
      </c>
      <c r="K794" s="18" t="n">
        <f aca="false">IF(OR(A794="",B794=""),0,IF(COUNTIFS(A$2:A794,A794,B$2:B794,B794)=1,1,0))</f>
        <v>0</v>
      </c>
    </row>
    <row r="795" customFormat="false" ht="15" hidden="false" customHeight="false" outlineLevel="0" collapsed="false">
      <c r="A795" s="15"/>
      <c r="B795" s="15"/>
      <c r="C795" s="15"/>
      <c r="D795" s="15"/>
      <c r="F795" s="18" t="str">
        <f aca="false">IF(B795="","",IFERROR(INDEX(Materials!$B$2:$B$201,MATCH(B795,Materials!$A$2:$A$201,0)),""))</f>
        <v/>
      </c>
      <c r="G795" s="18" t="str">
        <f aca="true">IF(AND(A795="",B795=""),"",IF(A795="","Missing product",IF(B795="","Missing material",IF(COUNTIF(ProductList,A795)=0,"Product not in Products list",IF(COUNTIF(MaterialList,B795)=0,"Material not in Materials list","OK")))))</f>
        <v/>
      </c>
      <c r="H795" s="18" t="str">
        <f aca="false">IF(F795="Active",A795&amp;"|"&amp;COUNTIFS(A$2:A795,A795,F$2:F795,"Active"),"")</f>
        <v/>
      </c>
      <c r="I795" s="18" t="str">
        <f aca="false">IF(B795="","",IF(SUMPRODUCT(MAX((A$1:A794=A795)*(B$1:B794=B795)*ROW(A$1:A794)))=0,C795&amp;"",IF(C795="",INDEX(I$1:I794,SUMPRODUCT(MAX((A$1:A794=A795)*(B$1:B794=B795)*ROW(A$1:A794)))),IF(INDEX(I$1:I794,SUMPRODUCT(MAX((A$1:A794=A795)*(B$1:B794=B795)*ROW(A$1:A794))))="",C795&amp;"",INDEX(I$1:I794,SUMPRODUCT(MAX((A$1:A794=A795)*(B$1:B794=B795)*ROW(A$1:A794))))&amp;"; "&amp;C795))))</f>
        <v/>
      </c>
      <c r="J795" s="18" t="str">
        <f aca="false">IF(A795="","",A795&amp;"|"&amp;COUNTIF(A$2:A795,A795))</f>
        <v/>
      </c>
      <c r="K795" s="18" t="n">
        <f aca="false">IF(OR(A795="",B795=""),0,IF(COUNTIFS(A$2:A795,A795,B$2:B795,B795)=1,1,0))</f>
        <v>0</v>
      </c>
    </row>
    <row r="796" customFormat="false" ht="15" hidden="false" customHeight="false" outlineLevel="0" collapsed="false">
      <c r="A796" s="15"/>
      <c r="B796" s="15"/>
      <c r="C796" s="15"/>
      <c r="D796" s="15"/>
      <c r="F796" s="18" t="str">
        <f aca="false">IF(B796="","",IFERROR(INDEX(Materials!$B$2:$B$201,MATCH(B796,Materials!$A$2:$A$201,0)),""))</f>
        <v/>
      </c>
      <c r="G796" s="18" t="str">
        <f aca="true">IF(AND(A796="",B796=""),"",IF(A796="","Missing product",IF(B796="","Missing material",IF(COUNTIF(ProductList,A796)=0,"Product not in Products list",IF(COUNTIF(MaterialList,B796)=0,"Material not in Materials list","OK")))))</f>
        <v/>
      </c>
      <c r="H796" s="18" t="str">
        <f aca="false">IF(F796="Active",A796&amp;"|"&amp;COUNTIFS(A$2:A796,A796,F$2:F796,"Active"),"")</f>
        <v/>
      </c>
      <c r="I796" s="18" t="str">
        <f aca="false">IF(B796="","",IF(SUMPRODUCT(MAX((A$1:A795=A796)*(B$1:B795=B796)*ROW(A$1:A795)))=0,C796&amp;"",IF(C796="",INDEX(I$1:I795,SUMPRODUCT(MAX((A$1:A795=A796)*(B$1:B795=B796)*ROW(A$1:A795)))),IF(INDEX(I$1:I795,SUMPRODUCT(MAX((A$1:A795=A796)*(B$1:B795=B796)*ROW(A$1:A795))))="",C796&amp;"",INDEX(I$1:I795,SUMPRODUCT(MAX((A$1:A795=A796)*(B$1:B795=B796)*ROW(A$1:A795))))&amp;"; "&amp;C796))))</f>
        <v/>
      </c>
      <c r="J796" s="18" t="str">
        <f aca="false">IF(A796="","",A796&amp;"|"&amp;COUNTIF(A$2:A796,A796))</f>
        <v/>
      </c>
      <c r="K796" s="18" t="n">
        <f aca="false">IF(OR(A796="",B796=""),0,IF(COUNTIFS(A$2:A796,A796,B$2:B796,B796)=1,1,0))</f>
        <v>0</v>
      </c>
    </row>
    <row r="797" customFormat="false" ht="15" hidden="false" customHeight="false" outlineLevel="0" collapsed="false">
      <c r="A797" s="15"/>
      <c r="B797" s="15"/>
      <c r="C797" s="15"/>
      <c r="D797" s="15"/>
      <c r="F797" s="18" t="str">
        <f aca="false">IF(B797="","",IFERROR(INDEX(Materials!$B$2:$B$201,MATCH(B797,Materials!$A$2:$A$201,0)),""))</f>
        <v/>
      </c>
      <c r="G797" s="18" t="str">
        <f aca="true">IF(AND(A797="",B797=""),"",IF(A797="","Missing product",IF(B797="","Missing material",IF(COUNTIF(ProductList,A797)=0,"Product not in Products list",IF(COUNTIF(MaterialList,B797)=0,"Material not in Materials list","OK")))))</f>
        <v/>
      </c>
      <c r="H797" s="18" t="str">
        <f aca="false">IF(F797="Active",A797&amp;"|"&amp;COUNTIFS(A$2:A797,A797,F$2:F797,"Active"),"")</f>
        <v/>
      </c>
      <c r="I797" s="18" t="str">
        <f aca="false">IF(B797="","",IF(SUMPRODUCT(MAX((A$1:A796=A797)*(B$1:B796=B797)*ROW(A$1:A796)))=0,C797&amp;"",IF(C797="",INDEX(I$1:I796,SUMPRODUCT(MAX((A$1:A796=A797)*(B$1:B796=B797)*ROW(A$1:A796)))),IF(INDEX(I$1:I796,SUMPRODUCT(MAX((A$1:A796=A797)*(B$1:B796=B797)*ROW(A$1:A796))))="",C797&amp;"",INDEX(I$1:I796,SUMPRODUCT(MAX((A$1:A796=A797)*(B$1:B796=B797)*ROW(A$1:A796))))&amp;"; "&amp;C797))))</f>
        <v/>
      </c>
      <c r="J797" s="18" t="str">
        <f aca="false">IF(A797="","",A797&amp;"|"&amp;COUNTIF(A$2:A797,A797))</f>
        <v/>
      </c>
      <c r="K797" s="18" t="n">
        <f aca="false">IF(OR(A797="",B797=""),0,IF(COUNTIFS(A$2:A797,A797,B$2:B797,B797)=1,1,0))</f>
        <v>0</v>
      </c>
    </row>
    <row r="798" customFormat="false" ht="15" hidden="false" customHeight="false" outlineLevel="0" collapsed="false">
      <c r="A798" s="15"/>
      <c r="B798" s="15"/>
      <c r="C798" s="15"/>
      <c r="D798" s="15"/>
      <c r="F798" s="18" t="str">
        <f aca="false">IF(B798="","",IFERROR(INDEX(Materials!$B$2:$B$201,MATCH(B798,Materials!$A$2:$A$201,0)),""))</f>
        <v/>
      </c>
      <c r="G798" s="18" t="str">
        <f aca="true">IF(AND(A798="",B798=""),"",IF(A798="","Missing product",IF(B798="","Missing material",IF(COUNTIF(ProductList,A798)=0,"Product not in Products list",IF(COUNTIF(MaterialList,B798)=0,"Material not in Materials list","OK")))))</f>
        <v/>
      </c>
      <c r="H798" s="18" t="str">
        <f aca="false">IF(F798="Active",A798&amp;"|"&amp;COUNTIFS(A$2:A798,A798,F$2:F798,"Active"),"")</f>
        <v/>
      </c>
      <c r="I798" s="18" t="str">
        <f aca="false">IF(B798="","",IF(SUMPRODUCT(MAX((A$1:A797=A798)*(B$1:B797=B798)*ROW(A$1:A797)))=0,C798&amp;"",IF(C798="",INDEX(I$1:I797,SUMPRODUCT(MAX((A$1:A797=A798)*(B$1:B797=B798)*ROW(A$1:A797)))),IF(INDEX(I$1:I797,SUMPRODUCT(MAX((A$1:A797=A798)*(B$1:B797=B798)*ROW(A$1:A797))))="",C798&amp;"",INDEX(I$1:I797,SUMPRODUCT(MAX((A$1:A797=A798)*(B$1:B797=B798)*ROW(A$1:A797))))&amp;"; "&amp;C798))))</f>
        <v/>
      </c>
      <c r="J798" s="18" t="str">
        <f aca="false">IF(A798="","",A798&amp;"|"&amp;COUNTIF(A$2:A798,A798))</f>
        <v/>
      </c>
      <c r="K798" s="18" t="n">
        <f aca="false">IF(OR(A798="",B798=""),0,IF(COUNTIFS(A$2:A798,A798,B$2:B798,B798)=1,1,0))</f>
        <v>0</v>
      </c>
    </row>
    <row r="799" customFormat="false" ht="15" hidden="false" customHeight="false" outlineLevel="0" collapsed="false">
      <c r="A799" s="15"/>
      <c r="B799" s="15"/>
      <c r="C799" s="15"/>
      <c r="D799" s="15"/>
      <c r="F799" s="18" t="str">
        <f aca="false">IF(B799="","",IFERROR(INDEX(Materials!$B$2:$B$201,MATCH(B799,Materials!$A$2:$A$201,0)),""))</f>
        <v/>
      </c>
      <c r="G799" s="18" t="str">
        <f aca="true">IF(AND(A799="",B799=""),"",IF(A799="","Missing product",IF(B799="","Missing material",IF(COUNTIF(ProductList,A799)=0,"Product not in Products list",IF(COUNTIF(MaterialList,B799)=0,"Material not in Materials list","OK")))))</f>
        <v/>
      </c>
      <c r="H799" s="18" t="str">
        <f aca="false">IF(F799="Active",A799&amp;"|"&amp;COUNTIFS(A$2:A799,A799,F$2:F799,"Active"),"")</f>
        <v/>
      </c>
      <c r="I799" s="18" t="str">
        <f aca="false">IF(B799="","",IF(SUMPRODUCT(MAX((A$1:A798=A799)*(B$1:B798=B799)*ROW(A$1:A798)))=0,C799&amp;"",IF(C799="",INDEX(I$1:I798,SUMPRODUCT(MAX((A$1:A798=A799)*(B$1:B798=B799)*ROW(A$1:A798)))),IF(INDEX(I$1:I798,SUMPRODUCT(MAX((A$1:A798=A799)*(B$1:B798=B799)*ROW(A$1:A798))))="",C799&amp;"",INDEX(I$1:I798,SUMPRODUCT(MAX((A$1:A798=A799)*(B$1:B798=B799)*ROW(A$1:A798))))&amp;"; "&amp;C799))))</f>
        <v/>
      </c>
      <c r="J799" s="18" t="str">
        <f aca="false">IF(A799="","",A799&amp;"|"&amp;COUNTIF(A$2:A799,A799))</f>
        <v/>
      </c>
      <c r="K799" s="18" t="n">
        <f aca="false">IF(OR(A799="",B799=""),0,IF(COUNTIFS(A$2:A799,A799,B$2:B799,B799)=1,1,0))</f>
        <v>0</v>
      </c>
    </row>
    <row r="800" customFormat="false" ht="15" hidden="false" customHeight="false" outlineLevel="0" collapsed="false">
      <c r="A800" s="15"/>
      <c r="B800" s="15"/>
      <c r="C800" s="15"/>
      <c r="D800" s="15"/>
      <c r="F800" s="18" t="str">
        <f aca="false">IF(B800="","",IFERROR(INDEX(Materials!$B$2:$B$201,MATCH(B800,Materials!$A$2:$A$201,0)),""))</f>
        <v/>
      </c>
      <c r="G800" s="18" t="str">
        <f aca="true">IF(AND(A800="",B800=""),"",IF(A800="","Missing product",IF(B800="","Missing material",IF(COUNTIF(ProductList,A800)=0,"Product not in Products list",IF(COUNTIF(MaterialList,B800)=0,"Material not in Materials list","OK")))))</f>
        <v/>
      </c>
      <c r="H800" s="18" t="str">
        <f aca="false">IF(F800="Active",A800&amp;"|"&amp;COUNTIFS(A$2:A800,A800,F$2:F800,"Active"),"")</f>
        <v/>
      </c>
      <c r="I800" s="18" t="str">
        <f aca="false">IF(B800="","",IF(SUMPRODUCT(MAX((A$1:A799=A800)*(B$1:B799=B800)*ROW(A$1:A799)))=0,C800&amp;"",IF(C800="",INDEX(I$1:I799,SUMPRODUCT(MAX((A$1:A799=A800)*(B$1:B799=B800)*ROW(A$1:A799)))),IF(INDEX(I$1:I799,SUMPRODUCT(MAX((A$1:A799=A800)*(B$1:B799=B800)*ROW(A$1:A799))))="",C800&amp;"",INDEX(I$1:I799,SUMPRODUCT(MAX((A$1:A799=A800)*(B$1:B799=B800)*ROW(A$1:A799))))&amp;"; "&amp;C800))))</f>
        <v/>
      </c>
      <c r="J800" s="18" t="str">
        <f aca="false">IF(A800="","",A800&amp;"|"&amp;COUNTIF(A$2:A800,A800))</f>
        <v/>
      </c>
      <c r="K800" s="18" t="n">
        <f aca="false">IF(OR(A800="",B800=""),0,IF(COUNTIFS(A$2:A800,A800,B$2:B800,B800)=1,1,0))</f>
        <v>0</v>
      </c>
    </row>
    <row r="801" customFormat="false" ht="15" hidden="false" customHeight="false" outlineLevel="0" collapsed="false">
      <c r="A801" s="15"/>
      <c r="B801" s="15"/>
      <c r="C801" s="15"/>
      <c r="D801" s="15"/>
      <c r="F801" s="18" t="str">
        <f aca="false">IF(B801="","",IFERROR(INDEX(Materials!$B$2:$B$201,MATCH(B801,Materials!$A$2:$A$201,0)),""))</f>
        <v/>
      </c>
      <c r="G801" s="18" t="str">
        <f aca="true">IF(AND(A801="",B801=""),"",IF(A801="","Missing product",IF(B801="","Missing material",IF(COUNTIF(ProductList,A801)=0,"Product not in Products list",IF(COUNTIF(MaterialList,B801)=0,"Material not in Materials list","OK")))))</f>
        <v/>
      </c>
      <c r="H801" s="18" t="str">
        <f aca="false">IF(F801="Active",A801&amp;"|"&amp;COUNTIFS(A$2:A801,A801,F$2:F801,"Active"),"")</f>
        <v/>
      </c>
      <c r="I801" s="18" t="str">
        <f aca="false">IF(B801="","",IF(SUMPRODUCT(MAX((A$1:A800=A801)*(B$1:B800=B801)*ROW(A$1:A800)))=0,C801&amp;"",IF(C801="",INDEX(I$1:I800,SUMPRODUCT(MAX((A$1:A800=A801)*(B$1:B800=B801)*ROW(A$1:A800)))),IF(INDEX(I$1:I800,SUMPRODUCT(MAX((A$1:A800=A801)*(B$1:B800=B801)*ROW(A$1:A800))))="",C801&amp;"",INDEX(I$1:I800,SUMPRODUCT(MAX((A$1:A800=A801)*(B$1:B800=B801)*ROW(A$1:A800))))&amp;"; "&amp;C801))))</f>
        <v/>
      </c>
      <c r="J801" s="18" t="str">
        <f aca="false">IF(A801="","",A801&amp;"|"&amp;COUNTIF(A$2:A801,A801))</f>
        <v/>
      </c>
      <c r="K801" s="18" t="n">
        <f aca="false">IF(OR(A801="",B801=""),0,IF(COUNTIFS(A$2:A801,A801,B$2:B801,B801)=1,1,0))</f>
        <v>0</v>
      </c>
    </row>
    <row r="802" customFormat="false" ht="15" hidden="false" customHeight="false" outlineLevel="0" collapsed="false">
      <c r="A802" s="15"/>
      <c r="B802" s="15"/>
      <c r="C802" s="15"/>
      <c r="D802" s="15"/>
      <c r="F802" s="18" t="str">
        <f aca="false">IF(B802="","",IFERROR(INDEX(Materials!$B$2:$B$201,MATCH(B802,Materials!$A$2:$A$201,0)),""))</f>
        <v/>
      </c>
      <c r="G802" s="18" t="str">
        <f aca="true">IF(AND(A802="",B802=""),"",IF(A802="","Missing product",IF(B802="","Missing material",IF(COUNTIF(ProductList,A802)=0,"Product not in Products list",IF(COUNTIF(MaterialList,B802)=0,"Material not in Materials list","OK")))))</f>
        <v/>
      </c>
      <c r="H802" s="18" t="str">
        <f aca="false">IF(F802="Active",A802&amp;"|"&amp;COUNTIFS(A$2:A802,A802,F$2:F802,"Active"),"")</f>
        <v/>
      </c>
      <c r="I802" s="18" t="str">
        <f aca="false">IF(B802="","",IF(SUMPRODUCT(MAX((A$1:A801=A802)*(B$1:B801=B802)*ROW(A$1:A801)))=0,C802&amp;"",IF(C802="",INDEX(I$1:I801,SUMPRODUCT(MAX((A$1:A801=A802)*(B$1:B801=B802)*ROW(A$1:A801)))),IF(INDEX(I$1:I801,SUMPRODUCT(MAX((A$1:A801=A802)*(B$1:B801=B802)*ROW(A$1:A801))))="",C802&amp;"",INDEX(I$1:I801,SUMPRODUCT(MAX((A$1:A801=A802)*(B$1:B801=B802)*ROW(A$1:A801))))&amp;"; "&amp;C802))))</f>
        <v/>
      </c>
      <c r="J802" s="18" t="str">
        <f aca="false">IF(A802="","",A802&amp;"|"&amp;COUNTIF(A$2:A802,A802))</f>
        <v/>
      </c>
      <c r="K802" s="18" t="n">
        <f aca="false">IF(OR(A802="",B802=""),0,IF(COUNTIFS(A$2:A802,A802,B$2:B802,B802)=1,1,0))</f>
        <v>0</v>
      </c>
    </row>
    <row r="803" customFormat="false" ht="15" hidden="false" customHeight="false" outlineLevel="0" collapsed="false">
      <c r="A803" s="15"/>
      <c r="B803" s="15"/>
      <c r="C803" s="15"/>
      <c r="D803" s="15"/>
      <c r="F803" s="18" t="str">
        <f aca="false">IF(B803="","",IFERROR(INDEX(Materials!$B$2:$B$201,MATCH(B803,Materials!$A$2:$A$201,0)),""))</f>
        <v/>
      </c>
      <c r="G803" s="18" t="str">
        <f aca="true">IF(AND(A803="",B803=""),"",IF(A803="","Missing product",IF(B803="","Missing material",IF(COUNTIF(ProductList,A803)=0,"Product not in Products list",IF(COUNTIF(MaterialList,B803)=0,"Material not in Materials list","OK")))))</f>
        <v/>
      </c>
      <c r="H803" s="18" t="str">
        <f aca="false">IF(F803="Active",A803&amp;"|"&amp;COUNTIFS(A$2:A803,A803,F$2:F803,"Active"),"")</f>
        <v/>
      </c>
      <c r="I803" s="18" t="str">
        <f aca="false">IF(B803="","",IF(SUMPRODUCT(MAX((A$1:A802=A803)*(B$1:B802=B803)*ROW(A$1:A802)))=0,C803&amp;"",IF(C803="",INDEX(I$1:I802,SUMPRODUCT(MAX((A$1:A802=A803)*(B$1:B802=B803)*ROW(A$1:A802)))),IF(INDEX(I$1:I802,SUMPRODUCT(MAX((A$1:A802=A803)*(B$1:B802=B803)*ROW(A$1:A802))))="",C803&amp;"",INDEX(I$1:I802,SUMPRODUCT(MAX((A$1:A802=A803)*(B$1:B802=B803)*ROW(A$1:A802))))&amp;"; "&amp;C803))))</f>
        <v/>
      </c>
      <c r="J803" s="18" t="str">
        <f aca="false">IF(A803="","",A803&amp;"|"&amp;COUNTIF(A$2:A803,A803))</f>
        <v/>
      </c>
      <c r="K803" s="18" t="n">
        <f aca="false">IF(OR(A803="",B803=""),0,IF(COUNTIFS(A$2:A803,A803,B$2:B803,B803)=1,1,0))</f>
        <v>0</v>
      </c>
    </row>
    <row r="804" customFormat="false" ht="15" hidden="false" customHeight="false" outlineLevel="0" collapsed="false">
      <c r="A804" s="15"/>
      <c r="B804" s="15"/>
      <c r="C804" s="15"/>
      <c r="D804" s="15"/>
      <c r="F804" s="18" t="str">
        <f aca="false">IF(B804="","",IFERROR(INDEX(Materials!$B$2:$B$201,MATCH(B804,Materials!$A$2:$A$201,0)),""))</f>
        <v/>
      </c>
      <c r="G804" s="18" t="str">
        <f aca="true">IF(AND(A804="",B804=""),"",IF(A804="","Missing product",IF(B804="","Missing material",IF(COUNTIF(ProductList,A804)=0,"Product not in Products list",IF(COUNTIF(MaterialList,B804)=0,"Material not in Materials list","OK")))))</f>
        <v/>
      </c>
      <c r="H804" s="18" t="str">
        <f aca="false">IF(F804="Active",A804&amp;"|"&amp;COUNTIFS(A$2:A804,A804,F$2:F804,"Active"),"")</f>
        <v/>
      </c>
      <c r="I804" s="18" t="str">
        <f aca="false">IF(B804="","",IF(SUMPRODUCT(MAX((A$1:A803=A804)*(B$1:B803=B804)*ROW(A$1:A803)))=0,C804&amp;"",IF(C804="",INDEX(I$1:I803,SUMPRODUCT(MAX((A$1:A803=A804)*(B$1:B803=B804)*ROW(A$1:A803)))),IF(INDEX(I$1:I803,SUMPRODUCT(MAX((A$1:A803=A804)*(B$1:B803=B804)*ROW(A$1:A803))))="",C804&amp;"",INDEX(I$1:I803,SUMPRODUCT(MAX((A$1:A803=A804)*(B$1:B803=B804)*ROW(A$1:A803))))&amp;"; "&amp;C804))))</f>
        <v/>
      </c>
      <c r="J804" s="18" t="str">
        <f aca="false">IF(A804="","",A804&amp;"|"&amp;COUNTIF(A$2:A804,A804))</f>
        <v/>
      </c>
      <c r="K804" s="18" t="n">
        <f aca="false">IF(OR(A804="",B804=""),0,IF(COUNTIFS(A$2:A804,A804,B$2:B804,B804)=1,1,0))</f>
        <v>0</v>
      </c>
    </row>
    <row r="805" customFormat="false" ht="15" hidden="false" customHeight="false" outlineLevel="0" collapsed="false">
      <c r="A805" s="15"/>
      <c r="B805" s="15"/>
      <c r="C805" s="15"/>
      <c r="D805" s="15"/>
      <c r="F805" s="18" t="str">
        <f aca="false">IF(B805="","",IFERROR(INDEX(Materials!$B$2:$B$201,MATCH(B805,Materials!$A$2:$A$201,0)),""))</f>
        <v/>
      </c>
      <c r="G805" s="18" t="str">
        <f aca="true">IF(AND(A805="",B805=""),"",IF(A805="","Missing product",IF(B805="","Missing material",IF(COUNTIF(ProductList,A805)=0,"Product not in Products list",IF(COUNTIF(MaterialList,B805)=0,"Material not in Materials list","OK")))))</f>
        <v/>
      </c>
      <c r="H805" s="18" t="str">
        <f aca="false">IF(F805="Active",A805&amp;"|"&amp;COUNTIFS(A$2:A805,A805,F$2:F805,"Active"),"")</f>
        <v/>
      </c>
      <c r="I805" s="18" t="str">
        <f aca="false">IF(B805="","",IF(SUMPRODUCT(MAX((A$1:A804=A805)*(B$1:B804=B805)*ROW(A$1:A804)))=0,C805&amp;"",IF(C805="",INDEX(I$1:I804,SUMPRODUCT(MAX((A$1:A804=A805)*(B$1:B804=B805)*ROW(A$1:A804)))),IF(INDEX(I$1:I804,SUMPRODUCT(MAX((A$1:A804=A805)*(B$1:B804=B805)*ROW(A$1:A804))))="",C805&amp;"",INDEX(I$1:I804,SUMPRODUCT(MAX((A$1:A804=A805)*(B$1:B804=B805)*ROW(A$1:A804))))&amp;"; "&amp;C805))))</f>
        <v/>
      </c>
      <c r="J805" s="18" t="str">
        <f aca="false">IF(A805="","",A805&amp;"|"&amp;COUNTIF(A$2:A805,A805))</f>
        <v/>
      </c>
      <c r="K805" s="18" t="n">
        <f aca="false">IF(OR(A805="",B805=""),0,IF(COUNTIFS(A$2:A805,A805,B$2:B805,B805)=1,1,0))</f>
        <v>0</v>
      </c>
    </row>
    <row r="806" customFormat="false" ht="15" hidden="false" customHeight="false" outlineLevel="0" collapsed="false">
      <c r="A806" s="15"/>
      <c r="B806" s="15"/>
      <c r="C806" s="15"/>
      <c r="D806" s="15"/>
      <c r="F806" s="18" t="str">
        <f aca="false">IF(B806="","",IFERROR(INDEX(Materials!$B$2:$B$201,MATCH(B806,Materials!$A$2:$A$201,0)),""))</f>
        <v/>
      </c>
      <c r="G806" s="18" t="str">
        <f aca="true">IF(AND(A806="",B806=""),"",IF(A806="","Missing product",IF(B806="","Missing material",IF(COUNTIF(ProductList,A806)=0,"Product not in Products list",IF(COUNTIF(MaterialList,B806)=0,"Material not in Materials list","OK")))))</f>
        <v/>
      </c>
      <c r="H806" s="18" t="str">
        <f aca="false">IF(F806="Active",A806&amp;"|"&amp;COUNTIFS(A$2:A806,A806,F$2:F806,"Active"),"")</f>
        <v/>
      </c>
      <c r="I806" s="18" t="str">
        <f aca="false">IF(B806="","",IF(SUMPRODUCT(MAX((A$1:A805=A806)*(B$1:B805=B806)*ROW(A$1:A805)))=0,C806&amp;"",IF(C806="",INDEX(I$1:I805,SUMPRODUCT(MAX((A$1:A805=A806)*(B$1:B805=B806)*ROW(A$1:A805)))),IF(INDEX(I$1:I805,SUMPRODUCT(MAX((A$1:A805=A806)*(B$1:B805=B806)*ROW(A$1:A805))))="",C806&amp;"",INDEX(I$1:I805,SUMPRODUCT(MAX((A$1:A805=A806)*(B$1:B805=B806)*ROW(A$1:A805))))&amp;"; "&amp;C806))))</f>
        <v/>
      </c>
      <c r="J806" s="18" t="str">
        <f aca="false">IF(A806="","",A806&amp;"|"&amp;COUNTIF(A$2:A806,A806))</f>
        <v/>
      </c>
      <c r="K806" s="18" t="n">
        <f aca="false">IF(OR(A806="",B806=""),0,IF(COUNTIFS(A$2:A806,A806,B$2:B806,B806)=1,1,0))</f>
        <v>0</v>
      </c>
    </row>
    <row r="807" customFormat="false" ht="15" hidden="false" customHeight="false" outlineLevel="0" collapsed="false">
      <c r="A807" s="15"/>
      <c r="B807" s="15"/>
      <c r="C807" s="15"/>
      <c r="D807" s="15"/>
      <c r="F807" s="18" t="str">
        <f aca="false">IF(B807="","",IFERROR(INDEX(Materials!$B$2:$B$201,MATCH(B807,Materials!$A$2:$A$201,0)),""))</f>
        <v/>
      </c>
      <c r="G807" s="18" t="str">
        <f aca="true">IF(AND(A807="",B807=""),"",IF(A807="","Missing product",IF(B807="","Missing material",IF(COUNTIF(ProductList,A807)=0,"Product not in Products list",IF(COUNTIF(MaterialList,B807)=0,"Material not in Materials list","OK")))))</f>
        <v/>
      </c>
      <c r="H807" s="18" t="str">
        <f aca="false">IF(F807="Active",A807&amp;"|"&amp;COUNTIFS(A$2:A807,A807,F$2:F807,"Active"),"")</f>
        <v/>
      </c>
      <c r="I807" s="18" t="str">
        <f aca="false">IF(B807="","",IF(SUMPRODUCT(MAX((A$1:A806=A807)*(B$1:B806=B807)*ROW(A$1:A806)))=0,C807&amp;"",IF(C807="",INDEX(I$1:I806,SUMPRODUCT(MAX((A$1:A806=A807)*(B$1:B806=B807)*ROW(A$1:A806)))),IF(INDEX(I$1:I806,SUMPRODUCT(MAX((A$1:A806=A807)*(B$1:B806=B807)*ROW(A$1:A806))))="",C807&amp;"",INDEX(I$1:I806,SUMPRODUCT(MAX((A$1:A806=A807)*(B$1:B806=B807)*ROW(A$1:A806))))&amp;"; "&amp;C807))))</f>
        <v/>
      </c>
      <c r="J807" s="18" t="str">
        <f aca="false">IF(A807="","",A807&amp;"|"&amp;COUNTIF(A$2:A807,A807))</f>
        <v/>
      </c>
      <c r="K807" s="18" t="n">
        <f aca="false">IF(OR(A807="",B807=""),0,IF(COUNTIFS(A$2:A807,A807,B$2:B807,B807)=1,1,0))</f>
        <v>0</v>
      </c>
    </row>
    <row r="808" customFormat="false" ht="15" hidden="false" customHeight="false" outlineLevel="0" collapsed="false">
      <c r="A808" s="15"/>
      <c r="B808" s="15"/>
      <c r="C808" s="15"/>
      <c r="D808" s="15"/>
      <c r="F808" s="18" t="str">
        <f aca="false">IF(B808="","",IFERROR(INDEX(Materials!$B$2:$B$201,MATCH(B808,Materials!$A$2:$A$201,0)),""))</f>
        <v/>
      </c>
      <c r="G808" s="18" t="str">
        <f aca="true">IF(AND(A808="",B808=""),"",IF(A808="","Missing product",IF(B808="","Missing material",IF(COUNTIF(ProductList,A808)=0,"Product not in Products list",IF(COUNTIF(MaterialList,B808)=0,"Material not in Materials list","OK")))))</f>
        <v/>
      </c>
      <c r="H808" s="18" t="str">
        <f aca="false">IF(F808="Active",A808&amp;"|"&amp;COUNTIFS(A$2:A808,A808,F$2:F808,"Active"),"")</f>
        <v/>
      </c>
      <c r="I808" s="18" t="str">
        <f aca="false">IF(B808="","",IF(SUMPRODUCT(MAX((A$1:A807=A808)*(B$1:B807=B808)*ROW(A$1:A807)))=0,C808&amp;"",IF(C808="",INDEX(I$1:I807,SUMPRODUCT(MAX((A$1:A807=A808)*(B$1:B807=B808)*ROW(A$1:A807)))),IF(INDEX(I$1:I807,SUMPRODUCT(MAX((A$1:A807=A808)*(B$1:B807=B808)*ROW(A$1:A807))))="",C808&amp;"",INDEX(I$1:I807,SUMPRODUCT(MAX((A$1:A807=A808)*(B$1:B807=B808)*ROW(A$1:A807))))&amp;"; "&amp;C808))))</f>
        <v/>
      </c>
      <c r="J808" s="18" t="str">
        <f aca="false">IF(A808="","",A808&amp;"|"&amp;COUNTIF(A$2:A808,A808))</f>
        <v/>
      </c>
      <c r="K808" s="18" t="n">
        <f aca="false">IF(OR(A808="",B808=""),0,IF(COUNTIFS(A$2:A808,A808,B$2:B808,B808)=1,1,0))</f>
        <v>0</v>
      </c>
    </row>
    <row r="809" customFormat="false" ht="15" hidden="false" customHeight="false" outlineLevel="0" collapsed="false">
      <c r="A809" s="15"/>
      <c r="B809" s="15"/>
      <c r="C809" s="15"/>
      <c r="D809" s="15"/>
      <c r="F809" s="18" t="str">
        <f aca="false">IF(B809="","",IFERROR(INDEX(Materials!$B$2:$B$201,MATCH(B809,Materials!$A$2:$A$201,0)),""))</f>
        <v/>
      </c>
      <c r="G809" s="18" t="str">
        <f aca="true">IF(AND(A809="",B809=""),"",IF(A809="","Missing product",IF(B809="","Missing material",IF(COUNTIF(ProductList,A809)=0,"Product not in Products list",IF(COUNTIF(MaterialList,B809)=0,"Material not in Materials list","OK")))))</f>
        <v/>
      </c>
      <c r="H809" s="18" t="str">
        <f aca="false">IF(F809="Active",A809&amp;"|"&amp;COUNTIFS(A$2:A809,A809,F$2:F809,"Active"),"")</f>
        <v/>
      </c>
      <c r="I809" s="18" t="str">
        <f aca="false">IF(B809="","",IF(SUMPRODUCT(MAX((A$1:A808=A809)*(B$1:B808=B809)*ROW(A$1:A808)))=0,C809&amp;"",IF(C809="",INDEX(I$1:I808,SUMPRODUCT(MAX((A$1:A808=A809)*(B$1:B808=B809)*ROW(A$1:A808)))),IF(INDEX(I$1:I808,SUMPRODUCT(MAX((A$1:A808=A809)*(B$1:B808=B809)*ROW(A$1:A808))))="",C809&amp;"",INDEX(I$1:I808,SUMPRODUCT(MAX((A$1:A808=A809)*(B$1:B808=B809)*ROW(A$1:A808))))&amp;"; "&amp;C809))))</f>
        <v/>
      </c>
      <c r="J809" s="18" t="str">
        <f aca="false">IF(A809="","",A809&amp;"|"&amp;COUNTIF(A$2:A809,A809))</f>
        <v/>
      </c>
      <c r="K809" s="18" t="n">
        <f aca="false">IF(OR(A809="",B809=""),0,IF(COUNTIFS(A$2:A809,A809,B$2:B809,B809)=1,1,0))</f>
        <v>0</v>
      </c>
    </row>
    <row r="810" customFormat="false" ht="15" hidden="false" customHeight="false" outlineLevel="0" collapsed="false">
      <c r="A810" s="15"/>
      <c r="B810" s="15"/>
      <c r="C810" s="15"/>
      <c r="D810" s="15"/>
      <c r="F810" s="18" t="str">
        <f aca="false">IF(B810="","",IFERROR(INDEX(Materials!$B$2:$B$201,MATCH(B810,Materials!$A$2:$A$201,0)),""))</f>
        <v/>
      </c>
      <c r="G810" s="18" t="str">
        <f aca="true">IF(AND(A810="",B810=""),"",IF(A810="","Missing product",IF(B810="","Missing material",IF(COUNTIF(ProductList,A810)=0,"Product not in Products list",IF(COUNTIF(MaterialList,B810)=0,"Material not in Materials list","OK")))))</f>
        <v/>
      </c>
      <c r="H810" s="18" t="str">
        <f aca="false">IF(F810="Active",A810&amp;"|"&amp;COUNTIFS(A$2:A810,A810,F$2:F810,"Active"),"")</f>
        <v/>
      </c>
      <c r="I810" s="18" t="str">
        <f aca="false">IF(B810="","",IF(SUMPRODUCT(MAX((A$1:A809=A810)*(B$1:B809=B810)*ROW(A$1:A809)))=0,C810&amp;"",IF(C810="",INDEX(I$1:I809,SUMPRODUCT(MAX((A$1:A809=A810)*(B$1:B809=B810)*ROW(A$1:A809)))),IF(INDEX(I$1:I809,SUMPRODUCT(MAX((A$1:A809=A810)*(B$1:B809=B810)*ROW(A$1:A809))))="",C810&amp;"",INDEX(I$1:I809,SUMPRODUCT(MAX((A$1:A809=A810)*(B$1:B809=B810)*ROW(A$1:A809))))&amp;"; "&amp;C810))))</f>
        <v/>
      </c>
      <c r="J810" s="18" t="str">
        <f aca="false">IF(A810="","",A810&amp;"|"&amp;COUNTIF(A$2:A810,A810))</f>
        <v/>
      </c>
      <c r="K810" s="18" t="n">
        <f aca="false">IF(OR(A810="",B810=""),0,IF(COUNTIFS(A$2:A810,A810,B$2:B810,B810)=1,1,0))</f>
        <v>0</v>
      </c>
    </row>
    <row r="811" customFormat="false" ht="15" hidden="false" customHeight="false" outlineLevel="0" collapsed="false">
      <c r="A811" s="15"/>
      <c r="B811" s="15"/>
      <c r="C811" s="15"/>
      <c r="D811" s="15"/>
      <c r="F811" s="18" t="str">
        <f aca="false">IF(B811="","",IFERROR(INDEX(Materials!$B$2:$B$201,MATCH(B811,Materials!$A$2:$A$201,0)),""))</f>
        <v/>
      </c>
      <c r="G811" s="18" t="str">
        <f aca="true">IF(AND(A811="",B811=""),"",IF(A811="","Missing product",IF(B811="","Missing material",IF(COUNTIF(ProductList,A811)=0,"Product not in Products list",IF(COUNTIF(MaterialList,B811)=0,"Material not in Materials list","OK")))))</f>
        <v/>
      </c>
      <c r="H811" s="18" t="str">
        <f aca="false">IF(F811="Active",A811&amp;"|"&amp;COUNTIFS(A$2:A811,A811,F$2:F811,"Active"),"")</f>
        <v/>
      </c>
      <c r="I811" s="18" t="str">
        <f aca="false">IF(B811="","",IF(SUMPRODUCT(MAX((A$1:A810=A811)*(B$1:B810=B811)*ROW(A$1:A810)))=0,C811&amp;"",IF(C811="",INDEX(I$1:I810,SUMPRODUCT(MAX((A$1:A810=A811)*(B$1:B810=B811)*ROW(A$1:A810)))),IF(INDEX(I$1:I810,SUMPRODUCT(MAX((A$1:A810=A811)*(B$1:B810=B811)*ROW(A$1:A810))))="",C811&amp;"",INDEX(I$1:I810,SUMPRODUCT(MAX((A$1:A810=A811)*(B$1:B810=B811)*ROW(A$1:A810))))&amp;"; "&amp;C811))))</f>
        <v/>
      </c>
      <c r="J811" s="18" t="str">
        <f aca="false">IF(A811="","",A811&amp;"|"&amp;COUNTIF(A$2:A811,A811))</f>
        <v/>
      </c>
      <c r="K811" s="18" t="n">
        <f aca="false">IF(OR(A811="",B811=""),0,IF(COUNTIFS(A$2:A811,A811,B$2:B811,B811)=1,1,0))</f>
        <v>0</v>
      </c>
    </row>
    <row r="812" customFormat="false" ht="15" hidden="false" customHeight="false" outlineLevel="0" collapsed="false">
      <c r="A812" s="15"/>
      <c r="B812" s="15"/>
      <c r="C812" s="15"/>
      <c r="D812" s="15"/>
      <c r="F812" s="18" t="str">
        <f aca="false">IF(B812="","",IFERROR(INDEX(Materials!$B$2:$B$201,MATCH(B812,Materials!$A$2:$A$201,0)),""))</f>
        <v/>
      </c>
      <c r="G812" s="18" t="str">
        <f aca="true">IF(AND(A812="",B812=""),"",IF(A812="","Missing product",IF(B812="","Missing material",IF(COUNTIF(ProductList,A812)=0,"Product not in Products list",IF(COUNTIF(MaterialList,B812)=0,"Material not in Materials list","OK")))))</f>
        <v/>
      </c>
      <c r="H812" s="18" t="str">
        <f aca="false">IF(F812="Active",A812&amp;"|"&amp;COUNTIFS(A$2:A812,A812,F$2:F812,"Active"),"")</f>
        <v/>
      </c>
      <c r="I812" s="18" t="str">
        <f aca="false">IF(B812="","",IF(SUMPRODUCT(MAX((A$1:A811=A812)*(B$1:B811=B812)*ROW(A$1:A811)))=0,C812&amp;"",IF(C812="",INDEX(I$1:I811,SUMPRODUCT(MAX((A$1:A811=A812)*(B$1:B811=B812)*ROW(A$1:A811)))),IF(INDEX(I$1:I811,SUMPRODUCT(MAX((A$1:A811=A812)*(B$1:B811=B812)*ROW(A$1:A811))))="",C812&amp;"",INDEX(I$1:I811,SUMPRODUCT(MAX((A$1:A811=A812)*(B$1:B811=B812)*ROW(A$1:A811))))&amp;"; "&amp;C812))))</f>
        <v/>
      </c>
      <c r="J812" s="18" t="str">
        <f aca="false">IF(A812="","",A812&amp;"|"&amp;COUNTIF(A$2:A812,A812))</f>
        <v/>
      </c>
      <c r="K812" s="18" t="n">
        <f aca="false">IF(OR(A812="",B812=""),0,IF(COUNTIFS(A$2:A812,A812,B$2:B812,B812)=1,1,0))</f>
        <v>0</v>
      </c>
    </row>
    <row r="813" customFormat="false" ht="15" hidden="false" customHeight="false" outlineLevel="0" collapsed="false">
      <c r="A813" s="15"/>
      <c r="B813" s="15"/>
      <c r="C813" s="15"/>
      <c r="D813" s="15"/>
      <c r="F813" s="18" t="str">
        <f aca="false">IF(B813="","",IFERROR(INDEX(Materials!$B$2:$B$201,MATCH(B813,Materials!$A$2:$A$201,0)),""))</f>
        <v/>
      </c>
      <c r="G813" s="18" t="str">
        <f aca="true">IF(AND(A813="",B813=""),"",IF(A813="","Missing product",IF(B813="","Missing material",IF(COUNTIF(ProductList,A813)=0,"Product not in Products list",IF(COUNTIF(MaterialList,B813)=0,"Material not in Materials list","OK")))))</f>
        <v/>
      </c>
      <c r="H813" s="18" t="str">
        <f aca="false">IF(F813="Active",A813&amp;"|"&amp;COUNTIFS(A$2:A813,A813,F$2:F813,"Active"),"")</f>
        <v/>
      </c>
      <c r="I813" s="18" t="str">
        <f aca="false">IF(B813="","",IF(SUMPRODUCT(MAX((A$1:A812=A813)*(B$1:B812=B813)*ROW(A$1:A812)))=0,C813&amp;"",IF(C813="",INDEX(I$1:I812,SUMPRODUCT(MAX((A$1:A812=A813)*(B$1:B812=B813)*ROW(A$1:A812)))),IF(INDEX(I$1:I812,SUMPRODUCT(MAX((A$1:A812=A813)*(B$1:B812=B813)*ROW(A$1:A812))))="",C813&amp;"",INDEX(I$1:I812,SUMPRODUCT(MAX((A$1:A812=A813)*(B$1:B812=B813)*ROW(A$1:A812))))&amp;"; "&amp;C813))))</f>
        <v/>
      </c>
      <c r="J813" s="18" t="str">
        <f aca="false">IF(A813="","",A813&amp;"|"&amp;COUNTIF(A$2:A813,A813))</f>
        <v/>
      </c>
      <c r="K813" s="18" t="n">
        <f aca="false">IF(OR(A813="",B813=""),0,IF(COUNTIFS(A$2:A813,A813,B$2:B813,B813)=1,1,0))</f>
        <v>0</v>
      </c>
    </row>
    <row r="814" customFormat="false" ht="15" hidden="false" customHeight="false" outlineLevel="0" collapsed="false">
      <c r="A814" s="15"/>
      <c r="B814" s="15"/>
      <c r="C814" s="15"/>
      <c r="D814" s="15"/>
      <c r="F814" s="18" t="str">
        <f aca="false">IF(B814="","",IFERROR(INDEX(Materials!$B$2:$B$201,MATCH(B814,Materials!$A$2:$A$201,0)),""))</f>
        <v/>
      </c>
      <c r="G814" s="18" t="str">
        <f aca="true">IF(AND(A814="",B814=""),"",IF(A814="","Missing product",IF(B814="","Missing material",IF(COUNTIF(ProductList,A814)=0,"Product not in Products list",IF(COUNTIF(MaterialList,B814)=0,"Material not in Materials list","OK")))))</f>
        <v/>
      </c>
      <c r="H814" s="18" t="str">
        <f aca="false">IF(F814="Active",A814&amp;"|"&amp;COUNTIFS(A$2:A814,A814,F$2:F814,"Active"),"")</f>
        <v/>
      </c>
      <c r="I814" s="18" t="str">
        <f aca="false">IF(B814="","",IF(SUMPRODUCT(MAX((A$1:A813=A814)*(B$1:B813=B814)*ROW(A$1:A813)))=0,C814&amp;"",IF(C814="",INDEX(I$1:I813,SUMPRODUCT(MAX((A$1:A813=A814)*(B$1:B813=B814)*ROW(A$1:A813)))),IF(INDEX(I$1:I813,SUMPRODUCT(MAX((A$1:A813=A814)*(B$1:B813=B814)*ROW(A$1:A813))))="",C814&amp;"",INDEX(I$1:I813,SUMPRODUCT(MAX((A$1:A813=A814)*(B$1:B813=B814)*ROW(A$1:A813))))&amp;"; "&amp;C814))))</f>
        <v/>
      </c>
      <c r="J814" s="18" t="str">
        <f aca="false">IF(A814="","",A814&amp;"|"&amp;COUNTIF(A$2:A814,A814))</f>
        <v/>
      </c>
      <c r="K814" s="18" t="n">
        <f aca="false">IF(OR(A814="",B814=""),0,IF(COUNTIFS(A$2:A814,A814,B$2:B814,B814)=1,1,0))</f>
        <v>0</v>
      </c>
    </row>
    <row r="815" customFormat="false" ht="15" hidden="false" customHeight="false" outlineLevel="0" collapsed="false">
      <c r="A815" s="15"/>
      <c r="B815" s="15"/>
      <c r="C815" s="15"/>
      <c r="D815" s="15"/>
      <c r="F815" s="18" t="str">
        <f aca="false">IF(B815="","",IFERROR(INDEX(Materials!$B$2:$B$201,MATCH(B815,Materials!$A$2:$A$201,0)),""))</f>
        <v/>
      </c>
      <c r="G815" s="18" t="str">
        <f aca="true">IF(AND(A815="",B815=""),"",IF(A815="","Missing product",IF(B815="","Missing material",IF(COUNTIF(ProductList,A815)=0,"Product not in Products list",IF(COUNTIF(MaterialList,B815)=0,"Material not in Materials list","OK")))))</f>
        <v/>
      </c>
      <c r="H815" s="18" t="str">
        <f aca="false">IF(F815="Active",A815&amp;"|"&amp;COUNTIFS(A$2:A815,A815,F$2:F815,"Active"),"")</f>
        <v/>
      </c>
      <c r="I815" s="18" t="str">
        <f aca="false">IF(B815="","",IF(SUMPRODUCT(MAX((A$1:A814=A815)*(B$1:B814=B815)*ROW(A$1:A814)))=0,C815&amp;"",IF(C815="",INDEX(I$1:I814,SUMPRODUCT(MAX((A$1:A814=A815)*(B$1:B814=B815)*ROW(A$1:A814)))),IF(INDEX(I$1:I814,SUMPRODUCT(MAX((A$1:A814=A815)*(B$1:B814=B815)*ROW(A$1:A814))))="",C815&amp;"",INDEX(I$1:I814,SUMPRODUCT(MAX((A$1:A814=A815)*(B$1:B814=B815)*ROW(A$1:A814))))&amp;"; "&amp;C815))))</f>
        <v/>
      </c>
      <c r="J815" s="18" t="str">
        <f aca="false">IF(A815="","",A815&amp;"|"&amp;COUNTIF(A$2:A815,A815))</f>
        <v/>
      </c>
      <c r="K815" s="18" t="n">
        <f aca="false">IF(OR(A815="",B815=""),0,IF(COUNTIFS(A$2:A815,A815,B$2:B815,B815)=1,1,0))</f>
        <v>0</v>
      </c>
    </row>
    <row r="816" customFormat="false" ht="15" hidden="false" customHeight="false" outlineLevel="0" collapsed="false">
      <c r="A816" s="15"/>
      <c r="B816" s="15"/>
      <c r="C816" s="15"/>
      <c r="D816" s="15"/>
      <c r="F816" s="18" t="str">
        <f aca="false">IF(B816="","",IFERROR(INDEX(Materials!$B$2:$B$201,MATCH(B816,Materials!$A$2:$A$201,0)),""))</f>
        <v/>
      </c>
      <c r="G816" s="18" t="str">
        <f aca="true">IF(AND(A816="",B816=""),"",IF(A816="","Missing product",IF(B816="","Missing material",IF(COUNTIF(ProductList,A816)=0,"Product not in Products list",IF(COUNTIF(MaterialList,B816)=0,"Material not in Materials list","OK")))))</f>
        <v/>
      </c>
      <c r="H816" s="18" t="str">
        <f aca="false">IF(F816="Active",A816&amp;"|"&amp;COUNTIFS(A$2:A816,A816,F$2:F816,"Active"),"")</f>
        <v/>
      </c>
      <c r="I816" s="18" t="str">
        <f aca="false">IF(B816="","",IF(SUMPRODUCT(MAX((A$1:A815=A816)*(B$1:B815=B816)*ROW(A$1:A815)))=0,C816&amp;"",IF(C816="",INDEX(I$1:I815,SUMPRODUCT(MAX((A$1:A815=A816)*(B$1:B815=B816)*ROW(A$1:A815)))),IF(INDEX(I$1:I815,SUMPRODUCT(MAX((A$1:A815=A816)*(B$1:B815=B816)*ROW(A$1:A815))))="",C816&amp;"",INDEX(I$1:I815,SUMPRODUCT(MAX((A$1:A815=A816)*(B$1:B815=B816)*ROW(A$1:A815))))&amp;"; "&amp;C816))))</f>
        <v/>
      </c>
      <c r="J816" s="18" t="str">
        <f aca="false">IF(A816="","",A816&amp;"|"&amp;COUNTIF(A$2:A816,A816))</f>
        <v/>
      </c>
      <c r="K816" s="18" t="n">
        <f aca="false">IF(OR(A816="",B816=""),0,IF(COUNTIFS(A$2:A816,A816,B$2:B816,B816)=1,1,0))</f>
        <v>0</v>
      </c>
    </row>
    <row r="817" customFormat="false" ht="15" hidden="false" customHeight="false" outlineLevel="0" collapsed="false">
      <c r="A817" s="15"/>
      <c r="B817" s="15"/>
      <c r="C817" s="15"/>
      <c r="D817" s="15"/>
      <c r="F817" s="18" t="str">
        <f aca="false">IF(B817="","",IFERROR(INDEX(Materials!$B$2:$B$201,MATCH(B817,Materials!$A$2:$A$201,0)),""))</f>
        <v/>
      </c>
      <c r="G817" s="18" t="str">
        <f aca="true">IF(AND(A817="",B817=""),"",IF(A817="","Missing product",IF(B817="","Missing material",IF(COUNTIF(ProductList,A817)=0,"Product not in Products list",IF(COUNTIF(MaterialList,B817)=0,"Material not in Materials list","OK")))))</f>
        <v/>
      </c>
      <c r="H817" s="18" t="str">
        <f aca="false">IF(F817="Active",A817&amp;"|"&amp;COUNTIFS(A$2:A817,A817,F$2:F817,"Active"),"")</f>
        <v/>
      </c>
      <c r="I817" s="18" t="str">
        <f aca="false">IF(B817="","",IF(SUMPRODUCT(MAX((A$1:A816=A817)*(B$1:B816=B817)*ROW(A$1:A816)))=0,C817&amp;"",IF(C817="",INDEX(I$1:I816,SUMPRODUCT(MAX((A$1:A816=A817)*(B$1:B816=B817)*ROW(A$1:A816)))),IF(INDEX(I$1:I816,SUMPRODUCT(MAX((A$1:A816=A817)*(B$1:B816=B817)*ROW(A$1:A816))))="",C817&amp;"",INDEX(I$1:I816,SUMPRODUCT(MAX((A$1:A816=A817)*(B$1:B816=B817)*ROW(A$1:A816))))&amp;"; "&amp;C817))))</f>
        <v/>
      </c>
      <c r="J817" s="18" t="str">
        <f aca="false">IF(A817="","",A817&amp;"|"&amp;COUNTIF(A$2:A817,A817))</f>
        <v/>
      </c>
      <c r="K817" s="18" t="n">
        <f aca="false">IF(OR(A817="",B817=""),0,IF(COUNTIFS(A$2:A817,A817,B$2:B817,B817)=1,1,0))</f>
        <v>0</v>
      </c>
    </row>
    <row r="818" customFormat="false" ht="15" hidden="false" customHeight="false" outlineLevel="0" collapsed="false">
      <c r="A818" s="15"/>
      <c r="B818" s="15"/>
      <c r="C818" s="15"/>
      <c r="D818" s="15"/>
      <c r="F818" s="18" t="str">
        <f aca="false">IF(B818="","",IFERROR(INDEX(Materials!$B$2:$B$201,MATCH(B818,Materials!$A$2:$A$201,0)),""))</f>
        <v/>
      </c>
      <c r="G818" s="18" t="str">
        <f aca="true">IF(AND(A818="",B818=""),"",IF(A818="","Missing product",IF(B818="","Missing material",IF(COUNTIF(ProductList,A818)=0,"Product not in Products list",IF(COUNTIF(MaterialList,B818)=0,"Material not in Materials list","OK")))))</f>
        <v/>
      </c>
      <c r="H818" s="18" t="str">
        <f aca="false">IF(F818="Active",A818&amp;"|"&amp;COUNTIFS(A$2:A818,A818,F$2:F818,"Active"),"")</f>
        <v/>
      </c>
      <c r="I818" s="18" t="str">
        <f aca="false">IF(B818="","",IF(SUMPRODUCT(MAX((A$1:A817=A818)*(B$1:B817=B818)*ROW(A$1:A817)))=0,C818&amp;"",IF(C818="",INDEX(I$1:I817,SUMPRODUCT(MAX((A$1:A817=A818)*(B$1:B817=B818)*ROW(A$1:A817)))),IF(INDEX(I$1:I817,SUMPRODUCT(MAX((A$1:A817=A818)*(B$1:B817=B818)*ROW(A$1:A817))))="",C818&amp;"",INDEX(I$1:I817,SUMPRODUCT(MAX((A$1:A817=A818)*(B$1:B817=B818)*ROW(A$1:A817))))&amp;"; "&amp;C818))))</f>
        <v/>
      </c>
      <c r="J818" s="18" t="str">
        <f aca="false">IF(A818="","",A818&amp;"|"&amp;COUNTIF(A$2:A818,A818))</f>
        <v/>
      </c>
      <c r="K818" s="18" t="n">
        <f aca="false">IF(OR(A818="",B818=""),0,IF(COUNTIFS(A$2:A818,A818,B$2:B818,B818)=1,1,0))</f>
        <v>0</v>
      </c>
    </row>
    <row r="819" customFormat="false" ht="15" hidden="false" customHeight="false" outlineLevel="0" collapsed="false">
      <c r="A819" s="15"/>
      <c r="B819" s="15"/>
      <c r="C819" s="15"/>
      <c r="D819" s="15"/>
      <c r="F819" s="18" t="str">
        <f aca="false">IF(B819="","",IFERROR(INDEX(Materials!$B$2:$B$201,MATCH(B819,Materials!$A$2:$A$201,0)),""))</f>
        <v/>
      </c>
      <c r="G819" s="18" t="str">
        <f aca="true">IF(AND(A819="",B819=""),"",IF(A819="","Missing product",IF(B819="","Missing material",IF(COUNTIF(ProductList,A819)=0,"Product not in Products list",IF(COUNTIF(MaterialList,B819)=0,"Material not in Materials list","OK")))))</f>
        <v/>
      </c>
      <c r="H819" s="18" t="str">
        <f aca="false">IF(F819="Active",A819&amp;"|"&amp;COUNTIFS(A$2:A819,A819,F$2:F819,"Active"),"")</f>
        <v/>
      </c>
      <c r="I819" s="18" t="str">
        <f aca="false">IF(B819="","",IF(SUMPRODUCT(MAX((A$1:A818=A819)*(B$1:B818=B819)*ROW(A$1:A818)))=0,C819&amp;"",IF(C819="",INDEX(I$1:I818,SUMPRODUCT(MAX((A$1:A818=A819)*(B$1:B818=B819)*ROW(A$1:A818)))),IF(INDEX(I$1:I818,SUMPRODUCT(MAX((A$1:A818=A819)*(B$1:B818=B819)*ROW(A$1:A818))))="",C819&amp;"",INDEX(I$1:I818,SUMPRODUCT(MAX((A$1:A818=A819)*(B$1:B818=B819)*ROW(A$1:A818))))&amp;"; "&amp;C819))))</f>
        <v/>
      </c>
      <c r="J819" s="18" t="str">
        <f aca="false">IF(A819="","",A819&amp;"|"&amp;COUNTIF(A$2:A819,A819))</f>
        <v/>
      </c>
      <c r="K819" s="18" t="n">
        <f aca="false">IF(OR(A819="",B819=""),0,IF(COUNTIFS(A$2:A819,A819,B$2:B819,B819)=1,1,0))</f>
        <v>0</v>
      </c>
    </row>
    <row r="820" customFormat="false" ht="15" hidden="false" customHeight="false" outlineLevel="0" collapsed="false">
      <c r="A820" s="15"/>
      <c r="B820" s="15"/>
      <c r="C820" s="15"/>
      <c r="D820" s="15"/>
      <c r="F820" s="18" t="str">
        <f aca="false">IF(B820="","",IFERROR(INDEX(Materials!$B$2:$B$201,MATCH(B820,Materials!$A$2:$A$201,0)),""))</f>
        <v/>
      </c>
      <c r="G820" s="18" t="str">
        <f aca="true">IF(AND(A820="",B820=""),"",IF(A820="","Missing product",IF(B820="","Missing material",IF(COUNTIF(ProductList,A820)=0,"Product not in Products list",IF(COUNTIF(MaterialList,B820)=0,"Material not in Materials list","OK")))))</f>
        <v/>
      </c>
      <c r="H820" s="18" t="str">
        <f aca="false">IF(F820="Active",A820&amp;"|"&amp;COUNTIFS(A$2:A820,A820,F$2:F820,"Active"),"")</f>
        <v/>
      </c>
      <c r="I820" s="18" t="str">
        <f aca="false">IF(B820="","",IF(SUMPRODUCT(MAX((A$1:A819=A820)*(B$1:B819=B820)*ROW(A$1:A819)))=0,C820&amp;"",IF(C820="",INDEX(I$1:I819,SUMPRODUCT(MAX((A$1:A819=A820)*(B$1:B819=B820)*ROW(A$1:A819)))),IF(INDEX(I$1:I819,SUMPRODUCT(MAX((A$1:A819=A820)*(B$1:B819=B820)*ROW(A$1:A819))))="",C820&amp;"",INDEX(I$1:I819,SUMPRODUCT(MAX((A$1:A819=A820)*(B$1:B819=B820)*ROW(A$1:A819))))&amp;"; "&amp;C820))))</f>
        <v/>
      </c>
      <c r="J820" s="18" t="str">
        <f aca="false">IF(A820="","",A820&amp;"|"&amp;COUNTIF(A$2:A820,A820))</f>
        <v/>
      </c>
      <c r="K820" s="18" t="n">
        <f aca="false">IF(OR(A820="",B820=""),0,IF(COUNTIFS(A$2:A820,A820,B$2:B820,B820)=1,1,0))</f>
        <v>0</v>
      </c>
    </row>
    <row r="821" customFormat="false" ht="15" hidden="false" customHeight="false" outlineLevel="0" collapsed="false">
      <c r="A821" s="15"/>
      <c r="B821" s="15"/>
      <c r="C821" s="15"/>
      <c r="D821" s="15"/>
      <c r="F821" s="18" t="str">
        <f aca="false">IF(B821="","",IFERROR(INDEX(Materials!$B$2:$B$201,MATCH(B821,Materials!$A$2:$A$201,0)),""))</f>
        <v/>
      </c>
      <c r="G821" s="18" t="str">
        <f aca="true">IF(AND(A821="",B821=""),"",IF(A821="","Missing product",IF(B821="","Missing material",IF(COUNTIF(ProductList,A821)=0,"Product not in Products list",IF(COUNTIF(MaterialList,B821)=0,"Material not in Materials list","OK")))))</f>
        <v/>
      </c>
      <c r="H821" s="18" t="str">
        <f aca="false">IF(F821="Active",A821&amp;"|"&amp;COUNTIFS(A$2:A821,A821,F$2:F821,"Active"),"")</f>
        <v/>
      </c>
      <c r="I821" s="18" t="str">
        <f aca="false">IF(B821="","",IF(SUMPRODUCT(MAX((A$1:A820=A821)*(B$1:B820=B821)*ROW(A$1:A820)))=0,C821&amp;"",IF(C821="",INDEX(I$1:I820,SUMPRODUCT(MAX((A$1:A820=A821)*(B$1:B820=B821)*ROW(A$1:A820)))),IF(INDEX(I$1:I820,SUMPRODUCT(MAX((A$1:A820=A821)*(B$1:B820=B821)*ROW(A$1:A820))))="",C821&amp;"",INDEX(I$1:I820,SUMPRODUCT(MAX((A$1:A820=A821)*(B$1:B820=B821)*ROW(A$1:A820))))&amp;"; "&amp;C821))))</f>
        <v/>
      </c>
      <c r="J821" s="18" t="str">
        <f aca="false">IF(A821="","",A821&amp;"|"&amp;COUNTIF(A$2:A821,A821))</f>
        <v/>
      </c>
      <c r="K821" s="18" t="n">
        <f aca="false">IF(OR(A821="",B821=""),0,IF(COUNTIFS(A$2:A821,A821,B$2:B821,B821)=1,1,0))</f>
        <v>0</v>
      </c>
    </row>
    <row r="822" customFormat="false" ht="15" hidden="false" customHeight="false" outlineLevel="0" collapsed="false">
      <c r="A822" s="15"/>
      <c r="B822" s="15"/>
      <c r="C822" s="15"/>
      <c r="D822" s="15"/>
      <c r="F822" s="18" t="str">
        <f aca="false">IF(B822="","",IFERROR(INDEX(Materials!$B$2:$B$201,MATCH(B822,Materials!$A$2:$A$201,0)),""))</f>
        <v/>
      </c>
      <c r="G822" s="18" t="str">
        <f aca="true">IF(AND(A822="",B822=""),"",IF(A822="","Missing product",IF(B822="","Missing material",IF(COUNTIF(ProductList,A822)=0,"Product not in Products list",IF(COUNTIF(MaterialList,B822)=0,"Material not in Materials list","OK")))))</f>
        <v/>
      </c>
      <c r="H822" s="18" t="str">
        <f aca="false">IF(F822="Active",A822&amp;"|"&amp;COUNTIFS(A$2:A822,A822,F$2:F822,"Active"),"")</f>
        <v/>
      </c>
      <c r="I822" s="18" t="str">
        <f aca="false">IF(B822="","",IF(SUMPRODUCT(MAX((A$1:A821=A822)*(B$1:B821=B822)*ROW(A$1:A821)))=0,C822&amp;"",IF(C822="",INDEX(I$1:I821,SUMPRODUCT(MAX((A$1:A821=A822)*(B$1:B821=B822)*ROW(A$1:A821)))),IF(INDEX(I$1:I821,SUMPRODUCT(MAX((A$1:A821=A822)*(B$1:B821=B822)*ROW(A$1:A821))))="",C822&amp;"",INDEX(I$1:I821,SUMPRODUCT(MAX((A$1:A821=A822)*(B$1:B821=B822)*ROW(A$1:A821))))&amp;"; "&amp;C822))))</f>
        <v/>
      </c>
      <c r="J822" s="18" t="str">
        <f aca="false">IF(A822="","",A822&amp;"|"&amp;COUNTIF(A$2:A822,A822))</f>
        <v/>
      </c>
      <c r="K822" s="18" t="n">
        <f aca="false">IF(OR(A822="",B822=""),0,IF(COUNTIFS(A$2:A822,A822,B$2:B822,B822)=1,1,0))</f>
        <v>0</v>
      </c>
    </row>
    <row r="823" customFormat="false" ht="15" hidden="false" customHeight="false" outlineLevel="0" collapsed="false">
      <c r="A823" s="15"/>
      <c r="B823" s="15"/>
      <c r="C823" s="15"/>
      <c r="D823" s="15"/>
      <c r="F823" s="18" t="str">
        <f aca="false">IF(B823="","",IFERROR(INDEX(Materials!$B$2:$B$201,MATCH(B823,Materials!$A$2:$A$201,0)),""))</f>
        <v/>
      </c>
      <c r="G823" s="18" t="str">
        <f aca="true">IF(AND(A823="",B823=""),"",IF(A823="","Missing product",IF(B823="","Missing material",IF(COUNTIF(ProductList,A823)=0,"Product not in Products list",IF(COUNTIF(MaterialList,B823)=0,"Material not in Materials list","OK")))))</f>
        <v/>
      </c>
      <c r="H823" s="18" t="str">
        <f aca="false">IF(F823="Active",A823&amp;"|"&amp;COUNTIFS(A$2:A823,A823,F$2:F823,"Active"),"")</f>
        <v/>
      </c>
      <c r="I823" s="18" t="str">
        <f aca="false">IF(B823="","",IF(SUMPRODUCT(MAX((A$1:A822=A823)*(B$1:B822=B823)*ROW(A$1:A822)))=0,C823&amp;"",IF(C823="",INDEX(I$1:I822,SUMPRODUCT(MAX((A$1:A822=A823)*(B$1:B822=B823)*ROW(A$1:A822)))),IF(INDEX(I$1:I822,SUMPRODUCT(MAX((A$1:A822=A823)*(B$1:B822=B823)*ROW(A$1:A822))))="",C823&amp;"",INDEX(I$1:I822,SUMPRODUCT(MAX((A$1:A822=A823)*(B$1:B822=B823)*ROW(A$1:A822))))&amp;"; "&amp;C823))))</f>
        <v/>
      </c>
      <c r="J823" s="18" t="str">
        <f aca="false">IF(A823="","",A823&amp;"|"&amp;COUNTIF(A$2:A823,A823))</f>
        <v/>
      </c>
      <c r="K823" s="18" t="n">
        <f aca="false">IF(OR(A823="",B823=""),0,IF(COUNTIFS(A$2:A823,A823,B$2:B823,B823)=1,1,0))</f>
        <v>0</v>
      </c>
    </row>
    <row r="824" customFormat="false" ht="15" hidden="false" customHeight="false" outlineLevel="0" collapsed="false">
      <c r="A824" s="15"/>
      <c r="B824" s="15"/>
      <c r="C824" s="15"/>
      <c r="D824" s="15"/>
      <c r="F824" s="18" t="str">
        <f aca="false">IF(B824="","",IFERROR(INDEX(Materials!$B$2:$B$201,MATCH(B824,Materials!$A$2:$A$201,0)),""))</f>
        <v/>
      </c>
      <c r="G824" s="18" t="str">
        <f aca="true">IF(AND(A824="",B824=""),"",IF(A824="","Missing product",IF(B824="","Missing material",IF(COUNTIF(ProductList,A824)=0,"Product not in Products list",IF(COUNTIF(MaterialList,B824)=0,"Material not in Materials list","OK")))))</f>
        <v/>
      </c>
      <c r="H824" s="18" t="str">
        <f aca="false">IF(F824="Active",A824&amp;"|"&amp;COUNTIFS(A$2:A824,A824,F$2:F824,"Active"),"")</f>
        <v/>
      </c>
      <c r="I824" s="18" t="str">
        <f aca="false">IF(B824="","",IF(SUMPRODUCT(MAX((A$1:A823=A824)*(B$1:B823=B824)*ROW(A$1:A823)))=0,C824&amp;"",IF(C824="",INDEX(I$1:I823,SUMPRODUCT(MAX((A$1:A823=A824)*(B$1:B823=B824)*ROW(A$1:A823)))),IF(INDEX(I$1:I823,SUMPRODUCT(MAX((A$1:A823=A824)*(B$1:B823=B824)*ROW(A$1:A823))))="",C824&amp;"",INDEX(I$1:I823,SUMPRODUCT(MAX((A$1:A823=A824)*(B$1:B823=B824)*ROW(A$1:A823))))&amp;"; "&amp;C824))))</f>
        <v/>
      </c>
      <c r="J824" s="18" t="str">
        <f aca="false">IF(A824="","",A824&amp;"|"&amp;COUNTIF(A$2:A824,A824))</f>
        <v/>
      </c>
      <c r="K824" s="18" t="n">
        <f aca="false">IF(OR(A824="",B824=""),0,IF(COUNTIFS(A$2:A824,A824,B$2:B824,B824)=1,1,0))</f>
        <v>0</v>
      </c>
    </row>
    <row r="825" customFormat="false" ht="15" hidden="false" customHeight="false" outlineLevel="0" collapsed="false">
      <c r="A825" s="15"/>
      <c r="B825" s="15"/>
      <c r="C825" s="15"/>
      <c r="D825" s="15"/>
      <c r="F825" s="18" t="str">
        <f aca="false">IF(B825="","",IFERROR(INDEX(Materials!$B$2:$B$201,MATCH(B825,Materials!$A$2:$A$201,0)),""))</f>
        <v/>
      </c>
      <c r="G825" s="18" t="str">
        <f aca="true">IF(AND(A825="",B825=""),"",IF(A825="","Missing product",IF(B825="","Missing material",IF(COUNTIF(ProductList,A825)=0,"Product not in Products list",IF(COUNTIF(MaterialList,B825)=0,"Material not in Materials list","OK")))))</f>
        <v/>
      </c>
      <c r="H825" s="18" t="str">
        <f aca="false">IF(F825="Active",A825&amp;"|"&amp;COUNTIFS(A$2:A825,A825,F$2:F825,"Active"),"")</f>
        <v/>
      </c>
      <c r="I825" s="18" t="str">
        <f aca="false">IF(B825="","",IF(SUMPRODUCT(MAX((A$1:A824=A825)*(B$1:B824=B825)*ROW(A$1:A824)))=0,C825&amp;"",IF(C825="",INDEX(I$1:I824,SUMPRODUCT(MAX((A$1:A824=A825)*(B$1:B824=B825)*ROW(A$1:A824)))),IF(INDEX(I$1:I824,SUMPRODUCT(MAX((A$1:A824=A825)*(B$1:B824=B825)*ROW(A$1:A824))))="",C825&amp;"",INDEX(I$1:I824,SUMPRODUCT(MAX((A$1:A824=A825)*(B$1:B824=B825)*ROW(A$1:A824))))&amp;"; "&amp;C825))))</f>
        <v/>
      </c>
      <c r="J825" s="18" t="str">
        <f aca="false">IF(A825="","",A825&amp;"|"&amp;COUNTIF(A$2:A825,A825))</f>
        <v/>
      </c>
      <c r="K825" s="18" t="n">
        <f aca="false">IF(OR(A825="",B825=""),0,IF(COUNTIFS(A$2:A825,A825,B$2:B825,B825)=1,1,0))</f>
        <v>0</v>
      </c>
    </row>
    <row r="826" customFormat="false" ht="15" hidden="false" customHeight="false" outlineLevel="0" collapsed="false">
      <c r="A826" s="15"/>
      <c r="B826" s="15"/>
      <c r="C826" s="15"/>
      <c r="D826" s="15"/>
      <c r="F826" s="18" t="str">
        <f aca="false">IF(B826="","",IFERROR(INDEX(Materials!$B$2:$B$201,MATCH(B826,Materials!$A$2:$A$201,0)),""))</f>
        <v/>
      </c>
      <c r="G826" s="18" t="str">
        <f aca="true">IF(AND(A826="",B826=""),"",IF(A826="","Missing product",IF(B826="","Missing material",IF(COUNTIF(ProductList,A826)=0,"Product not in Products list",IF(COUNTIF(MaterialList,B826)=0,"Material not in Materials list","OK")))))</f>
        <v/>
      </c>
      <c r="H826" s="18" t="str">
        <f aca="false">IF(F826="Active",A826&amp;"|"&amp;COUNTIFS(A$2:A826,A826,F$2:F826,"Active"),"")</f>
        <v/>
      </c>
      <c r="I826" s="18" t="str">
        <f aca="false">IF(B826="","",IF(SUMPRODUCT(MAX((A$1:A825=A826)*(B$1:B825=B826)*ROW(A$1:A825)))=0,C826&amp;"",IF(C826="",INDEX(I$1:I825,SUMPRODUCT(MAX((A$1:A825=A826)*(B$1:B825=B826)*ROW(A$1:A825)))),IF(INDEX(I$1:I825,SUMPRODUCT(MAX((A$1:A825=A826)*(B$1:B825=B826)*ROW(A$1:A825))))="",C826&amp;"",INDEX(I$1:I825,SUMPRODUCT(MAX((A$1:A825=A826)*(B$1:B825=B826)*ROW(A$1:A825))))&amp;"; "&amp;C826))))</f>
        <v/>
      </c>
      <c r="J826" s="18" t="str">
        <f aca="false">IF(A826="","",A826&amp;"|"&amp;COUNTIF(A$2:A826,A826))</f>
        <v/>
      </c>
      <c r="K826" s="18" t="n">
        <f aca="false">IF(OR(A826="",B826=""),0,IF(COUNTIFS(A$2:A826,A826,B$2:B826,B826)=1,1,0))</f>
        <v>0</v>
      </c>
    </row>
    <row r="827" customFormat="false" ht="15" hidden="false" customHeight="false" outlineLevel="0" collapsed="false">
      <c r="A827" s="15"/>
      <c r="B827" s="15"/>
      <c r="C827" s="15"/>
      <c r="D827" s="15"/>
      <c r="F827" s="18" t="str">
        <f aca="false">IF(B827="","",IFERROR(INDEX(Materials!$B$2:$B$201,MATCH(B827,Materials!$A$2:$A$201,0)),""))</f>
        <v/>
      </c>
      <c r="G827" s="18" t="str">
        <f aca="true">IF(AND(A827="",B827=""),"",IF(A827="","Missing product",IF(B827="","Missing material",IF(COUNTIF(ProductList,A827)=0,"Product not in Products list",IF(COUNTIF(MaterialList,B827)=0,"Material not in Materials list","OK")))))</f>
        <v/>
      </c>
      <c r="H827" s="18" t="str">
        <f aca="false">IF(F827="Active",A827&amp;"|"&amp;COUNTIFS(A$2:A827,A827,F$2:F827,"Active"),"")</f>
        <v/>
      </c>
      <c r="I827" s="18" t="str">
        <f aca="false">IF(B827="","",IF(SUMPRODUCT(MAX((A$1:A826=A827)*(B$1:B826=B827)*ROW(A$1:A826)))=0,C827&amp;"",IF(C827="",INDEX(I$1:I826,SUMPRODUCT(MAX((A$1:A826=A827)*(B$1:B826=B827)*ROW(A$1:A826)))),IF(INDEX(I$1:I826,SUMPRODUCT(MAX((A$1:A826=A827)*(B$1:B826=B827)*ROW(A$1:A826))))="",C827&amp;"",INDEX(I$1:I826,SUMPRODUCT(MAX((A$1:A826=A827)*(B$1:B826=B827)*ROW(A$1:A826))))&amp;"; "&amp;C827))))</f>
        <v/>
      </c>
      <c r="J827" s="18" t="str">
        <f aca="false">IF(A827="","",A827&amp;"|"&amp;COUNTIF(A$2:A827,A827))</f>
        <v/>
      </c>
      <c r="K827" s="18" t="n">
        <f aca="false">IF(OR(A827="",B827=""),0,IF(COUNTIFS(A$2:A827,A827,B$2:B827,B827)=1,1,0))</f>
        <v>0</v>
      </c>
    </row>
    <row r="828" customFormat="false" ht="15" hidden="false" customHeight="false" outlineLevel="0" collapsed="false">
      <c r="A828" s="15"/>
      <c r="B828" s="15"/>
      <c r="C828" s="15"/>
      <c r="D828" s="15"/>
      <c r="F828" s="18" t="str">
        <f aca="false">IF(B828="","",IFERROR(INDEX(Materials!$B$2:$B$201,MATCH(B828,Materials!$A$2:$A$201,0)),""))</f>
        <v/>
      </c>
      <c r="G828" s="18" t="str">
        <f aca="true">IF(AND(A828="",B828=""),"",IF(A828="","Missing product",IF(B828="","Missing material",IF(COUNTIF(ProductList,A828)=0,"Product not in Products list",IF(COUNTIF(MaterialList,B828)=0,"Material not in Materials list","OK")))))</f>
        <v/>
      </c>
      <c r="H828" s="18" t="str">
        <f aca="false">IF(F828="Active",A828&amp;"|"&amp;COUNTIFS(A$2:A828,A828,F$2:F828,"Active"),"")</f>
        <v/>
      </c>
      <c r="I828" s="18" t="str">
        <f aca="false">IF(B828="","",IF(SUMPRODUCT(MAX((A$1:A827=A828)*(B$1:B827=B828)*ROW(A$1:A827)))=0,C828&amp;"",IF(C828="",INDEX(I$1:I827,SUMPRODUCT(MAX((A$1:A827=A828)*(B$1:B827=B828)*ROW(A$1:A827)))),IF(INDEX(I$1:I827,SUMPRODUCT(MAX((A$1:A827=A828)*(B$1:B827=B828)*ROW(A$1:A827))))="",C828&amp;"",INDEX(I$1:I827,SUMPRODUCT(MAX((A$1:A827=A828)*(B$1:B827=B828)*ROW(A$1:A827))))&amp;"; "&amp;C828))))</f>
        <v/>
      </c>
      <c r="J828" s="18" t="str">
        <f aca="false">IF(A828="","",A828&amp;"|"&amp;COUNTIF(A$2:A828,A828))</f>
        <v/>
      </c>
      <c r="K828" s="18" t="n">
        <f aca="false">IF(OR(A828="",B828=""),0,IF(COUNTIFS(A$2:A828,A828,B$2:B828,B828)=1,1,0))</f>
        <v>0</v>
      </c>
    </row>
    <row r="829" customFormat="false" ht="15" hidden="false" customHeight="false" outlineLevel="0" collapsed="false">
      <c r="A829" s="15"/>
      <c r="B829" s="15"/>
      <c r="C829" s="15"/>
      <c r="D829" s="15"/>
      <c r="F829" s="18" t="str">
        <f aca="false">IF(B829="","",IFERROR(INDEX(Materials!$B$2:$B$201,MATCH(B829,Materials!$A$2:$A$201,0)),""))</f>
        <v/>
      </c>
      <c r="G829" s="18" t="str">
        <f aca="true">IF(AND(A829="",B829=""),"",IF(A829="","Missing product",IF(B829="","Missing material",IF(COUNTIF(ProductList,A829)=0,"Product not in Products list",IF(COUNTIF(MaterialList,B829)=0,"Material not in Materials list","OK")))))</f>
        <v/>
      </c>
      <c r="H829" s="18" t="str">
        <f aca="false">IF(F829="Active",A829&amp;"|"&amp;COUNTIFS(A$2:A829,A829,F$2:F829,"Active"),"")</f>
        <v/>
      </c>
      <c r="I829" s="18" t="str">
        <f aca="false">IF(B829="","",IF(SUMPRODUCT(MAX((A$1:A828=A829)*(B$1:B828=B829)*ROW(A$1:A828)))=0,C829&amp;"",IF(C829="",INDEX(I$1:I828,SUMPRODUCT(MAX((A$1:A828=A829)*(B$1:B828=B829)*ROW(A$1:A828)))),IF(INDEX(I$1:I828,SUMPRODUCT(MAX((A$1:A828=A829)*(B$1:B828=B829)*ROW(A$1:A828))))="",C829&amp;"",INDEX(I$1:I828,SUMPRODUCT(MAX((A$1:A828=A829)*(B$1:B828=B829)*ROW(A$1:A828))))&amp;"; "&amp;C829))))</f>
        <v/>
      </c>
      <c r="J829" s="18" t="str">
        <f aca="false">IF(A829="","",A829&amp;"|"&amp;COUNTIF(A$2:A829,A829))</f>
        <v/>
      </c>
      <c r="K829" s="18" t="n">
        <f aca="false">IF(OR(A829="",B829=""),0,IF(COUNTIFS(A$2:A829,A829,B$2:B829,B829)=1,1,0))</f>
        <v>0</v>
      </c>
    </row>
    <row r="830" customFormat="false" ht="15" hidden="false" customHeight="false" outlineLevel="0" collapsed="false">
      <c r="A830" s="15"/>
      <c r="B830" s="15"/>
      <c r="C830" s="15"/>
      <c r="D830" s="15"/>
      <c r="F830" s="18" t="str">
        <f aca="false">IF(B830="","",IFERROR(INDEX(Materials!$B$2:$B$201,MATCH(B830,Materials!$A$2:$A$201,0)),""))</f>
        <v/>
      </c>
      <c r="G830" s="18" t="str">
        <f aca="true">IF(AND(A830="",B830=""),"",IF(A830="","Missing product",IF(B830="","Missing material",IF(COUNTIF(ProductList,A830)=0,"Product not in Products list",IF(COUNTIF(MaterialList,B830)=0,"Material not in Materials list","OK")))))</f>
        <v/>
      </c>
      <c r="H830" s="18" t="str">
        <f aca="false">IF(F830="Active",A830&amp;"|"&amp;COUNTIFS(A$2:A830,A830,F$2:F830,"Active"),"")</f>
        <v/>
      </c>
      <c r="I830" s="18" t="str">
        <f aca="false">IF(B830="","",IF(SUMPRODUCT(MAX((A$1:A829=A830)*(B$1:B829=B830)*ROW(A$1:A829)))=0,C830&amp;"",IF(C830="",INDEX(I$1:I829,SUMPRODUCT(MAX((A$1:A829=A830)*(B$1:B829=B830)*ROW(A$1:A829)))),IF(INDEX(I$1:I829,SUMPRODUCT(MAX((A$1:A829=A830)*(B$1:B829=B830)*ROW(A$1:A829))))="",C830&amp;"",INDEX(I$1:I829,SUMPRODUCT(MAX((A$1:A829=A830)*(B$1:B829=B830)*ROW(A$1:A829))))&amp;"; "&amp;C830))))</f>
        <v/>
      </c>
      <c r="J830" s="18" t="str">
        <f aca="false">IF(A830="","",A830&amp;"|"&amp;COUNTIF(A$2:A830,A830))</f>
        <v/>
      </c>
      <c r="K830" s="18" t="n">
        <f aca="false">IF(OR(A830="",B830=""),0,IF(COUNTIFS(A$2:A830,A830,B$2:B830,B830)=1,1,0))</f>
        <v>0</v>
      </c>
    </row>
    <row r="831" customFormat="false" ht="15" hidden="false" customHeight="false" outlineLevel="0" collapsed="false">
      <c r="A831" s="15"/>
      <c r="B831" s="15"/>
      <c r="C831" s="15"/>
      <c r="D831" s="15"/>
      <c r="F831" s="18" t="str">
        <f aca="false">IF(B831="","",IFERROR(INDEX(Materials!$B$2:$B$201,MATCH(B831,Materials!$A$2:$A$201,0)),""))</f>
        <v/>
      </c>
      <c r="G831" s="18" t="str">
        <f aca="true">IF(AND(A831="",B831=""),"",IF(A831="","Missing product",IF(B831="","Missing material",IF(COUNTIF(ProductList,A831)=0,"Product not in Products list",IF(COUNTIF(MaterialList,B831)=0,"Material not in Materials list","OK")))))</f>
        <v/>
      </c>
      <c r="H831" s="18" t="str">
        <f aca="false">IF(F831="Active",A831&amp;"|"&amp;COUNTIFS(A$2:A831,A831,F$2:F831,"Active"),"")</f>
        <v/>
      </c>
      <c r="I831" s="18" t="str">
        <f aca="false">IF(B831="","",IF(SUMPRODUCT(MAX((A$1:A830=A831)*(B$1:B830=B831)*ROW(A$1:A830)))=0,C831&amp;"",IF(C831="",INDEX(I$1:I830,SUMPRODUCT(MAX((A$1:A830=A831)*(B$1:B830=B831)*ROW(A$1:A830)))),IF(INDEX(I$1:I830,SUMPRODUCT(MAX((A$1:A830=A831)*(B$1:B830=B831)*ROW(A$1:A830))))="",C831&amp;"",INDEX(I$1:I830,SUMPRODUCT(MAX((A$1:A830=A831)*(B$1:B830=B831)*ROW(A$1:A830))))&amp;"; "&amp;C831))))</f>
        <v/>
      </c>
      <c r="J831" s="18" t="str">
        <f aca="false">IF(A831="","",A831&amp;"|"&amp;COUNTIF(A$2:A831,A831))</f>
        <v/>
      </c>
      <c r="K831" s="18" t="n">
        <f aca="false">IF(OR(A831="",B831=""),0,IF(COUNTIFS(A$2:A831,A831,B$2:B831,B831)=1,1,0))</f>
        <v>0</v>
      </c>
    </row>
    <row r="832" customFormat="false" ht="15" hidden="false" customHeight="false" outlineLevel="0" collapsed="false">
      <c r="A832" s="15"/>
      <c r="B832" s="15"/>
      <c r="C832" s="15"/>
      <c r="D832" s="15"/>
      <c r="F832" s="18" t="str">
        <f aca="false">IF(B832="","",IFERROR(INDEX(Materials!$B$2:$B$201,MATCH(B832,Materials!$A$2:$A$201,0)),""))</f>
        <v/>
      </c>
      <c r="G832" s="18" t="str">
        <f aca="true">IF(AND(A832="",B832=""),"",IF(A832="","Missing product",IF(B832="","Missing material",IF(COUNTIF(ProductList,A832)=0,"Product not in Products list",IF(COUNTIF(MaterialList,B832)=0,"Material not in Materials list","OK")))))</f>
        <v/>
      </c>
      <c r="H832" s="18" t="str">
        <f aca="false">IF(F832="Active",A832&amp;"|"&amp;COUNTIFS(A$2:A832,A832,F$2:F832,"Active"),"")</f>
        <v/>
      </c>
      <c r="I832" s="18" t="str">
        <f aca="false">IF(B832="","",IF(SUMPRODUCT(MAX((A$1:A831=A832)*(B$1:B831=B832)*ROW(A$1:A831)))=0,C832&amp;"",IF(C832="",INDEX(I$1:I831,SUMPRODUCT(MAX((A$1:A831=A832)*(B$1:B831=B832)*ROW(A$1:A831)))),IF(INDEX(I$1:I831,SUMPRODUCT(MAX((A$1:A831=A832)*(B$1:B831=B832)*ROW(A$1:A831))))="",C832&amp;"",INDEX(I$1:I831,SUMPRODUCT(MAX((A$1:A831=A832)*(B$1:B831=B832)*ROW(A$1:A831))))&amp;"; "&amp;C832))))</f>
        <v/>
      </c>
      <c r="J832" s="18" t="str">
        <f aca="false">IF(A832="","",A832&amp;"|"&amp;COUNTIF(A$2:A832,A832))</f>
        <v/>
      </c>
      <c r="K832" s="18" t="n">
        <f aca="false">IF(OR(A832="",B832=""),0,IF(COUNTIFS(A$2:A832,A832,B$2:B832,B832)=1,1,0))</f>
        <v>0</v>
      </c>
    </row>
    <row r="833" customFormat="false" ht="15" hidden="false" customHeight="false" outlineLevel="0" collapsed="false">
      <c r="A833" s="15"/>
      <c r="B833" s="15"/>
      <c r="C833" s="15"/>
      <c r="D833" s="15"/>
      <c r="F833" s="18" t="str">
        <f aca="false">IF(B833="","",IFERROR(INDEX(Materials!$B$2:$B$201,MATCH(B833,Materials!$A$2:$A$201,0)),""))</f>
        <v/>
      </c>
      <c r="G833" s="18" t="str">
        <f aca="true">IF(AND(A833="",B833=""),"",IF(A833="","Missing product",IF(B833="","Missing material",IF(COUNTIF(ProductList,A833)=0,"Product not in Products list",IF(COUNTIF(MaterialList,B833)=0,"Material not in Materials list","OK")))))</f>
        <v/>
      </c>
      <c r="H833" s="18" t="str">
        <f aca="false">IF(F833="Active",A833&amp;"|"&amp;COUNTIFS(A$2:A833,A833,F$2:F833,"Active"),"")</f>
        <v/>
      </c>
      <c r="I833" s="18" t="str">
        <f aca="false">IF(B833="","",IF(SUMPRODUCT(MAX((A$1:A832=A833)*(B$1:B832=B833)*ROW(A$1:A832)))=0,C833&amp;"",IF(C833="",INDEX(I$1:I832,SUMPRODUCT(MAX((A$1:A832=A833)*(B$1:B832=B833)*ROW(A$1:A832)))),IF(INDEX(I$1:I832,SUMPRODUCT(MAX((A$1:A832=A833)*(B$1:B832=B833)*ROW(A$1:A832))))="",C833&amp;"",INDEX(I$1:I832,SUMPRODUCT(MAX((A$1:A832=A833)*(B$1:B832=B833)*ROW(A$1:A832))))&amp;"; "&amp;C833))))</f>
        <v/>
      </c>
      <c r="J833" s="18" t="str">
        <f aca="false">IF(A833="","",A833&amp;"|"&amp;COUNTIF(A$2:A833,A833))</f>
        <v/>
      </c>
      <c r="K833" s="18" t="n">
        <f aca="false">IF(OR(A833="",B833=""),0,IF(COUNTIFS(A$2:A833,A833,B$2:B833,B833)=1,1,0))</f>
        <v>0</v>
      </c>
    </row>
    <row r="834" customFormat="false" ht="15" hidden="false" customHeight="false" outlineLevel="0" collapsed="false">
      <c r="A834" s="15"/>
      <c r="B834" s="15"/>
      <c r="C834" s="15"/>
      <c r="D834" s="15"/>
      <c r="F834" s="18" t="str">
        <f aca="false">IF(B834="","",IFERROR(INDEX(Materials!$B$2:$B$201,MATCH(B834,Materials!$A$2:$A$201,0)),""))</f>
        <v/>
      </c>
      <c r="G834" s="18" t="str">
        <f aca="true">IF(AND(A834="",B834=""),"",IF(A834="","Missing product",IF(B834="","Missing material",IF(COUNTIF(ProductList,A834)=0,"Product not in Products list",IF(COUNTIF(MaterialList,B834)=0,"Material not in Materials list","OK")))))</f>
        <v/>
      </c>
      <c r="H834" s="18" t="str">
        <f aca="false">IF(F834="Active",A834&amp;"|"&amp;COUNTIFS(A$2:A834,A834,F$2:F834,"Active"),"")</f>
        <v/>
      </c>
      <c r="I834" s="18" t="str">
        <f aca="false">IF(B834="","",IF(SUMPRODUCT(MAX((A$1:A833=A834)*(B$1:B833=B834)*ROW(A$1:A833)))=0,C834&amp;"",IF(C834="",INDEX(I$1:I833,SUMPRODUCT(MAX((A$1:A833=A834)*(B$1:B833=B834)*ROW(A$1:A833)))),IF(INDEX(I$1:I833,SUMPRODUCT(MAX((A$1:A833=A834)*(B$1:B833=B834)*ROW(A$1:A833))))="",C834&amp;"",INDEX(I$1:I833,SUMPRODUCT(MAX((A$1:A833=A834)*(B$1:B833=B834)*ROW(A$1:A833))))&amp;"; "&amp;C834))))</f>
        <v/>
      </c>
      <c r="J834" s="18" t="str">
        <f aca="false">IF(A834="","",A834&amp;"|"&amp;COUNTIF(A$2:A834,A834))</f>
        <v/>
      </c>
      <c r="K834" s="18" t="n">
        <f aca="false">IF(OR(A834="",B834=""),0,IF(COUNTIFS(A$2:A834,A834,B$2:B834,B834)=1,1,0))</f>
        <v>0</v>
      </c>
    </row>
    <row r="835" customFormat="false" ht="15" hidden="false" customHeight="false" outlineLevel="0" collapsed="false">
      <c r="A835" s="15"/>
      <c r="B835" s="15"/>
      <c r="C835" s="15"/>
      <c r="D835" s="15"/>
      <c r="F835" s="18" t="str">
        <f aca="false">IF(B835="","",IFERROR(INDEX(Materials!$B$2:$B$201,MATCH(B835,Materials!$A$2:$A$201,0)),""))</f>
        <v/>
      </c>
      <c r="G835" s="18" t="str">
        <f aca="true">IF(AND(A835="",B835=""),"",IF(A835="","Missing product",IF(B835="","Missing material",IF(COUNTIF(ProductList,A835)=0,"Product not in Products list",IF(COUNTIF(MaterialList,B835)=0,"Material not in Materials list","OK")))))</f>
        <v/>
      </c>
      <c r="H835" s="18" t="str">
        <f aca="false">IF(F835="Active",A835&amp;"|"&amp;COUNTIFS(A$2:A835,A835,F$2:F835,"Active"),"")</f>
        <v/>
      </c>
      <c r="I835" s="18" t="str">
        <f aca="false">IF(B835="","",IF(SUMPRODUCT(MAX((A$1:A834=A835)*(B$1:B834=B835)*ROW(A$1:A834)))=0,C835&amp;"",IF(C835="",INDEX(I$1:I834,SUMPRODUCT(MAX((A$1:A834=A835)*(B$1:B834=B835)*ROW(A$1:A834)))),IF(INDEX(I$1:I834,SUMPRODUCT(MAX((A$1:A834=A835)*(B$1:B834=B835)*ROW(A$1:A834))))="",C835&amp;"",INDEX(I$1:I834,SUMPRODUCT(MAX((A$1:A834=A835)*(B$1:B834=B835)*ROW(A$1:A834))))&amp;"; "&amp;C835))))</f>
        <v/>
      </c>
      <c r="J835" s="18" t="str">
        <f aca="false">IF(A835="","",A835&amp;"|"&amp;COUNTIF(A$2:A835,A835))</f>
        <v/>
      </c>
      <c r="K835" s="18" t="n">
        <f aca="false">IF(OR(A835="",B835=""),0,IF(COUNTIFS(A$2:A835,A835,B$2:B835,B835)=1,1,0))</f>
        <v>0</v>
      </c>
    </row>
    <row r="836" customFormat="false" ht="15" hidden="false" customHeight="false" outlineLevel="0" collapsed="false">
      <c r="A836" s="15"/>
      <c r="B836" s="15"/>
      <c r="C836" s="15"/>
      <c r="D836" s="15"/>
      <c r="F836" s="18" t="str">
        <f aca="false">IF(B836="","",IFERROR(INDEX(Materials!$B$2:$B$201,MATCH(B836,Materials!$A$2:$A$201,0)),""))</f>
        <v/>
      </c>
      <c r="G836" s="18" t="str">
        <f aca="true">IF(AND(A836="",B836=""),"",IF(A836="","Missing product",IF(B836="","Missing material",IF(COUNTIF(ProductList,A836)=0,"Product not in Products list",IF(COUNTIF(MaterialList,B836)=0,"Material not in Materials list","OK")))))</f>
        <v/>
      </c>
      <c r="H836" s="18" t="str">
        <f aca="false">IF(F836="Active",A836&amp;"|"&amp;COUNTIFS(A$2:A836,A836,F$2:F836,"Active"),"")</f>
        <v/>
      </c>
      <c r="I836" s="18" t="str">
        <f aca="false">IF(B836="","",IF(SUMPRODUCT(MAX((A$1:A835=A836)*(B$1:B835=B836)*ROW(A$1:A835)))=0,C836&amp;"",IF(C836="",INDEX(I$1:I835,SUMPRODUCT(MAX((A$1:A835=A836)*(B$1:B835=B836)*ROW(A$1:A835)))),IF(INDEX(I$1:I835,SUMPRODUCT(MAX((A$1:A835=A836)*(B$1:B835=B836)*ROW(A$1:A835))))="",C836&amp;"",INDEX(I$1:I835,SUMPRODUCT(MAX((A$1:A835=A836)*(B$1:B835=B836)*ROW(A$1:A835))))&amp;"; "&amp;C836))))</f>
        <v/>
      </c>
      <c r="J836" s="18" t="str">
        <f aca="false">IF(A836="","",A836&amp;"|"&amp;COUNTIF(A$2:A836,A836))</f>
        <v/>
      </c>
      <c r="K836" s="18" t="n">
        <f aca="false">IF(OR(A836="",B836=""),0,IF(COUNTIFS(A$2:A836,A836,B$2:B836,B836)=1,1,0))</f>
        <v>0</v>
      </c>
    </row>
    <row r="837" customFormat="false" ht="15" hidden="false" customHeight="false" outlineLevel="0" collapsed="false">
      <c r="A837" s="15"/>
      <c r="B837" s="15"/>
      <c r="C837" s="15"/>
      <c r="D837" s="15"/>
      <c r="F837" s="18" t="str">
        <f aca="false">IF(B837="","",IFERROR(INDEX(Materials!$B$2:$B$201,MATCH(B837,Materials!$A$2:$A$201,0)),""))</f>
        <v/>
      </c>
      <c r="G837" s="18" t="str">
        <f aca="true">IF(AND(A837="",B837=""),"",IF(A837="","Missing product",IF(B837="","Missing material",IF(COUNTIF(ProductList,A837)=0,"Product not in Products list",IF(COUNTIF(MaterialList,B837)=0,"Material not in Materials list","OK")))))</f>
        <v/>
      </c>
      <c r="H837" s="18" t="str">
        <f aca="false">IF(F837="Active",A837&amp;"|"&amp;COUNTIFS(A$2:A837,A837,F$2:F837,"Active"),"")</f>
        <v/>
      </c>
      <c r="I837" s="18" t="str">
        <f aca="false">IF(B837="","",IF(SUMPRODUCT(MAX((A$1:A836=A837)*(B$1:B836=B837)*ROW(A$1:A836)))=0,C837&amp;"",IF(C837="",INDEX(I$1:I836,SUMPRODUCT(MAX((A$1:A836=A837)*(B$1:B836=B837)*ROW(A$1:A836)))),IF(INDEX(I$1:I836,SUMPRODUCT(MAX((A$1:A836=A837)*(B$1:B836=B837)*ROW(A$1:A836))))="",C837&amp;"",INDEX(I$1:I836,SUMPRODUCT(MAX((A$1:A836=A837)*(B$1:B836=B837)*ROW(A$1:A836))))&amp;"; "&amp;C837))))</f>
        <v/>
      </c>
      <c r="J837" s="18" t="str">
        <f aca="false">IF(A837="","",A837&amp;"|"&amp;COUNTIF(A$2:A837,A837))</f>
        <v/>
      </c>
      <c r="K837" s="18" t="n">
        <f aca="false">IF(OR(A837="",B837=""),0,IF(COUNTIFS(A$2:A837,A837,B$2:B837,B837)=1,1,0))</f>
        <v>0</v>
      </c>
    </row>
    <row r="838" customFormat="false" ht="15" hidden="false" customHeight="false" outlineLevel="0" collapsed="false">
      <c r="A838" s="15"/>
      <c r="B838" s="15"/>
      <c r="C838" s="15"/>
      <c r="D838" s="15"/>
      <c r="F838" s="18" t="str">
        <f aca="false">IF(B838="","",IFERROR(INDEX(Materials!$B$2:$B$201,MATCH(B838,Materials!$A$2:$A$201,0)),""))</f>
        <v/>
      </c>
      <c r="G838" s="18" t="str">
        <f aca="true">IF(AND(A838="",B838=""),"",IF(A838="","Missing product",IF(B838="","Missing material",IF(COUNTIF(ProductList,A838)=0,"Product not in Products list",IF(COUNTIF(MaterialList,B838)=0,"Material not in Materials list","OK")))))</f>
        <v/>
      </c>
      <c r="H838" s="18" t="str">
        <f aca="false">IF(F838="Active",A838&amp;"|"&amp;COUNTIFS(A$2:A838,A838,F$2:F838,"Active"),"")</f>
        <v/>
      </c>
      <c r="I838" s="18" t="str">
        <f aca="false">IF(B838="","",IF(SUMPRODUCT(MAX((A$1:A837=A838)*(B$1:B837=B838)*ROW(A$1:A837)))=0,C838&amp;"",IF(C838="",INDEX(I$1:I837,SUMPRODUCT(MAX((A$1:A837=A838)*(B$1:B837=B838)*ROW(A$1:A837)))),IF(INDEX(I$1:I837,SUMPRODUCT(MAX((A$1:A837=A838)*(B$1:B837=B838)*ROW(A$1:A837))))="",C838&amp;"",INDEX(I$1:I837,SUMPRODUCT(MAX((A$1:A837=A838)*(B$1:B837=B838)*ROW(A$1:A837))))&amp;"; "&amp;C838))))</f>
        <v/>
      </c>
      <c r="J838" s="18" t="str">
        <f aca="false">IF(A838="","",A838&amp;"|"&amp;COUNTIF(A$2:A838,A838))</f>
        <v/>
      </c>
      <c r="K838" s="18" t="n">
        <f aca="false">IF(OR(A838="",B838=""),0,IF(COUNTIFS(A$2:A838,A838,B$2:B838,B838)=1,1,0))</f>
        <v>0</v>
      </c>
    </row>
    <row r="839" customFormat="false" ht="15" hidden="false" customHeight="false" outlineLevel="0" collapsed="false">
      <c r="A839" s="15"/>
      <c r="B839" s="15"/>
      <c r="C839" s="15"/>
      <c r="D839" s="15"/>
      <c r="F839" s="18" t="str">
        <f aca="false">IF(B839="","",IFERROR(INDEX(Materials!$B$2:$B$201,MATCH(B839,Materials!$A$2:$A$201,0)),""))</f>
        <v/>
      </c>
      <c r="G839" s="18" t="str">
        <f aca="true">IF(AND(A839="",B839=""),"",IF(A839="","Missing product",IF(B839="","Missing material",IF(COUNTIF(ProductList,A839)=0,"Product not in Products list",IF(COUNTIF(MaterialList,B839)=0,"Material not in Materials list","OK")))))</f>
        <v/>
      </c>
      <c r="H839" s="18" t="str">
        <f aca="false">IF(F839="Active",A839&amp;"|"&amp;COUNTIFS(A$2:A839,A839,F$2:F839,"Active"),"")</f>
        <v/>
      </c>
      <c r="I839" s="18" t="str">
        <f aca="false">IF(B839="","",IF(SUMPRODUCT(MAX((A$1:A838=A839)*(B$1:B838=B839)*ROW(A$1:A838)))=0,C839&amp;"",IF(C839="",INDEX(I$1:I838,SUMPRODUCT(MAX((A$1:A838=A839)*(B$1:B838=B839)*ROW(A$1:A838)))),IF(INDEX(I$1:I838,SUMPRODUCT(MAX((A$1:A838=A839)*(B$1:B838=B839)*ROW(A$1:A838))))="",C839&amp;"",INDEX(I$1:I838,SUMPRODUCT(MAX((A$1:A838=A839)*(B$1:B838=B839)*ROW(A$1:A838))))&amp;"; "&amp;C839))))</f>
        <v/>
      </c>
      <c r="J839" s="18" t="str">
        <f aca="false">IF(A839="","",A839&amp;"|"&amp;COUNTIF(A$2:A839,A839))</f>
        <v/>
      </c>
      <c r="K839" s="18" t="n">
        <f aca="false">IF(OR(A839="",B839=""),0,IF(COUNTIFS(A$2:A839,A839,B$2:B839,B839)=1,1,0))</f>
        <v>0</v>
      </c>
    </row>
    <row r="840" customFormat="false" ht="15" hidden="false" customHeight="false" outlineLevel="0" collapsed="false">
      <c r="A840" s="15"/>
      <c r="B840" s="15"/>
      <c r="C840" s="15"/>
      <c r="D840" s="15"/>
      <c r="F840" s="18" t="str">
        <f aca="false">IF(B840="","",IFERROR(INDEX(Materials!$B$2:$B$201,MATCH(B840,Materials!$A$2:$A$201,0)),""))</f>
        <v/>
      </c>
      <c r="G840" s="18" t="str">
        <f aca="true">IF(AND(A840="",B840=""),"",IF(A840="","Missing product",IF(B840="","Missing material",IF(COUNTIF(ProductList,A840)=0,"Product not in Products list",IF(COUNTIF(MaterialList,B840)=0,"Material not in Materials list","OK")))))</f>
        <v/>
      </c>
      <c r="H840" s="18" t="str">
        <f aca="false">IF(F840="Active",A840&amp;"|"&amp;COUNTIFS(A$2:A840,A840,F$2:F840,"Active"),"")</f>
        <v/>
      </c>
      <c r="I840" s="18" t="str">
        <f aca="false">IF(B840="","",IF(SUMPRODUCT(MAX((A$1:A839=A840)*(B$1:B839=B840)*ROW(A$1:A839)))=0,C840&amp;"",IF(C840="",INDEX(I$1:I839,SUMPRODUCT(MAX((A$1:A839=A840)*(B$1:B839=B840)*ROW(A$1:A839)))),IF(INDEX(I$1:I839,SUMPRODUCT(MAX((A$1:A839=A840)*(B$1:B839=B840)*ROW(A$1:A839))))="",C840&amp;"",INDEX(I$1:I839,SUMPRODUCT(MAX((A$1:A839=A840)*(B$1:B839=B840)*ROW(A$1:A839))))&amp;"; "&amp;C840))))</f>
        <v/>
      </c>
      <c r="J840" s="18" t="str">
        <f aca="false">IF(A840="","",A840&amp;"|"&amp;COUNTIF(A$2:A840,A840))</f>
        <v/>
      </c>
      <c r="K840" s="18" t="n">
        <f aca="false">IF(OR(A840="",B840=""),0,IF(COUNTIFS(A$2:A840,A840,B$2:B840,B840)=1,1,0))</f>
        <v>0</v>
      </c>
    </row>
    <row r="841" customFormat="false" ht="15" hidden="false" customHeight="false" outlineLevel="0" collapsed="false">
      <c r="A841" s="15"/>
      <c r="B841" s="15"/>
      <c r="C841" s="15"/>
      <c r="D841" s="15"/>
      <c r="F841" s="18" t="str">
        <f aca="false">IF(B841="","",IFERROR(INDEX(Materials!$B$2:$B$201,MATCH(B841,Materials!$A$2:$A$201,0)),""))</f>
        <v/>
      </c>
      <c r="G841" s="18" t="str">
        <f aca="true">IF(AND(A841="",B841=""),"",IF(A841="","Missing product",IF(B841="","Missing material",IF(COUNTIF(ProductList,A841)=0,"Product not in Products list",IF(COUNTIF(MaterialList,B841)=0,"Material not in Materials list","OK")))))</f>
        <v/>
      </c>
      <c r="H841" s="18" t="str">
        <f aca="false">IF(F841="Active",A841&amp;"|"&amp;COUNTIFS(A$2:A841,A841,F$2:F841,"Active"),"")</f>
        <v/>
      </c>
      <c r="I841" s="18" t="str">
        <f aca="false">IF(B841="","",IF(SUMPRODUCT(MAX((A$1:A840=A841)*(B$1:B840=B841)*ROW(A$1:A840)))=0,C841&amp;"",IF(C841="",INDEX(I$1:I840,SUMPRODUCT(MAX((A$1:A840=A841)*(B$1:B840=B841)*ROW(A$1:A840)))),IF(INDEX(I$1:I840,SUMPRODUCT(MAX((A$1:A840=A841)*(B$1:B840=B841)*ROW(A$1:A840))))="",C841&amp;"",INDEX(I$1:I840,SUMPRODUCT(MAX((A$1:A840=A841)*(B$1:B840=B841)*ROW(A$1:A840))))&amp;"; "&amp;C841))))</f>
        <v/>
      </c>
      <c r="J841" s="18" t="str">
        <f aca="false">IF(A841="","",A841&amp;"|"&amp;COUNTIF(A$2:A841,A841))</f>
        <v/>
      </c>
      <c r="K841" s="18" t="n">
        <f aca="false">IF(OR(A841="",B841=""),0,IF(COUNTIFS(A$2:A841,A841,B$2:B841,B841)=1,1,0))</f>
        <v>0</v>
      </c>
    </row>
    <row r="842" customFormat="false" ht="15" hidden="false" customHeight="false" outlineLevel="0" collapsed="false">
      <c r="A842" s="15"/>
      <c r="B842" s="15"/>
      <c r="C842" s="15"/>
      <c r="D842" s="15"/>
      <c r="F842" s="18" t="str">
        <f aca="false">IF(B842="","",IFERROR(INDEX(Materials!$B$2:$B$201,MATCH(B842,Materials!$A$2:$A$201,0)),""))</f>
        <v/>
      </c>
      <c r="G842" s="18" t="str">
        <f aca="true">IF(AND(A842="",B842=""),"",IF(A842="","Missing product",IF(B842="","Missing material",IF(COUNTIF(ProductList,A842)=0,"Product not in Products list",IF(COUNTIF(MaterialList,B842)=0,"Material not in Materials list","OK")))))</f>
        <v/>
      </c>
      <c r="H842" s="18" t="str">
        <f aca="false">IF(F842="Active",A842&amp;"|"&amp;COUNTIFS(A$2:A842,A842,F$2:F842,"Active"),"")</f>
        <v/>
      </c>
      <c r="I842" s="18" t="str">
        <f aca="false">IF(B842="","",IF(SUMPRODUCT(MAX((A$1:A841=A842)*(B$1:B841=B842)*ROW(A$1:A841)))=0,C842&amp;"",IF(C842="",INDEX(I$1:I841,SUMPRODUCT(MAX((A$1:A841=A842)*(B$1:B841=B842)*ROW(A$1:A841)))),IF(INDEX(I$1:I841,SUMPRODUCT(MAX((A$1:A841=A842)*(B$1:B841=B842)*ROW(A$1:A841))))="",C842&amp;"",INDEX(I$1:I841,SUMPRODUCT(MAX((A$1:A841=A842)*(B$1:B841=B842)*ROW(A$1:A841))))&amp;"; "&amp;C842))))</f>
        <v/>
      </c>
      <c r="J842" s="18" t="str">
        <f aca="false">IF(A842="","",A842&amp;"|"&amp;COUNTIF(A$2:A842,A842))</f>
        <v/>
      </c>
      <c r="K842" s="18" t="n">
        <f aca="false">IF(OR(A842="",B842=""),0,IF(COUNTIFS(A$2:A842,A842,B$2:B842,B842)=1,1,0))</f>
        <v>0</v>
      </c>
    </row>
    <row r="843" customFormat="false" ht="15" hidden="false" customHeight="false" outlineLevel="0" collapsed="false">
      <c r="A843" s="15"/>
      <c r="B843" s="15"/>
      <c r="C843" s="15"/>
      <c r="D843" s="15"/>
      <c r="F843" s="18" t="str">
        <f aca="false">IF(B843="","",IFERROR(INDEX(Materials!$B$2:$B$201,MATCH(B843,Materials!$A$2:$A$201,0)),""))</f>
        <v/>
      </c>
      <c r="G843" s="18" t="str">
        <f aca="true">IF(AND(A843="",B843=""),"",IF(A843="","Missing product",IF(B843="","Missing material",IF(COUNTIF(ProductList,A843)=0,"Product not in Products list",IF(COUNTIF(MaterialList,B843)=0,"Material not in Materials list","OK")))))</f>
        <v/>
      </c>
      <c r="H843" s="18" t="str">
        <f aca="false">IF(F843="Active",A843&amp;"|"&amp;COUNTIFS(A$2:A843,A843,F$2:F843,"Active"),"")</f>
        <v/>
      </c>
      <c r="I843" s="18" t="str">
        <f aca="false">IF(B843="","",IF(SUMPRODUCT(MAX((A$1:A842=A843)*(B$1:B842=B843)*ROW(A$1:A842)))=0,C843&amp;"",IF(C843="",INDEX(I$1:I842,SUMPRODUCT(MAX((A$1:A842=A843)*(B$1:B842=B843)*ROW(A$1:A842)))),IF(INDEX(I$1:I842,SUMPRODUCT(MAX((A$1:A842=A843)*(B$1:B842=B843)*ROW(A$1:A842))))="",C843&amp;"",INDEX(I$1:I842,SUMPRODUCT(MAX((A$1:A842=A843)*(B$1:B842=B843)*ROW(A$1:A842))))&amp;"; "&amp;C843))))</f>
        <v/>
      </c>
      <c r="J843" s="18" t="str">
        <f aca="false">IF(A843="","",A843&amp;"|"&amp;COUNTIF(A$2:A843,A843))</f>
        <v/>
      </c>
      <c r="K843" s="18" t="n">
        <f aca="false">IF(OR(A843="",B843=""),0,IF(COUNTIFS(A$2:A843,A843,B$2:B843,B843)=1,1,0))</f>
        <v>0</v>
      </c>
    </row>
    <row r="844" customFormat="false" ht="15" hidden="false" customHeight="false" outlineLevel="0" collapsed="false">
      <c r="A844" s="15"/>
      <c r="B844" s="15"/>
      <c r="C844" s="15"/>
      <c r="D844" s="15"/>
      <c r="F844" s="18" t="str">
        <f aca="false">IF(B844="","",IFERROR(INDEX(Materials!$B$2:$B$201,MATCH(B844,Materials!$A$2:$A$201,0)),""))</f>
        <v/>
      </c>
      <c r="G844" s="18" t="str">
        <f aca="true">IF(AND(A844="",B844=""),"",IF(A844="","Missing product",IF(B844="","Missing material",IF(COUNTIF(ProductList,A844)=0,"Product not in Products list",IF(COUNTIF(MaterialList,B844)=0,"Material not in Materials list","OK")))))</f>
        <v/>
      </c>
      <c r="H844" s="18" t="str">
        <f aca="false">IF(F844="Active",A844&amp;"|"&amp;COUNTIFS(A$2:A844,A844,F$2:F844,"Active"),"")</f>
        <v/>
      </c>
      <c r="I844" s="18" t="str">
        <f aca="false">IF(B844="","",IF(SUMPRODUCT(MAX((A$1:A843=A844)*(B$1:B843=B844)*ROW(A$1:A843)))=0,C844&amp;"",IF(C844="",INDEX(I$1:I843,SUMPRODUCT(MAX((A$1:A843=A844)*(B$1:B843=B844)*ROW(A$1:A843)))),IF(INDEX(I$1:I843,SUMPRODUCT(MAX((A$1:A843=A844)*(B$1:B843=B844)*ROW(A$1:A843))))="",C844&amp;"",INDEX(I$1:I843,SUMPRODUCT(MAX((A$1:A843=A844)*(B$1:B843=B844)*ROW(A$1:A843))))&amp;"; "&amp;C844))))</f>
        <v/>
      </c>
      <c r="J844" s="18" t="str">
        <f aca="false">IF(A844="","",A844&amp;"|"&amp;COUNTIF(A$2:A844,A844))</f>
        <v/>
      </c>
      <c r="K844" s="18" t="n">
        <f aca="false">IF(OR(A844="",B844=""),0,IF(COUNTIFS(A$2:A844,A844,B$2:B844,B844)=1,1,0))</f>
        <v>0</v>
      </c>
    </row>
    <row r="845" customFormat="false" ht="15" hidden="false" customHeight="false" outlineLevel="0" collapsed="false">
      <c r="A845" s="15"/>
      <c r="B845" s="15"/>
      <c r="C845" s="15"/>
      <c r="D845" s="15"/>
      <c r="F845" s="18" t="str">
        <f aca="false">IF(B845="","",IFERROR(INDEX(Materials!$B$2:$B$201,MATCH(B845,Materials!$A$2:$A$201,0)),""))</f>
        <v/>
      </c>
      <c r="G845" s="18" t="str">
        <f aca="true">IF(AND(A845="",B845=""),"",IF(A845="","Missing product",IF(B845="","Missing material",IF(COUNTIF(ProductList,A845)=0,"Product not in Products list",IF(COUNTIF(MaterialList,B845)=0,"Material not in Materials list","OK")))))</f>
        <v/>
      </c>
      <c r="H845" s="18" t="str">
        <f aca="false">IF(F845="Active",A845&amp;"|"&amp;COUNTIFS(A$2:A845,A845,F$2:F845,"Active"),"")</f>
        <v/>
      </c>
      <c r="I845" s="18" t="str">
        <f aca="false">IF(B845="","",IF(SUMPRODUCT(MAX((A$1:A844=A845)*(B$1:B844=B845)*ROW(A$1:A844)))=0,C845&amp;"",IF(C845="",INDEX(I$1:I844,SUMPRODUCT(MAX((A$1:A844=A845)*(B$1:B844=B845)*ROW(A$1:A844)))),IF(INDEX(I$1:I844,SUMPRODUCT(MAX((A$1:A844=A845)*(B$1:B844=B845)*ROW(A$1:A844))))="",C845&amp;"",INDEX(I$1:I844,SUMPRODUCT(MAX((A$1:A844=A845)*(B$1:B844=B845)*ROW(A$1:A844))))&amp;"; "&amp;C845))))</f>
        <v/>
      </c>
      <c r="J845" s="18" t="str">
        <f aca="false">IF(A845="","",A845&amp;"|"&amp;COUNTIF(A$2:A845,A845))</f>
        <v/>
      </c>
      <c r="K845" s="18" t="n">
        <f aca="false">IF(OR(A845="",B845=""),0,IF(COUNTIFS(A$2:A845,A845,B$2:B845,B845)=1,1,0))</f>
        <v>0</v>
      </c>
    </row>
    <row r="846" customFormat="false" ht="15" hidden="false" customHeight="false" outlineLevel="0" collapsed="false">
      <c r="A846" s="15"/>
      <c r="B846" s="15"/>
      <c r="C846" s="15"/>
      <c r="D846" s="15"/>
      <c r="F846" s="18" t="str">
        <f aca="false">IF(B846="","",IFERROR(INDEX(Materials!$B$2:$B$201,MATCH(B846,Materials!$A$2:$A$201,0)),""))</f>
        <v/>
      </c>
      <c r="G846" s="18" t="str">
        <f aca="true">IF(AND(A846="",B846=""),"",IF(A846="","Missing product",IF(B846="","Missing material",IF(COUNTIF(ProductList,A846)=0,"Product not in Products list",IF(COUNTIF(MaterialList,B846)=0,"Material not in Materials list","OK")))))</f>
        <v/>
      </c>
      <c r="H846" s="18" t="str">
        <f aca="false">IF(F846="Active",A846&amp;"|"&amp;COUNTIFS(A$2:A846,A846,F$2:F846,"Active"),"")</f>
        <v/>
      </c>
      <c r="I846" s="18" t="str">
        <f aca="false">IF(B846="","",IF(SUMPRODUCT(MAX((A$1:A845=A846)*(B$1:B845=B846)*ROW(A$1:A845)))=0,C846&amp;"",IF(C846="",INDEX(I$1:I845,SUMPRODUCT(MAX((A$1:A845=A846)*(B$1:B845=B846)*ROW(A$1:A845)))),IF(INDEX(I$1:I845,SUMPRODUCT(MAX((A$1:A845=A846)*(B$1:B845=B846)*ROW(A$1:A845))))="",C846&amp;"",INDEX(I$1:I845,SUMPRODUCT(MAX((A$1:A845=A846)*(B$1:B845=B846)*ROW(A$1:A845))))&amp;"; "&amp;C846))))</f>
        <v/>
      </c>
      <c r="J846" s="18" t="str">
        <f aca="false">IF(A846="","",A846&amp;"|"&amp;COUNTIF(A$2:A846,A846))</f>
        <v/>
      </c>
      <c r="K846" s="18" t="n">
        <f aca="false">IF(OR(A846="",B846=""),0,IF(COUNTIFS(A$2:A846,A846,B$2:B846,B846)=1,1,0))</f>
        <v>0</v>
      </c>
    </row>
    <row r="847" customFormat="false" ht="15" hidden="false" customHeight="false" outlineLevel="0" collapsed="false">
      <c r="A847" s="15"/>
      <c r="B847" s="15"/>
      <c r="C847" s="15"/>
      <c r="D847" s="15"/>
      <c r="F847" s="18" t="str">
        <f aca="false">IF(B847="","",IFERROR(INDEX(Materials!$B$2:$B$201,MATCH(B847,Materials!$A$2:$A$201,0)),""))</f>
        <v/>
      </c>
      <c r="G847" s="18" t="str">
        <f aca="true">IF(AND(A847="",B847=""),"",IF(A847="","Missing product",IF(B847="","Missing material",IF(COUNTIF(ProductList,A847)=0,"Product not in Products list",IF(COUNTIF(MaterialList,B847)=0,"Material not in Materials list","OK")))))</f>
        <v/>
      </c>
      <c r="H847" s="18" t="str">
        <f aca="false">IF(F847="Active",A847&amp;"|"&amp;COUNTIFS(A$2:A847,A847,F$2:F847,"Active"),"")</f>
        <v/>
      </c>
      <c r="I847" s="18" t="str">
        <f aca="false">IF(B847="","",IF(SUMPRODUCT(MAX((A$1:A846=A847)*(B$1:B846=B847)*ROW(A$1:A846)))=0,C847&amp;"",IF(C847="",INDEX(I$1:I846,SUMPRODUCT(MAX((A$1:A846=A847)*(B$1:B846=B847)*ROW(A$1:A846)))),IF(INDEX(I$1:I846,SUMPRODUCT(MAX((A$1:A846=A847)*(B$1:B846=B847)*ROW(A$1:A846))))="",C847&amp;"",INDEX(I$1:I846,SUMPRODUCT(MAX((A$1:A846=A847)*(B$1:B846=B847)*ROW(A$1:A846))))&amp;"; "&amp;C847))))</f>
        <v/>
      </c>
      <c r="J847" s="18" t="str">
        <f aca="false">IF(A847="","",A847&amp;"|"&amp;COUNTIF(A$2:A847,A847))</f>
        <v/>
      </c>
      <c r="K847" s="18" t="n">
        <f aca="false">IF(OR(A847="",B847=""),0,IF(COUNTIFS(A$2:A847,A847,B$2:B847,B847)=1,1,0))</f>
        <v>0</v>
      </c>
    </row>
    <row r="848" customFormat="false" ht="15" hidden="false" customHeight="false" outlineLevel="0" collapsed="false">
      <c r="A848" s="15"/>
      <c r="B848" s="15"/>
      <c r="C848" s="15"/>
      <c r="D848" s="15"/>
      <c r="F848" s="18" t="str">
        <f aca="false">IF(B848="","",IFERROR(INDEX(Materials!$B$2:$B$201,MATCH(B848,Materials!$A$2:$A$201,0)),""))</f>
        <v/>
      </c>
      <c r="G848" s="18" t="str">
        <f aca="true">IF(AND(A848="",B848=""),"",IF(A848="","Missing product",IF(B848="","Missing material",IF(COUNTIF(ProductList,A848)=0,"Product not in Products list",IF(COUNTIF(MaterialList,B848)=0,"Material not in Materials list","OK")))))</f>
        <v/>
      </c>
      <c r="H848" s="18" t="str">
        <f aca="false">IF(F848="Active",A848&amp;"|"&amp;COUNTIFS(A$2:A848,A848,F$2:F848,"Active"),"")</f>
        <v/>
      </c>
      <c r="I848" s="18" t="str">
        <f aca="false">IF(B848="","",IF(SUMPRODUCT(MAX((A$1:A847=A848)*(B$1:B847=B848)*ROW(A$1:A847)))=0,C848&amp;"",IF(C848="",INDEX(I$1:I847,SUMPRODUCT(MAX((A$1:A847=A848)*(B$1:B847=B848)*ROW(A$1:A847)))),IF(INDEX(I$1:I847,SUMPRODUCT(MAX((A$1:A847=A848)*(B$1:B847=B848)*ROW(A$1:A847))))="",C848&amp;"",INDEX(I$1:I847,SUMPRODUCT(MAX((A$1:A847=A848)*(B$1:B847=B848)*ROW(A$1:A847))))&amp;"; "&amp;C848))))</f>
        <v/>
      </c>
      <c r="J848" s="18" t="str">
        <f aca="false">IF(A848="","",A848&amp;"|"&amp;COUNTIF(A$2:A848,A848))</f>
        <v/>
      </c>
      <c r="K848" s="18" t="n">
        <f aca="false">IF(OR(A848="",B848=""),0,IF(COUNTIFS(A$2:A848,A848,B$2:B848,B848)=1,1,0))</f>
        <v>0</v>
      </c>
    </row>
    <row r="849" customFormat="false" ht="15" hidden="false" customHeight="false" outlineLevel="0" collapsed="false">
      <c r="A849" s="15"/>
      <c r="B849" s="15"/>
      <c r="C849" s="15"/>
      <c r="D849" s="15"/>
      <c r="F849" s="18" t="str">
        <f aca="false">IF(B849="","",IFERROR(INDEX(Materials!$B$2:$B$201,MATCH(B849,Materials!$A$2:$A$201,0)),""))</f>
        <v/>
      </c>
      <c r="G849" s="18" t="str">
        <f aca="true">IF(AND(A849="",B849=""),"",IF(A849="","Missing product",IF(B849="","Missing material",IF(COUNTIF(ProductList,A849)=0,"Product not in Products list",IF(COUNTIF(MaterialList,B849)=0,"Material not in Materials list","OK")))))</f>
        <v/>
      </c>
      <c r="H849" s="18" t="str">
        <f aca="false">IF(F849="Active",A849&amp;"|"&amp;COUNTIFS(A$2:A849,A849,F$2:F849,"Active"),"")</f>
        <v/>
      </c>
      <c r="I849" s="18" t="str">
        <f aca="false">IF(B849="","",IF(SUMPRODUCT(MAX((A$1:A848=A849)*(B$1:B848=B849)*ROW(A$1:A848)))=0,C849&amp;"",IF(C849="",INDEX(I$1:I848,SUMPRODUCT(MAX((A$1:A848=A849)*(B$1:B848=B849)*ROW(A$1:A848)))),IF(INDEX(I$1:I848,SUMPRODUCT(MAX((A$1:A848=A849)*(B$1:B848=B849)*ROW(A$1:A848))))="",C849&amp;"",INDEX(I$1:I848,SUMPRODUCT(MAX((A$1:A848=A849)*(B$1:B848=B849)*ROW(A$1:A848))))&amp;"; "&amp;C849))))</f>
        <v/>
      </c>
      <c r="J849" s="18" t="str">
        <f aca="false">IF(A849="","",A849&amp;"|"&amp;COUNTIF(A$2:A849,A849))</f>
        <v/>
      </c>
      <c r="K849" s="18" t="n">
        <f aca="false">IF(OR(A849="",B849=""),0,IF(COUNTIFS(A$2:A849,A849,B$2:B849,B849)=1,1,0))</f>
        <v>0</v>
      </c>
    </row>
    <row r="850" customFormat="false" ht="15" hidden="false" customHeight="false" outlineLevel="0" collapsed="false">
      <c r="A850" s="15"/>
      <c r="B850" s="15"/>
      <c r="C850" s="15"/>
      <c r="D850" s="15"/>
      <c r="F850" s="18" t="str">
        <f aca="false">IF(B850="","",IFERROR(INDEX(Materials!$B$2:$B$201,MATCH(B850,Materials!$A$2:$A$201,0)),""))</f>
        <v/>
      </c>
      <c r="G850" s="18" t="str">
        <f aca="true">IF(AND(A850="",B850=""),"",IF(A850="","Missing product",IF(B850="","Missing material",IF(COUNTIF(ProductList,A850)=0,"Product not in Products list",IF(COUNTIF(MaterialList,B850)=0,"Material not in Materials list","OK")))))</f>
        <v/>
      </c>
      <c r="H850" s="18" t="str">
        <f aca="false">IF(F850="Active",A850&amp;"|"&amp;COUNTIFS(A$2:A850,A850,F$2:F850,"Active"),"")</f>
        <v/>
      </c>
      <c r="I850" s="18" t="str">
        <f aca="false">IF(B850="","",IF(SUMPRODUCT(MAX((A$1:A849=A850)*(B$1:B849=B850)*ROW(A$1:A849)))=0,C850&amp;"",IF(C850="",INDEX(I$1:I849,SUMPRODUCT(MAX((A$1:A849=A850)*(B$1:B849=B850)*ROW(A$1:A849)))),IF(INDEX(I$1:I849,SUMPRODUCT(MAX((A$1:A849=A850)*(B$1:B849=B850)*ROW(A$1:A849))))="",C850&amp;"",INDEX(I$1:I849,SUMPRODUCT(MAX((A$1:A849=A850)*(B$1:B849=B850)*ROW(A$1:A849))))&amp;"; "&amp;C850))))</f>
        <v/>
      </c>
      <c r="J850" s="18" t="str">
        <f aca="false">IF(A850="","",A850&amp;"|"&amp;COUNTIF(A$2:A850,A850))</f>
        <v/>
      </c>
      <c r="K850" s="18" t="n">
        <f aca="false">IF(OR(A850="",B850=""),0,IF(COUNTIFS(A$2:A850,A850,B$2:B850,B850)=1,1,0))</f>
        <v>0</v>
      </c>
    </row>
    <row r="851" customFormat="false" ht="15" hidden="false" customHeight="false" outlineLevel="0" collapsed="false">
      <c r="A851" s="15"/>
      <c r="B851" s="15"/>
      <c r="C851" s="15"/>
      <c r="D851" s="15"/>
      <c r="F851" s="18" t="str">
        <f aca="false">IF(B851="","",IFERROR(INDEX(Materials!$B$2:$B$201,MATCH(B851,Materials!$A$2:$A$201,0)),""))</f>
        <v/>
      </c>
      <c r="G851" s="18" t="str">
        <f aca="true">IF(AND(A851="",B851=""),"",IF(A851="","Missing product",IF(B851="","Missing material",IF(COUNTIF(ProductList,A851)=0,"Product not in Products list",IF(COUNTIF(MaterialList,B851)=0,"Material not in Materials list","OK")))))</f>
        <v/>
      </c>
      <c r="H851" s="18" t="str">
        <f aca="false">IF(F851="Active",A851&amp;"|"&amp;COUNTIFS(A$2:A851,A851,F$2:F851,"Active"),"")</f>
        <v/>
      </c>
      <c r="I851" s="18" t="str">
        <f aca="false">IF(B851="","",IF(SUMPRODUCT(MAX((A$1:A850=A851)*(B$1:B850=B851)*ROW(A$1:A850)))=0,C851&amp;"",IF(C851="",INDEX(I$1:I850,SUMPRODUCT(MAX((A$1:A850=A851)*(B$1:B850=B851)*ROW(A$1:A850)))),IF(INDEX(I$1:I850,SUMPRODUCT(MAX((A$1:A850=A851)*(B$1:B850=B851)*ROW(A$1:A850))))="",C851&amp;"",INDEX(I$1:I850,SUMPRODUCT(MAX((A$1:A850=A851)*(B$1:B850=B851)*ROW(A$1:A850))))&amp;"; "&amp;C851))))</f>
        <v/>
      </c>
      <c r="J851" s="18" t="str">
        <f aca="false">IF(A851="","",A851&amp;"|"&amp;COUNTIF(A$2:A851,A851))</f>
        <v/>
      </c>
      <c r="K851" s="18" t="n">
        <f aca="false">IF(OR(A851="",B851=""),0,IF(COUNTIFS(A$2:A851,A851,B$2:B851,B851)=1,1,0))</f>
        <v>0</v>
      </c>
    </row>
    <row r="852" customFormat="false" ht="15" hidden="false" customHeight="false" outlineLevel="0" collapsed="false">
      <c r="A852" s="15"/>
      <c r="B852" s="15"/>
      <c r="C852" s="15"/>
      <c r="D852" s="15"/>
      <c r="F852" s="18" t="str">
        <f aca="false">IF(B852="","",IFERROR(INDEX(Materials!$B$2:$B$201,MATCH(B852,Materials!$A$2:$A$201,0)),""))</f>
        <v/>
      </c>
      <c r="G852" s="18" t="str">
        <f aca="true">IF(AND(A852="",B852=""),"",IF(A852="","Missing product",IF(B852="","Missing material",IF(COUNTIF(ProductList,A852)=0,"Product not in Products list",IF(COUNTIF(MaterialList,B852)=0,"Material not in Materials list","OK")))))</f>
        <v/>
      </c>
      <c r="H852" s="18" t="str">
        <f aca="false">IF(F852="Active",A852&amp;"|"&amp;COUNTIFS(A$2:A852,A852,F$2:F852,"Active"),"")</f>
        <v/>
      </c>
      <c r="I852" s="18" t="str">
        <f aca="false">IF(B852="","",IF(SUMPRODUCT(MAX((A$1:A851=A852)*(B$1:B851=B852)*ROW(A$1:A851)))=0,C852&amp;"",IF(C852="",INDEX(I$1:I851,SUMPRODUCT(MAX((A$1:A851=A852)*(B$1:B851=B852)*ROW(A$1:A851)))),IF(INDEX(I$1:I851,SUMPRODUCT(MAX((A$1:A851=A852)*(B$1:B851=B852)*ROW(A$1:A851))))="",C852&amp;"",INDEX(I$1:I851,SUMPRODUCT(MAX((A$1:A851=A852)*(B$1:B851=B852)*ROW(A$1:A851))))&amp;"; "&amp;C852))))</f>
        <v/>
      </c>
      <c r="J852" s="18" t="str">
        <f aca="false">IF(A852="","",A852&amp;"|"&amp;COUNTIF(A$2:A852,A852))</f>
        <v/>
      </c>
      <c r="K852" s="18" t="n">
        <f aca="false">IF(OR(A852="",B852=""),0,IF(COUNTIFS(A$2:A852,A852,B$2:B852,B852)=1,1,0))</f>
        <v>0</v>
      </c>
    </row>
    <row r="853" customFormat="false" ht="15" hidden="false" customHeight="false" outlineLevel="0" collapsed="false">
      <c r="A853" s="15"/>
      <c r="B853" s="15"/>
      <c r="C853" s="15"/>
      <c r="D853" s="15"/>
      <c r="F853" s="18" t="str">
        <f aca="false">IF(B853="","",IFERROR(INDEX(Materials!$B$2:$B$201,MATCH(B853,Materials!$A$2:$A$201,0)),""))</f>
        <v/>
      </c>
      <c r="G853" s="18" t="str">
        <f aca="true">IF(AND(A853="",B853=""),"",IF(A853="","Missing product",IF(B853="","Missing material",IF(COUNTIF(ProductList,A853)=0,"Product not in Products list",IF(COUNTIF(MaterialList,B853)=0,"Material not in Materials list","OK")))))</f>
        <v/>
      </c>
      <c r="H853" s="18" t="str">
        <f aca="false">IF(F853="Active",A853&amp;"|"&amp;COUNTIFS(A$2:A853,A853,F$2:F853,"Active"),"")</f>
        <v/>
      </c>
      <c r="I853" s="18" t="str">
        <f aca="false">IF(B853="","",IF(SUMPRODUCT(MAX((A$1:A852=A853)*(B$1:B852=B853)*ROW(A$1:A852)))=0,C853&amp;"",IF(C853="",INDEX(I$1:I852,SUMPRODUCT(MAX((A$1:A852=A853)*(B$1:B852=B853)*ROW(A$1:A852)))),IF(INDEX(I$1:I852,SUMPRODUCT(MAX((A$1:A852=A853)*(B$1:B852=B853)*ROW(A$1:A852))))="",C853&amp;"",INDEX(I$1:I852,SUMPRODUCT(MAX((A$1:A852=A853)*(B$1:B852=B853)*ROW(A$1:A852))))&amp;"; "&amp;C853))))</f>
        <v/>
      </c>
      <c r="J853" s="18" t="str">
        <f aca="false">IF(A853="","",A853&amp;"|"&amp;COUNTIF(A$2:A853,A853))</f>
        <v/>
      </c>
      <c r="K853" s="18" t="n">
        <f aca="false">IF(OR(A853="",B853=""),0,IF(COUNTIFS(A$2:A853,A853,B$2:B853,B853)=1,1,0))</f>
        <v>0</v>
      </c>
    </row>
    <row r="854" customFormat="false" ht="15" hidden="false" customHeight="false" outlineLevel="0" collapsed="false">
      <c r="A854" s="15"/>
      <c r="B854" s="15"/>
      <c r="C854" s="15"/>
      <c r="D854" s="15"/>
      <c r="F854" s="18" t="str">
        <f aca="false">IF(B854="","",IFERROR(INDEX(Materials!$B$2:$B$201,MATCH(B854,Materials!$A$2:$A$201,0)),""))</f>
        <v/>
      </c>
      <c r="G854" s="18" t="str">
        <f aca="true">IF(AND(A854="",B854=""),"",IF(A854="","Missing product",IF(B854="","Missing material",IF(COUNTIF(ProductList,A854)=0,"Product not in Products list",IF(COUNTIF(MaterialList,B854)=0,"Material not in Materials list","OK")))))</f>
        <v/>
      </c>
      <c r="H854" s="18" t="str">
        <f aca="false">IF(F854="Active",A854&amp;"|"&amp;COUNTIFS(A$2:A854,A854,F$2:F854,"Active"),"")</f>
        <v/>
      </c>
      <c r="I854" s="18" t="str">
        <f aca="false">IF(B854="","",IF(SUMPRODUCT(MAX((A$1:A853=A854)*(B$1:B853=B854)*ROW(A$1:A853)))=0,C854&amp;"",IF(C854="",INDEX(I$1:I853,SUMPRODUCT(MAX((A$1:A853=A854)*(B$1:B853=B854)*ROW(A$1:A853)))),IF(INDEX(I$1:I853,SUMPRODUCT(MAX((A$1:A853=A854)*(B$1:B853=B854)*ROW(A$1:A853))))="",C854&amp;"",INDEX(I$1:I853,SUMPRODUCT(MAX((A$1:A853=A854)*(B$1:B853=B854)*ROW(A$1:A853))))&amp;"; "&amp;C854))))</f>
        <v/>
      </c>
      <c r="J854" s="18" t="str">
        <f aca="false">IF(A854="","",A854&amp;"|"&amp;COUNTIF(A$2:A854,A854))</f>
        <v/>
      </c>
      <c r="K854" s="18" t="n">
        <f aca="false">IF(OR(A854="",B854=""),0,IF(COUNTIFS(A$2:A854,A854,B$2:B854,B854)=1,1,0))</f>
        <v>0</v>
      </c>
    </row>
    <row r="855" customFormat="false" ht="15" hidden="false" customHeight="false" outlineLevel="0" collapsed="false">
      <c r="A855" s="15"/>
      <c r="B855" s="15"/>
      <c r="C855" s="15"/>
      <c r="D855" s="15"/>
      <c r="F855" s="18" t="str">
        <f aca="false">IF(B855="","",IFERROR(INDEX(Materials!$B$2:$B$201,MATCH(B855,Materials!$A$2:$A$201,0)),""))</f>
        <v/>
      </c>
      <c r="G855" s="18" t="str">
        <f aca="true">IF(AND(A855="",B855=""),"",IF(A855="","Missing product",IF(B855="","Missing material",IF(COUNTIF(ProductList,A855)=0,"Product not in Products list",IF(COUNTIF(MaterialList,B855)=0,"Material not in Materials list","OK")))))</f>
        <v/>
      </c>
      <c r="H855" s="18" t="str">
        <f aca="false">IF(F855="Active",A855&amp;"|"&amp;COUNTIFS(A$2:A855,A855,F$2:F855,"Active"),"")</f>
        <v/>
      </c>
      <c r="I855" s="18" t="str">
        <f aca="false">IF(B855="","",IF(SUMPRODUCT(MAX((A$1:A854=A855)*(B$1:B854=B855)*ROW(A$1:A854)))=0,C855&amp;"",IF(C855="",INDEX(I$1:I854,SUMPRODUCT(MAX((A$1:A854=A855)*(B$1:B854=B855)*ROW(A$1:A854)))),IF(INDEX(I$1:I854,SUMPRODUCT(MAX((A$1:A854=A855)*(B$1:B854=B855)*ROW(A$1:A854))))="",C855&amp;"",INDEX(I$1:I854,SUMPRODUCT(MAX((A$1:A854=A855)*(B$1:B854=B855)*ROW(A$1:A854))))&amp;"; "&amp;C855))))</f>
        <v/>
      </c>
      <c r="J855" s="18" t="str">
        <f aca="false">IF(A855="","",A855&amp;"|"&amp;COUNTIF(A$2:A855,A855))</f>
        <v/>
      </c>
      <c r="K855" s="18" t="n">
        <f aca="false">IF(OR(A855="",B855=""),0,IF(COUNTIFS(A$2:A855,A855,B$2:B855,B855)=1,1,0))</f>
        <v>0</v>
      </c>
    </row>
    <row r="856" customFormat="false" ht="15" hidden="false" customHeight="false" outlineLevel="0" collapsed="false">
      <c r="A856" s="15"/>
      <c r="B856" s="15"/>
      <c r="C856" s="15"/>
      <c r="D856" s="15"/>
      <c r="F856" s="18" t="str">
        <f aca="false">IF(B856="","",IFERROR(INDEX(Materials!$B$2:$B$201,MATCH(B856,Materials!$A$2:$A$201,0)),""))</f>
        <v/>
      </c>
      <c r="G856" s="18" t="str">
        <f aca="true">IF(AND(A856="",B856=""),"",IF(A856="","Missing product",IF(B856="","Missing material",IF(COUNTIF(ProductList,A856)=0,"Product not in Products list",IF(COUNTIF(MaterialList,B856)=0,"Material not in Materials list","OK")))))</f>
        <v/>
      </c>
      <c r="H856" s="18" t="str">
        <f aca="false">IF(F856="Active",A856&amp;"|"&amp;COUNTIFS(A$2:A856,A856,F$2:F856,"Active"),"")</f>
        <v/>
      </c>
      <c r="I856" s="18" t="str">
        <f aca="false">IF(B856="","",IF(SUMPRODUCT(MAX((A$1:A855=A856)*(B$1:B855=B856)*ROW(A$1:A855)))=0,C856&amp;"",IF(C856="",INDEX(I$1:I855,SUMPRODUCT(MAX((A$1:A855=A856)*(B$1:B855=B856)*ROW(A$1:A855)))),IF(INDEX(I$1:I855,SUMPRODUCT(MAX((A$1:A855=A856)*(B$1:B855=B856)*ROW(A$1:A855))))="",C856&amp;"",INDEX(I$1:I855,SUMPRODUCT(MAX((A$1:A855=A856)*(B$1:B855=B856)*ROW(A$1:A855))))&amp;"; "&amp;C856))))</f>
        <v/>
      </c>
      <c r="J856" s="18" t="str">
        <f aca="false">IF(A856="","",A856&amp;"|"&amp;COUNTIF(A$2:A856,A856))</f>
        <v/>
      </c>
      <c r="K856" s="18" t="n">
        <f aca="false">IF(OR(A856="",B856=""),0,IF(COUNTIFS(A$2:A856,A856,B$2:B856,B856)=1,1,0))</f>
        <v>0</v>
      </c>
    </row>
    <row r="857" customFormat="false" ht="15" hidden="false" customHeight="false" outlineLevel="0" collapsed="false">
      <c r="A857" s="15"/>
      <c r="B857" s="15"/>
      <c r="C857" s="15"/>
      <c r="D857" s="15"/>
      <c r="F857" s="18" t="str">
        <f aca="false">IF(B857="","",IFERROR(INDEX(Materials!$B$2:$B$201,MATCH(B857,Materials!$A$2:$A$201,0)),""))</f>
        <v/>
      </c>
      <c r="G857" s="18" t="str">
        <f aca="true">IF(AND(A857="",B857=""),"",IF(A857="","Missing product",IF(B857="","Missing material",IF(COUNTIF(ProductList,A857)=0,"Product not in Products list",IF(COUNTIF(MaterialList,B857)=0,"Material not in Materials list","OK")))))</f>
        <v/>
      </c>
      <c r="H857" s="18" t="str">
        <f aca="false">IF(F857="Active",A857&amp;"|"&amp;COUNTIFS(A$2:A857,A857,F$2:F857,"Active"),"")</f>
        <v/>
      </c>
      <c r="I857" s="18" t="str">
        <f aca="false">IF(B857="","",IF(SUMPRODUCT(MAX((A$1:A856=A857)*(B$1:B856=B857)*ROW(A$1:A856)))=0,C857&amp;"",IF(C857="",INDEX(I$1:I856,SUMPRODUCT(MAX((A$1:A856=A857)*(B$1:B856=B857)*ROW(A$1:A856)))),IF(INDEX(I$1:I856,SUMPRODUCT(MAX((A$1:A856=A857)*(B$1:B856=B857)*ROW(A$1:A856))))="",C857&amp;"",INDEX(I$1:I856,SUMPRODUCT(MAX((A$1:A856=A857)*(B$1:B856=B857)*ROW(A$1:A856))))&amp;"; "&amp;C857))))</f>
        <v/>
      </c>
      <c r="J857" s="18" t="str">
        <f aca="false">IF(A857="","",A857&amp;"|"&amp;COUNTIF(A$2:A857,A857))</f>
        <v/>
      </c>
      <c r="K857" s="18" t="n">
        <f aca="false">IF(OR(A857="",B857=""),0,IF(COUNTIFS(A$2:A857,A857,B$2:B857,B857)=1,1,0))</f>
        <v>0</v>
      </c>
    </row>
    <row r="858" customFormat="false" ht="15" hidden="false" customHeight="false" outlineLevel="0" collapsed="false">
      <c r="A858" s="15"/>
      <c r="B858" s="15"/>
      <c r="C858" s="15"/>
      <c r="D858" s="15"/>
      <c r="F858" s="18" t="str">
        <f aca="false">IF(B858="","",IFERROR(INDEX(Materials!$B$2:$B$201,MATCH(B858,Materials!$A$2:$A$201,0)),""))</f>
        <v/>
      </c>
      <c r="G858" s="18" t="str">
        <f aca="true">IF(AND(A858="",B858=""),"",IF(A858="","Missing product",IF(B858="","Missing material",IF(COUNTIF(ProductList,A858)=0,"Product not in Products list",IF(COUNTIF(MaterialList,B858)=0,"Material not in Materials list","OK")))))</f>
        <v/>
      </c>
      <c r="H858" s="18" t="str">
        <f aca="false">IF(F858="Active",A858&amp;"|"&amp;COUNTIFS(A$2:A858,A858,F$2:F858,"Active"),"")</f>
        <v/>
      </c>
      <c r="I858" s="18" t="str">
        <f aca="false">IF(B858="","",IF(SUMPRODUCT(MAX((A$1:A857=A858)*(B$1:B857=B858)*ROW(A$1:A857)))=0,C858&amp;"",IF(C858="",INDEX(I$1:I857,SUMPRODUCT(MAX((A$1:A857=A858)*(B$1:B857=B858)*ROW(A$1:A857)))),IF(INDEX(I$1:I857,SUMPRODUCT(MAX((A$1:A857=A858)*(B$1:B857=B858)*ROW(A$1:A857))))="",C858&amp;"",INDEX(I$1:I857,SUMPRODUCT(MAX((A$1:A857=A858)*(B$1:B857=B858)*ROW(A$1:A857))))&amp;"; "&amp;C858))))</f>
        <v/>
      </c>
      <c r="J858" s="18" t="str">
        <f aca="false">IF(A858="","",A858&amp;"|"&amp;COUNTIF(A$2:A858,A858))</f>
        <v/>
      </c>
      <c r="K858" s="18" t="n">
        <f aca="false">IF(OR(A858="",B858=""),0,IF(COUNTIFS(A$2:A858,A858,B$2:B858,B858)=1,1,0))</f>
        <v>0</v>
      </c>
    </row>
    <row r="859" customFormat="false" ht="15" hidden="false" customHeight="false" outlineLevel="0" collapsed="false">
      <c r="A859" s="15"/>
      <c r="B859" s="15"/>
      <c r="C859" s="15"/>
      <c r="D859" s="15"/>
      <c r="F859" s="18" t="str">
        <f aca="false">IF(B859="","",IFERROR(INDEX(Materials!$B$2:$B$201,MATCH(B859,Materials!$A$2:$A$201,0)),""))</f>
        <v/>
      </c>
      <c r="G859" s="18" t="str">
        <f aca="true">IF(AND(A859="",B859=""),"",IF(A859="","Missing product",IF(B859="","Missing material",IF(COUNTIF(ProductList,A859)=0,"Product not in Products list",IF(COUNTIF(MaterialList,B859)=0,"Material not in Materials list","OK")))))</f>
        <v/>
      </c>
      <c r="H859" s="18" t="str">
        <f aca="false">IF(F859="Active",A859&amp;"|"&amp;COUNTIFS(A$2:A859,A859,F$2:F859,"Active"),"")</f>
        <v/>
      </c>
      <c r="I859" s="18" t="str">
        <f aca="false">IF(B859="","",IF(SUMPRODUCT(MAX((A$1:A858=A859)*(B$1:B858=B859)*ROW(A$1:A858)))=0,C859&amp;"",IF(C859="",INDEX(I$1:I858,SUMPRODUCT(MAX((A$1:A858=A859)*(B$1:B858=B859)*ROW(A$1:A858)))),IF(INDEX(I$1:I858,SUMPRODUCT(MAX((A$1:A858=A859)*(B$1:B858=B859)*ROW(A$1:A858))))="",C859&amp;"",INDEX(I$1:I858,SUMPRODUCT(MAX((A$1:A858=A859)*(B$1:B858=B859)*ROW(A$1:A858))))&amp;"; "&amp;C859))))</f>
        <v/>
      </c>
      <c r="J859" s="18" t="str">
        <f aca="false">IF(A859="","",A859&amp;"|"&amp;COUNTIF(A$2:A859,A859))</f>
        <v/>
      </c>
      <c r="K859" s="18" t="n">
        <f aca="false">IF(OR(A859="",B859=""),0,IF(COUNTIFS(A$2:A859,A859,B$2:B859,B859)=1,1,0))</f>
        <v>0</v>
      </c>
    </row>
    <row r="860" customFormat="false" ht="15" hidden="false" customHeight="false" outlineLevel="0" collapsed="false">
      <c r="A860" s="15"/>
      <c r="B860" s="15"/>
      <c r="C860" s="15"/>
      <c r="D860" s="15"/>
      <c r="F860" s="18" t="str">
        <f aca="false">IF(B860="","",IFERROR(INDEX(Materials!$B$2:$B$201,MATCH(B860,Materials!$A$2:$A$201,0)),""))</f>
        <v/>
      </c>
      <c r="G860" s="18" t="str">
        <f aca="true">IF(AND(A860="",B860=""),"",IF(A860="","Missing product",IF(B860="","Missing material",IF(COUNTIF(ProductList,A860)=0,"Product not in Products list",IF(COUNTIF(MaterialList,B860)=0,"Material not in Materials list","OK")))))</f>
        <v/>
      </c>
      <c r="H860" s="18" t="str">
        <f aca="false">IF(F860="Active",A860&amp;"|"&amp;COUNTIFS(A$2:A860,A860,F$2:F860,"Active"),"")</f>
        <v/>
      </c>
      <c r="I860" s="18" t="str">
        <f aca="false">IF(B860="","",IF(SUMPRODUCT(MAX((A$1:A859=A860)*(B$1:B859=B860)*ROW(A$1:A859)))=0,C860&amp;"",IF(C860="",INDEX(I$1:I859,SUMPRODUCT(MAX((A$1:A859=A860)*(B$1:B859=B860)*ROW(A$1:A859)))),IF(INDEX(I$1:I859,SUMPRODUCT(MAX((A$1:A859=A860)*(B$1:B859=B860)*ROW(A$1:A859))))="",C860&amp;"",INDEX(I$1:I859,SUMPRODUCT(MAX((A$1:A859=A860)*(B$1:B859=B860)*ROW(A$1:A859))))&amp;"; "&amp;C860))))</f>
        <v/>
      </c>
      <c r="J860" s="18" t="str">
        <f aca="false">IF(A860="","",A860&amp;"|"&amp;COUNTIF(A$2:A860,A860))</f>
        <v/>
      </c>
      <c r="K860" s="18" t="n">
        <f aca="false">IF(OR(A860="",B860=""),0,IF(COUNTIFS(A$2:A860,A860,B$2:B860,B860)=1,1,0))</f>
        <v>0</v>
      </c>
    </row>
    <row r="861" customFormat="false" ht="15" hidden="false" customHeight="false" outlineLevel="0" collapsed="false">
      <c r="A861" s="15"/>
      <c r="B861" s="15"/>
      <c r="C861" s="15"/>
      <c r="D861" s="15"/>
      <c r="F861" s="18" t="str">
        <f aca="false">IF(B861="","",IFERROR(INDEX(Materials!$B$2:$B$201,MATCH(B861,Materials!$A$2:$A$201,0)),""))</f>
        <v/>
      </c>
      <c r="G861" s="18" t="str">
        <f aca="true">IF(AND(A861="",B861=""),"",IF(A861="","Missing product",IF(B861="","Missing material",IF(COUNTIF(ProductList,A861)=0,"Product not in Products list",IF(COUNTIF(MaterialList,B861)=0,"Material not in Materials list","OK")))))</f>
        <v/>
      </c>
      <c r="H861" s="18" t="str">
        <f aca="false">IF(F861="Active",A861&amp;"|"&amp;COUNTIFS(A$2:A861,A861,F$2:F861,"Active"),"")</f>
        <v/>
      </c>
      <c r="I861" s="18" t="str">
        <f aca="false">IF(B861="","",IF(SUMPRODUCT(MAX((A$1:A860=A861)*(B$1:B860=B861)*ROW(A$1:A860)))=0,C861&amp;"",IF(C861="",INDEX(I$1:I860,SUMPRODUCT(MAX((A$1:A860=A861)*(B$1:B860=B861)*ROW(A$1:A860)))),IF(INDEX(I$1:I860,SUMPRODUCT(MAX((A$1:A860=A861)*(B$1:B860=B861)*ROW(A$1:A860))))="",C861&amp;"",INDEX(I$1:I860,SUMPRODUCT(MAX((A$1:A860=A861)*(B$1:B860=B861)*ROW(A$1:A860))))&amp;"; "&amp;C861))))</f>
        <v/>
      </c>
      <c r="J861" s="18" t="str">
        <f aca="false">IF(A861="","",A861&amp;"|"&amp;COUNTIF(A$2:A861,A861))</f>
        <v/>
      </c>
      <c r="K861" s="18" t="n">
        <f aca="false">IF(OR(A861="",B861=""),0,IF(COUNTIFS(A$2:A861,A861,B$2:B861,B861)=1,1,0))</f>
        <v>0</v>
      </c>
    </row>
    <row r="862" customFormat="false" ht="15" hidden="false" customHeight="false" outlineLevel="0" collapsed="false">
      <c r="A862" s="15"/>
      <c r="B862" s="15"/>
      <c r="C862" s="15"/>
      <c r="D862" s="15"/>
      <c r="F862" s="18" t="str">
        <f aca="false">IF(B862="","",IFERROR(INDEX(Materials!$B$2:$B$201,MATCH(B862,Materials!$A$2:$A$201,0)),""))</f>
        <v/>
      </c>
      <c r="G862" s="18" t="str">
        <f aca="true">IF(AND(A862="",B862=""),"",IF(A862="","Missing product",IF(B862="","Missing material",IF(COUNTIF(ProductList,A862)=0,"Product not in Products list",IF(COUNTIF(MaterialList,B862)=0,"Material not in Materials list","OK")))))</f>
        <v/>
      </c>
      <c r="H862" s="18" t="str">
        <f aca="false">IF(F862="Active",A862&amp;"|"&amp;COUNTIFS(A$2:A862,A862,F$2:F862,"Active"),"")</f>
        <v/>
      </c>
      <c r="I862" s="18" t="str">
        <f aca="false">IF(B862="","",IF(SUMPRODUCT(MAX((A$1:A861=A862)*(B$1:B861=B862)*ROW(A$1:A861)))=0,C862&amp;"",IF(C862="",INDEX(I$1:I861,SUMPRODUCT(MAX((A$1:A861=A862)*(B$1:B861=B862)*ROW(A$1:A861)))),IF(INDEX(I$1:I861,SUMPRODUCT(MAX((A$1:A861=A862)*(B$1:B861=B862)*ROW(A$1:A861))))="",C862&amp;"",INDEX(I$1:I861,SUMPRODUCT(MAX((A$1:A861=A862)*(B$1:B861=B862)*ROW(A$1:A861))))&amp;"; "&amp;C862))))</f>
        <v/>
      </c>
      <c r="J862" s="18" t="str">
        <f aca="false">IF(A862="","",A862&amp;"|"&amp;COUNTIF(A$2:A862,A862))</f>
        <v/>
      </c>
      <c r="K862" s="18" t="n">
        <f aca="false">IF(OR(A862="",B862=""),0,IF(COUNTIFS(A$2:A862,A862,B$2:B862,B862)=1,1,0))</f>
        <v>0</v>
      </c>
    </row>
    <row r="863" customFormat="false" ht="15" hidden="false" customHeight="false" outlineLevel="0" collapsed="false">
      <c r="A863" s="15"/>
      <c r="B863" s="15"/>
      <c r="C863" s="15"/>
      <c r="D863" s="15"/>
      <c r="F863" s="18" t="str">
        <f aca="false">IF(B863="","",IFERROR(INDEX(Materials!$B$2:$B$201,MATCH(B863,Materials!$A$2:$A$201,0)),""))</f>
        <v/>
      </c>
      <c r="G863" s="18" t="str">
        <f aca="true">IF(AND(A863="",B863=""),"",IF(A863="","Missing product",IF(B863="","Missing material",IF(COUNTIF(ProductList,A863)=0,"Product not in Products list",IF(COUNTIF(MaterialList,B863)=0,"Material not in Materials list","OK")))))</f>
        <v/>
      </c>
      <c r="H863" s="18" t="str">
        <f aca="false">IF(F863="Active",A863&amp;"|"&amp;COUNTIFS(A$2:A863,A863,F$2:F863,"Active"),"")</f>
        <v/>
      </c>
      <c r="I863" s="18" t="str">
        <f aca="false">IF(B863="","",IF(SUMPRODUCT(MAX((A$1:A862=A863)*(B$1:B862=B863)*ROW(A$1:A862)))=0,C863&amp;"",IF(C863="",INDEX(I$1:I862,SUMPRODUCT(MAX((A$1:A862=A863)*(B$1:B862=B863)*ROW(A$1:A862)))),IF(INDEX(I$1:I862,SUMPRODUCT(MAX((A$1:A862=A863)*(B$1:B862=B863)*ROW(A$1:A862))))="",C863&amp;"",INDEX(I$1:I862,SUMPRODUCT(MAX((A$1:A862=A863)*(B$1:B862=B863)*ROW(A$1:A862))))&amp;"; "&amp;C863))))</f>
        <v/>
      </c>
      <c r="J863" s="18" t="str">
        <f aca="false">IF(A863="","",A863&amp;"|"&amp;COUNTIF(A$2:A863,A863))</f>
        <v/>
      </c>
      <c r="K863" s="18" t="n">
        <f aca="false">IF(OR(A863="",B863=""),0,IF(COUNTIFS(A$2:A863,A863,B$2:B863,B863)=1,1,0))</f>
        <v>0</v>
      </c>
    </row>
    <row r="864" customFormat="false" ht="15" hidden="false" customHeight="false" outlineLevel="0" collapsed="false">
      <c r="A864" s="15"/>
      <c r="B864" s="15"/>
      <c r="C864" s="15"/>
      <c r="D864" s="15"/>
      <c r="F864" s="18" t="str">
        <f aca="false">IF(B864="","",IFERROR(INDEX(Materials!$B$2:$B$201,MATCH(B864,Materials!$A$2:$A$201,0)),""))</f>
        <v/>
      </c>
      <c r="G864" s="18" t="str">
        <f aca="true">IF(AND(A864="",B864=""),"",IF(A864="","Missing product",IF(B864="","Missing material",IF(COUNTIF(ProductList,A864)=0,"Product not in Products list",IF(COUNTIF(MaterialList,B864)=0,"Material not in Materials list","OK")))))</f>
        <v/>
      </c>
      <c r="H864" s="18" t="str">
        <f aca="false">IF(F864="Active",A864&amp;"|"&amp;COUNTIFS(A$2:A864,A864,F$2:F864,"Active"),"")</f>
        <v/>
      </c>
      <c r="I864" s="18" t="str">
        <f aca="false">IF(B864="","",IF(SUMPRODUCT(MAX((A$1:A863=A864)*(B$1:B863=B864)*ROW(A$1:A863)))=0,C864&amp;"",IF(C864="",INDEX(I$1:I863,SUMPRODUCT(MAX((A$1:A863=A864)*(B$1:B863=B864)*ROW(A$1:A863)))),IF(INDEX(I$1:I863,SUMPRODUCT(MAX((A$1:A863=A864)*(B$1:B863=B864)*ROW(A$1:A863))))="",C864&amp;"",INDEX(I$1:I863,SUMPRODUCT(MAX((A$1:A863=A864)*(B$1:B863=B864)*ROW(A$1:A863))))&amp;"; "&amp;C864))))</f>
        <v/>
      </c>
      <c r="J864" s="18" t="str">
        <f aca="false">IF(A864="","",A864&amp;"|"&amp;COUNTIF(A$2:A864,A864))</f>
        <v/>
      </c>
      <c r="K864" s="18" t="n">
        <f aca="false">IF(OR(A864="",B864=""),0,IF(COUNTIFS(A$2:A864,A864,B$2:B864,B864)=1,1,0))</f>
        <v>0</v>
      </c>
    </row>
    <row r="865" customFormat="false" ht="15" hidden="false" customHeight="false" outlineLevel="0" collapsed="false">
      <c r="A865" s="15"/>
      <c r="B865" s="15"/>
      <c r="C865" s="15"/>
      <c r="D865" s="15"/>
      <c r="F865" s="18" t="str">
        <f aca="false">IF(B865="","",IFERROR(INDEX(Materials!$B$2:$B$201,MATCH(B865,Materials!$A$2:$A$201,0)),""))</f>
        <v/>
      </c>
      <c r="G865" s="18" t="str">
        <f aca="true">IF(AND(A865="",B865=""),"",IF(A865="","Missing product",IF(B865="","Missing material",IF(COUNTIF(ProductList,A865)=0,"Product not in Products list",IF(COUNTIF(MaterialList,B865)=0,"Material not in Materials list","OK")))))</f>
        <v/>
      </c>
      <c r="H865" s="18" t="str">
        <f aca="false">IF(F865="Active",A865&amp;"|"&amp;COUNTIFS(A$2:A865,A865,F$2:F865,"Active"),"")</f>
        <v/>
      </c>
      <c r="I865" s="18" t="str">
        <f aca="false">IF(B865="","",IF(SUMPRODUCT(MAX((A$1:A864=A865)*(B$1:B864=B865)*ROW(A$1:A864)))=0,C865&amp;"",IF(C865="",INDEX(I$1:I864,SUMPRODUCT(MAX((A$1:A864=A865)*(B$1:B864=B865)*ROW(A$1:A864)))),IF(INDEX(I$1:I864,SUMPRODUCT(MAX((A$1:A864=A865)*(B$1:B864=B865)*ROW(A$1:A864))))="",C865&amp;"",INDEX(I$1:I864,SUMPRODUCT(MAX((A$1:A864=A865)*(B$1:B864=B865)*ROW(A$1:A864))))&amp;"; "&amp;C865))))</f>
        <v/>
      </c>
      <c r="J865" s="18" t="str">
        <f aca="false">IF(A865="","",A865&amp;"|"&amp;COUNTIF(A$2:A865,A865))</f>
        <v/>
      </c>
      <c r="K865" s="18" t="n">
        <f aca="false">IF(OR(A865="",B865=""),0,IF(COUNTIFS(A$2:A865,A865,B$2:B865,B865)=1,1,0))</f>
        <v>0</v>
      </c>
    </row>
    <row r="866" customFormat="false" ht="15" hidden="false" customHeight="false" outlineLevel="0" collapsed="false">
      <c r="A866" s="15"/>
      <c r="B866" s="15"/>
      <c r="C866" s="15"/>
      <c r="D866" s="15"/>
      <c r="F866" s="18" t="str">
        <f aca="false">IF(B866="","",IFERROR(INDEX(Materials!$B$2:$B$201,MATCH(B866,Materials!$A$2:$A$201,0)),""))</f>
        <v/>
      </c>
      <c r="G866" s="18" t="str">
        <f aca="true">IF(AND(A866="",B866=""),"",IF(A866="","Missing product",IF(B866="","Missing material",IF(COUNTIF(ProductList,A866)=0,"Product not in Products list",IF(COUNTIF(MaterialList,B866)=0,"Material not in Materials list","OK")))))</f>
        <v/>
      </c>
      <c r="H866" s="18" t="str">
        <f aca="false">IF(F866="Active",A866&amp;"|"&amp;COUNTIFS(A$2:A866,A866,F$2:F866,"Active"),"")</f>
        <v/>
      </c>
      <c r="I866" s="18" t="str">
        <f aca="false">IF(B866="","",IF(SUMPRODUCT(MAX((A$1:A865=A866)*(B$1:B865=B866)*ROW(A$1:A865)))=0,C866&amp;"",IF(C866="",INDEX(I$1:I865,SUMPRODUCT(MAX((A$1:A865=A866)*(B$1:B865=B866)*ROW(A$1:A865)))),IF(INDEX(I$1:I865,SUMPRODUCT(MAX((A$1:A865=A866)*(B$1:B865=B866)*ROW(A$1:A865))))="",C866&amp;"",INDEX(I$1:I865,SUMPRODUCT(MAX((A$1:A865=A866)*(B$1:B865=B866)*ROW(A$1:A865))))&amp;"; "&amp;C866))))</f>
        <v/>
      </c>
      <c r="J866" s="18" t="str">
        <f aca="false">IF(A866="","",A866&amp;"|"&amp;COUNTIF(A$2:A866,A866))</f>
        <v/>
      </c>
      <c r="K866" s="18" t="n">
        <f aca="false">IF(OR(A866="",B866=""),0,IF(COUNTIFS(A$2:A866,A866,B$2:B866,B866)=1,1,0))</f>
        <v>0</v>
      </c>
    </row>
    <row r="867" customFormat="false" ht="15" hidden="false" customHeight="false" outlineLevel="0" collapsed="false">
      <c r="A867" s="15"/>
      <c r="B867" s="15"/>
      <c r="C867" s="15"/>
      <c r="D867" s="15"/>
      <c r="F867" s="18" t="str">
        <f aca="false">IF(B867="","",IFERROR(INDEX(Materials!$B$2:$B$201,MATCH(B867,Materials!$A$2:$A$201,0)),""))</f>
        <v/>
      </c>
      <c r="G867" s="18" t="str">
        <f aca="true">IF(AND(A867="",B867=""),"",IF(A867="","Missing product",IF(B867="","Missing material",IF(COUNTIF(ProductList,A867)=0,"Product not in Products list",IF(COUNTIF(MaterialList,B867)=0,"Material not in Materials list","OK")))))</f>
        <v/>
      </c>
      <c r="H867" s="18" t="str">
        <f aca="false">IF(F867="Active",A867&amp;"|"&amp;COUNTIFS(A$2:A867,A867,F$2:F867,"Active"),"")</f>
        <v/>
      </c>
      <c r="I867" s="18" t="str">
        <f aca="false">IF(B867="","",IF(SUMPRODUCT(MAX((A$1:A866=A867)*(B$1:B866=B867)*ROW(A$1:A866)))=0,C867&amp;"",IF(C867="",INDEX(I$1:I866,SUMPRODUCT(MAX((A$1:A866=A867)*(B$1:B866=B867)*ROW(A$1:A866)))),IF(INDEX(I$1:I866,SUMPRODUCT(MAX((A$1:A866=A867)*(B$1:B866=B867)*ROW(A$1:A866))))="",C867&amp;"",INDEX(I$1:I866,SUMPRODUCT(MAX((A$1:A866=A867)*(B$1:B866=B867)*ROW(A$1:A866))))&amp;"; "&amp;C867))))</f>
        <v/>
      </c>
      <c r="J867" s="18" t="str">
        <f aca="false">IF(A867="","",A867&amp;"|"&amp;COUNTIF(A$2:A867,A867))</f>
        <v/>
      </c>
      <c r="K867" s="18" t="n">
        <f aca="false">IF(OR(A867="",B867=""),0,IF(COUNTIFS(A$2:A867,A867,B$2:B867,B867)=1,1,0))</f>
        <v>0</v>
      </c>
    </row>
    <row r="868" customFormat="false" ht="15" hidden="false" customHeight="false" outlineLevel="0" collapsed="false">
      <c r="A868" s="15"/>
      <c r="B868" s="15"/>
      <c r="C868" s="15"/>
      <c r="D868" s="15"/>
      <c r="F868" s="18" t="str">
        <f aca="false">IF(B868="","",IFERROR(INDEX(Materials!$B$2:$B$201,MATCH(B868,Materials!$A$2:$A$201,0)),""))</f>
        <v/>
      </c>
      <c r="G868" s="18" t="str">
        <f aca="true">IF(AND(A868="",B868=""),"",IF(A868="","Missing product",IF(B868="","Missing material",IF(COUNTIF(ProductList,A868)=0,"Product not in Products list",IF(COUNTIF(MaterialList,B868)=0,"Material not in Materials list","OK")))))</f>
        <v/>
      </c>
      <c r="H868" s="18" t="str">
        <f aca="false">IF(F868="Active",A868&amp;"|"&amp;COUNTIFS(A$2:A868,A868,F$2:F868,"Active"),"")</f>
        <v/>
      </c>
      <c r="I868" s="18" t="str">
        <f aca="false">IF(B868="","",IF(SUMPRODUCT(MAX((A$1:A867=A868)*(B$1:B867=B868)*ROW(A$1:A867)))=0,C868&amp;"",IF(C868="",INDEX(I$1:I867,SUMPRODUCT(MAX((A$1:A867=A868)*(B$1:B867=B868)*ROW(A$1:A867)))),IF(INDEX(I$1:I867,SUMPRODUCT(MAX((A$1:A867=A868)*(B$1:B867=B868)*ROW(A$1:A867))))="",C868&amp;"",INDEX(I$1:I867,SUMPRODUCT(MAX((A$1:A867=A868)*(B$1:B867=B868)*ROW(A$1:A867))))&amp;"; "&amp;C868))))</f>
        <v/>
      </c>
      <c r="J868" s="18" t="str">
        <f aca="false">IF(A868="","",A868&amp;"|"&amp;COUNTIF(A$2:A868,A868))</f>
        <v/>
      </c>
      <c r="K868" s="18" t="n">
        <f aca="false">IF(OR(A868="",B868=""),0,IF(COUNTIFS(A$2:A868,A868,B$2:B868,B868)=1,1,0))</f>
        <v>0</v>
      </c>
    </row>
    <row r="869" customFormat="false" ht="15" hidden="false" customHeight="false" outlineLevel="0" collapsed="false">
      <c r="A869" s="15"/>
      <c r="B869" s="15"/>
      <c r="C869" s="15"/>
      <c r="D869" s="15"/>
      <c r="F869" s="18" t="str">
        <f aca="false">IF(B869="","",IFERROR(INDEX(Materials!$B$2:$B$201,MATCH(B869,Materials!$A$2:$A$201,0)),""))</f>
        <v/>
      </c>
      <c r="G869" s="18" t="str">
        <f aca="true">IF(AND(A869="",B869=""),"",IF(A869="","Missing product",IF(B869="","Missing material",IF(COUNTIF(ProductList,A869)=0,"Product not in Products list",IF(COUNTIF(MaterialList,B869)=0,"Material not in Materials list","OK")))))</f>
        <v/>
      </c>
      <c r="H869" s="18" t="str">
        <f aca="false">IF(F869="Active",A869&amp;"|"&amp;COUNTIFS(A$2:A869,A869,F$2:F869,"Active"),"")</f>
        <v/>
      </c>
      <c r="I869" s="18" t="str">
        <f aca="false">IF(B869="","",IF(SUMPRODUCT(MAX((A$1:A868=A869)*(B$1:B868=B869)*ROW(A$1:A868)))=0,C869&amp;"",IF(C869="",INDEX(I$1:I868,SUMPRODUCT(MAX((A$1:A868=A869)*(B$1:B868=B869)*ROW(A$1:A868)))),IF(INDEX(I$1:I868,SUMPRODUCT(MAX((A$1:A868=A869)*(B$1:B868=B869)*ROW(A$1:A868))))="",C869&amp;"",INDEX(I$1:I868,SUMPRODUCT(MAX((A$1:A868=A869)*(B$1:B868=B869)*ROW(A$1:A868))))&amp;"; "&amp;C869))))</f>
        <v/>
      </c>
      <c r="J869" s="18" t="str">
        <f aca="false">IF(A869="","",A869&amp;"|"&amp;COUNTIF(A$2:A869,A869))</f>
        <v/>
      </c>
      <c r="K869" s="18" t="n">
        <f aca="false">IF(OR(A869="",B869=""),0,IF(COUNTIFS(A$2:A869,A869,B$2:B869,B869)=1,1,0))</f>
        <v>0</v>
      </c>
    </row>
    <row r="870" customFormat="false" ht="15" hidden="false" customHeight="false" outlineLevel="0" collapsed="false">
      <c r="A870" s="15"/>
      <c r="B870" s="15"/>
      <c r="C870" s="15"/>
      <c r="D870" s="15"/>
      <c r="F870" s="18" t="str">
        <f aca="false">IF(B870="","",IFERROR(INDEX(Materials!$B$2:$B$201,MATCH(B870,Materials!$A$2:$A$201,0)),""))</f>
        <v/>
      </c>
      <c r="G870" s="18" t="str">
        <f aca="true">IF(AND(A870="",B870=""),"",IF(A870="","Missing product",IF(B870="","Missing material",IF(COUNTIF(ProductList,A870)=0,"Product not in Products list",IF(COUNTIF(MaterialList,B870)=0,"Material not in Materials list","OK")))))</f>
        <v/>
      </c>
      <c r="H870" s="18" t="str">
        <f aca="false">IF(F870="Active",A870&amp;"|"&amp;COUNTIFS(A$2:A870,A870,F$2:F870,"Active"),"")</f>
        <v/>
      </c>
      <c r="I870" s="18" t="str">
        <f aca="false">IF(B870="","",IF(SUMPRODUCT(MAX((A$1:A869=A870)*(B$1:B869=B870)*ROW(A$1:A869)))=0,C870&amp;"",IF(C870="",INDEX(I$1:I869,SUMPRODUCT(MAX((A$1:A869=A870)*(B$1:B869=B870)*ROW(A$1:A869)))),IF(INDEX(I$1:I869,SUMPRODUCT(MAX((A$1:A869=A870)*(B$1:B869=B870)*ROW(A$1:A869))))="",C870&amp;"",INDEX(I$1:I869,SUMPRODUCT(MAX((A$1:A869=A870)*(B$1:B869=B870)*ROW(A$1:A869))))&amp;"; "&amp;C870))))</f>
        <v/>
      </c>
      <c r="J870" s="18" t="str">
        <f aca="false">IF(A870="","",A870&amp;"|"&amp;COUNTIF(A$2:A870,A870))</f>
        <v/>
      </c>
      <c r="K870" s="18" t="n">
        <f aca="false">IF(OR(A870="",B870=""),0,IF(COUNTIFS(A$2:A870,A870,B$2:B870,B870)=1,1,0))</f>
        <v>0</v>
      </c>
    </row>
    <row r="871" customFormat="false" ht="15" hidden="false" customHeight="false" outlineLevel="0" collapsed="false">
      <c r="A871" s="15"/>
      <c r="B871" s="15"/>
      <c r="C871" s="15"/>
      <c r="D871" s="15"/>
      <c r="F871" s="18" t="str">
        <f aca="false">IF(B871="","",IFERROR(INDEX(Materials!$B$2:$B$201,MATCH(B871,Materials!$A$2:$A$201,0)),""))</f>
        <v/>
      </c>
      <c r="G871" s="18" t="str">
        <f aca="true">IF(AND(A871="",B871=""),"",IF(A871="","Missing product",IF(B871="","Missing material",IF(COUNTIF(ProductList,A871)=0,"Product not in Products list",IF(COUNTIF(MaterialList,B871)=0,"Material not in Materials list","OK")))))</f>
        <v/>
      </c>
      <c r="H871" s="18" t="str">
        <f aca="false">IF(F871="Active",A871&amp;"|"&amp;COUNTIFS(A$2:A871,A871,F$2:F871,"Active"),"")</f>
        <v/>
      </c>
      <c r="I871" s="18" t="str">
        <f aca="false">IF(B871="","",IF(SUMPRODUCT(MAX((A$1:A870=A871)*(B$1:B870=B871)*ROW(A$1:A870)))=0,C871&amp;"",IF(C871="",INDEX(I$1:I870,SUMPRODUCT(MAX((A$1:A870=A871)*(B$1:B870=B871)*ROW(A$1:A870)))),IF(INDEX(I$1:I870,SUMPRODUCT(MAX((A$1:A870=A871)*(B$1:B870=B871)*ROW(A$1:A870))))="",C871&amp;"",INDEX(I$1:I870,SUMPRODUCT(MAX((A$1:A870=A871)*(B$1:B870=B871)*ROW(A$1:A870))))&amp;"; "&amp;C871))))</f>
        <v/>
      </c>
      <c r="J871" s="18" t="str">
        <f aca="false">IF(A871="","",A871&amp;"|"&amp;COUNTIF(A$2:A871,A871))</f>
        <v/>
      </c>
      <c r="K871" s="18" t="n">
        <f aca="false">IF(OR(A871="",B871=""),0,IF(COUNTIFS(A$2:A871,A871,B$2:B871,B871)=1,1,0))</f>
        <v>0</v>
      </c>
    </row>
    <row r="872" customFormat="false" ht="15" hidden="false" customHeight="false" outlineLevel="0" collapsed="false">
      <c r="A872" s="15"/>
      <c r="B872" s="15"/>
      <c r="C872" s="15"/>
      <c r="D872" s="15"/>
      <c r="F872" s="18" t="str">
        <f aca="false">IF(B872="","",IFERROR(INDEX(Materials!$B$2:$B$201,MATCH(B872,Materials!$A$2:$A$201,0)),""))</f>
        <v/>
      </c>
      <c r="G872" s="18" t="str">
        <f aca="true">IF(AND(A872="",B872=""),"",IF(A872="","Missing product",IF(B872="","Missing material",IF(COUNTIF(ProductList,A872)=0,"Product not in Products list",IF(COUNTIF(MaterialList,B872)=0,"Material not in Materials list","OK")))))</f>
        <v/>
      </c>
      <c r="H872" s="18" t="str">
        <f aca="false">IF(F872="Active",A872&amp;"|"&amp;COUNTIFS(A$2:A872,A872,F$2:F872,"Active"),"")</f>
        <v/>
      </c>
      <c r="I872" s="18" t="str">
        <f aca="false">IF(B872="","",IF(SUMPRODUCT(MAX((A$1:A871=A872)*(B$1:B871=B872)*ROW(A$1:A871)))=0,C872&amp;"",IF(C872="",INDEX(I$1:I871,SUMPRODUCT(MAX((A$1:A871=A872)*(B$1:B871=B872)*ROW(A$1:A871)))),IF(INDEX(I$1:I871,SUMPRODUCT(MAX((A$1:A871=A872)*(B$1:B871=B872)*ROW(A$1:A871))))="",C872&amp;"",INDEX(I$1:I871,SUMPRODUCT(MAX((A$1:A871=A872)*(B$1:B871=B872)*ROW(A$1:A871))))&amp;"; "&amp;C872))))</f>
        <v/>
      </c>
      <c r="J872" s="18" t="str">
        <f aca="false">IF(A872="","",A872&amp;"|"&amp;COUNTIF(A$2:A872,A872))</f>
        <v/>
      </c>
      <c r="K872" s="18" t="n">
        <f aca="false">IF(OR(A872="",B872=""),0,IF(COUNTIFS(A$2:A872,A872,B$2:B872,B872)=1,1,0))</f>
        <v>0</v>
      </c>
    </row>
    <row r="873" customFormat="false" ht="15" hidden="false" customHeight="false" outlineLevel="0" collapsed="false">
      <c r="A873" s="15"/>
      <c r="B873" s="15"/>
      <c r="C873" s="15"/>
      <c r="D873" s="15"/>
      <c r="F873" s="18" t="str">
        <f aca="false">IF(B873="","",IFERROR(INDEX(Materials!$B$2:$B$201,MATCH(B873,Materials!$A$2:$A$201,0)),""))</f>
        <v/>
      </c>
      <c r="G873" s="18" t="str">
        <f aca="true">IF(AND(A873="",B873=""),"",IF(A873="","Missing product",IF(B873="","Missing material",IF(COUNTIF(ProductList,A873)=0,"Product not in Products list",IF(COUNTIF(MaterialList,B873)=0,"Material not in Materials list","OK")))))</f>
        <v/>
      </c>
      <c r="H873" s="18" t="str">
        <f aca="false">IF(F873="Active",A873&amp;"|"&amp;COUNTIFS(A$2:A873,A873,F$2:F873,"Active"),"")</f>
        <v/>
      </c>
      <c r="I873" s="18" t="str">
        <f aca="false">IF(B873="","",IF(SUMPRODUCT(MAX((A$1:A872=A873)*(B$1:B872=B873)*ROW(A$1:A872)))=0,C873&amp;"",IF(C873="",INDEX(I$1:I872,SUMPRODUCT(MAX((A$1:A872=A873)*(B$1:B872=B873)*ROW(A$1:A872)))),IF(INDEX(I$1:I872,SUMPRODUCT(MAX((A$1:A872=A873)*(B$1:B872=B873)*ROW(A$1:A872))))="",C873&amp;"",INDEX(I$1:I872,SUMPRODUCT(MAX((A$1:A872=A873)*(B$1:B872=B873)*ROW(A$1:A872))))&amp;"; "&amp;C873))))</f>
        <v/>
      </c>
      <c r="J873" s="18" t="str">
        <f aca="false">IF(A873="","",A873&amp;"|"&amp;COUNTIF(A$2:A873,A873))</f>
        <v/>
      </c>
      <c r="K873" s="18" t="n">
        <f aca="false">IF(OR(A873="",B873=""),0,IF(COUNTIFS(A$2:A873,A873,B$2:B873,B873)=1,1,0))</f>
        <v>0</v>
      </c>
    </row>
    <row r="874" customFormat="false" ht="15" hidden="false" customHeight="false" outlineLevel="0" collapsed="false">
      <c r="A874" s="15"/>
      <c r="B874" s="15"/>
      <c r="C874" s="15"/>
      <c r="D874" s="15"/>
      <c r="F874" s="18" t="str">
        <f aca="false">IF(B874="","",IFERROR(INDEX(Materials!$B$2:$B$201,MATCH(B874,Materials!$A$2:$A$201,0)),""))</f>
        <v/>
      </c>
      <c r="G874" s="18" t="str">
        <f aca="true">IF(AND(A874="",B874=""),"",IF(A874="","Missing product",IF(B874="","Missing material",IF(COUNTIF(ProductList,A874)=0,"Product not in Products list",IF(COUNTIF(MaterialList,B874)=0,"Material not in Materials list","OK")))))</f>
        <v/>
      </c>
      <c r="H874" s="18" t="str">
        <f aca="false">IF(F874="Active",A874&amp;"|"&amp;COUNTIFS(A$2:A874,A874,F$2:F874,"Active"),"")</f>
        <v/>
      </c>
      <c r="I874" s="18" t="str">
        <f aca="false">IF(B874="","",IF(SUMPRODUCT(MAX((A$1:A873=A874)*(B$1:B873=B874)*ROW(A$1:A873)))=0,C874&amp;"",IF(C874="",INDEX(I$1:I873,SUMPRODUCT(MAX((A$1:A873=A874)*(B$1:B873=B874)*ROW(A$1:A873)))),IF(INDEX(I$1:I873,SUMPRODUCT(MAX((A$1:A873=A874)*(B$1:B873=B874)*ROW(A$1:A873))))="",C874&amp;"",INDEX(I$1:I873,SUMPRODUCT(MAX((A$1:A873=A874)*(B$1:B873=B874)*ROW(A$1:A873))))&amp;"; "&amp;C874))))</f>
        <v/>
      </c>
      <c r="J874" s="18" t="str">
        <f aca="false">IF(A874="","",A874&amp;"|"&amp;COUNTIF(A$2:A874,A874))</f>
        <v/>
      </c>
      <c r="K874" s="18" t="n">
        <f aca="false">IF(OR(A874="",B874=""),0,IF(COUNTIFS(A$2:A874,A874,B$2:B874,B874)=1,1,0))</f>
        <v>0</v>
      </c>
    </row>
    <row r="875" customFormat="false" ht="15" hidden="false" customHeight="false" outlineLevel="0" collapsed="false">
      <c r="A875" s="15"/>
      <c r="B875" s="15"/>
      <c r="C875" s="15"/>
      <c r="D875" s="15"/>
      <c r="F875" s="18" t="str">
        <f aca="false">IF(B875="","",IFERROR(INDEX(Materials!$B$2:$B$201,MATCH(B875,Materials!$A$2:$A$201,0)),""))</f>
        <v/>
      </c>
      <c r="G875" s="18" t="str">
        <f aca="true">IF(AND(A875="",B875=""),"",IF(A875="","Missing product",IF(B875="","Missing material",IF(COUNTIF(ProductList,A875)=0,"Product not in Products list",IF(COUNTIF(MaterialList,B875)=0,"Material not in Materials list","OK")))))</f>
        <v/>
      </c>
      <c r="H875" s="18" t="str">
        <f aca="false">IF(F875="Active",A875&amp;"|"&amp;COUNTIFS(A$2:A875,A875,F$2:F875,"Active"),"")</f>
        <v/>
      </c>
      <c r="I875" s="18" t="str">
        <f aca="false">IF(B875="","",IF(SUMPRODUCT(MAX((A$1:A874=A875)*(B$1:B874=B875)*ROW(A$1:A874)))=0,C875&amp;"",IF(C875="",INDEX(I$1:I874,SUMPRODUCT(MAX((A$1:A874=A875)*(B$1:B874=B875)*ROW(A$1:A874)))),IF(INDEX(I$1:I874,SUMPRODUCT(MAX((A$1:A874=A875)*(B$1:B874=B875)*ROW(A$1:A874))))="",C875&amp;"",INDEX(I$1:I874,SUMPRODUCT(MAX((A$1:A874=A875)*(B$1:B874=B875)*ROW(A$1:A874))))&amp;"; "&amp;C875))))</f>
        <v/>
      </c>
      <c r="J875" s="18" t="str">
        <f aca="false">IF(A875="","",A875&amp;"|"&amp;COUNTIF(A$2:A875,A875))</f>
        <v/>
      </c>
      <c r="K875" s="18" t="n">
        <f aca="false">IF(OR(A875="",B875=""),0,IF(COUNTIFS(A$2:A875,A875,B$2:B875,B875)=1,1,0))</f>
        <v>0</v>
      </c>
    </row>
    <row r="876" customFormat="false" ht="15" hidden="false" customHeight="false" outlineLevel="0" collapsed="false">
      <c r="A876" s="15"/>
      <c r="B876" s="15"/>
      <c r="C876" s="15"/>
      <c r="D876" s="15"/>
      <c r="F876" s="18" t="str">
        <f aca="false">IF(B876="","",IFERROR(INDEX(Materials!$B$2:$B$201,MATCH(B876,Materials!$A$2:$A$201,0)),""))</f>
        <v/>
      </c>
      <c r="G876" s="18" t="str">
        <f aca="true">IF(AND(A876="",B876=""),"",IF(A876="","Missing product",IF(B876="","Missing material",IF(COUNTIF(ProductList,A876)=0,"Product not in Products list",IF(COUNTIF(MaterialList,B876)=0,"Material not in Materials list","OK")))))</f>
        <v/>
      </c>
      <c r="H876" s="18" t="str">
        <f aca="false">IF(F876="Active",A876&amp;"|"&amp;COUNTIFS(A$2:A876,A876,F$2:F876,"Active"),"")</f>
        <v/>
      </c>
      <c r="I876" s="18" t="str">
        <f aca="false">IF(B876="","",IF(SUMPRODUCT(MAX((A$1:A875=A876)*(B$1:B875=B876)*ROW(A$1:A875)))=0,C876&amp;"",IF(C876="",INDEX(I$1:I875,SUMPRODUCT(MAX((A$1:A875=A876)*(B$1:B875=B876)*ROW(A$1:A875)))),IF(INDEX(I$1:I875,SUMPRODUCT(MAX((A$1:A875=A876)*(B$1:B875=B876)*ROW(A$1:A875))))="",C876&amp;"",INDEX(I$1:I875,SUMPRODUCT(MAX((A$1:A875=A876)*(B$1:B875=B876)*ROW(A$1:A875))))&amp;"; "&amp;C876))))</f>
        <v/>
      </c>
      <c r="J876" s="18" t="str">
        <f aca="false">IF(A876="","",A876&amp;"|"&amp;COUNTIF(A$2:A876,A876))</f>
        <v/>
      </c>
      <c r="K876" s="18" t="n">
        <f aca="false">IF(OR(A876="",B876=""),0,IF(COUNTIFS(A$2:A876,A876,B$2:B876,B876)=1,1,0))</f>
        <v>0</v>
      </c>
    </row>
    <row r="877" customFormat="false" ht="15" hidden="false" customHeight="false" outlineLevel="0" collapsed="false">
      <c r="A877" s="15"/>
      <c r="B877" s="15"/>
      <c r="C877" s="15"/>
      <c r="D877" s="15"/>
      <c r="F877" s="18" t="str">
        <f aca="false">IF(B877="","",IFERROR(INDEX(Materials!$B$2:$B$201,MATCH(B877,Materials!$A$2:$A$201,0)),""))</f>
        <v/>
      </c>
      <c r="G877" s="18" t="str">
        <f aca="true">IF(AND(A877="",B877=""),"",IF(A877="","Missing product",IF(B877="","Missing material",IF(COUNTIF(ProductList,A877)=0,"Product not in Products list",IF(COUNTIF(MaterialList,B877)=0,"Material not in Materials list","OK")))))</f>
        <v/>
      </c>
      <c r="H877" s="18" t="str">
        <f aca="false">IF(F877="Active",A877&amp;"|"&amp;COUNTIFS(A$2:A877,A877,F$2:F877,"Active"),"")</f>
        <v/>
      </c>
      <c r="I877" s="18" t="str">
        <f aca="false">IF(B877="","",IF(SUMPRODUCT(MAX((A$1:A876=A877)*(B$1:B876=B877)*ROW(A$1:A876)))=0,C877&amp;"",IF(C877="",INDEX(I$1:I876,SUMPRODUCT(MAX((A$1:A876=A877)*(B$1:B876=B877)*ROW(A$1:A876)))),IF(INDEX(I$1:I876,SUMPRODUCT(MAX((A$1:A876=A877)*(B$1:B876=B877)*ROW(A$1:A876))))="",C877&amp;"",INDEX(I$1:I876,SUMPRODUCT(MAX((A$1:A876=A877)*(B$1:B876=B877)*ROW(A$1:A876))))&amp;"; "&amp;C877))))</f>
        <v/>
      </c>
      <c r="J877" s="18" t="str">
        <f aca="false">IF(A877="","",A877&amp;"|"&amp;COUNTIF(A$2:A877,A877))</f>
        <v/>
      </c>
      <c r="K877" s="18" t="n">
        <f aca="false">IF(OR(A877="",B877=""),0,IF(COUNTIFS(A$2:A877,A877,B$2:B877,B877)=1,1,0))</f>
        <v>0</v>
      </c>
    </row>
    <row r="878" customFormat="false" ht="15" hidden="false" customHeight="false" outlineLevel="0" collapsed="false">
      <c r="A878" s="15"/>
      <c r="B878" s="15"/>
      <c r="C878" s="15"/>
      <c r="D878" s="15"/>
      <c r="F878" s="18" t="str">
        <f aca="false">IF(B878="","",IFERROR(INDEX(Materials!$B$2:$B$201,MATCH(B878,Materials!$A$2:$A$201,0)),""))</f>
        <v/>
      </c>
      <c r="G878" s="18" t="str">
        <f aca="true">IF(AND(A878="",B878=""),"",IF(A878="","Missing product",IF(B878="","Missing material",IF(COUNTIF(ProductList,A878)=0,"Product not in Products list",IF(COUNTIF(MaterialList,B878)=0,"Material not in Materials list","OK")))))</f>
        <v/>
      </c>
      <c r="H878" s="18" t="str">
        <f aca="false">IF(F878="Active",A878&amp;"|"&amp;COUNTIFS(A$2:A878,A878,F$2:F878,"Active"),"")</f>
        <v/>
      </c>
      <c r="I878" s="18" t="str">
        <f aca="false">IF(B878="","",IF(SUMPRODUCT(MAX((A$1:A877=A878)*(B$1:B877=B878)*ROW(A$1:A877)))=0,C878&amp;"",IF(C878="",INDEX(I$1:I877,SUMPRODUCT(MAX((A$1:A877=A878)*(B$1:B877=B878)*ROW(A$1:A877)))),IF(INDEX(I$1:I877,SUMPRODUCT(MAX((A$1:A877=A878)*(B$1:B877=B878)*ROW(A$1:A877))))="",C878&amp;"",INDEX(I$1:I877,SUMPRODUCT(MAX((A$1:A877=A878)*(B$1:B877=B878)*ROW(A$1:A877))))&amp;"; "&amp;C878))))</f>
        <v/>
      </c>
      <c r="J878" s="18" t="str">
        <f aca="false">IF(A878="","",A878&amp;"|"&amp;COUNTIF(A$2:A878,A878))</f>
        <v/>
      </c>
      <c r="K878" s="18" t="n">
        <f aca="false">IF(OR(A878="",B878=""),0,IF(COUNTIFS(A$2:A878,A878,B$2:B878,B878)=1,1,0))</f>
        <v>0</v>
      </c>
    </row>
    <row r="879" customFormat="false" ht="15" hidden="false" customHeight="false" outlineLevel="0" collapsed="false">
      <c r="A879" s="15"/>
      <c r="B879" s="15"/>
      <c r="C879" s="15"/>
      <c r="D879" s="15"/>
      <c r="F879" s="18" t="str">
        <f aca="false">IF(B879="","",IFERROR(INDEX(Materials!$B$2:$B$201,MATCH(B879,Materials!$A$2:$A$201,0)),""))</f>
        <v/>
      </c>
      <c r="G879" s="18" t="str">
        <f aca="true">IF(AND(A879="",B879=""),"",IF(A879="","Missing product",IF(B879="","Missing material",IF(COUNTIF(ProductList,A879)=0,"Product not in Products list",IF(COUNTIF(MaterialList,B879)=0,"Material not in Materials list","OK")))))</f>
        <v/>
      </c>
      <c r="H879" s="18" t="str">
        <f aca="false">IF(F879="Active",A879&amp;"|"&amp;COUNTIFS(A$2:A879,A879,F$2:F879,"Active"),"")</f>
        <v/>
      </c>
      <c r="I879" s="18" t="str">
        <f aca="false">IF(B879="","",IF(SUMPRODUCT(MAX((A$1:A878=A879)*(B$1:B878=B879)*ROW(A$1:A878)))=0,C879&amp;"",IF(C879="",INDEX(I$1:I878,SUMPRODUCT(MAX((A$1:A878=A879)*(B$1:B878=B879)*ROW(A$1:A878)))),IF(INDEX(I$1:I878,SUMPRODUCT(MAX((A$1:A878=A879)*(B$1:B878=B879)*ROW(A$1:A878))))="",C879&amp;"",INDEX(I$1:I878,SUMPRODUCT(MAX((A$1:A878=A879)*(B$1:B878=B879)*ROW(A$1:A878))))&amp;"; "&amp;C879))))</f>
        <v/>
      </c>
      <c r="J879" s="18" t="str">
        <f aca="false">IF(A879="","",A879&amp;"|"&amp;COUNTIF(A$2:A879,A879))</f>
        <v/>
      </c>
      <c r="K879" s="18" t="n">
        <f aca="false">IF(OR(A879="",B879=""),0,IF(COUNTIFS(A$2:A879,A879,B$2:B879,B879)=1,1,0))</f>
        <v>0</v>
      </c>
    </row>
    <row r="880" customFormat="false" ht="15" hidden="false" customHeight="false" outlineLevel="0" collapsed="false">
      <c r="A880" s="15"/>
      <c r="B880" s="15"/>
      <c r="C880" s="15"/>
      <c r="D880" s="15"/>
      <c r="F880" s="18" t="str">
        <f aca="false">IF(B880="","",IFERROR(INDEX(Materials!$B$2:$B$201,MATCH(B880,Materials!$A$2:$A$201,0)),""))</f>
        <v/>
      </c>
      <c r="G880" s="18" t="str">
        <f aca="true">IF(AND(A880="",B880=""),"",IF(A880="","Missing product",IF(B880="","Missing material",IF(COUNTIF(ProductList,A880)=0,"Product not in Products list",IF(COUNTIF(MaterialList,B880)=0,"Material not in Materials list","OK")))))</f>
        <v/>
      </c>
      <c r="H880" s="18" t="str">
        <f aca="false">IF(F880="Active",A880&amp;"|"&amp;COUNTIFS(A$2:A880,A880,F$2:F880,"Active"),"")</f>
        <v/>
      </c>
      <c r="I880" s="18" t="str">
        <f aca="false">IF(B880="","",IF(SUMPRODUCT(MAX((A$1:A879=A880)*(B$1:B879=B880)*ROW(A$1:A879)))=0,C880&amp;"",IF(C880="",INDEX(I$1:I879,SUMPRODUCT(MAX((A$1:A879=A880)*(B$1:B879=B880)*ROW(A$1:A879)))),IF(INDEX(I$1:I879,SUMPRODUCT(MAX((A$1:A879=A880)*(B$1:B879=B880)*ROW(A$1:A879))))="",C880&amp;"",INDEX(I$1:I879,SUMPRODUCT(MAX((A$1:A879=A880)*(B$1:B879=B880)*ROW(A$1:A879))))&amp;"; "&amp;C880))))</f>
        <v/>
      </c>
      <c r="J880" s="18" t="str">
        <f aca="false">IF(A880="","",A880&amp;"|"&amp;COUNTIF(A$2:A880,A880))</f>
        <v/>
      </c>
      <c r="K880" s="18" t="n">
        <f aca="false">IF(OR(A880="",B880=""),0,IF(COUNTIFS(A$2:A880,A880,B$2:B880,B880)=1,1,0))</f>
        <v>0</v>
      </c>
    </row>
    <row r="881" customFormat="false" ht="15" hidden="false" customHeight="false" outlineLevel="0" collapsed="false">
      <c r="A881" s="15"/>
      <c r="B881" s="15"/>
      <c r="C881" s="15"/>
      <c r="D881" s="15"/>
      <c r="F881" s="18" t="str">
        <f aca="false">IF(B881="","",IFERROR(INDEX(Materials!$B$2:$B$201,MATCH(B881,Materials!$A$2:$A$201,0)),""))</f>
        <v/>
      </c>
      <c r="G881" s="18" t="str">
        <f aca="true">IF(AND(A881="",B881=""),"",IF(A881="","Missing product",IF(B881="","Missing material",IF(COUNTIF(ProductList,A881)=0,"Product not in Products list",IF(COUNTIF(MaterialList,B881)=0,"Material not in Materials list","OK")))))</f>
        <v/>
      </c>
      <c r="H881" s="18" t="str">
        <f aca="false">IF(F881="Active",A881&amp;"|"&amp;COUNTIFS(A$2:A881,A881,F$2:F881,"Active"),"")</f>
        <v/>
      </c>
      <c r="I881" s="18" t="str">
        <f aca="false">IF(B881="","",IF(SUMPRODUCT(MAX((A$1:A880=A881)*(B$1:B880=B881)*ROW(A$1:A880)))=0,C881&amp;"",IF(C881="",INDEX(I$1:I880,SUMPRODUCT(MAX((A$1:A880=A881)*(B$1:B880=B881)*ROW(A$1:A880)))),IF(INDEX(I$1:I880,SUMPRODUCT(MAX((A$1:A880=A881)*(B$1:B880=B881)*ROW(A$1:A880))))="",C881&amp;"",INDEX(I$1:I880,SUMPRODUCT(MAX((A$1:A880=A881)*(B$1:B880=B881)*ROW(A$1:A880))))&amp;"; "&amp;C881))))</f>
        <v/>
      </c>
      <c r="J881" s="18" t="str">
        <f aca="false">IF(A881="","",A881&amp;"|"&amp;COUNTIF(A$2:A881,A881))</f>
        <v/>
      </c>
      <c r="K881" s="18" t="n">
        <f aca="false">IF(OR(A881="",B881=""),0,IF(COUNTIFS(A$2:A881,A881,B$2:B881,B881)=1,1,0))</f>
        <v>0</v>
      </c>
    </row>
    <row r="882" customFormat="false" ht="15" hidden="false" customHeight="false" outlineLevel="0" collapsed="false">
      <c r="A882" s="15"/>
      <c r="B882" s="15"/>
      <c r="C882" s="15"/>
      <c r="D882" s="15"/>
      <c r="F882" s="18" t="str">
        <f aca="false">IF(B882="","",IFERROR(INDEX(Materials!$B$2:$B$201,MATCH(B882,Materials!$A$2:$A$201,0)),""))</f>
        <v/>
      </c>
      <c r="G882" s="18" t="str">
        <f aca="true">IF(AND(A882="",B882=""),"",IF(A882="","Missing product",IF(B882="","Missing material",IF(COUNTIF(ProductList,A882)=0,"Product not in Products list",IF(COUNTIF(MaterialList,B882)=0,"Material not in Materials list","OK")))))</f>
        <v/>
      </c>
      <c r="H882" s="18" t="str">
        <f aca="false">IF(F882="Active",A882&amp;"|"&amp;COUNTIFS(A$2:A882,A882,F$2:F882,"Active"),"")</f>
        <v/>
      </c>
      <c r="I882" s="18" t="str">
        <f aca="false">IF(B882="","",IF(SUMPRODUCT(MAX((A$1:A881=A882)*(B$1:B881=B882)*ROW(A$1:A881)))=0,C882&amp;"",IF(C882="",INDEX(I$1:I881,SUMPRODUCT(MAX((A$1:A881=A882)*(B$1:B881=B882)*ROW(A$1:A881)))),IF(INDEX(I$1:I881,SUMPRODUCT(MAX((A$1:A881=A882)*(B$1:B881=B882)*ROW(A$1:A881))))="",C882&amp;"",INDEX(I$1:I881,SUMPRODUCT(MAX((A$1:A881=A882)*(B$1:B881=B882)*ROW(A$1:A881))))&amp;"; "&amp;C882))))</f>
        <v/>
      </c>
      <c r="J882" s="18" t="str">
        <f aca="false">IF(A882="","",A882&amp;"|"&amp;COUNTIF(A$2:A882,A882))</f>
        <v/>
      </c>
      <c r="K882" s="18" t="n">
        <f aca="false">IF(OR(A882="",B882=""),0,IF(COUNTIFS(A$2:A882,A882,B$2:B882,B882)=1,1,0))</f>
        <v>0</v>
      </c>
    </row>
    <row r="883" customFormat="false" ht="15" hidden="false" customHeight="false" outlineLevel="0" collapsed="false">
      <c r="A883" s="15"/>
      <c r="B883" s="15"/>
      <c r="C883" s="15"/>
      <c r="D883" s="15"/>
      <c r="F883" s="18" t="str">
        <f aca="false">IF(B883="","",IFERROR(INDEX(Materials!$B$2:$B$201,MATCH(B883,Materials!$A$2:$A$201,0)),""))</f>
        <v/>
      </c>
      <c r="G883" s="18" t="str">
        <f aca="true">IF(AND(A883="",B883=""),"",IF(A883="","Missing product",IF(B883="","Missing material",IF(COUNTIF(ProductList,A883)=0,"Product not in Products list",IF(COUNTIF(MaterialList,B883)=0,"Material not in Materials list","OK")))))</f>
        <v/>
      </c>
      <c r="H883" s="18" t="str">
        <f aca="false">IF(F883="Active",A883&amp;"|"&amp;COUNTIFS(A$2:A883,A883,F$2:F883,"Active"),"")</f>
        <v/>
      </c>
      <c r="I883" s="18" t="str">
        <f aca="false">IF(B883="","",IF(SUMPRODUCT(MAX((A$1:A882=A883)*(B$1:B882=B883)*ROW(A$1:A882)))=0,C883&amp;"",IF(C883="",INDEX(I$1:I882,SUMPRODUCT(MAX((A$1:A882=A883)*(B$1:B882=B883)*ROW(A$1:A882)))),IF(INDEX(I$1:I882,SUMPRODUCT(MAX((A$1:A882=A883)*(B$1:B882=B883)*ROW(A$1:A882))))="",C883&amp;"",INDEX(I$1:I882,SUMPRODUCT(MAX((A$1:A882=A883)*(B$1:B882=B883)*ROW(A$1:A882))))&amp;"; "&amp;C883))))</f>
        <v/>
      </c>
      <c r="J883" s="18" t="str">
        <f aca="false">IF(A883="","",A883&amp;"|"&amp;COUNTIF(A$2:A883,A883))</f>
        <v/>
      </c>
      <c r="K883" s="18" t="n">
        <f aca="false">IF(OR(A883="",B883=""),0,IF(COUNTIFS(A$2:A883,A883,B$2:B883,B883)=1,1,0))</f>
        <v>0</v>
      </c>
    </row>
    <row r="884" customFormat="false" ht="15" hidden="false" customHeight="false" outlineLevel="0" collapsed="false">
      <c r="A884" s="15"/>
      <c r="B884" s="15"/>
      <c r="C884" s="15"/>
      <c r="D884" s="15"/>
      <c r="F884" s="18" t="str">
        <f aca="false">IF(B884="","",IFERROR(INDEX(Materials!$B$2:$B$201,MATCH(B884,Materials!$A$2:$A$201,0)),""))</f>
        <v/>
      </c>
      <c r="G884" s="18" t="str">
        <f aca="true">IF(AND(A884="",B884=""),"",IF(A884="","Missing product",IF(B884="","Missing material",IF(COUNTIF(ProductList,A884)=0,"Product not in Products list",IF(COUNTIF(MaterialList,B884)=0,"Material not in Materials list","OK")))))</f>
        <v/>
      </c>
      <c r="H884" s="18" t="str">
        <f aca="false">IF(F884="Active",A884&amp;"|"&amp;COUNTIFS(A$2:A884,A884,F$2:F884,"Active"),"")</f>
        <v/>
      </c>
      <c r="I884" s="18" t="str">
        <f aca="false">IF(B884="","",IF(SUMPRODUCT(MAX((A$1:A883=A884)*(B$1:B883=B884)*ROW(A$1:A883)))=0,C884&amp;"",IF(C884="",INDEX(I$1:I883,SUMPRODUCT(MAX((A$1:A883=A884)*(B$1:B883=B884)*ROW(A$1:A883)))),IF(INDEX(I$1:I883,SUMPRODUCT(MAX((A$1:A883=A884)*(B$1:B883=B884)*ROW(A$1:A883))))="",C884&amp;"",INDEX(I$1:I883,SUMPRODUCT(MAX((A$1:A883=A884)*(B$1:B883=B884)*ROW(A$1:A883))))&amp;"; "&amp;C884))))</f>
        <v/>
      </c>
      <c r="J884" s="18" t="str">
        <f aca="false">IF(A884="","",A884&amp;"|"&amp;COUNTIF(A$2:A884,A884))</f>
        <v/>
      </c>
      <c r="K884" s="18" t="n">
        <f aca="false">IF(OR(A884="",B884=""),0,IF(COUNTIFS(A$2:A884,A884,B$2:B884,B884)=1,1,0))</f>
        <v>0</v>
      </c>
    </row>
    <row r="885" customFormat="false" ht="15" hidden="false" customHeight="false" outlineLevel="0" collapsed="false">
      <c r="A885" s="15"/>
      <c r="B885" s="15"/>
      <c r="C885" s="15"/>
      <c r="D885" s="15"/>
      <c r="F885" s="18" t="str">
        <f aca="false">IF(B885="","",IFERROR(INDEX(Materials!$B$2:$B$201,MATCH(B885,Materials!$A$2:$A$201,0)),""))</f>
        <v/>
      </c>
      <c r="G885" s="18" t="str">
        <f aca="true">IF(AND(A885="",B885=""),"",IF(A885="","Missing product",IF(B885="","Missing material",IF(COUNTIF(ProductList,A885)=0,"Product not in Products list",IF(COUNTIF(MaterialList,B885)=0,"Material not in Materials list","OK")))))</f>
        <v/>
      </c>
      <c r="H885" s="18" t="str">
        <f aca="false">IF(F885="Active",A885&amp;"|"&amp;COUNTIFS(A$2:A885,A885,F$2:F885,"Active"),"")</f>
        <v/>
      </c>
      <c r="I885" s="18" t="str">
        <f aca="false">IF(B885="","",IF(SUMPRODUCT(MAX((A$1:A884=A885)*(B$1:B884=B885)*ROW(A$1:A884)))=0,C885&amp;"",IF(C885="",INDEX(I$1:I884,SUMPRODUCT(MAX((A$1:A884=A885)*(B$1:B884=B885)*ROW(A$1:A884)))),IF(INDEX(I$1:I884,SUMPRODUCT(MAX((A$1:A884=A885)*(B$1:B884=B885)*ROW(A$1:A884))))="",C885&amp;"",INDEX(I$1:I884,SUMPRODUCT(MAX((A$1:A884=A885)*(B$1:B884=B885)*ROW(A$1:A884))))&amp;"; "&amp;C885))))</f>
        <v/>
      </c>
      <c r="J885" s="18" t="str">
        <f aca="false">IF(A885="","",A885&amp;"|"&amp;COUNTIF(A$2:A885,A885))</f>
        <v/>
      </c>
      <c r="K885" s="18" t="n">
        <f aca="false">IF(OR(A885="",B885=""),0,IF(COUNTIFS(A$2:A885,A885,B$2:B885,B885)=1,1,0))</f>
        <v>0</v>
      </c>
    </row>
    <row r="886" customFormat="false" ht="15" hidden="false" customHeight="false" outlineLevel="0" collapsed="false">
      <c r="A886" s="15"/>
      <c r="B886" s="15"/>
      <c r="C886" s="15"/>
      <c r="D886" s="15"/>
      <c r="F886" s="18" t="str">
        <f aca="false">IF(B886="","",IFERROR(INDEX(Materials!$B$2:$B$201,MATCH(B886,Materials!$A$2:$A$201,0)),""))</f>
        <v/>
      </c>
      <c r="G886" s="18" t="str">
        <f aca="true">IF(AND(A886="",B886=""),"",IF(A886="","Missing product",IF(B886="","Missing material",IF(COUNTIF(ProductList,A886)=0,"Product not in Products list",IF(COUNTIF(MaterialList,B886)=0,"Material not in Materials list","OK")))))</f>
        <v/>
      </c>
      <c r="H886" s="18" t="str">
        <f aca="false">IF(F886="Active",A886&amp;"|"&amp;COUNTIFS(A$2:A886,A886,F$2:F886,"Active"),"")</f>
        <v/>
      </c>
      <c r="I886" s="18" t="str">
        <f aca="false">IF(B886="","",IF(SUMPRODUCT(MAX((A$1:A885=A886)*(B$1:B885=B886)*ROW(A$1:A885)))=0,C886&amp;"",IF(C886="",INDEX(I$1:I885,SUMPRODUCT(MAX((A$1:A885=A886)*(B$1:B885=B886)*ROW(A$1:A885)))),IF(INDEX(I$1:I885,SUMPRODUCT(MAX((A$1:A885=A886)*(B$1:B885=B886)*ROW(A$1:A885))))="",C886&amp;"",INDEX(I$1:I885,SUMPRODUCT(MAX((A$1:A885=A886)*(B$1:B885=B886)*ROW(A$1:A885))))&amp;"; "&amp;C886))))</f>
        <v/>
      </c>
      <c r="J886" s="18" t="str">
        <f aca="false">IF(A886="","",A886&amp;"|"&amp;COUNTIF(A$2:A886,A886))</f>
        <v/>
      </c>
      <c r="K886" s="18" t="n">
        <f aca="false">IF(OR(A886="",B886=""),0,IF(COUNTIFS(A$2:A886,A886,B$2:B886,B886)=1,1,0))</f>
        <v>0</v>
      </c>
    </row>
    <row r="887" customFormat="false" ht="15" hidden="false" customHeight="false" outlineLevel="0" collapsed="false">
      <c r="A887" s="15"/>
      <c r="B887" s="15"/>
      <c r="C887" s="15"/>
      <c r="D887" s="15"/>
      <c r="F887" s="18" t="str">
        <f aca="false">IF(B887="","",IFERROR(INDEX(Materials!$B$2:$B$201,MATCH(B887,Materials!$A$2:$A$201,0)),""))</f>
        <v/>
      </c>
      <c r="G887" s="18" t="str">
        <f aca="true">IF(AND(A887="",B887=""),"",IF(A887="","Missing product",IF(B887="","Missing material",IF(COUNTIF(ProductList,A887)=0,"Product not in Products list",IF(COUNTIF(MaterialList,B887)=0,"Material not in Materials list","OK")))))</f>
        <v/>
      </c>
      <c r="H887" s="18" t="str">
        <f aca="false">IF(F887="Active",A887&amp;"|"&amp;COUNTIFS(A$2:A887,A887,F$2:F887,"Active"),"")</f>
        <v/>
      </c>
      <c r="I887" s="18" t="str">
        <f aca="false">IF(B887="","",IF(SUMPRODUCT(MAX((A$1:A886=A887)*(B$1:B886=B887)*ROW(A$1:A886)))=0,C887&amp;"",IF(C887="",INDEX(I$1:I886,SUMPRODUCT(MAX((A$1:A886=A887)*(B$1:B886=B887)*ROW(A$1:A886)))),IF(INDEX(I$1:I886,SUMPRODUCT(MAX((A$1:A886=A887)*(B$1:B886=B887)*ROW(A$1:A886))))="",C887&amp;"",INDEX(I$1:I886,SUMPRODUCT(MAX((A$1:A886=A887)*(B$1:B886=B887)*ROW(A$1:A886))))&amp;"; "&amp;C887))))</f>
        <v/>
      </c>
      <c r="J887" s="18" t="str">
        <f aca="false">IF(A887="","",A887&amp;"|"&amp;COUNTIF(A$2:A887,A887))</f>
        <v/>
      </c>
      <c r="K887" s="18" t="n">
        <f aca="false">IF(OR(A887="",B887=""),0,IF(COUNTIFS(A$2:A887,A887,B$2:B887,B887)=1,1,0))</f>
        <v>0</v>
      </c>
    </row>
    <row r="888" customFormat="false" ht="15" hidden="false" customHeight="false" outlineLevel="0" collapsed="false">
      <c r="A888" s="15"/>
      <c r="B888" s="15"/>
      <c r="C888" s="15"/>
      <c r="D888" s="15"/>
      <c r="F888" s="18" t="str">
        <f aca="false">IF(B888="","",IFERROR(INDEX(Materials!$B$2:$B$201,MATCH(B888,Materials!$A$2:$A$201,0)),""))</f>
        <v/>
      </c>
      <c r="G888" s="18" t="str">
        <f aca="true">IF(AND(A888="",B888=""),"",IF(A888="","Missing product",IF(B888="","Missing material",IF(COUNTIF(ProductList,A888)=0,"Product not in Products list",IF(COUNTIF(MaterialList,B888)=0,"Material not in Materials list","OK")))))</f>
        <v/>
      </c>
      <c r="H888" s="18" t="str">
        <f aca="false">IF(F888="Active",A888&amp;"|"&amp;COUNTIFS(A$2:A888,A888,F$2:F888,"Active"),"")</f>
        <v/>
      </c>
      <c r="I888" s="18" t="str">
        <f aca="false">IF(B888="","",IF(SUMPRODUCT(MAX((A$1:A887=A888)*(B$1:B887=B888)*ROW(A$1:A887)))=0,C888&amp;"",IF(C888="",INDEX(I$1:I887,SUMPRODUCT(MAX((A$1:A887=A888)*(B$1:B887=B888)*ROW(A$1:A887)))),IF(INDEX(I$1:I887,SUMPRODUCT(MAX((A$1:A887=A888)*(B$1:B887=B888)*ROW(A$1:A887))))="",C888&amp;"",INDEX(I$1:I887,SUMPRODUCT(MAX((A$1:A887=A888)*(B$1:B887=B888)*ROW(A$1:A887))))&amp;"; "&amp;C888))))</f>
        <v/>
      </c>
      <c r="J888" s="18" t="str">
        <f aca="false">IF(A888="","",A888&amp;"|"&amp;COUNTIF(A$2:A888,A888))</f>
        <v/>
      </c>
      <c r="K888" s="18" t="n">
        <f aca="false">IF(OR(A888="",B888=""),0,IF(COUNTIFS(A$2:A888,A888,B$2:B888,B888)=1,1,0))</f>
        <v>0</v>
      </c>
    </row>
    <row r="889" customFormat="false" ht="15" hidden="false" customHeight="false" outlineLevel="0" collapsed="false">
      <c r="A889" s="15"/>
      <c r="B889" s="15"/>
      <c r="C889" s="15"/>
      <c r="D889" s="15"/>
      <c r="F889" s="18" t="str">
        <f aca="false">IF(B889="","",IFERROR(INDEX(Materials!$B$2:$B$201,MATCH(B889,Materials!$A$2:$A$201,0)),""))</f>
        <v/>
      </c>
      <c r="G889" s="18" t="str">
        <f aca="true">IF(AND(A889="",B889=""),"",IF(A889="","Missing product",IF(B889="","Missing material",IF(COUNTIF(ProductList,A889)=0,"Product not in Products list",IF(COUNTIF(MaterialList,B889)=0,"Material not in Materials list","OK")))))</f>
        <v/>
      </c>
      <c r="H889" s="18" t="str">
        <f aca="false">IF(F889="Active",A889&amp;"|"&amp;COUNTIFS(A$2:A889,A889,F$2:F889,"Active"),"")</f>
        <v/>
      </c>
      <c r="I889" s="18" t="str">
        <f aca="false">IF(B889="","",IF(SUMPRODUCT(MAX((A$1:A888=A889)*(B$1:B888=B889)*ROW(A$1:A888)))=0,C889&amp;"",IF(C889="",INDEX(I$1:I888,SUMPRODUCT(MAX((A$1:A888=A889)*(B$1:B888=B889)*ROW(A$1:A888)))),IF(INDEX(I$1:I888,SUMPRODUCT(MAX((A$1:A888=A889)*(B$1:B888=B889)*ROW(A$1:A888))))="",C889&amp;"",INDEX(I$1:I888,SUMPRODUCT(MAX((A$1:A888=A889)*(B$1:B888=B889)*ROW(A$1:A888))))&amp;"; "&amp;C889))))</f>
        <v/>
      </c>
      <c r="J889" s="18" t="str">
        <f aca="false">IF(A889="","",A889&amp;"|"&amp;COUNTIF(A$2:A889,A889))</f>
        <v/>
      </c>
      <c r="K889" s="18" t="n">
        <f aca="false">IF(OR(A889="",B889=""),0,IF(COUNTIFS(A$2:A889,A889,B$2:B889,B889)=1,1,0))</f>
        <v>0</v>
      </c>
    </row>
    <row r="890" customFormat="false" ht="15" hidden="false" customHeight="false" outlineLevel="0" collapsed="false">
      <c r="A890" s="15"/>
      <c r="B890" s="15"/>
      <c r="C890" s="15"/>
      <c r="D890" s="15"/>
      <c r="F890" s="18" t="str">
        <f aca="false">IF(B890="","",IFERROR(INDEX(Materials!$B$2:$B$201,MATCH(B890,Materials!$A$2:$A$201,0)),""))</f>
        <v/>
      </c>
      <c r="G890" s="18" t="str">
        <f aca="true">IF(AND(A890="",B890=""),"",IF(A890="","Missing product",IF(B890="","Missing material",IF(COUNTIF(ProductList,A890)=0,"Product not in Products list",IF(COUNTIF(MaterialList,B890)=0,"Material not in Materials list","OK")))))</f>
        <v/>
      </c>
      <c r="H890" s="18" t="str">
        <f aca="false">IF(F890="Active",A890&amp;"|"&amp;COUNTIFS(A$2:A890,A890,F$2:F890,"Active"),"")</f>
        <v/>
      </c>
      <c r="I890" s="18" t="str">
        <f aca="false">IF(B890="","",IF(SUMPRODUCT(MAX((A$1:A889=A890)*(B$1:B889=B890)*ROW(A$1:A889)))=0,C890&amp;"",IF(C890="",INDEX(I$1:I889,SUMPRODUCT(MAX((A$1:A889=A890)*(B$1:B889=B890)*ROW(A$1:A889)))),IF(INDEX(I$1:I889,SUMPRODUCT(MAX((A$1:A889=A890)*(B$1:B889=B890)*ROW(A$1:A889))))="",C890&amp;"",INDEX(I$1:I889,SUMPRODUCT(MAX((A$1:A889=A890)*(B$1:B889=B890)*ROW(A$1:A889))))&amp;"; "&amp;C890))))</f>
        <v/>
      </c>
      <c r="J890" s="18" t="str">
        <f aca="false">IF(A890="","",A890&amp;"|"&amp;COUNTIF(A$2:A890,A890))</f>
        <v/>
      </c>
      <c r="K890" s="18" t="n">
        <f aca="false">IF(OR(A890="",B890=""),0,IF(COUNTIFS(A$2:A890,A890,B$2:B890,B890)=1,1,0))</f>
        <v>0</v>
      </c>
    </row>
    <row r="891" customFormat="false" ht="15" hidden="false" customHeight="false" outlineLevel="0" collapsed="false">
      <c r="A891" s="15"/>
      <c r="B891" s="15"/>
      <c r="C891" s="15"/>
      <c r="D891" s="15"/>
      <c r="F891" s="18" t="str">
        <f aca="false">IF(B891="","",IFERROR(INDEX(Materials!$B$2:$B$201,MATCH(B891,Materials!$A$2:$A$201,0)),""))</f>
        <v/>
      </c>
      <c r="G891" s="18" t="str">
        <f aca="true">IF(AND(A891="",B891=""),"",IF(A891="","Missing product",IF(B891="","Missing material",IF(COUNTIF(ProductList,A891)=0,"Product not in Products list",IF(COUNTIF(MaterialList,B891)=0,"Material not in Materials list","OK")))))</f>
        <v/>
      </c>
      <c r="H891" s="18" t="str">
        <f aca="false">IF(F891="Active",A891&amp;"|"&amp;COUNTIFS(A$2:A891,A891,F$2:F891,"Active"),"")</f>
        <v/>
      </c>
      <c r="I891" s="18" t="str">
        <f aca="false">IF(B891="","",IF(SUMPRODUCT(MAX((A$1:A890=A891)*(B$1:B890=B891)*ROW(A$1:A890)))=0,C891&amp;"",IF(C891="",INDEX(I$1:I890,SUMPRODUCT(MAX((A$1:A890=A891)*(B$1:B890=B891)*ROW(A$1:A890)))),IF(INDEX(I$1:I890,SUMPRODUCT(MAX((A$1:A890=A891)*(B$1:B890=B891)*ROW(A$1:A890))))="",C891&amp;"",INDEX(I$1:I890,SUMPRODUCT(MAX((A$1:A890=A891)*(B$1:B890=B891)*ROW(A$1:A890))))&amp;"; "&amp;C891))))</f>
        <v/>
      </c>
      <c r="J891" s="18" t="str">
        <f aca="false">IF(A891="","",A891&amp;"|"&amp;COUNTIF(A$2:A891,A891))</f>
        <v/>
      </c>
      <c r="K891" s="18" t="n">
        <f aca="false">IF(OR(A891="",B891=""),0,IF(COUNTIFS(A$2:A891,A891,B$2:B891,B891)=1,1,0))</f>
        <v>0</v>
      </c>
    </row>
    <row r="892" customFormat="false" ht="15" hidden="false" customHeight="false" outlineLevel="0" collapsed="false">
      <c r="A892" s="15"/>
      <c r="B892" s="15"/>
      <c r="C892" s="15"/>
      <c r="D892" s="15"/>
      <c r="F892" s="18" t="str">
        <f aca="false">IF(B892="","",IFERROR(INDEX(Materials!$B$2:$B$201,MATCH(B892,Materials!$A$2:$A$201,0)),""))</f>
        <v/>
      </c>
      <c r="G892" s="18" t="str">
        <f aca="true">IF(AND(A892="",B892=""),"",IF(A892="","Missing product",IF(B892="","Missing material",IF(COUNTIF(ProductList,A892)=0,"Product not in Products list",IF(COUNTIF(MaterialList,B892)=0,"Material not in Materials list","OK")))))</f>
        <v/>
      </c>
      <c r="H892" s="18" t="str">
        <f aca="false">IF(F892="Active",A892&amp;"|"&amp;COUNTIFS(A$2:A892,A892,F$2:F892,"Active"),"")</f>
        <v/>
      </c>
      <c r="I892" s="18" t="str">
        <f aca="false">IF(B892="","",IF(SUMPRODUCT(MAX((A$1:A891=A892)*(B$1:B891=B892)*ROW(A$1:A891)))=0,C892&amp;"",IF(C892="",INDEX(I$1:I891,SUMPRODUCT(MAX((A$1:A891=A892)*(B$1:B891=B892)*ROW(A$1:A891)))),IF(INDEX(I$1:I891,SUMPRODUCT(MAX((A$1:A891=A892)*(B$1:B891=B892)*ROW(A$1:A891))))="",C892&amp;"",INDEX(I$1:I891,SUMPRODUCT(MAX((A$1:A891=A892)*(B$1:B891=B892)*ROW(A$1:A891))))&amp;"; "&amp;C892))))</f>
        <v/>
      </c>
      <c r="J892" s="18" t="str">
        <f aca="false">IF(A892="","",A892&amp;"|"&amp;COUNTIF(A$2:A892,A892))</f>
        <v/>
      </c>
      <c r="K892" s="18" t="n">
        <f aca="false">IF(OR(A892="",B892=""),0,IF(COUNTIFS(A$2:A892,A892,B$2:B892,B892)=1,1,0))</f>
        <v>0</v>
      </c>
    </row>
    <row r="893" customFormat="false" ht="15" hidden="false" customHeight="false" outlineLevel="0" collapsed="false">
      <c r="A893" s="15"/>
      <c r="B893" s="15"/>
      <c r="C893" s="15"/>
      <c r="D893" s="15"/>
      <c r="F893" s="18" t="str">
        <f aca="false">IF(B893="","",IFERROR(INDEX(Materials!$B$2:$B$201,MATCH(B893,Materials!$A$2:$A$201,0)),""))</f>
        <v/>
      </c>
      <c r="G893" s="18" t="str">
        <f aca="true">IF(AND(A893="",B893=""),"",IF(A893="","Missing product",IF(B893="","Missing material",IF(COUNTIF(ProductList,A893)=0,"Product not in Products list",IF(COUNTIF(MaterialList,B893)=0,"Material not in Materials list","OK")))))</f>
        <v/>
      </c>
      <c r="H893" s="18" t="str">
        <f aca="false">IF(F893="Active",A893&amp;"|"&amp;COUNTIFS(A$2:A893,A893,F$2:F893,"Active"),"")</f>
        <v/>
      </c>
      <c r="I893" s="18" t="str">
        <f aca="false">IF(B893="","",IF(SUMPRODUCT(MAX((A$1:A892=A893)*(B$1:B892=B893)*ROW(A$1:A892)))=0,C893&amp;"",IF(C893="",INDEX(I$1:I892,SUMPRODUCT(MAX((A$1:A892=A893)*(B$1:B892=B893)*ROW(A$1:A892)))),IF(INDEX(I$1:I892,SUMPRODUCT(MAX((A$1:A892=A893)*(B$1:B892=B893)*ROW(A$1:A892))))="",C893&amp;"",INDEX(I$1:I892,SUMPRODUCT(MAX((A$1:A892=A893)*(B$1:B892=B893)*ROW(A$1:A892))))&amp;"; "&amp;C893))))</f>
        <v/>
      </c>
      <c r="J893" s="18" t="str">
        <f aca="false">IF(A893="","",A893&amp;"|"&amp;COUNTIF(A$2:A893,A893))</f>
        <v/>
      </c>
      <c r="K893" s="18" t="n">
        <f aca="false">IF(OR(A893="",B893=""),0,IF(COUNTIFS(A$2:A893,A893,B$2:B893,B893)=1,1,0))</f>
        <v>0</v>
      </c>
    </row>
    <row r="894" customFormat="false" ht="15" hidden="false" customHeight="false" outlineLevel="0" collapsed="false">
      <c r="A894" s="15"/>
      <c r="B894" s="15"/>
      <c r="C894" s="15"/>
      <c r="D894" s="15"/>
      <c r="F894" s="18" t="str">
        <f aca="false">IF(B894="","",IFERROR(INDEX(Materials!$B$2:$B$201,MATCH(B894,Materials!$A$2:$A$201,0)),""))</f>
        <v/>
      </c>
      <c r="G894" s="18" t="str">
        <f aca="true">IF(AND(A894="",B894=""),"",IF(A894="","Missing product",IF(B894="","Missing material",IF(COUNTIF(ProductList,A894)=0,"Product not in Products list",IF(COUNTIF(MaterialList,B894)=0,"Material not in Materials list","OK")))))</f>
        <v/>
      </c>
      <c r="H894" s="18" t="str">
        <f aca="false">IF(F894="Active",A894&amp;"|"&amp;COUNTIFS(A$2:A894,A894,F$2:F894,"Active"),"")</f>
        <v/>
      </c>
      <c r="I894" s="18" t="str">
        <f aca="false">IF(B894="","",IF(SUMPRODUCT(MAX((A$1:A893=A894)*(B$1:B893=B894)*ROW(A$1:A893)))=0,C894&amp;"",IF(C894="",INDEX(I$1:I893,SUMPRODUCT(MAX((A$1:A893=A894)*(B$1:B893=B894)*ROW(A$1:A893)))),IF(INDEX(I$1:I893,SUMPRODUCT(MAX((A$1:A893=A894)*(B$1:B893=B894)*ROW(A$1:A893))))="",C894&amp;"",INDEX(I$1:I893,SUMPRODUCT(MAX((A$1:A893=A894)*(B$1:B893=B894)*ROW(A$1:A893))))&amp;"; "&amp;C894))))</f>
        <v/>
      </c>
      <c r="J894" s="18" t="str">
        <f aca="false">IF(A894="","",A894&amp;"|"&amp;COUNTIF(A$2:A894,A894))</f>
        <v/>
      </c>
      <c r="K894" s="18" t="n">
        <f aca="false">IF(OR(A894="",B894=""),0,IF(COUNTIFS(A$2:A894,A894,B$2:B894,B894)=1,1,0))</f>
        <v>0</v>
      </c>
    </row>
    <row r="895" customFormat="false" ht="15" hidden="false" customHeight="false" outlineLevel="0" collapsed="false">
      <c r="A895" s="15"/>
      <c r="B895" s="15"/>
      <c r="C895" s="15"/>
      <c r="D895" s="15"/>
      <c r="F895" s="18" t="str">
        <f aca="false">IF(B895="","",IFERROR(INDEX(Materials!$B$2:$B$201,MATCH(B895,Materials!$A$2:$A$201,0)),""))</f>
        <v/>
      </c>
      <c r="G895" s="18" t="str">
        <f aca="true">IF(AND(A895="",B895=""),"",IF(A895="","Missing product",IF(B895="","Missing material",IF(COUNTIF(ProductList,A895)=0,"Product not in Products list",IF(COUNTIF(MaterialList,B895)=0,"Material not in Materials list","OK")))))</f>
        <v/>
      </c>
      <c r="H895" s="18" t="str">
        <f aca="false">IF(F895="Active",A895&amp;"|"&amp;COUNTIFS(A$2:A895,A895,F$2:F895,"Active"),"")</f>
        <v/>
      </c>
      <c r="I895" s="18" t="str">
        <f aca="false">IF(B895="","",IF(SUMPRODUCT(MAX((A$1:A894=A895)*(B$1:B894=B895)*ROW(A$1:A894)))=0,C895&amp;"",IF(C895="",INDEX(I$1:I894,SUMPRODUCT(MAX((A$1:A894=A895)*(B$1:B894=B895)*ROW(A$1:A894)))),IF(INDEX(I$1:I894,SUMPRODUCT(MAX((A$1:A894=A895)*(B$1:B894=B895)*ROW(A$1:A894))))="",C895&amp;"",INDEX(I$1:I894,SUMPRODUCT(MAX((A$1:A894=A895)*(B$1:B894=B895)*ROW(A$1:A894))))&amp;"; "&amp;C895))))</f>
        <v/>
      </c>
      <c r="J895" s="18" t="str">
        <f aca="false">IF(A895="","",A895&amp;"|"&amp;COUNTIF(A$2:A895,A895))</f>
        <v/>
      </c>
      <c r="K895" s="18" t="n">
        <f aca="false">IF(OR(A895="",B895=""),0,IF(COUNTIFS(A$2:A895,A895,B$2:B895,B895)=1,1,0))</f>
        <v>0</v>
      </c>
    </row>
    <row r="896" customFormat="false" ht="15" hidden="false" customHeight="false" outlineLevel="0" collapsed="false">
      <c r="A896" s="15"/>
      <c r="B896" s="15"/>
      <c r="C896" s="15"/>
      <c r="D896" s="15"/>
      <c r="F896" s="18" t="str">
        <f aca="false">IF(B896="","",IFERROR(INDEX(Materials!$B$2:$B$201,MATCH(B896,Materials!$A$2:$A$201,0)),""))</f>
        <v/>
      </c>
      <c r="G896" s="18" t="str">
        <f aca="true">IF(AND(A896="",B896=""),"",IF(A896="","Missing product",IF(B896="","Missing material",IF(COUNTIF(ProductList,A896)=0,"Product not in Products list",IF(COUNTIF(MaterialList,B896)=0,"Material not in Materials list","OK")))))</f>
        <v/>
      </c>
      <c r="H896" s="18" t="str">
        <f aca="false">IF(F896="Active",A896&amp;"|"&amp;COUNTIFS(A$2:A896,A896,F$2:F896,"Active"),"")</f>
        <v/>
      </c>
      <c r="I896" s="18" t="str">
        <f aca="false">IF(B896="","",IF(SUMPRODUCT(MAX((A$1:A895=A896)*(B$1:B895=B896)*ROW(A$1:A895)))=0,C896&amp;"",IF(C896="",INDEX(I$1:I895,SUMPRODUCT(MAX((A$1:A895=A896)*(B$1:B895=B896)*ROW(A$1:A895)))),IF(INDEX(I$1:I895,SUMPRODUCT(MAX((A$1:A895=A896)*(B$1:B895=B896)*ROW(A$1:A895))))="",C896&amp;"",INDEX(I$1:I895,SUMPRODUCT(MAX((A$1:A895=A896)*(B$1:B895=B896)*ROW(A$1:A895))))&amp;"; "&amp;C896))))</f>
        <v/>
      </c>
      <c r="J896" s="18" t="str">
        <f aca="false">IF(A896="","",A896&amp;"|"&amp;COUNTIF(A$2:A896,A896))</f>
        <v/>
      </c>
      <c r="K896" s="18" t="n">
        <f aca="false">IF(OR(A896="",B896=""),0,IF(COUNTIFS(A$2:A896,A896,B$2:B896,B896)=1,1,0))</f>
        <v>0</v>
      </c>
    </row>
    <row r="897" customFormat="false" ht="15" hidden="false" customHeight="false" outlineLevel="0" collapsed="false">
      <c r="A897" s="15"/>
      <c r="B897" s="15"/>
      <c r="C897" s="15"/>
      <c r="D897" s="15"/>
      <c r="F897" s="18" t="str">
        <f aca="false">IF(B897="","",IFERROR(INDEX(Materials!$B$2:$B$201,MATCH(B897,Materials!$A$2:$A$201,0)),""))</f>
        <v/>
      </c>
      <c r="G897" s="18" t="str">
        <f aca="true">IF(AND(A897="",B897=""),"",IF(A897="","Missing product",IF(B897="","Missing material",IF(COUNTIF(ProductList,A897)=0,"Product not in Products list",IF(COUNTIF(MaterialList,B897)=0,"Material not in Materials list","OK")))))</f>
        <v/>
      </c>
      <c r="H897" s="18" t="str">
        <f aca="false">IF(F897="Active",A897&amp;"|"&amp;COUNTIFS(A$2:A897,A897,F$2:F897,"Active"),"")</f>
        <v/>
      </c>
      <c r="I897" s="18" t="str">
        <f aca="false">IF(B897="","",IF(SUMPRODUCT(MAX((A$1:A896=A897)*(B$1:B896=B897)*ROW(A$1:A896)))=0,C897&amp;"",IF(C897="",INDEX(I$1:I896,SUMPRODUCT(MAX((A$1:A896=A897)*(B$1:B896=B897)*ROW(A$1:A896)))),IF(INDEX(I$1:I896,SUMPRODUCT(MAX((A$1:A896=A897)*(B$1:B896=B897)*ROW(A$1:A896))))="",C897&amp;"",INDEX(I$1:I896,SUMPRODUCT(MAX((A$1:A896=A897)*(B$1:B896=B897)*ROW(A$1:A896))))&amp;"; "&amp;C897))))</f>
        <v/>
      </c>
      <c r="J897" s="18" t="str">
        <f aca="false">IF(A897="","",A897&amp;"|"&amp;COUNTIF(A$2:A897,A897))</f>
        <v/>
      </c>
      <c r="K897" s="18" t="n">
        <f aca="false">IF(OR(A897="",B897=""),0,IF(COUNTIFS(A$2:A897,A897,B$2:B897,B897)=1,1,0))</f>
        <v>0</v>
      </c>
    </row>
    <row r="898" customFormat="false" ht="15" hidden="false" customHeight="false" outlineLevel="0" collapsed="false">
      <c r="A898" s="15"/>
      <c r="B898" s="15"/>
      <c r="C898" s="15"/>
      <c r="D898" s="15"/>
      <c r="F898" s="18" t="str">
        <f aca="false">IF(B898="","",IFERROR(INDEX(Materials!$B$2:$B$201,MATCH(B898,Materials!$A$2:$A$201,0)),""))</f>
        <v/>
      </c>
      <c r="G898" s="18" t="str">
        <f aca="true">IF(AND(A898="",B898=""),"",IF(A898="","Missing product",IF(B898="","Missing material",IF(COUNTIF(ProductList,A898)=0,"Product not in Products list",IF(COUNTIF(MaterialList,B898)=0,"Material not in Materials list","OK")))))</f>
        <v/>
      </c>
      <c r="H898" s="18" t="str">
        <f aca="false">IF(F898="Active",A898&amp;"|"&amp;COUNTIFS(A$2:A898,A898,F$2:F898,"Active"),"")</f>
        <v/>
      </c>
      <c r="I898" s="18" t="str">
        <f aca="false">IF(B898="","",IF(SUMPRODUCT(MAX((A$1:A897=A898)*(B$1:B897=B898)*ROW(A$1:A897)))=0,C898&amp;"",IF(C898="",INDEX(I$1:I897,SUMPRODUCT(MAX((A$1:A897=A898)*(B$1:B897=B898)*ROW(A$1:A897)))),IF(INDEX(I$1:I897,SUMPRODUCT(MAX((A$1:A897=A898)*(B$1:B897=B898)*ROW(A$1:A897))))="",C898&amp;"",INDEX(I$1:I897,SUMPRODUCT(MAX((A$1:A897=A898)*(B$1:B897=B898)*ROW(A$1:A897))))&amp;"; "&amp;C898))))</f>
        <v/>
      </c>
      <c r="J898" s="18" t="str">
        <f aca="false">IF(A898="","",A898&amp;"|"&amp;COUNTIF(A$2:A898,A898))</f>
        <v/>
      </c>
      <c r="K898" s="18" t="n">
        <f aca="false">IF(OR(A898="",B898=""),0,IF(COUNTIFS(A$2:A898,A898,B$2:B898,B898)=1,1,0))</f>
        <v>0</v>
      </c>
    </row>
    <row r="899" customFormat="false" ht="15" hidden="false" customHeight="false" outlineLevel="0" collapsed="false">
      <c r="A899" s="15"/>
      <c r="B899" s="15"/>
      <c r="C899" s="15"/>
      <c r="D899" s="15"/>
      <c r="F899" s="18" t="str">
        <f aca="false">IF(B899="","",IFERROR(INDEX(Materials!$B$2:$B$201,MATCH(B899,Materials!$A$2:$A$201,0)),""))</f>
        <v/>
      </c>
      <c r="G899" s="18" t="str">
        <f aca="true">IF(AND(A899="",B899=""),"",IF(A899="","Missing product",IF(B899="","Missing material",IF(COUNTIF(ProductList,A899)=0,"Product not in Products list",IF(COUNTIF(MaterialList,B899)=0,"Material not in Materials list","OK")))))</f>
        <v/>
      </c>
      <c r="H899" s="18" t="str">
        <f aca="false">IF(F899="Active",A899&amp;"|"&amp;COUNTIFS(A$2:A899,A899,F$2:F899,"Active"),"")</f>
        <v/>
      </c>
      <c r="I899" s="18" t="str">
        <f aca="false">IF(B899="","",IF(SUMPRODUCT(MAX((A$1:A898=A899)*(B$1:B898=B899)*ROW(A$1:A898)))=0,C899&amp;"",IF(C899="",INDEX(I$1:I898,SUMPRODUCT(MAX((A$1:A898=A899)*(B$1:B898=B899)*ROW(A$1:A898)))),IF(INDEX(I$1:I898,SUMPRODUCT(MAX((A$1:A898=A899)*(B$1:B898=B899)*ROW(A$1:A898))))="",C899&amp;"",INDEX(I$1:I898,SUMPRODUCT(MAX((A$1:A898=A899)*(B$1:B898=B899)*ROW(A$1:A898))))&amp;"; "&amp;C899))))</f>
        <v/>
      </c>
      <c r="J899" s="18" t="str">
        <f aca="false">IF(A899="","",A899&amp;"|"&amp;COUNTIF(A$2:A899,A899))</f>
        <v/>
      </c>
      <c r="K899" s="18" t="n">
        <f aca="false">IF(OR(A899="",B899=""),0,IF(COUNTIFS(A$2:A899,A899,B$2:B899,B899)=1,1,0))</f>
        <v>0</v>
      </c>
    </row>
    <row r="900" customFormat="false" ht="15" hidden="false" customHeight="false" outlineLevel="0" collapsed="false">
      <c r="A900" s="15"/>
      <c r="B900" s="15"/>
      <c r="C900" s="15"/>
      <c r="D900" s="15"/>
      <c r="F900" s="18" t="str">
        <f aca="false">IF(B900="","",IFERROR(INDEX(Materials!$B$2:$B$201,MATCH(B900,Materials!$A$2:$A$201,0)),""))</f>
        <v/>
      </c>
      <c r="G900" s="18" t="str">
        <f aca="true">IF(AND(A900="",B900=""),"",IF(A900="","Missing product",IF(B900="","Missing material",IF(COUNTIF(ProductList,A900)=0,"Product not in Products list",IF(COUNTIF(MaterialList,B900)=0,"Material not in Materials list","OK")))))</f>
        <v/>
      </c>
      <c r="H900" s="18" t="str">
        <f aca="false">IF(F900="Active",A900&amp;"|"&amp;COUNTIFS(A$2:A900,A900,F$2:F900,"Active"),"")</f>
        <v/>
      </c>
      <c r="I900" s="18" t="str">
        <f aca="false">IF(B900="","",IF(SUMPRODUCT(MAX((A$1:A899=A900)*(B$1:B899=B900)*ROW(A$1:A899)))=0,C900&amp;"",IF(C900="",INDEX(I$1:I899,SUMPRODUCT(MAX((A$1:A899=A900)*(B$1:B899=B900)*ROW(A$1:A899)))),IF(INDEX(I$1:I899,SUMPRODUCT(MAX((A$1:A899=A900)*(B$1:B899=B900)*ROW(A$1:A899))))="",C900&amp;"",INDEX(I$1:I899,SUMPRODUCT(MAX((A$1:A899=A900)*(B$1:B899=B900)*ROW(A$1:A899))))&amp;"; "&amp;C900))))</f>
        <v/>
      </c>
      <c r="J900" s="18" t="str">
        <f aca="false">IF(A900="","",A900&amp;"|"&amp;COUNTIF(A$2:A900,A900))</f>
        <v/>
      </c>
      <c r="K900" s="18" t="n">
        <f aca="false">IF(OR(A900="",B900=""),0,IF(COUNTIFS(A$2:A900,A900,B$2:B900,B900)=1,1,0))</f>
        <v>0</v>
      </c>
    </row>
    <row r="901" customFormat="false" ht="15" hidden="false" customHeight="false" outlineLevel="0" collapsed="false">
      <c r="A901" s="15"/>
      <c r="B901" s="15"/>
      <c r="C901" s="15"/>
      <c r="D901" s="15"/>
      <c r="F901" s="18" t="str">
        <f aca="false">IF(B901="","",IFERROR(INDEX(Materials!$B$2:$B$201,MATCH(B901,Materials!$A$2:$A$201,0)),""))</f>
        <v/>
      </c>
      <c r="G901" s="18" t="str">
        <f aca="true">IF(AND(A901="",B901=""),"",IF(A901="","Missing product",IF(B901="","Missing material",IF(COUNTIF(ProductList,A901)=0,"Product not in Products list",IF(COUNTIF(MaterialList,B901)=0,"Material not in Materials list","OK")))))</f>
        <v/>
      </c>
      <c r="H901" s="18" t="str">
        <f aca="false">IF(F901="Active",A901&amp;"|"&amp;COUNTIFS(A$2:A901,A901,F$2:F901,"Active"),"")</f>
        <v/>
      </c>
      <c r="I901" s="18" t="str">
        <f aca="false">IF(B901="","",IF(SUMPRODUCT(MAX((A$1:A900=A901)*(B$1:B900=B901)*ROW(A$1:A900)))=0,C901&amp;"",IF(C901="",INDEX(I$1:I900,SUMPRODUCT(MAX((A$1:A900=A901)*(B$1:B900=B901)*ROW(A$1:A900)))),IF(INDEX(I$1:I900,SUMPRODUCT(MAX((A$1:A900=A901)*(B$1:B900=B901)*ROW(A$1:A900))))="",C901&amp;"",INDEX(I$1:I900,SUMPRODUCT(MAX((A$1:A900=A901)*(B$1:B900=B901)*ROW(A$1:A900))))&amp;"; "&amp;C901))))</f>
        <v/>
      </c>
      <c r="J901" s="18" t="str">
        <f aca="false">IF(A901="","",A901&amp;"|"&amp;COUNTIF(A$2:A901,A901))</f>
        <v/>
      </c>
      <c r="K901" s="18" t="n">
        <f aca="false">IF(OR(A901="",B901=""),0,IF(COUNTIFS(A$2:A901,A901,B$2:B901,B901)=1,1,0))</f>
        <v>0</v>
      </c>
    </row>
    <row r="902" customFormat="false" ht="15" hidden="false" customHeight="false" outlineLevel="0" collapsed="false">
      <c r="A902" s="15"/>
      <c r="B902" s="15"/>
      <c r="C902" s="15"/>
      <c r="D902" s="15"/>
      <c r="F902" s="18" t="str">
        <f aca="false">IF(B902="","",IFERROR(INDEX(Materials!$B$2:$B$201,MATCH(B902,Materials!$A$2:$A$201,0)),""))</f>
        <v/>
      </c>
      <c r="G902" s="18" t="str">
        <f aca="true">IF(AND(A902="",B902=""),"",IF(A902="","Missing product",IF(B902="","Missing material",IF(COUNTIF(ProductList,A902)=0,"Product not in Products list",IF(COUNTIF(MaterialList,B902)=0,"Material not in Materials list","OK")))))</f>
        <v/>
      </c>
      <c r="H902" s="18" t="str">
        <f aca="false">IF(F902="Active",A902&amp;"|"&amp;COUNTIFS(A$2:A902,A902,F$2:F902,"Active"),"")</f>
        <v/>
      </c>
      <c r="I902" s="18" t="str">
        <f aca="false">IF(B902="","",IF(SUMPRODUCT(MAX((A$1:A901=A902)*(B$1:B901=B902)*ROW(A$1:A901)))=0,C902&amp;"",IF(C902="",INDEX(I$1:I901,SUMPRODUCT(MAX((A$1:A901=A902)*(B$1:B901=B902)*ROW(A$1:A901)))),IF(INDEX(I$1:I901,SUMPRODUCT(MAX((A$1:A901=A902)*(B$1:B901=B902)*ROW(A$1:A901))))="",C902&amp;"",INDEX(I$1:I901,SUMPRODUCT(MAX((A$1:A901=A902)*(B$1:B901=B902)*ROW(A$1:A901))))&amp;"; "&amp;C902))))</f>
        <v/>
      </c>
      <c r="J902" s="18" t="str">
        <f aca="false">IF(A902="","",A902&amp;"|"&amp;COUNTIF(A$2:A902,A902))</f>
        <v/>
      </c>
      <c r="K902" s="18" t="n">
        <f aca="false">IF(OR(A902="",B902=""),0,IF(COUNTIFS(A$2:A902,A902,B$2:B902,B902)=1,1,0))</f>
        <v>0</v>
      </c>
    </row>
    <row r="903" customFormat="false" ht="15" hidden="false" customHeight="false" outlineLevel="0" collapsed="false">
      <c r="A903" s="15"/>
      <c r="B903" s="15"/>
      <c r="C903" s="15"/>
      <c r="D903" s="15"/>
      <c r="F903" s="18" t="str">
        <f aca="false">IF(B903="","",IFERROR(INDEX(Materials!$B$2:$B$201,MATCH(B903,Materials!$A$2:$A$201,0)),""))</f>
        <v/>
      </c>
      <c r="G903" s="18" t="str">
        <f aca="true">IF(AND(A903="",B903=""),"",IF(A903="","Missing product",IF(B903="","Missing material",IF(COUNTIF(ProductList,A903)=0,"Product not in Products list",IF(COUNTIF(MaterialList,B903)=0,"Material not in Materials list","OK")))))</f>
        <v/>
      </c>
      <c r="H903" s="18" t="str">
        <f aca="false">IF(F903="Active",A903&amp;"|"&amp;COUNTIFS(A$2:A903,A903,F$2:F903,"Active"),"")</f>
        <v/>
      </c>
      <c r="I903" s="18" t="str">
        <f aca="false">IF(B903="","",IF(SUMPRODUCT(MAX((A$1:A902=A903)*(B$1:B902=B903)*ROW(A$1:A902)))=0,C903&amp;"",IF(C903="",INDEX(I$1:I902,SUMPRODUCT(MAX((A$1:A902=A903)*(B$1:B902=B903)*ROW(A$1:A902)))),IF(INDEX(I$1:I902,SUMPRODUCT(MAX((A$1:A902=A903)*(B$1:B902=B903)*ROW(A$1:A902))))="",C903&amp;"",INDEX(I$1:I902,SUMPRODUCT(MAX((A$1:A902=A903)*(B$1:B902=B903)*ROW(A$1:A902))))&amp;"; "&amp;C903))))</f>
        <v/>
      </c>
      <c r="J903" s="18" t="str">
        <f aca="false">IF(A903="","",A903&amp;"|"&amp;COUNTIF(A$2:A903,A903))</f>
        <v/>
      </c>
      <c r="K903" s="18" t="n">
        <f aca="false">IF(OR(A903="",B903=""),0,IF(COUNTIFS(A$2:A903,A903,B$2:B903,B903)=1,1,0))</f>
        <v>0</v>
      </c>
    </row>
    <row r="904" customFormat="false" ht="15" hidden="false" customHeight="false" outlineLevel="0" collapsed="false">
      <c r="A904" s="15"/>
      <c r="B904" s="15"/>
      <c r="C904" s="15"/>
      <c r="D904" s="15"/>
      <c r="F904" s="18" t="str">
        <f aca="false">IF(B904="","",IFERROR(INDEX(Materials!$B$2:$B$201,MATCH(B904,Materials!$A$2:$A$201,0)),""))</f>
        <v/>
      </c>
      <c r="G904" s="18" t="str">
        <f aca="true">IF(AND(A904="",B904=""),"",IF(A904="","Missing product",IF(B904="","Missing material",IF(COUNTIF(ProductList,A904)=0,"Product not in Products list",IF(COUNTIF(MaterialList,B904)=0,"Material not in Materials list","OK")))))</f>
        <v/>
      </c>
      <c r="H904" s="18" t="str">
        <f aca="false">IF(F904="Active",A904&amp;"|"&amp;COUNTIFS(A$2:A904,A904,F$2:F904,"Active"),"")</f>
        <v/>
      </c>
      <c r="I904" s="18" t="str">
        <f aca="false">IF(B904="","",IF(SUMPRODUCT(MAX((A$1:A903=A904)*(B$1:B903=B904)*ROW(A$1:A903)))=0,C904&amp;"",IF(C904="",INDEX(I$1:I903,SUMPRODUCT(MAX((A$1:A903=A904)*(B$1:B903=B904)*ROW(A$1:A903)))),IF(INDEX(I$1:I903,SUMPRODUCT(MAX((A$1:A903=A904)*(B$1:B903=B904)*ROW(A$1:A903))))="",C904&amp;"",INDEX(I$1:I903,SUMPRODUCT(MAX((A$1:A903=A904)*(B$1:B903=B904)*ROW(A$1:A903))))&amp;"; "&amp;C904))))</f>
        <v/>
      </c>
      <c r="J904" s="18" t="str">
        <f aca="false">IF(A904="","",A904&amp;"|"&amp;COUNTIF(A$2:A904,A904))</f>
        <v/>
      </c>
      <c r="K904" s="18" t="n">
        <f aca="false">IF(OR(A904="",B904=""),0,IF(COUNTIFS(A$2:A904,A904,B$2:B904,B904)=1,1,0))</f>
        <v>0</v>
      </c>
    </row>
    <row r="905" customFormat="false" ht="15" hidden="false" customHeight="false" outlineLevel="0" collapsed="false">
      <c r="A905" s="15"/>
      <c r="B905" s="15"/>
      <c r="C905" s="15"/>
      <c r="D905" s="15"/>
      <c r="F905" s="18" t="str">
        <f aca="false">IF(B905="","",IFERROR(INDEX(Materials!$B$2:$B$201,MATCH(B905,Materials!$A$2:$A$201,0)),""))</f>
        <v/>
      </c>
      <c r="G905" s="18" t="str">
        <f aca="true">IF(AND(A905="",B905=""),"",IF(A905="","Missing product",IF(B905="","Missing material",IF(COUNTIF(ProductList,A905)=0,"Product not in Products list",IF(COUNTIF(MaterialList,B905)=0,"Material not in Materials list","OK")))))</f>
        <v/>
      </c>
      <c r="H905" s="18" t="str">
        <f aca="false">IF(F905="Active",A905&amp;"|"&amp;COUNTIFS(A$2:A905,A905,F$2:F905,"Active"),"")</f>
        <v/>
      </c>
      <c r="I905" s="18" t="str">
        <f aca="false">IF(B905="","",IF(SUMPRODUCT(MAX((A$1:A904=A905)*(B$1:B904=B905)*ROW(A$1:A904)))=0,C905&amp;"",IF(C905="",INDEX(I$1:I904,SUMPRODUCT(MAX((A$1:A904=A905)*(B$1:B904=B905)*ROW(A$1:A904)))),IF(INDEX(I$1:I904,SUMPRODUCT(MAX((A$1:A904=A905)*(B$1:B904=B905)*ROW(A$1:A904))))="",C905&amp;"",INDEX(I$1:I904,SUMPRODUCT(MAX((A$1:A904=A905)*(B$1:B904=B905)*ROW(A$1:A904))))&amp;"; "&amp;C905))))</f>
        <v/>
      </c>
      <c r="J905" s="18" t="str">
        <f aca="false">IF(A905="","",A905&amp;"|"&amp;COUNTIF(A$2:A905,A905))</f>
        <v/>
      </c>
      <c r="K905" s="18" t="n">
        <f aca="false">IF(OR(A905="",B905=""),0,IF(COUNTIFS(A$2:A905,A905,B$2:B905,B905)=1,1,0))</f>
        <v>0</v>
      </c>
    </row>
    <row r="906" customFormat="false" ht="15" hidden="false" customHeight="false" outlineLevel="0" collapsed="false">
      <c r="A906" s="15"/>
      <c r="B906" s="15"/>
      <c r="C906" s="15"/>
      <c r="D906" s="15"/>
      <c r="F906" s="18" t="str">
        <f aca="false">IF(B906="","",IFERROR(INDEX(Materials!$B$2:$B$201,MATCH(B906,Materials!$A$2:$A$201,0)),""))</f>
        <v/>
      </c>
      <c r="G906" s="18" t="str">
        <f aca="true">IF(AND(A906="",B906=""),"",IF(A906="","Missing product",IF(B906="","Missing material",IF(COUNTIF(ProductList,A906)=0,"Product not in Products list",IF(COUNTIF(MaterialList,B906)=0,"Material not in Materials list","OK")))))</f>
        <v/>
      </c>
      <c r="H906" s="18" t="str">
        <f aca="false">IF(F906="Active",A906&amp;"|"&amp;COUNTIFS(A$2:A906,A906,F$2:F906,"Active"),"")</f>
        <v/>
      </c>
      <c r="I906" s="18" t="str">
        <f aca="false">IF(B906="","",IF(SUMPRODUCT(MAX((A$1:A905=A906)*(B$1:B905=B906)*ROW(A$1:A905)))=0,C906&amp;"",IF(C906="",INDEX(I$1:I905,SUMPRODUCT(MAX((A$1:A905=A906)*(B$1:B905=B906)*ROW(A$1:A905)))),IF(INDEX(I$1:I905,SUMPRODUCT(MAX((A$1:A905=A906)*(B$1:B905=B906)*ROW(A$1:A905))))="",C906&amp;"",INDEX(I$1:I905,SUMPRODUCT(MAX((A$1:A905=A906)*(B$1:B905=B906)*ROW(A$1:A905))))&amp;"; "&amp;C906))))</f>
        <v/>
      </c>
      <c r="J906" s="18" t="str">
        <f aca="false">IF(A906="","",A906&amp;"|"&amp;COUNTIF(A$2:A906,A906))</f>
        <v/>
      </c>
      <c r="K906" s="18" t="n">
        <f aca="false">IF(OR(A906="",B906=""),0,IF(COUNTIFS(A$2:A906,A906,B$2:B906,B906)=1,1,0))</f>
        <v>0</v>
      </c>
    </row>
    <row r="907" customFormat="false" ht="15" hidden="false" customHeight="false" outlineLevel="0" collapsed="false">
      <c r="A907" s="15"/>
      <c r="B907" s="15"/>
      <c r="C907" s="15"/>
      <c r="D907" s="15"/>
      <c r="F907" s="18" t="str">
        <f aca="false">IF(B907="","",IFERROR(INDEX(Materials!$B$2:$B$201,MATCH(B907,Materials!$A$2:$A$201,0)),""))</f>
        <v/>
      </c>
      <c r="G907" s="18" t="str">
        <f aca="true">IF(AND(A907="",B907=""),"",IF(A907="","Missing product",IF(B907="","Missing material",IF(COUNTIF(ProductList,A907)=0,"Product not in Products list",IF(COUNTIF(MaterialList,B907)=0,"Material not in Materials list","OK")))))</f>
        <v/>
      </c>
      <c r="H907" s="18" t="str">
        <f aca="false">IF(F907="Active",A907&amp;"|"&amp;COUNTIFS(A$2:A907,A907,F$2:F907,"Active"),"")</f>
        <v/>
      </c>
      <c r="I907" s="18" t="str">
        <f aca="false">IF(B907="","",IF(SUMPRODUCT(MAX((A$1:A906=A907)*(B$1:B906=B907)*ROW(A$1:A906)))=0,C907&amp;"",IF(C907="",INDEX(I$1:I906,SUMPRODUCT(MAX((A$1:A906=A907)*(B$1:B906=B907)*ROW(A$1:A906)))),IF(INDEX(I$1:I906,SUMPRODUCT(MAX((A$1:A906=A907)*(B$1:B906=B907)*ROW(A$1:A906))))="",C907&amp;"",INDEX(I$1:I906,SUMPRODUCT(MAX((A$1:A906=A907)*(B$1:B906=B907)*ROW(A$1:A906))))&amp;"; "&amp;C907))))</f>
        <v/>
      </c>
      <c r="J907" s="18" t="str">
        <f aca="false">IF(A907="","",A907&amp;"|"&amp;COUNTIF(A$2:A907,A907))</f>
        <v/>
      </c>
      <c r="K907" s="18" t="n">
        <f aca="false">IF(OR(A907="",B907=""),0,IF(COUNTIFS(A$2:A907,A907,B$2:B907,B907)=1,1,0))</f>
        <v>0</v>
      </c>
    </row>
    <row r="908" customFormat="false" ht="15" hidden="false" customHeight="false" outlineLevel="0" collapsed="false">
      <c r="A908" s="15"/>
      <c r="B908" s="15"/>
      <c r="C908" s="15"/>
      <c r="D908" s="15"/>
      <c r="F908" s="18" t="str">
        <f aca="false">IF(B908="","",IFERROR(INDEX(Materials!$B$2:$B$201,MATCH(B908,Materials!$A$2:$A$201,0)),""))</f>
        <v/>
      </c>
      <c r="G908" s="18" t="str">
        <f aca="true">IF(AND(A908="",B908=""),"",IF(A908="","Missing product",IF(B908="","Missing material",IF(COUNTIF(ProductList,A908)=0,"Product not in Products list",IF(COUNTIF(MaterialList,B908)=0,"Material not in Materials list","OK")))))</f>
        <v/>
      </c>
      <c r="H908" s="18" t="str">
        <f aca="false">IF(F908="Active",A908&amp;"|"&amp;COUNTIFS(A$2:A908,A908,F$2:F908,"Active"),"")</f>
        <v/>
      </c>
      <c r="I908" s="18" t="str">
        <f aca="false">IF(B908="","",IF(SUMPRODUCT(MAX((A$1:A907=A908)*(B$1:B907=B908)*ROW(A$1:A907)))=0,C908&amp;"",IF(C908="",INDEX(I$1:I907,SUMPRODUCT(MAX((A$1:A907=A908)*(B$1:B907=B908)*ROW(A$1:A907)))),IF(INDEX(I$1:I907,SUMPRODUCT(MAX((A$1:A907=A908)*(B$1:B907=B908)*ROW(A$1:A907))))="",C908&amp;"",INDEX(I$1:I907,SUMPRODUCT(MAX((A$1:A907=A908)*(B$1:B907=B908)*ROW(A$1:A907))))&amp;"; "&amp;C908))))</f>
        <v/>
      </c>
      <c r="J908" s="18" t="str">
        <f aca="false">IF(A908="","",A908&amp;"|"&amp;COUNTIF(A$2:A908,A908))</f>
        <v/>
      </c>
      <c r="K908" s="18" t="n">
        <f aca="false">IF(OR(A908="",B908=""),0,IF(COUNTIFS(A$2:A908,A908,B$2:B908,B908)=1,1,0))</f>
        <v>0</v>
      </c>
    </row>
    <row r="909" customFormat="false" ht="15" hidden="false" customHeight="false" outlineLevel="0" collapsed="false">
      <c r="A909" s="15"/>
      <c r="B909" s="15"/>
      <c r="C909" s="15"/>
      <c r="D909" s="15"/>
      <c r="F909" s="18" t="str">
        <f aca="false">IF(B909="","",IFERROR(INDEX(Materials!$B$2:$B$201,MATCH(B909,Materials!$A$2:$A$201,0)),""))</f>
        <v/>
      </c>
      <c r="G909" s="18" t="str">
        <f aca="true">IF(AND(A909="",B909=""),"",IF(A909="","Missing product",IF(B909="","Missing material",IF(COUNTIF(ProductList,A909)=0,"Product not in Products list",IF(COUNTIF(MaterialList,B909)=0,"Material not in Materials list","OK")))))</f>
        <v/>
      </c>
      <c r="H909" s="18" t="str">
        <f aca="false">IF(F909="Active",A909&amp;"|"&amp;COUNTIFS(A$2:A909,A909,F$2:F909,"Active"),"")</f>
        <v/>
      </c>
      <c r="I909" s="18" t="str">
        <f aca="false">IF(B909="","",IF(SUMPRODUCT(MAX((A$1:A908=A909)*(B$1:B908=B909)*ROW(A$1:A908)))=0,C909&amp;"",IF(C909="",INDEX(I$1:I908,SUMPRODUCT(MAX((A$1:A908=A909)*(B$1:B908=B909)*ROW(A$1:A908)))),IF(INDEX(I$1:I908,SUMPRODUCT(MAX((A$1:A908=A909)*(B$1:B908=B909)*ROW(A$1:A908))))="",C909&amp;"",INDEX(I$1:I908,SUMPRODUCT(MAX((A$1:A908=A909)*(B$1:B908=B909)*ROW(A$1:A908))))&amp;"; "&amp;C909))))</f>
        <v/>
      </c>
      <c r="J909" s="18" t="str">
        <f aca="false">IF(A909="","",A909&amp;"|"&amp;COUNTIF(A$2:A909,A909))</f>
        <v/>
      </c>
      <c r="K909" s="18" t="n">
        <f aca="false">IF(OR(A909="",B909=""),0,IF(COUNTIFS(A$2:A909,A909,B$2:B909,B909)=1,1,0))</f>
        <v>0</v>
      </c>
    </row>
    <row r="910" customFormat="false" ht="15" hidden="false" customHeight="false" outlineLevel="0" collapsed="false">
      <c r="A910" s="15"/>
      <c r="B910" s="15"/>
      <c r="C910" s="15"/>
      <c r="D910" s="15"/>
      <c r="F910" s="18" t="str">
        <f aca="false">IF(B910="","",IFERROR(INDEX(Materials!$B$2:$B$201,MATCH(B910,Materials!$A$2:$A$201,0)),""))</f>
        <v/>
      </c>
      <c r="G910" s="18" t="str">
        <f aca="true">IF(AND(A910="",B910=""),"",IF(A910="","Missing product",IF(B910="","Missing material",IF(COUNTIF(ProductList,A910)=0,"Product not in Products list",IF(COUNTIF(MaterialList,B910)=0,"Material not in Materials list","OK")))))</f>
        <v/>
      </c>
      <c r="H910" s="18" t="str">
        <f aca="false">IF(F910="Active",A910&amp;"|"&amp;COUNTIFS(A$2:A910,A910,F$2:F910,"Active"),"")</f>
        <v/>
      </c>
      <c r="I910" s="18" t="str">
        <f aca="false">IF(B910="","",IF(SUMPRODUCT(MAX((A$1:A909=A910)*(B$1:B909=B910)*ROW(A$1:A909)))=0,C910&amp;"",IF(C910="",INDEX(I$1:I909,SUMPRODUCT(MAX((A$1:A909=A910)*(B$1:B909=B910)*ROW(A$1:A909)))),IF(INDEX(I$1:I909,SUMPRODUCT(MAX((A$1:A909=A910)*(B$1:B909=B910)*ROW(A$1:A909))))="",C910&amp;"",INDEX(I$1:I909,SUMPRODUCT(MAX((A$1:A909=A910)*(B$1:B909=B910)*ROW(A$1:A909))))&amp;"; "&amp;C910))))</f>
        <v/>
      </c>
      <c r="J910" s="18" t="str">
        <f aca="false">IF(A910="","",A910&amp;"|"&amp;COUNTIF(A$2:A910,A910))</f>
        <v/>
      </c>
      <c r="K910" s="18" t="n">
        <f aca="false">IF(OR(A910="",B910=""),0,IF(COUNTIFS(A$2:A910,A910,B$2:B910,B910)=1,1,0))</f>
        <v>0</v>
      </c>
    </row>
    <row r="911" customFormat="false" ht="15" hidden="false" customHeight="false" outlineLevel="0" collapsed="false">
      <c r="A911" s="15"/>
      <c r="B911" s="15"/>
      <c r="C911" s="15"/>
      <c r="D911" s="15"/>
      <c r="F911" s="18" t="str">
        <f aca="false">IF(B911="","",IFERROR(INDEX(Materials!$B$2:$B$201,MATCH(B911,Materials!$A$2:$A$201,0)),""))</f>
        <v/>
      </c>
      <c r="G911" s="18" t="str">
        <f aca="true">IF(AND(A911="",B911=""),"",IF(A911="","Missing product",IF(B911="","Missing material",IF(COUNTIF(ProductList,A911)=0,"Product not in Products list",IF(COUNTIF(MaterialList,B911)=0,"Material not in Materials list","OK")))))</f>
        <v/>
      </c>
      <c r="H911" s="18" t="str">
        <f aca="false">IF(F911="Active",A911&amp;"|"&amp;COUNTIFS(A$2:A911,A911,F$2:F911,"Active"),"")</f>
        <v/>
      </c>
      <c r="I911" s="18" t="str">
        <f aca="false">IF(B911="","",IF(SUMPRODUCT(MAX((A$1:A910=A911)*(B$1:B910=B911)*ROW(A$1:A910)))=0,C911&amp;"",IF(C911="",INDEX(I$1:I910,SUMPRODUCT(MAX((A$1:A910=A911)*(B$1:B910=B911)*ROW(A$1:A910)))),IF(INDEX(I$1:I910,SUMPRODUCT(MAX((A$1:A910=A911)*(B$1:B910=B911)*ROW(A$1:A910))))="",C911&amp;"",INDEX(I$1:I910,SUMPRODUCT(MAX((A$1:A910=A911)*(B$1:B910=B911)*ROW(A$1:A910))))&amp;"; "&amp;C911))))</f>
        <v/>
      </c>
      <c r="J911" s="18" t="str">
        <f aca="false">IF(A911="","",A911&amp;"|"&amp;COUNTIF(A$2:A911,A911))</f>
        <v/>
      </c>
      <c r="K911" s="18" t="n">
        <f aca="false">IF(OR(A911="",B911=""),0,IF(COUNTIFS(A$2:A911,A911,B$2:B911,B911)=1,1,0))</f>
        <v>0</v>
      </c>
    </row>
    <row r="912" customFormat="false" ht="15" hidden="false" customHeight="false" outlineLevel="0" collapsed="false">
      <c r="A912" s="15"/>
      <c r="B912" s="15"/>
      <c r="C912" s="15"/>
      <c r="D912" s="15"/>
      <c r="F912" s="18" t="str">
        <f aca="false">IF(B912="","",IFERROR(INDEX(Materials!$B$2:$B$201,MATCH(B912,Materials!$A$2:$A$201,0)),""))</f>
        <v/>
      </c>
      <c r="G912" s="18" t="str">
        <f aca="true">IF(AND(A912="",B912=""),"",IF(A912="","Missing product",IF(B912="","Missing material",IF(COUNTIF(ProductList,A912)=0,"Product not in Products list",IF(COUNTIF(MaterialList,B912)=0,"Material not in Materials list","OK")))))</f>
        <v/>
      </c>
      <c r="H912" s="18" t="str">
        <f aca="false">IF(F912="Active",A912&amp;"|"&amp;COUNTIFS(A$2:A912,A912,F$2:F912,"Active"),"")</f>
        <v/>
      </c>
      <c r="I912" s="18" t="str">
        <f aca="false">IF(B912="","",IF(SUMPRODUCT(MAX((A$1:A911=A912)*(B$1:B911=B912)*ROW(A$1:A911)))=0,C912&amp;"",IF(C912="",INDEX(I$1:I911,SUMPRODUCT(MAX((A$1:A911=A912)*(B$1:B911=B912)*ROW(A$1:A911)))),IF(INDEX(I$1:I911,SUMPRODUCT(MAX((A$1:A911=A912)*(B$1:B911=B912)*ROW(A$1:A911))))="",C912&amp;"",INDEX(I$1:I911,SUMPRODUCT(MAX((A$1:A911=A912)*(B$1:B911=B912)*ROW(A$1:A911))))&amp;"; "&amp;C912))))</f>
        <v/>
      </c>
      <c r="J912" s="18" t="str">
        <f aca="false">IF(A912="","",A912&amp;"|"&amp;COUNTIF(A$2:A912,A912))</f>
        <v/>
      </c>
      <c r="K912" s="18" t="n">
        <f aca="false">IF(OR(A912="",B912=""),0,IF(COUNTIFS(A$2:A912,A912,B$2:B912,B912)=1,1,0))</f>
        <v>0</v>
      </c>
    </row>
    <row r="913" customFormat="false" ht="15" hidden="false" customHeight="false" outlineLevel="0" collapsed="false">
      <c r="A913" s="15"/>
      <c r="B913" s="15"/>
      <c r="C913" s="15"/>
      <c r="D913" s="15"/>
      <c r="F913" s="18" t="str">
        <f aca="false">IF(B913="","",IFERROR(INDEX(Materials!$B$2:$B$201,MATCH(B913,Materials!$A$2:$A$201,0)),""))</f>
        <v/>
      </c>
      <c r="G913" s="18" t="str">
        <f aca="true">IF(AND(A913="",B913=""),"",IF(A913="","Missing product",IF(B913="","Missing material",IF(COUNTIF(ProductList,A913)=0,"Product not in Products list",IF(COUNTIF(MaterialList,B913)=0,"Material not in Materials list","OK")))))</f>
        <v/>
      </c>
      <c r="H913" s="18" t="str">
        <f aca="false">IF(F913="Active",A913&amp;"|"&amp;COUNTIFS(A$2:A913,A913,F$2:F913,"Active"),"")</f>
        <v/>
      </c>
      <c r="I913" s="18" t="str">
        <f aca="false">IF(B913="","",IF(SUMPRODUCT(MAX((A$1:A912=A913)*(B$1:B912=B913)*ROW(A$1:A912)))=0,C913&amp;"",IF(C913="",INDEX(I$1:I912,SUMPRODUCT(MAX((A$1:A912=A913)*(B$1:B912=B913)*ROW(A$1:A912)))),IF(INDEX(I$1:I912,SUMPRODUCT(MAX((A$1:A912=A913)*(B$1:B912=B913)*ROW(A$1:A912))))="",C913&amp;"",INDEX(I$1:I912,SUMPRODUCT(MAX((A$1:A912=A913)*(B$1:B912=B913)*ROW(A$1:A912))))&amp;"; "&amp;C913))))</f>
        <v/>
      </c>
      <c r="J913" s="18" t="str">
        <f aca="false">IF(A913="","",A913&amp;"|"&amp;COUNTIF(A$2:A913,A913))</f>
        <v/>
      </c>
      <c r="K913" s="18" t="n">
        <f aca="false">IF(OR(A913="",B913=""),0,IF(COUNTIFS(A$2:A913,A913,B$2:B913,B913)=1,1,0))</f>
        <v>0</v>
      </c>
    </row>
    <row r="914" customFormat="false" ht="15" hidden="false" customHeight="false" outlineLevel="0" collapsed="false">
      <c r="A914" s="15"/>
      <c r="B914" s="15"/>
      <c r="C914" s="15"/>
      <c r="D914" s="15"/>
      <c r="F914" s="18" t="str">
        <f aca="false">IF(B914="","",IFERROR(INDEX(Materials!$B$2:$B$201,MATCH(B914,Materials!$A$2:$A$201,0)),""))</f>
        <v/>
      </c>
      <c r="G914" s="18" t="str">
        <f aca="true">IF(AND(A914="",B914=""),"",IF(A914="","Missing product",IF(B914="","Missing material",IF(COUNTIF(ProductList,A914)=0,"Product not in Products list",IF(COUNTIF(MaterialList,B914)=0,"Material not in Materials list","OK")))))</f>
        <v/>
      </c>
      <c r="H914" s="18" t="str">
        <f aca="false">IF(F914="Active",A914&amp;"|"&amp;COUNTIFS(A$2:A914,A914,F$2:F914,"Active"),"")</f>
        <v/>
      </c>
      <c r="I914" s="18" t="str">
        <f aca="false">IF(B914="","",IF(SUMPRODUCT(MAX((A$1:A913=A914)*(B$1:B913=B914)*ROW(A$1:A913)))=0,C914&amp;"",IF(C914="",INDEX(I$1:I913,SUMPRODUCT(MAX((A$1:A913=A914)*(B$1:B913=B914)*ROW(A$1:A913)))),IF(INDEX(I$1:I913,SUMPRODUCT(MAX((A$1:A913=A914)*(B$1:B913=B914)*ROW(A$1:A913))))="",C914&amp;"",INDEX(I$1:I913,SUMPRODUCT(MAX((A$1:A913=A914)*(B$1:B913=B914)*ROW(A$1:A913))))&amp;"; "&amp;C914))))</f>
        <v/>
      </c>
      <c r="J914" s="18" t="str">
        <f aca="false">IF(A914="","",A914&amp;"|"&amp;COUNTIF(A$2:A914,A914))</f>
        <v/>
      </c>
      <c r="K914" s="18" t="n">
        <f aca="false">IF(OR(A914="",B914=""),0,IF(COUNTIFS(A$2:A914,A914,B$2:B914,B914)=1,1,0))</f>
        <v>0</v>
      </c>
    </row>
    <row r="915" customFormat="false" ht="15" hidden="false" customHeight="false" outlineLevel="0" collapsed="false">
      <c r="A915" s="15"/>
      <c r="B915" s="15"/>
      <c r="C915" s="15"/>
      <c r="D915" s="15"/>
      <c r="F915" s="18" t="str">
        <f aca="false">IF(B915="","",IFERROR(INDEX(Materials!$B$2:$B$201,MATCH(B915,Materials!$A$2:$A$201,0)),""))</f>
        <v/>
      </c>
      <c r="G915" s="18" t="str">
        <f aca="true">IF(AND(A915="",B915=""),"",IF(A915="","Missing product",IF(B915="","Missing material",IF(COUNTIF(ProductList,A915)=0,"Product not in Products list",IF(COUNTIF(MaterialList,B915)=0,"Material not in Materials list","OK")))))</f>
        <v/>
      </c>
      <c r="H915" s="18" t="str">
        <f aca="false">IF(F915="Active",A915&amp;"|"&amp;COUNTIFS(A$2:A915,A915,F$2:F915,"Active"),"")</f>
        <v/>
      </c>
      <c r="I915" s="18" t="str">
        <f aca="false">IF(B915="","",IF(SUMPRODUCT(MAX((A$1:A914=A915)*(B$1:B914=B915)*ROW(A$1:A914)))=0,C915&amp;"",IF(C915="",INDEX(I$1:I914,SUMPRODUCT(MAX((A$1:A914=A915)*(B$1:B914=B915)*ROW(A$1:A914)))),IF(INDEX(I$1:I914,SUMPRODUCT(MAX((A$1:A914=A915)*(B$1:B914=B915)*ROW(A$1:A914))))="",C915&amp;"",INDEX(I$1:I914,SUMPRODUCT(MAX((A$1:A914=A915)*(B$1:B914=B915)*ROW(A$1:A914))))&amp;"; "&amp;C915))))</f>
        <v/>
      </c>
      <c r="J915" s="18" t="str">
        <f aca="false">IF(A915="","",A915&amp;"|"&amp;COUNTIF(A$2:A915,A915))</f>
        <v/>
      </c>
      <c r="K915" s="18" t="n">
        <f aca="false">IF(OR(A915="",B915=""),0,IF(COUNTIFS(A$2:A915,A915,B$2:B915,B915)=1,1,0))</f>
        <v>0</v>
      </c>
    </row>
    <row r="916" customFormat="false" ht="15" hidden="false" customHeight="false" outlineLevel="0" collapsed="false">
      <c r="A916" s="15"/>
      <c r="B916" s="15"/>
      <c r="C916" s="15"/>
      <c r="D916" s="15"/>
      <c r="F916" s="18" t="str">
        <f aca="false">IF(B916="","",IFERROR(INDEX(Materials!$B$2:$B$201,MATCH(B916,Materials!$A$2:$A$201,0)),""))</f>
        <v/>
      </c>
      <c r="G916" s="18" t="str">
        <f aca="true">IF(AND(A916="",B916=""),"",IF(A916="","Missing product",IF(B916="","Missing material",IF(COUNTIF(ProductList,A916)=0,"Product not in Products list",IF(COUNTIF(MaterialList,B916)=0,"Material not in Materials list","OK")))))</f>
        <v/>
      </c>
      <c r="H916" s="18" t="str">
        <f aca="false">IF(F916="Active",A916&amp;"|"&amp;COUNTIFS(A$2:A916,A916,F$2:F916,"Active"),"")</f>
        <v/>
      </c>
      <c r="I916" s="18" t="str">
        <f aca="false">IF(B916="","",IF(SUMPRODUCT(MAX((A$1:A915=A916)*(B$1:B915=B916)*ROW(A$1:A915)))=0,C916&amp;"",IF(C916="",INDEX(I$1:I915,SUMPRODUCT(MAX((A$1:A915=A916)*(B$1:B915=B916)*ROW(A$1:A915)))),IF(INDEX(I$1:I915,SUMPRODUCT(MAX((A$1:A915=A916)*(B$1:B915=B916)*ROW(A$1:A915))))="",C916&amp;"",INDEX(I$1:I915,SUMPRODUCT(MAX((A$1:A915=A916)*(B$1:B915=B916)*ROW(A$1:A915))))&amp;"; "&amp;C916))))</f>
        <v/>
      </c>
      <c r="J916" s="18" t="str">
        <f aca="false">IF(A916="","",A916&amp;"|"&amp;COUNTIF(A$2:A916,A916))</f>
        <v/>
      </c>
      <c r="K916" s="18" t="n">
        <f aca="false">IF(OR(A916="",B916=""),0,IF(COUNTIFS(A$2:A916,A916,B$2:B916,B916)=1,1,0))</f>
        <v>0</v>
      </c>
    </row>
    <row r="917" customFormat="false" ht="15" hidden="false" customHeight="false" outlineLevel="0" collapsed="false">
      <c r="A917" s="15"/>
      <c r="B917" s="15"/>
      <c r="C917" s="15"/>
      <c r="D917" s="15"/>
      <c r="F917" s="18" t="str">
        <f aca="false">IF(B917="","",IFERROR(INDEX(Materials!$B$2:$B$201,MATCH(B917,Materials!$A$2:$A$201,0)),""))</f>
        <v/>
      </c>
      <c r="G917" s="18" t="str">
        <f aca="true">IF(AND(A917="",B917=""),"",IF(A917="","Missing product",IF(B917="","Missing material",IF(COUNTIF(ProductList,A917)=0,"Product not in Products list",IF(COUNTIF(MaterialList,B917)=0,"Material not in Materials list","OK")))))</f>
        <v/>
      </c>
      <c r="H917" s="18" t="str">
        <f aca="false">IF(F917="Active",A917&amp;"|"&amp;COUNTIFS(A$2:A917,A917,F$2:F917,"Active"),"")</f>
        <v/>
      </c>
      <c r="I917" s="18" t="str">
        <f aca="false">IF(B917="","",IF(SUMPRODUCT(MAX((A$1:A916=A917)*(B$1:B916=B917)*ROW(A$1:A916)))=0,C917&amp;"",IF(C917="",INDEX(I$1:I916,SUMPRODUCT(MAX((A$1:A916=A917)*(B$1:B916=B917)*ROW(A$1:A916)))),IF(INDEX(I$1:I916,SUMPRODUCT(MAX((A$1:A916=A917)*(B$1:B916=B917)*ROW(A$1:A916))))="",C917&amp;"",INDEX(I$1:I916,SUMPRODUCT(MAX((A$1:A916=A917)*(B$1:B916=B917)*ROW(A$1:A916))))&amp;"; "&amp;C917))))</f>
        <v/>
      </c>
      <c r="J917" s="18" t="str">
        <f aca="false">IF(A917="","",A917&amp;"|"&amp;COUNTIF(A$2:A917,A917))</f>
        <v/>
      </c>
      <c r="K917" s="18" t="n">
        <f aca="false">IF(OR(A917="",B917=""),0,IF(COUNTIFS(A$2:A917,A917,B$2:B917,B917)=1,1,0))</f>
        <v>0</v>
      </c>
    </row>
    <row r="918" customFormat="false" ht="15" hidden="false" customHeight="false" outlineLevel="0" collapsed="false">
      <c r="A918" s="15"/>
      <c r="B918" s="15"/>
      <c r="C918" s="15"/>
      <c r="D918" s="15"/>
      <c r="F918" s="18" t="str">
        <f aca="false">IF(B918="","",IFERROR(INDEX(Materials!$B$2:$B$201,MATCH(B918,Materials!$A$2:$A$201,0)),""))</f>
        <v/>
      </c>
      <c r="G918" s="18" t="str">
        <f aca="true">IF(AND(A918="",B918=""),"",IF(A918="","Missing product",IF(B918="","Missing material",IF(COUNTIF(ProductList,A918)=0,"Product not in Products list",IF(COUNTIF(MaterialList,B918)=0,"Material not in Materials list","OK")))))</f>
        <v/>
      </c>
      <c r="H918" s="18" t="str">
        <f aca="false">IF(F918="Active",A918&amp;"|"&amp;COUNTIFS(A$2:A918,A918,F$2:F918,"Active"),"")</f>
        <v/>
      </c>
      <c r="I918" s="18" t="str">
        <f aca="false">IF(B918="","",IF(SUMPRODUCT(MAX((A$1:A917=A918)*(B$1:B917=B918)*ROW(A$1:A917)))=0,C918&amp;"",IF(C918="",INDEX(I$1:I917,SUMPRODUCT(MAX((A$1:A917=A918)*(B$1:B917=B918)*ROW(A$1:A917)))),IF(INDEX(I$1:I917,SUMPRODUCT(MAX((A$1:A917=A918)*(B$1:B917=B918)*ROW(A$1:A917))))="",C918&amp;"",INDEX(I$1:I917,SUMPRODUCT(MAX((A$1:A917=A918)*(B$1:B917=B918)*ROW(A$1:A917))))&amp;"; "&amp;C918))))</f>
        <v/>
      </c>
      <c r="J918" s="18" t="str">
        <f aca="false">IF(A918="","",A918&amp;"|"&amp;COUNTIF(A$2:A918,A918))</f>
        <v/>
      </c>
      <c r="K918" s="18" t="n">
        <f aca="false">IF(OR(A918="",B918=""),0,IF(COUNTIFS(A$2:A918,A918,B$2:B918,B918)=1,1,0))</f>
        <v>0</v>
      </c>
    </row>
    <row r="919" customFormat="false" ht="15" hidden="false" customHeight="false" outlineLevel="0" collapsed="false">
      <c r="A919" s="15"/>
      <c r="B919" s="15"/>
      <c r="C919" s="15"/>
      <c r="D919" s="15"/>
      <c r="F919" s="18" t="str">
        <f aca="false">IF(B919="","",IFERROR(INDEX(Materials!$B$2:$B$201,MATCH(B919,Materials!$A$2:$A$201,0)),""))</f>
        <v/>
      </c>
      <c r="G919" s="18" t="str">
        <f aca="true">IF(AND(A919="",B919=""),"",IF(A919="","Missing product",IF(B919="","Missing material",IF(COUNTIF(ProductList,A919)=0,"Product not in Products list",IF(COUNTIF(MaterialList,B919)=0,"Material not in Materials list","OK")))))</f>
        <v/>
      </c>
      <c r="H919" s="18" t="str">
        <f aca="false">IF(F919="Active",A919&amp;"|"&amp;COUNTIFS(A$2:A919,A919,F$2:F919,"Active"),"")</f>
        <v/>
      </c>
      <c r="I919" s="18" t="str">
        <f aca="false">IF(B919="","",IF(SUMPRODUCT(MAX((A$1:A918=A919)*(B$1:B918=B919)*ROW(A$1:A918)))=0,C919&amp;"",IF(C919="",INDEX(I$1:I918,SUMPRODUCT(MAX((A$1:A918=A919)*(B$1:B918=B919)*ROW(A$1:A918)))),IF(INDEX(I$1:I918,SUMPRODUCT(MAX((A$1:A918=A919)*(B$1:B918=B919)*ROW(A$1:A918))))="",C919&amp;"",INDEX(I$1:I918,SUMPRODUCT(MAX((A$1:A918=A919)*(B$1:B918=B919)*ROW(A$1:A918))))&amp;"; "&amp;C919))))</f>
        <v/>
      </c>
      <c r="J919" s="18" t="str">
        <f aca="false">IF(A919="","",A919&amp;"|"&amp;COUNTIF(A$2:A919,A919))</f>
        <v/>
      </c>
      <c r="K919" s="18" t="n">
        <f aca="false">IF(OR(A919="",B919=""),0,IF(COUNTIFS(A$2:A919,A919,B$2:B919,B919)=1,1,0))</f>
        <v>0</v>
      </c>
    </row>
    <row r="920" customFormat="false" ht="15" hidden="false" customHeight="false" outlineLevel="0" collapsed="false">
      <c r="A920" s="15"/>
      <c r="B920" s="15"/>
      <c r="C920" s="15"/>
      <c r="D920" s="15"/>
      <c r="F920" s="18" t="str">
        <f aca="false">IF(B920="","",IFERROR(INDEX(Materials!$B$2:$B$201,MATCH(B920,Materials!$A$2:$A$201,0)),""))</f>
        <v/>
      </c>
      <c r="G920" s="18" t="str">
        <f aca="true">IF(AND(A920="",B920=""),"",IF(A920="","Missing product",IF(B920="","Missing material",IF(COUNTIF(ProductList,A920)=0,"Product not in Products list",IF(COUNTIF(MaterialList,B920)=0,"Material not in Materials list","OK")))))</f>
        <v/>
      </c>
      <c r="H920" s="18" t="str">
        <f aca="false">IF(F920="Active",A920&amp;"|"&amp;COUNTIFS(A$2:A920,A920,F$2:F920,"Active"),"")</f>
        <v/>
      </c>
      <c r="I920" s="18" t="str">
        <f aca="false">IF(B920="","",IF(SUMPRODUCT(MAX((A$1:A919=A920)*(B$1:B919=B920)*ROW(A$1:A919)))=0,C920&amp;"",IF(C920="",INDEX(I$1:I919,SUMPRODUCT(MAX((A$1:A919=A920)*(B$1:B919=B920)*ROW(A$1:A919)))),IF(INDEX(I$1:I919,SUMPRODUCT(MAX((A$1:A919=A920)*(B$1:B919=B920)*ROW(A$1:A919))))="",C920&amp;"",INDEX(I$1:I919,SUMPRODUCT(MAX((A$1:A919=A920)*(B$1:B919=B920)*ROW(A$1:A919))))&amp;"; "&amp;C920))))</f>
        <v/>
      </c>
      <c r="J920" s="18" t="str">
        <f aca="false">IF(A920="","",A920&amp;"|"&amp;COUNTIF(A$2:A920,A920))</f>
        <v/>
      </c>
      <c r="K920" s="18" t="n">
        <f aca="false">IF(OR(A920="",B920=""),0,IF(COUNTIFS(A$2:A920,A920,B$2:B920,B920)=1,1,0))</f>
        <v>0</v>
      </c>
    </row>
    <row r="921" customFormat="false" ht="15" hidden="false" customHeight="false" outlineLevel="0" collapsed="false">
      <c r="A921" s="15"/>
      <c r="B921" s="15"/>
      <c r="C921" s="15"/>
      <c r="D921" s="15"/>
      <c r="F921" s="18" t="str">
        <f aca="false">IF(B921="","",IFERROR(INDEX(Materials!$B$2:$B$201,MATCH(B921,Materials!$A$2:$A$201,0)),""))</f>
        <v/>
      </c>
      <c r="G921" s="18" t="str">
        <f aca="true">IF(AND(A921="",B921=""),"",IF(A921="","Missing product",IF(B921="","Missing material",IF(COUNTIF(ProductList,A921)=0,"Product not in Products list",IF(COUNTIF(MaterialList,B921)=0,"Material not in Materials list","OK")))))</f>
        <v/>
      </c>
      <c r="H921" s="18" t="str">
        <f aca="false">IF(F921="Active",A921&amp;"|"&amp;COUNTIFS(A$2:A921,A921,F$2:F921,"Active"),"")</f>
        <v/>
      </c>
      <c r="I921" s="18" t="str">
        <f aca="false">IF(B921="","",IF(SUMPRODUCT(MAX((A$1:A920=A921)*(B$1:B920=B921)*ROW(A$1:A920)))=0,C921&amp;"",IF(C921="",INDEX(I$1:I920,SUMPRODUCT(MAX((A$1:A920=A921)*(B$1:B920=B921)*ROW(A$1:A920)))),IF(INDEX(I$1:I920,SUMPRODUCT(MAX((A$1:A920=A921)*(B$1:B920=B921)*ROW(A$1:A920))))="",C921&amp;"",INDEX(I$1:I920,SUMPRODUCT(MAX((A$1:A920=A921)*(B$1:B920=B921)*ROW(A$1:A920))))&amp;"; "&amp;C921))))</f>
        <v/>
      </c>
      <c r="J921" s="18" t="str">
        <f aca="false">IF(A921="","",A921&amp;"|"&amp;COUNTIF(A$2:A921,A921))</f>
        <v/>
      </c>
      <c r="K921" s="18" t="n">
        <f aca="false">IF(OR(A921="",B921=""),0,IF(COUNTIFS(A$2:A921,A921,B$2:B921,B921)=1,1,0))</f>
        <v>0</v>
      </c>
    </row>
    <row r="922" customFormat="false" ht="15" hidden="false" customHeight="false" outlineLevel="0" collapsed="false">
      <c r="A922" s="15"/>
      <c r="B922" s="15"/>
      <c r="C922" s="15"/>
      <c r="D922" s="15"/>
      <c r="F922" s="18" t="str">
        <f aca="false">IF(B922="","",IFERROR(INDEX(Materials!$B$2:$B$201,MATCH(B922,Materials!$A$2:$A$201,0)),""))</f>
        <v/>
      </c>
      <c r="G922" s="18" t="str">
        <f aca="true">IF(AND(A922="",B922=""),"",IF(A922="","Missing product",IF(B922="","Missing material",IF(COUNTIF(ProductList,A922)=0,"Product not in Products list",IF(COUNTIF(MaterialList,B922)=0,"Material not in Materials list","OK")))))</f>
        <v/>
      </c>
      <c r="H922" s="18" t="str">
        <f aca="false">IF(F922="Active",A922&amp;"|"&amp;COUNTIFS(A$2:A922,A922,F$2:F922,"Active"),"")</f>
        <v/>
      </c>
      <c r="I922" s="18" t="str">
        <f aca="false">IF(B922="","",IF(SUMPRODUCT(MAX((A$1:A921=A922)*(B$1:B921=B922)*ROW(A$1:A921)))=0,C922&amp;"",IF(C922="",INDEX(I$1:I921,SUMPRODUCT(MAX((A$1:A921=A922)*(B$1:B921=B922)*ROW(A$1:A921)))),IF(INDEX(I$1:I921,SUMPRODUCT(MAX((A$1:A921=A922)*(B$1:B921=B922)*ROW(A$1:A921))))="",C922&amp;"",INDEX(I$1:I921,SUMPRODUCT(MAX((A$1:A921=A922)*(B$1:B921=B922)*ROW(A$1:A921))))&amp;"; "&amp;C922))))</f>
        <v/>
      </c>
      <c r="J922" s="18" t="str">
        <f aca="false">IF(A922="","",A922&amp;"|"&amp;COUNTIF(A$2:A922,A922))</f>
        <v/>
      </c>
      <c r="K922" s="18" t="n">
        <f aca="false">IF(OR(A922="",B922=""),0,IF(COUNTIFS(A$2:A922,A922,B$2:B922,B922)=1,1,0))</f>
        <v>0</v>
      </c>
    </row>
    <row r="923" customFormat="false" ht="15" hidden="false" customHeight="false" outlineLevel="0" collapsed="false">
      <c r="A923" s="15"/>
      <c r="B923" s="15"/>
      <c r="C923" s="15"/>
      <c r="D923" s="15"/>
      <c r="F923" s="18" t="str">
        <f aca="false">IF(B923="","",IFERROR(INDEX(Materials!$B$2:$B$201,MATCH(B923,Materials!$A$2:$A$201,0)),""))</f>
        <v/>
      </c>
      <c r="G923" s="18" t="str">
        <f aca="true">IF(AND(A923="",B923=""),"",IF(A923="","Missing product",IF(B923="","Missing material",IF(COUNTIF(ProductList,A923)=0,"Product not in Products list",IF(COUNTIF(MaterialList,B923)=0,"Material not in Materials list","OK")))))</f>
        <v/>
      </c>
      <c r="H923" s="18" t="str">
        <f aca="false">IF(F923="Active",A923&amp;"|"&amp;COUNTIFS(A$2:A923,A923,F$2:F923,"Active"),"")</f>
        <v/>
      </c>
      <c r="I923" s="18" t="str">
        <f aca="false">IF(B923="","",IF(SUMPRODUCT(MAX((A$1:A922=A923)*(B$1:B922=B923)*ROW(A$1:A922)))=0,C923&amp;"",IF(C923="",INDEX(I$1:I922,SUMPRODUCT(MAX((A$1:A922=A923)*(B$1:B922=B923)*ROW(A$1:A922)))),IF(INDEX(I$1:I922,SUMPRODUCT(MAX((A$1:A922=A923)*(B$1:B922=B923)*ROW(A$1:A922))))="",C923&amp;"",INDEX(I$1:I922,SUMPRODUCT(MAX((A$1:A922=A923)*(B$1:B922=B923)*ROW(A$1:A922))))&amp;"; "&amp;C923))))</f>
        <v/>
      </c>
      <c r="J923" s="18" t="str">
        <f aca="false">IF(A923="","",A923&amp;"|"&amp;COUNTIF(A$2:A923,A923))</f>
        <v/>
      </c>
      <c r="K923" s="18" t="n">
        <f aca="false">IF(OR(A923="",B923=""),0,IF(COUNTIFS(A$2:A923,A923,B$2:B923,B923)=1,1,0))</f>
        <v>0</v>
      </c>
    </row>
    <row r="924" customFormat="false" ht="15" hidden="false" customHeight="false" outlineLevel="0" collapsed="false">
      <c r="A924" s="15"/>
      <c r="B924" s="15"/>
      <c r="C924" s="15"/>
      <c r="D924" s="15"/>
      <c r="F924" s="18" t="str">
        <f aca="false">IF(B924="","",IFERROR(INDEX(Materials!$B$2:$B$201,MATCH(B924,Materials!$A$2:$A$201,0)),""))</f>
        <v/>
      </c>
      <c r="G924" s="18" t="str">
        <f aca="true">IF(AND(A924="",B924=""),"",IF(A924="","Missing product",IF(B924="","Missing material",IF(COUNTIF(ProductList,A924)=0,"Product not in Products list",IF(COUNTIF(MaterialList,B924)=0,"Material not in Materials list","OK")))))</f>
        <v/>
      </c>
      <c r="H924" s="18" t="str">
        <f aca="false">IF(F924="Active",A924&amp;"|"&amp;COUNTIFS(A$2:A924,A924,F$2:F924,"Active"),"")</f>
        <v/>
      </c>
      <c r="I924" s="18" t="str">
        <f aca="false">IF(B924="","",IF(SUMPRODUCT(MAX((A$1:A923=A924)*(B$1:B923=B924)*ROW(A$1:A923)))=0,C924&amp;"",IF(C924="",INDEX(I$1:I923,SUMPRODUCT(MAX((A$1:A923=A924)*(B$1:B923=B924)*ROW(A$1:A923)))),IF(INDEX(I$1:I923,SUMPRODUCT(MAX((A$1:A923=A924)*(B$1:B923=B924)*ROW(A$1:A923))))="",C924&amp;"",INDEX(I$1:I923,SUMPRODUCT(MAX((A$1:A923=A924)*(B$1:B923=B924)*ROW(A$1:A923))))&amp;"; "&amp;C924))))</f>
        <v/>
      </c>
      <c r="J924" s="18" t="str">
        <f aca="false">IF(A924="","",A924&amp;"|"&amp;COUNTIF(A$2:A924,A924))</f>
        <v/>
      </c>
      <c r="K924" s="18" t="n">
        <f aca="false">IF(OR(A924="",B924=""),0,IF(COUNTIFS(A$2:A924,A924,B$2:B924,B924)=1,1,0))</f>
        <v>0</v>
      </c>
    </row>
    <row r="925" customFormat="false" ht="15" hidden="false" customHeight="false" outlineLevel="0" collapsed="false">
      <c r="A925" s="15"/>
      <c r="B925" s="15"/>
      <c r="C925" s="15"/>
      <c r="D925" s="15"/>
      <c r="F925" s="18" t="str">
        <f aca="false">IF(B925="","",IFERROR(INDEX(Materials!$B$2:$B$201,MATCH(B925,Materials!$A$2:$A$201,0)),""))</f>
        <v/>
      </c>
      <c r="G925" s="18" t="str">
        <f aca="true">IF(AND(A925="",B925=""),"",IF(A925="","Missing product",IF(B925="","Missing material",IF(COUNTIF(ProductList,A925)=0,"Product not in Products list",IF(COUNTIF(MaterialList,B925)=0,"Material not in Materials list","OK")))))</f>
        <v/>
      </c>
      <c r="H925" s="18" t="str">
        <f aca="false">IF(F925="Active",A925&amp;"|"&amp;COUNTIFS(A$2:A925,A925,F$2:F925,"Active"),"")</f>
        <v/>
      </c>
      <c r="I925" s="18" t="str">
        <f aca="false">IF(B925="","",IF(SUMPRODUCT(MAX((A$1:A924=A925)*(B$1:B924=B925)*ROW(A$1:A924)))=0,C925&amp;"",IF(C925="",INDEX(I$1:I924,SUMPRODUCT(MAX((A$1:A924=A925)*(B$1:B924=B925)*ROW(A$1:A924)))),IF(INDEX(I$1:I924,SUMPRODUCT(MAX((A$1:A924=A925)*(B$1:B924=B925)*ROW(A$1:A924))))="",C925&amp;"",INDEX(I$1:I924,SUMPRODUCT(MAX((A$1:A924=A925)*(B$1:B924=B925)*ROW(A$1:A924))))&amp;"; "&amp;C925))))</f>
        <v/>
      </c>
      <c r="J925" s="18" t="str">
        <f aca="false">IF(A925="","",A925&amp;"|"&amp;COUNTIF(A$2:A925,A925))</f>
        <v/>
      </c>
      <c r="K925" s="18" t="n">
        <f aca="false">IF(OR(A925="",B925=""),0,IF(COUNTIFS(A$2:A925,A925,B$2:B925,B925)=1,1,0))</f>
        <v>0</v>
      </c>
    </row>
    <row r="926" customFormat="false" ht="15" hidden="false" customHeight="false" outlineLevel="0" collapsed="false">
      <c r="A926" s="15"/>
      <c r="B926" s="15"/>
      <c r="C926" s="15"/>
      <c r="D926" s="15"/>
      <c r="F926" s="18" t="str">
        <f aca="false">IF(B926="","",IFERROR(INDEX(Materials!$B$2:$B$201,MATCH(B926,Materials!$A$2:$A$201,0)),""))</f>
        <v/>
      </c>
      <c r="G926" s="18" t="str">
        <f aca="true">IF(AND(A926="",B926=""),"",IF(A926="","Missing product",IF(B926="","Missing material",IF(COUNTIF(ProductList,A926)=0,"Product not in Products list",IF(COUNTIF(MaterialList,B926)=0,"Material not in Materials list","OK")))))</f>
        <v/>
      </c>
      <c r="H926" s="18" t="str">
        <f aca="false">IF(F926="Active",A926&amp;"|"&amp;COUNTIFS(A$2:A926,A926,F$2:F926,"Active"),"")</f>
        <v/>
      </c>
      <c r="I926" s="18" t="str">
        <f aca="false">IF(B926="","",IF(SUMPRODUCT(MAX((A$1:A925=A926)*(B$1:B925=B926)*ROW(A$1:A925)))=0,C926&amp;"",IF(C926="",INDEX(I$1:I925,SUMPRODUCT(MAX((A$1:A925=A926)*(B$1:B925=B926)*ROW(A$1:A925)))),IF(INDEX(I$1:I925,SUMPRODUCT(MAX((A$1:A925=A926)*(B$1:B925=B926)*ROW(A$1:A925))))="",C926&amp;"",INDEX(I$1:I925,SUMPRODUCT(MAX((A$1:A925=A926)*(B$1:B925=B926)*ROW(A$1:A925))))&amp;"; "&amp;C926))))</f>
        <v/>
      </c>
      <c r="J926" s="18" t="str">
        <f aca="false">IF(A926="","",A926&amp;"|"&amp;COUNTIF(A$2:A926,A926))</f>
        <v/>
      </c>
      <c r="K926" s="18" t="n">
        <f aca="false">IF(OR(A926="",B926=""),0,IF(COUNTIFS(A$2:A926,A926,B$2:B926,B926)=1,1,0))</f>
        <v>0</v>
      </c>
    </row>
    <row r="927" customFormat="false" ht="15" hidden="false" customHeight="false" outlineLevel="0" collapsed="false">
      <c r="A927" s="15"/>
      <c r="B927" s="15"/>
      <c r="C927" s="15"/>
      <c r="D927" s="15"/>
      <c r="F927" s="18" t="str">
        <f aca="false">IF(B927="","",IFERROR(INDEX(Materials!$B$2:$B$201,MATCH(B927,Materials!$A$2:$A$201,0)),""))</f>
        <v/>
      </c>
      <c r="G927" s="18" t="str">
        <f aca="true">IF(AND(A927="",B927=""),"",IF(A927="","Missing product",IF(B927="","Missing material",IF(COUNTIF(ProductList,A927)=0,"Product not in Products list",IF(COUNTIF(MaterialList,B927)=0,"Material not in Materials list","OK")))))</f>
        <v/>
      </c>
      <c r="H927" s="18" t="str">
        <f aca="false">IF(F927="Active",A927&amp;"|"&amp;COUNTIFS(A$2:A927,A927,F$2:F927,"Active"),"")</f>
        <v/>
      </c>
      <c r="I927" s="18" t="str">
        <f aca="false">IF(B927="","",IF(SUMPRODUCT(MAX((A$1:A926=A927)*(B$1:B926=B927)*ROW(A$1:A926)))=0,C927&amp;"",IF(C927="",INDEX(I$1:I926,SUMPRODUCT(MAX((A$1:A926=A927)*(B$1:B926=B927)*ROW(A$1:A926)))),IF(INDEX(I$1:I926,SUMPRODUCT(MAX((A$1:A926=A927)*(B$1:B926=B927)*ROW(A$1:A926))))="",C927&amp;"",INDEX(I$1:I926,SUMPRODUCT(MAX((A$1:A926=A927)*(B$1:B926=B927)*ROW(A$1:A926))))&amp;"; "&amp;C927))))</f>
        <v/>
      </c>
      <c r="J927" s="18" t="str">
        <f aca="false">IF(A927="","",A927&amp;"|"&amp;COUNTIF(A$2:A927,A927))</f>
        <v/>
      </c>
      <c r="K927" s="18" t="n">
        <f aca="false">IF(OR(A927="",B927=""),0,IF(COUNTIFS(A$2:A927,A927,B$2:B927,B927)=1,1,0))</f>
        <v>0</v>
      </c>
    </row>
    <row r="928" customFormat="false" ht="15" hidden="false" customHeight="false" outlineLevel="0" collapsed="false">
      <c r="A928" s="15"/>
      <c r="B928" s="15"/>
      <c r="C928" s="15"/>
      <c r="D928" s="15"/>
      <c r="F928" s="18" t="str">
        <f aca="false">IF(B928="","",IFERROR(INDEX(Materials!$B$2:$B$201,MATCH(B928,Materials!$A$2:$A$201,0)),""))</f>
        <v/>
      </c>
      <c r="G928" s="18" t="str">
        <f aca="true">IF(AND(A928="",B928=""),"",IF(A928="","Missing product",IF(B928="","Missing material",IF(COUNTIF(ProductList,A928)=0,"Product not in Products list",IF(COUNTIF(MaterialList,B928)=0,"Material not in Materials list","OK")))))</f>
        <v/>
      </c>
      <c r="H928" s="18" t="str">
        <f aca="false">IF(F928="Active",A928&amp;"|"&amp;COUNTIFS(A$2:A928,A928,F$2:F928,"Active"),"")</f>
        <v/>
      </c>
      <c r="I928" s="18" t="str">
        <f aca="false">IF(B928="","",IF(SUMPRODUCT(MAX((A$1:A927=A928)*(B$1:B927=B928)*ROW(A$1:A927)))=0,C928&amp;"",IF(C928="",INDEX(I$1:I927,SUMPRODUCT(MAX((A$1:A927=A928)*(B$1:B927=B928)*ROW(A$1:A927)))),IF(INDEX(I$1:I927,SUMPRODUCT(MAX((A$1:A927=A928)*(B$1:B927=B928)*ROW(A$1:A927))))="",C928&amp;"",INDEX(I$1:I927,SUMPRODUCT(MAX((A$1:A927=A928)*(B$1:B927=B928)*ROW(A$1:A927))))&amp;"; "&amp;C928))))</f>
        <v/>
      </c>
      <c r="J928" s="18" t="str">
        <f aca="false">IF(A928="","",A928&amp;"|"&amp;COUNTIF(A$2:A928,A928))</f>
        <v/>
      </c>
      <c r="K928" s="18" t="n">
        <f aca="false">IF(OR(A928="",B928=""),0,IF(COUNTIFS(A$2:A928,A928,B$2:B928,B928)=1,1,0))</f>
        <v>0</v>
      </c>
    </row>
    <row r="929" customFormat="false" ht="15" hidden="false" customHeight="false" outlineLevel="0" collapsed="false">
      <c r="A929" s="15"/>
      <c r="B929" s="15"/>
      <c r="C929" s="15"/>
      <c r="D929" s="15"/>
      <c r="F929" s="18" t="str">
        <f aca="false">IF(B929="","",IFERROR(INDEX(Materials!$B$2:$B$201,MATCH(B929,Materials!$A$2:$A$201,0)),""))</f>
        <v/>
      </c>
      <c r="G929" s="18" t="str">
        <f aca="true">IF(AND(A929="",B929=""),"",IF(A929="","Missing product",IF(B929="","Missing material",IF(COUNTIF(ProductList,A929)=0,"Product not in Products list",IF(COUNTIF(MaterialList,B929)=0,"Material not in Materials list","OK")))))</f>
        <v/>
      </c>
      <c r="H929" s="18" t="str">
        <f aca="false">IF(F929="Active",A929&amp;"|"&amp;COUNTIFS(A$2:A929,A929,F$2:F929,"Active"),"")</f>
        <v/>
      </c>
      <c r="I929" s="18" t="str">
        <f aca="false">IF(B929="","",IF(SUMPRODUCT(MAX((A$1:A928=A929)*(B$1:B928=B929)*ROW(A$1:A928)))=0,C929&amp;"",IF(C929="",INDEX(I$1:I928,SUMPRODUCT(MAX((A$1:A928=A929)*(B$1:B928=B929)*ROW(A$1:A928)))),IF(INDEX(I$1:I928,SUMPRODUCT(MAX((A$1:A928=A929)*(B$1:B928=B929)*ROW(A$1:A928))))="",C929&amp;"",INDEX(I$1:I928,SUMPRODUCT(MAX((A$1:A928=A929)*(B$1:B928=B929)*ROW(A$1:A928))))&amp;"; "&amp;C929))))</f>
        <v/>
      </c>
      <c r="J929" s="18" t="str">
        <f aca="false">IF(A929="","",A929&amp;"|"&amp;COUNTIF(A$2:A929,A929))</f>
        <v/>
      </c>
      <c r="K929" s="18" t="n">
        <f aca="false">IF(OR(A929="",B929=""),0,IF(COUNTIFS(A$2:A929,A929,B$2:B929,B929)=1,1,0))</f>
        <v>0</v>
      </c>
    </row>
    <row r="930" customFormat="false" ht="15" hidden="false" customHeight="false" outlineLevel="0" collapsed="false">
      <c r="A930" s="15"/>
      <c r="B930" s="15"/>
      <c r="C930" s="15"/>
      <c r="D930" s="15"/>
      <c r="F930" s="18" t="str">
        <f aca="false">IF(B930="","",IFERROR(INDEX(Materials!$B$2:$B$201,MATCH(B930,Materials!$A$2:$A$201,0)),""))</f>
        <v/>
      </c>
      <c r="G930" s="18" t="str">
        <f aca="true">IF(AND(A930="",B930=""),"",IF(A930="","Missing product",IF(B930="","Missing material",IF(COUNTIF(ProductList,A930)=0,"Product not in Products list",IF(COUNTIF(MaterialList,B930)=0,"Material not in Materials list","OK")))))</f>
        <v/>
      </c>
      <c r="H930" s="18" t="str">
        <f aca="false">IF(F930="Active",A930&amp;"|"&amp;COUNTIFS(A$2:A930,A930,F$2:F930,"Active"),"")</f>
        <v/>
      </c>
      <c r="I930" s="18" t="str">
        <f aca="false">IF(B930="","",IF(SUMPRODUCT(MAX((A$1:A929=A930)*(B$1:B929=B930)*ROW(A$1:A929)))=0,C930&amp;"",IF(C930="",INDEX(I$1:I929,SUMPRODUCT(MAX((A$1:A929=A930)*(B$1:B929=B930)*ROW(A$1:A929)))),IF(INDEX(I$1:I929,SUMPRODUCT(MAX((A$1:A929=A930)*(B$1:B929=B930)*ROW(A$1:A929))))="",C930&amp;"",INDEX(I$1:I929,SUMPRODUCT(MAX((A$1:A929=A930)*(B$1:B929=B930)*ROW(A$1:A929))))&amp;"; "&amp;C930))))</f>
        <v/>
      </c>
      <c r="J930" s="18" t="str">
        <f aca="false">IF(A930="","",A930&amp;"|"&amp;COUNTIF(A$2:A930,A930))</f>
        <v/>
      </c>
      <c r="K930" s="18" t="n">
        <f aca="false">IF(OR(A930="",B930=""),0,IF(COUNTIFS(A$2:A930,A930,B$2:B930,B930)=1,1,0))</f>
        <v>0</v>
      </c>
    </row>
    <row r="931" customFormat="false" ht="15" hidden="false" customHeight="false" outlineLevel="0" collapsed="false">
      <c r="A931" s="15"/>
      <c r="B931" s="15"/>
      <c r="C931" s="15"/>
      <c r="D931" s="15"/>
      <c r="F931" s="18" t="str">
        <f aca="false">IF(B931="","",IFERROR(INDEX(Materials!$B$2:$B$201,MATCH(B931,Materials!$A$2:$A$201,0)),""))</f>
        <v/>
      </c>
      <c r="G931" s="18" t="str">
        <f aca="true">IF(AND(A931="",B931=""),"",IF(A931="","Missing product",IF(B931="","Missing material",IF(COUNTIF(ProductList,A931)=0,"Product not in Products list",IF(COUNTIF(MaterialList,B931)=0,"Material not in Materials list","OK")))))</f>
        <v/>
      </c>
      <c r="H931" s="18" t="str">
        <f aca="false">IF(F931="Active",A931&amp;"|"&amp;COUNTIFS(A$2:A931,A931,F$2:F931,"Active"),"")</f>
        <v/>
      </c>
      <c r="I931" s="18" t="str">
        <f aca="false">IF(B931="","",IF(SUMPRODUCT(MAX((A$1:A930=A931)*(B$1:B930=B931)*ROW(A$1:A930)))=0,C931&amp;"",IF(C931="",INDEX(I$1:I930,SUMPRODUCT(MAX((A$1:A930=A931)*(B$1:B930=B931)*ROW(A$1:A930)))),IF(INDEX(I$1:I930,SUMPRODUCT(MAX((A$1:A930=A931)*(B$1:B930=B931)*ROW(A$1:A930))))="",C931&amp;"",INDEX(I$1:I930,SUMPRODUCT(MAX((A$1:A930=A931)*(B$1:B930=B931)*ROW(A$1:A930))))&amp;"; "&amp;C931))))</f>
        <v/>
      </c>
      <c r="J931" s="18" t="str">
        <f aca="false">IF(A931="","",A931&amp;"|"&amp;COUNTIF(A$2:A931,A931))</f>
        <v/>
      </c>
      <c r="K931" s="18" t="n">
        <f aca="false">IF(OR(A931="",B931=""),0,IF(COUNTIFS(A$2:A931,A931,B$2:B931,B931)=1,1,0))</f>
        <v>0</v>
      </c>
    </row>
    <row r="932" customFormat="false" ht="15" hidden="false" customHeight="false" outlineLevel="0" collapsed="false">
      <c r="A932" s="15"/>
      <c r="B932" s="15"/>
      <c r="C932" s="15"/>
      <c r="D932" s="15"/>
      <c r="F932" s="18" t="str">
        <f aca="false">IF(B932="","",IFERROR(INDEX(Materials!$B$2:$B$201,MATCH(B932,Materials!$A$2:$A$201,0)),""))</f>
        <v/>
      </c>
      <c r="G932" s="18" t="str">
        <f aca="true">IF(AND(A932="",B932=""),"",IF(A932="","Missing product",IF(B932="","Missing material",IF(COUNTIF(ProductList,A932)=0,"Product not in Products list",IF(COUNTIF(MaterialList,B932)=0,"Material not in Materials list","OK")))))</f>
        <v/>
      </c>
      <c r="H932" s="18" t="str">
        <f aca="false">IF(F932="Active",A932&amp;"|"&amp;COUNTIFS(A$2:A932,A932,F$2:F932,"Active"),"")</f>
        <v/>
      </c>
      <c r="I932" s="18" t="str">
        <f aca="false">IF(B932="","",IF(SUMPRODUCT(MAX((A$1:A931=A932)*(B$1:B931=B932)*ROW(A$1:A931)))=0,C932&amp;"",IF(C932="",INDEX(I$1:I931,SUMPRODUCT(MAX((A$1:A931=A932)*(B$1:B931=B932)*ROW(A$1:A931)))),IF(INDEX(I$1:I931,SUMPRODUCT(MAX((A$1:A931=A932)*(B$1:B931=B932)*ROW(A$1:A931))))="",C932&amp;"",INDEX(I$1:I931,SUMPRODUCT(MAX((A$1:A931=A932)*(B$1:B931=B932)*ROW(A$1:A931))))&amp;"; "&amp;C932))))</f>
        <v/>
      </c>
      <c r="J932" s="18" t="str">
        <f aca="false">IF(A932="","",A932&amp;"|"&amp;COUNTIF(A$2:A932,A932))</f>
        <v/>
      </c>
      <c r="K932" s="18" t="n">
        <f aca="false">IF(OR(A932="",B932=""),0,IF(COUNTIFS(A$2:A932,A932,B$2:B932,B932)=1,1,0))</f>
        <v>0</v>
      </c>
    </row>
    <row r="933" customFormat="false" ht="15" hidden="false" customHeight="false" outlineLevel="0" collapsed="false">
      <c r="A933" s="15"/>
      <c r="B933" s="15"/>
      <c r="C933" s="15"/>
      <c r="D933" s="15"/>
      <c r="F933" s="18" t="str">
        <f aca="false">IF(B933="","",IFERROR(INDEX(Materials!$B$2:$B$201,MATCH(B933,Materials!$A$2:$A$201,0)),""))</f>
        <v/>
      </c>
      <c r="G933" s="18" t="str">
        <f aca="true">IF(AND(A933="",B933=""),"",IF(A933="","Missing product",IF(B933="","Missing material",IF(COUNTIF(ProductList,A933)=0,"Product not in Products list",IF(COUNTIF(MaterialList,B933)=0,"Material not in Materials list","OK")))))</f>
        <v/>
      </c>
      <c r="H933" s="18" t="str">
        <f aca="false">IF(F933="Active",A933&amp;"|"&amp;COUNTIFS(A$2:A933,A933,F$2:F933,"Active"),"")</f>
        <v/>
      </c>
      <c r="I933" s="18" t="str">
        <f aca="false">IF(B933="","",IF(SUMPRODUCT(MAX((A$1:A932=A933)*(B$1:B932=B933)*ROW(A$1:A932)))=0,C933&amp;"",IF(C933="",INDEX(I$1:I932,SUMPRODUCT(MAX((A$1:A932=A933)*(B$1:B932=B933)*ROW(A$1:A932)))),IF(INDEX(I$1:I932,SUMPRODUCT(MAX((A$1:A932=A933)*(B$1:B932=B933)*ROW(A$1:A932))))="",C933&amp;"",INDEX(I$1:I932,SUMPRODUCT(MAX((A$1:A932=A933)*(B$1:B932=B933)*ROW(A$1:A932))))&amp;"; "&amp;C933))))</f>
        <v/>
      </c>
      <c r="J933" s="18" t="str">
        <f aca="false">IF(A933="","",A933&amp;"|"&amp;COUNTIF(A$2:A933,A933))</f>
        <v/>
      </c>
      <c r="K933" s="18" t="n">
        <f aca="false">IF(OR(A933="",B933=""),0,IF(COUNTIFS(A$2:A933,A933,B$2:B933,B933)=1,1,0))</f>
        <v>0</v>
      </c>
    </row>
    <row r="934" customFormat="false" ht="15" hidden="false" customHeight="false" outlineLevel="0" collapsed="false">
      <c r="A934" s="15"/>
      <c r="B934" s="15"/>
      <c r="C934" s="15"/>
      <c r="D934" s="15"/>
      <c r="F934" s="18" t="str">
        <f aca="false">IF(B934="","",IFERROR(INDEX(Materials!$B$2:$B$201,MATCH(B934,Materials!$A$2:$A$201,0)),""))</f>
        <v/>
      </c>
      <c r="G934" s="18" t="str">
        <f aca="true">IF(AND(A934="",B934=""),"",IF(A934="","Missing product",IF(B934="","Missing material",IF(COUNTIF(ProductList,A934)=0,"Product not in Products list",IF(COUNTIF(MaterialList,B934)=0,"Material not in Materials list","OK")))))</f>
        <v/>
      </c>
      <c r="H934" s="18" t="str">
        <f aca="false">IF(F934="Active",A934&amp;"|"&amp;COUNTIFS(A$2:A934,A934,F$2:F934,"Active"),"")</f>
        <v/>
      </c>
      <c r="I934" s="18" t="str">
        <f aca="false">IF(B934="","",IF(SUMPRODUCT(MAX((A$1:A933=A934)*(B$1:B933=B934)*ROW(A$1:A933)))=0,C934&amp;"",IF(C934="",INDEX(I$1:I933,SUMPRODUCT(MAX((A$1:A933=A934)*(B$1:B933=B934)*ROW(A$1:A933)))),IF(INDEX(I$1:I933,SUMPRODUCT(MAX((A$1:A933=A934)*(B$1:B933=B934)*ROW(A$1:A933))))="",C934&amp;"",INDEX(I$1:I933,SUMPRODUCT(MAX((A$1:A933=A934)*(B$1:B933=B934)*ROW(A$1:A933))))&amp;"; "&amp;C934))))</f>
        <v/>
      </c>
      <c r="J934" s="18" t="str">
        <f aca="false">IF(A934="","",A934&amp;"|"&amp;COUNTIF(A$2:A934,A934))</f>
        <v/>
      </c>
      <c r="K934" s="18" t="n">
        <f aca="false">IF(OR(A934="",B934=""),0,IF(COUNTIFS(A$2:A934,A934,B$2:B934,B934)=1,1,0))</f>
        <v>0</v>
      </c>
    </row>
    <row r="935" customFormat="false" ht="15" hidden="false" customHeight="false" outlineLevel="0" collapsed="false">
      <c r="A935" s="15"/>
      <c r="B935" s="15"/>
      <c r="C935" s="15"/>
      <c r="D935" s="15"/>
      <c r="F935" s="18" t="str">
        <f aca="false">IF(B935="","",IFERROR(INDEX(Materials!$B$2:$B$201,MATCH(B935,Materials!$A$2:$A$201,0)),""))</f>
        <v/>
      </c>
      <c r="G935" s="18" t="str">
        <f aca="true">IF(AND(A935="",B935=""),"",IF(A935="","Missing product",IF(B935="","Missing material",IF(COUNTIF(ProductList,A935)=0,"Product not in Products list",IF(COUNTIF(MaterialList,B935)=0,"Material not in Materials list","OK")))))</f>
        <v/>
      </c>
      <c r="H935" s="18" t="str">
        <f aca="false">IF(F935="Active",A935&amp;"|"&amp;COUNTIFS(A$2:A935,A935,F$2:F935,"Active"),"")</f>
        <v/>
      </c>
      <c r="I935" s="18" t="str">
        <f aca="false">IF(B935="","",IF(SUMPRODUCT(MAX((A$1:A934=A935)*(B$1:B934=B935)*ROW(A$1:A934)))=0,C935&amp;"",IF(C935="",INDEX(I$1:I934,SUMPRODUCT(MAX((A$1:A934=A935)*(B$1:B934=B935)*ROW(A$1:A934)))),IF(INDEX(I$1:I934,SUMPRODUCT(MAX((A$1:A934=A935)*(B$1:B934=B935)*ROW(A$1:A934))))="",C935&amp;"",INDEX(I$1:I934,SUMPRODUCT(MAX((A$1:A934=A935)*(B$1:B934=B935)*ROW(A$1:A934))))&amp;"; "&amp;C935))))</f>
        <v/>
      </c>
      <c r="J935" s="18" t="str">
        <f aca="false">IF(A935="","",A935&amp;"|"&amp;COUNTIF(A$2:A935,A935))</f>
        <v/>
      </c>
      <c r="K935" s="18" t="n">
        <f aca="false">IF(OR(A935="",B935=""),0,IF(COUNTIFS(A$2:A935,A935,B$2:B935,B935)=1,1,0))</f>
        <v>0</v>
      </c>
    </row>
    <row r="936" customFormat="false" ht="15" hidden="false" customHeight="false" outlineLevel="0" collapsed="false">
      <c r="A936" s="15"/>
      <c r="B936" s="15"/>
      <c r="C936" s="15"/>
      <c r="D936" s="15"/>
      <c r="F936" s="18" t="str">
        <f aca="false">IF(B936="","",IFERROR(INDEX(Materials!$B$2:$B$201,MATCH(B936,Materials!$A$2:$A$201,0)),""))</f>
        <v/>
      </c>
      <c r="G936" s="18" t="str">
        <f aca="true">IF(AND(A936="",B936=""),"",IF(A936="","Missing product",IF(B936="","Missing material",IF(COUNTIF(ProductList,A936)=0,"Product not in Products list",IF(COUNTIF(MaterialList,B936)=0,"Material not in Materials list","OK")))))</f>
        <v/>
      </c>
      <c r="H936" s="18" t="str">
        <f aca="false">IF(F936="Active",A936&amp;"|"&amp;COUNTIFS(A$2:A936,A936,F$2:F936,"Active"),"")</f>
        <v/>
      </c>
      <c r="I936" s="18" t="str">
        <f aca="false">IF(B936="","",IF(SUMPRODUCT(MAX((A$1:A935=A936)*(B$1:B935=B936)*ROW(A$1:A935)))=0,C936&amp;"",IF(C936="",INDEX(I$1:I935,SUMPRODUCT(MAX((A$1:A935=A936)*(B$1:B935=B936)*ROW(A$1:A935)))),IF(INDEX(I$1:I935,SUMPRODUCT(MAX((A$1:A935=A936)*(B$1:B935=B936)*ROW(A$1:A935))))="",C936&amp;"",INDEX(I$1:I935,SUMPRODUCT(MAX((A$1:A935=A936)*(B$1:B935=B936)*ROW(A$1:A935))))&amp;"; "&amp;C936))))</f>
        <v/>
      </c>
      <c r="J936" s="18" t="str">
        <f aca="false">IF(A936="","",A936&amp;"|"&amp;COUNTIF(A$2:A936,A936))</f>
        <v/>
      </c>
      <c r="K936" s="18" t="n">
        <f aca="false">IF(OR(A936="",B936=""),0,IF(COUNTIFS(A$2:A936,A936,B$2:B936,B936)=1,1,0))</f>
        <v>0</v>
      </c>
    </row>
    <row r="937" customFormat="false" ht="15" hidden="false" customHeight="false" outlineLevel="0" collapsed="false">
      <c r="A937" s="15"/>
      <c r="B937" s="15"/>
      <c r="C937" s="15"/>
      <c r="D937" s="15"/>
      <c r="F937" s="18" t="str">
        <f aca="false">IF(B937="","",IFERROR(INDEX(Materials!$B$2:$B$201,MATCH(B937,Materials!$A$2:$A$201,0)),""))</f>
        <v/>
      </c>
      <c r="G937" s="18" t="str">
        <f aca="true">IF(AND(A937="",B937=""),"",IF(A937="","Missing product",IF(B937="","Missing material",IF(COUNTIF(ProductList,A937)=0,"Product not in Products list",IF(COUNTIF(MaterialList,B937)=0,"Material not in Materials list","OK")))))</f>
        <v/>
      </c>
      <c r="H937" s="18" t="str">
        <f aca="false">IF(F937="Active",A937&amp;"|"&amp;COUNTIFS(A$2:A937,A937,F$2:F937,"Active"),"")</f>
        <v/>
      </c>
      <c r="I937" s="18" t="str">
        <f aca="false">IF(B937="","",IF(SUMPRODUCT(MAX((A$1:A936=A937)*(B$1:B936=B937)*ROW(A$1:A936)))=0,C937&amp;"",IF(C937="",INDEX(I$1:I936,SUMPRODUCT(MAX((A$1:A936=A937)*(B$1:B936=B937)*ROW(A$1:A936)))),IF(INDEX(I$1:I936,SUMPRODUCT(MAX((A$1:A936=A937)*(B$1:B936=B937)*ROW(A$1:A936))))="",C937&amp;"",INDEX(I$1:I936,SUMPRODUCT(MAX((A$1:A936=A937)*(B$1:B936=B937)*ROW(A$1:A936))))&amp;"; "&amp;C937))))</f>
        <v/>
      </c>
      <c r="J937" s="18" t="str">
        <f aca="false">IF(A937="","",A937&amp;"|"&amp;COUNTIF(A$2:A937,A937))</f>
        <v/>
      </c>
      <c r="K937" s="18" t="n">
        <f aca="false">IF(OR(A937="",B937=""),0,IF(COUNTIFS(A$2:A937,A937,B$2:B937,B937)=1,1,0))</f>
        <v>0</v>
      </c>
    </row>
    <row r="938" customFormat="false" ht="15" hidden="false" customHeight="false" outlineLevel="0" collapsed="false">
      <c r="A938" s="15"/>
      <c r="B938" s="15"/>
      <c r="C938" s="15"/>
      <c r="D938" s="15"/>
      <c r="F938" s="18" t="str">
        <f aca="false">IF(B938="","",IFERROR(INDEX(Materials!$B$2:$B$201,MATCH(B938,Materials!$A$2:$A$201,0)),""))</f>
        <v/>
      </c>
      <c r="G938" s="18" t="str">
        <f aca="true">IF(AND(A938="",B938=""),"",IF(A938="","Missing product",IF(B938="","Missing material",IF(COUNTIF(ProductList,A938)=0,"Product not in Products list",IF(COUNTIF(MaterialList,B938)=0,"Material not in Materials list","OK")))))</f>
        <v/>
      </c>
      <c r="H938" s="18" t="str">
        <f aca="false">IF(F938="Active",A938&amp;"|"&amp;COUNTIFS(A$2:A938,A938,F$2:F938,"Active"),"")</f>
        <v/>
      </c>
      <c r="I938" s="18" t="str">
        <f aca="false">IF(B938="","",IF(SUMPRODUCT(MAX((A$1:A937=A938)*(B$1:B937=B938)*ROW(A$1:A937)))=0,C938&amp;"",IF(C938="",INDEX(I$1:I937,SUMPRODUCT(MAX((A$1:A937=A938)*(B$1:B937=B938)*ROW(A$1:A937)))),IF(INDEX(I$1:I937,SUMPRODUCT(MAX((A$1:A937=A938)*(B$1:B937=B938)*ROW(A$1:A937))))="",C938&amp;"",INDEX(I$1:I937,SUMPRODUCT(MAX((A$1:A937=A938)*(B$1:B937=B938)*ROW(A$1:A937))))&amp;"; "&amp;C938))))</f>
        <v/>
      </c>
      <c r="J938" s="18" t="str">
        <f aca="false">IF(A938="","",A938&amp;"|"&amp;COUNTIF(A$2:A938,A938))</f>
        <v/>
      </c>
      <c r="K938" s="18" t="n">
        <f aca="false">IF(OR(A938="",B938=""),0,IF(COUNTIFS(A$2:A938,A938,B$2:B938,B938)=1,1,0))</f>
        <v>0</v>
      </c>
    </row>
    <row r="939" customFormat="false" ht="15" hidden="false" customHeight="false" outlineLevel="0" collapsed="false">
      <c r="A939" s="15"/>
      <c r="B939" s="15"/>
      <c r="C939" s="15"/>
      <c r="D939" s="15"/>
      <c r="F939" s="18" t="str">
        <f aca="false">IF(B939="","",IFERROR(INDEX(Materials!$B$2:$B$201,MATCH(B939,Materials!$A$2:$A$201,0)),""))</f>
        <v/>
      </c>
      <c r="G939" s="18" t="str">
        <f aca="true">IF(AND(A939="",B939=""),"",IF(A939="","Missing product",IF(B939="","Missing material",IF(COUNTIF(ProductList,A939)=0,"Product not in Products list",IF(COUNTIF(MaterialList,B939)=0,"Material not in Materials list","OK")))))</f>
        <v/>
      </c>
      <c r="H939" s="18" t="str">
        <f aca="false">IF(F939="Active",A939&amp;"|"&amp;COUNTIFS(A$2:A939,A939,F$2:F939,"Active"),"")</f>
        <v/>
      </c>
      <c r="I939" s="18" t="str">
        <f aca="false">IF(B939="","",IF(SUMPRODUCT(MAX((A$1:A938=A939)*(B$1:B938=B939)*ROW(A$1:A938)))=0,C939&amp;"",IF(C939="",INDEX(I$1:I938,SUMPRODUCT(MAX((A$1:A938=A939)*(B$1:B938=B939)*ROW(A$1:A938)))),IF(INDEX(I$1:I938,SUMPRODUCT(MAX((A$1:A938=A939)*(B$1:B938=B939)*ROW(A$1:A938))))="",C939&amp;"",INDEX(I$1:I938,SUMPRODUCT(MAX((A$1:A938=A939)*(B$1:B938=B939)*ROW(A$1:A938))))&amp;"; "&amp;C939))))</f>
        <v/>
      </c>
      <c r="J939" s="18" t="str">
        <f aca="false">IF(A939="","",A939&amp;"|"&amp;COUNTIF(A$2:A939,A939))</f>
        <v/>
      </c>
      <c r="K939" s="18" t="n">
        <f aca="false">IF(OR(A939="",B939=""),0,IF(COUNTIFS(A$2:A939,A939,B$2:B939,B939)=1,1,0))</f>
        <v>0</v>
      </c>
    </row>
    <row r="940" customFormat="false" ht="15" hidden="false" customHeight="false" outlineLevel="0" collapsed="false">
      <c r="A940" s="15"/>
      <c r="B940" s="15"/>
      <c r="C940" s="15"/>
      <c r="D940" s="15"/>
      <c r="F940" s="18" t="str">
        <f aca="false">IF(B940="","",IFERROR(INDEX(Materials!$B$2:$B$201,MATCH(B940,Materials!$A$2:$A$201,0)),""))</f>
        <v/>
      </c>
      <c r="G940" s="18" t="str">
        <f aca="true">IF(AND(A940="",B940=""),"",IF(A940="","Missing product",IF(B940="","Missing material",IF(COUNTIF(ProductList,A940)=0,"Product not in Products list",IF(COUNTIF(MaterialList,B940)=0,"Material not in Materials list","OK")))))</f>
        <v/>
      </c>
      <c r="H940" s="18" t="str">
        <f aca="false">IF(F940="Active",A940&amp;"|"&amp;COUNTIFS(A$2:A940,A940,F$2:F940,"Active"),"")</f>
        <v/>
      </c>
      <c r="I940" s="18" t="str">
        <f aca="false">IF(B940="","",IF(SUMPRODUCT(MAX((A$1:A939=A940)*(B$1:B939=B940)*ROW(A$1:A939)))=0,C940&amp;"",IF(C940="",INDEX(I$1:I939,SUMPRODUCT(MAX((A$1:A939=A940)*(B$1:B939=B940)*ROW(A$1:A939)))),IF(INDEX(I$1:I939,SUMPRODUCT(MAX((A$1:A939=A940)*(B$1:B939=B940)*ROW(A$1:A939))))="",C940&amp;"",INDEX(I$1:I939,SUMPRODUCT(MAX((A$1:A939=A940)*(B$1:B939=B940)*ROW(A$1:A939))))&amp;"; "&amp;C940))))</f>
        <v/>
      </c>
      <c r="J940" s="18" t="str">
        <f aca="false">IF(A940="","",A940&amp;"|"&amp;COUNTIF(A$2:A940,A940))</f>
        <v/>
      </c>
      <c r="K940" s="18" t="n">
        <f aca="false">IF(OR(A940="",B940=""),0,IF(COUNTIFS(A$2:A940,A940,B$2:B940,B940)=1,1,0))</f>
        <v>0</v>
      </c>
    </row>
    <row r="941" customFormat="false" ht="15" hidden="false" customHeight="false" outlineLevel="0" collapsed="false">
      <c r="A941" s="15"/>
      <c r="B941" s="15"/>
      <c r="C941" s="15"/>
      <c r="D941" s="15"/>
      <c r="F941" s="18" t="str">
        <f aca="false">IF(B941="","",IFERROR(INDEX(Materials!$B$2:$B$201,MATCH(B941,Materials!$A$2:$A$201,0)),""))</f>
        <v/>
      </c>
      <c r="G941" s="18" t="str">
        <f aca="true">IF(AND(A941="",B941=""),"",IF(A941="","Missing product",IF(B941="","Missing material",IF(COUNTIF(ProductList,A941)=0,"Product not in Products list",IF(COUNTIF(MaterialList,B941)=0,"Material not in Materials list","OK")))))</f>
        <v/>
      </c>
      <c r="H941" s="18" t="str">
        <f aca="false">IF(F941="Active",A941&amp;"|"&amp;COUNTIFS(A$2:A941,A941,F$2:F941,"Active"),"")</f>
        <v/>
      </c>
      <c r="I941" s="18" t="str">
        <f aca="false">IF(B941="","",IF(SUMPRODUCT(MAX((A$1:A940=A941)*(B$1:B940=B941)*ROW(A$1:A940)))=0,C941&amp;"",IF(C941="",INDEX(I$1:I940,SUMPRODUCT(MAX((A$1:A940=A941)*(B$1:B940=B941)*ROW(A$1:A940)))),IF(INDEX(I$1:I940,SUMPRODUCT(MAX((A$1:A940=A941)*(B$1:B940=B941)*ROW(A$1:A940))))="",C941&amp;"",INDEX(I$1:I940,SUMPRODUCT(MAX((A$1:A940=A941)*(B$1:B940=B941)*ROW(A$1:A940))))&amp;"; "&amp;C941))))</f>
        <v/>
      </c>
      <c r="J941" s="18" t="str">
        <f aca="false">IF(A941="","",A941&amp;"|"&amp;COUNTIF(A$2:A941,A941))</f>
        <v/>
      </c>
      <c r="K941" s="18" t="n">
        <f aca="false">IF(OR(A941="",B941=""),0,IF(COUNTIFS(A$2:A941,A941,B$2:B941,B941)=1,1,0))</f>
        <v>0</v>
      </c>
    </row>
    <row r="942" customFormat="false" ht="15" hidden="false" customHeight="false" outlineLevel="0" collapsed="false">
      <c r="A942" s="15"/>
      <c r="B942" s="15"/>
      <c r="C942" s="15"/>
      <c r="D942" s="15"/>
      <c r="F942" s="18" t="str">
        <f aca="false">IF(B942="","",IFERROR(INDEX(Materials!$B$2:$B$201,MATCH(B942,Materials!$A$2:$A$201,0)),""))</f>
        <v/>
      </c>
      <c r="G942" s="18" t="str">
        <f aca="true">IF(AND(A942="",B942=""),"",IF(A942="","Missing product",IF(B942="","Missing material",IF(COUNTIF(ProductList,A942)=0,"Product not in Products list",IF(COUNTIF(MaterialList,B942)=0,"Material not in Materials list","OK")))))</f>
        <v/>
      </c>
      <c r="H942" s="18" t="str">
        <f aca="false">IF(F942="Active",A942&amp;"|"&amp;COUNTIFS(A$2:A942,A942,F$2:F942,"Active"),"")</f>
        <v/>
      </c>
      <c r="I942" s="18" t="str">
        <f aca="false">IF(B942="","",IF(SUMPRODUCT(MAX((A$1:A941=A942)*(B$1:B941=B942)*ROW(A$1:A941)))=0,C942&amp;"",IF(C942="",INDEX(I$1:I941,SUMPRODUCT(MAX((A$1:A941=A942)*(B$1:B941=B942)*ROW(A$1:A941)))),IF(INDEX(I$1:I941,SUMPRODUCT(MAX((A$1:A941=A942)*(B$1:B941=B942)*ROW(A$1:A941))))="",C942&amp;"",INDEX(I$1:I941,SUMPRODUCT(MAX((A$1:A941=A942)*(B$1:B941=B942)*ROW(A$1:A941))))&amp;"; "&amp;C942))))</f>
        <v/>
      </c>
      <c r="J942" s="18" t="str">
        <f aca="false">IF(A942="","",A942&amp;"|"&amp;COUNTIF(A$2:A942,A942))</f>
        <v/>
      </c>
      <c r="K942" s="18" t="n">
        <f aca="false">IF(OR(A942="",B942=""),0,IF(COUNTIFS(A$2:A942,A942,B$2:B942,B942)=1,1,0))</f>
        <v>0</v>
      </c>
    </row>
    <row r="943" customFormat="false" ht="15" hidden="false" customHeight="false" outlineLevel="0" collapsed="false">
      <c r="A943" s="15"/>
      <c r="B943" s="15"/>
      <c r="C943" s="15"/>
      <c r="D943" s="15"/>
      <c r="F943" s="18" t="str">
        <f aca="false">IF(B943="","",IFERROR(INDEX(Materials!$B$2:$B$201,MATCH(B943,Materials!$A$2:$A$201,0)),""))</f>
        <v/>
      </c>
      <c r="G943" s="18" t="str">
        <f aca="true">IF(AND(A943="",B943=""),"",IF(A943="","Missing product",IF(B943="","Missing material",IF(COUNTIF(ProductList,A943)=0,"Product not in Products list",IF(COUNTIF(MaterialList,B943)=0,"Material not in Materials list","OK")))))</f>
        <v/>
      </c>
      <c r="H943" s="18" t="str">
        <f aca="false">IF(F943="Active",A943&amp;"|"&amp;COUNTIFS(A$2:A943,A943,F$2:F943,"Active"),"")</f>
        <v/>
      </c>
      <c r="I943" s="18" t="str">
        <f aca="false">IF(B943="","",IF(SUMPRODUCT(MAX((A$1:A942=A943)*(B$1:B942=B943)*ROW(A$1:A942)))=0,C943&amp;"",IF(C943="",INDEX(I$1:I942,SUMPRODUCT(MAX((A$1:A942=A943)*(B$1:B942=B943)*ROW(A$1:A942)))),IF(INDEX(I$1:I942,SUMPRODUCT(MAX((A$1:A942=A943)*(B$1:B942=B943)*ROW(A$1:A942))))="",C943&amp;"",INDEX(I$1:I942,SUMPRODUCT(MAX((A$1:A942=A943)*(B$1:B942=B943)*ROW(A$1:A942))))&amp;"; "&amp;C943))))</f>
        <v/>
      </c>
      <c r="J943" s="18" t="str">
        <f aca="false">IF(A943="","",A943&amp;"|"&amp;COUNTIF(A$2:A943,A943))</f>
        <v/>
      </c>
      <c r="K943" s="18" t="n">
        <f aca="false">IF(OR(A943="",B943=""),0,IF(COUNTIFS(A$2:A943,A943,B$2:B943,B943)=1,1,0))</f>
        <v>0</v>
      </c>
    </row>
    <row r="944" customFormat="false" ht="15" hidden="false" customHeight="false" outlineLevel="0" collapsed="false">
      <c r="A944" s="15"/>
      <c r="B944" s="15"/>
      <c r="C944" s="15"/>
      <c r="D944" s="15"/>
      <c r="F944" s="18" t="str">
        <f aca="false">IF(B944="","",IFERROR(INDEX(Materials!$B$2:$B$201,MATCH(B944,Materials!$A$2:$A$201,0)),""))</f>
        <v/>
      </c>
      <c r="G944" s="18" t="str">
        <f aca="true">IF(AND(A944="",B944=""),"",IF(A944="","Missing product",IF(B944="","Missing material",IF(COUNTIF(ProductList,A944)=0,"Product not in Products list",IF(COUNTIF(MaterialList,B944)=0,"Material not in Materials list","OK")))))</f>
        <v/>
      </c>
      <c r="H944" s="18" t="str">
        <f aca="false">IF(F944="Active",A944&amp;"|"&amp;COUNTIFS(A$2:A944,A944,F$2:F944,"Active"),"")</f>
        <v/>
      </c>
      <c r="I944" s="18" t="str">
        <f aca="false">IF(B944="","",IF(SUMPRODUCT(MAX((A$1:A943=A944)*(B$1:B943=B944)*ROW(A$1:A943)))=0,C944&amp;"",IF(C944="",INDEX(I$1:I943,SUMPRODUCT(MAX((A$1:A943=A944)*(B$1:B943=B944)*ROW(A$1:A943)))),IF(INDEX(I$1:I943,SUMPRODUCT(MAX((A$1:A943=A944)*(B$1:B943=B944)*ROW(A$1:A943))))="",C944&amp;"",INDEX(I$1:I943,SUMPRODUCT(MAX((A$1:A943=A944)*(B$1:B943=B944)*ROW(A$1:A943))))&amp;"; "&amp;C944))))</f>
        <v/>
      </c>
      <c r="J944" s="18" t="str">
        <f aca="false">IF(A944="","",A944&amp;"|"&amp;COUNTIF(A$2:A944,A944))</f>
        <v/>
      </c>
      <c r="K944" s="18" t="n">
        <f aca="false">IF(OR(A944="",B944=""),0,IF(COUNTIFS(A$2:A944,A944,B$2:B944,B944)=1,1,0))</f>
        <v>0</v>
      </c>
    </row>
    <row r="945" customFormat="false" ht="15" hidden="false" customHeight="false" outlineLevel="0" collapsed="false">
      <c r="A945" s="15"/>
      <c r="B945" s="15"/>
      <c r="C945" s="15"/>
      <c r="D945" s="15"/>
      <c r="F945" s="18" t="str">
        <f aca="false">IF(B945="","",IFERROR(INDEX(Materials!$B$2:$B$201,MATCH(B945,Materials!$A$2:$A$201,0)),""))</f>
        <v/>
      </c>
      <c r="G945" s="18" t="str">
        <f aca="true">IF(AND(A945="",B945=""),"",IF(A945="","Missing product",IF(B945="","Missing material",IF(COUNTIF(ProductList,A945)=0,"Product not in Products list",IF(COUNTIF(MaterialList,B945)=0,"Material not in Materials list","OK")))))</f>
        <v/>
      </c>
      <c r="H945" s="18" t="str">
        <f aca="false">IF(F945="Active",A945&amp;"|"&amp;COUNTIFS(A$2:A945,A945,F$2:F945,"Active"),"")</f>
        <v/>
      </c>
      <c r="I945" s="18" t="str">
        <f aca="false">IF(B945="","",IF(SUMPRODUCT(MAX((A$1:A944=A945)*(B$1:B944=B945)*ROW(A$1:A944)))=0,C945&amp;"",IF(C945="",INDEX(I$1:I944,SUMPRODUCT(MAX((A$1:A944=A945)*(B$1:B944=B945)*ROW(A$1:A944)))),IF(INDEX(I$1:I944,SUMPRODUCT(MAX((A$1:A944=A945)*(B$1:B944=B945)*ROW(A$1:A944))))="",C945&amp;"",INDEX(I$1:I944,SUMPRODUCT(MAX((A$1:A944=A945)*(B$1:B944=B945)*ROW(A$1:A944))))&amp;"; "&amp;C945))))</f>
        <v/>
      </c>
      <c r="J945" s="18" t="str">
        <f aca="false">IF(A945="","",A945&amp;"|"&amp;COUNTIF(A$2:A945,A945))</f>
        <v/>
      </c>
      <c r="K945" s="18" t="n">
        <f aca="false">IF(OR(A945="",B945=""),0,IF(COUNTIFS(A$2:A945,A945,B$2:B945,B945)=1,1,0))</f>
        <v>0</v>
      </c>
    </row>
    <row r="946" customFormat="false" ht="15" hidden="false" customHeight="false" outlineLevel="0" collapsed="false">
      <c r="A946" s="15"/>
      <c r="B946" s="15"/>
      <c r="C946" s="15"/>
      <c r="D946" s="15"/>
      <c r="F946" s="18" t="str">
        <f aca="false">IF(B946="","",IFERROR(INDEX(Materials!$B$2:$B$201,MATCH(B946,Materials!$A$2:$A$201,0)),""))</f>
        <v/>
      </c>
      <c r="G946" s="18" t="str">
        <f aca="true">IF(AND(A946="",B946=""),"",IF(A946="","Missing product",IF(B946="","Missing material",IF(COUNTIF(ProductList,A946)=0,"Product not in Products list",IF(COUNTIF(MaterialList,B946)=0,"Material not in Materials list","OK")))))</f>
        <v/>
      </c>
      <c r="H946" s="18" t="str">
        <f aca="false">IF(F946="Active",A946&amp;"|"&amp;COUNTIFS(A$2:A946,A946,F$2:F946,"Active"),"")</f>
        <v/>
      </c>
      <c r="I946" s="18" t="str">
        <f aca="false">IF(B946="","",IF(SUMPRODUCT(MAX((A$1:A945=A946)*(B$1:B945=B946)*ROW(A$1:A945)))=0,C946&amp;"",IF(C946="",INDEX(I$1:I945,SUMPRODUCT(MAX((A$1:A945=A946)*(B$1:B945=B946)*ROW(A$1:A945)))),IF(INDEX(I$1:I945,SUMPRODUCT(MAX((A$1:A945=A946)*(B$1:B945=B946)*ROW(A$1:A945))))="",C946&amp;"",INDEX(I$1:I945,SUMPRODUCT(MAX((A$1:A945=A946)*(B$1:B945=B946)*ROW(A$1:A945))))&amp;"; "&amp;C946))))</f>
        <v/>
      </c>
      <c r="J946" s="18" t="str">
        <f aca="false">IF(A946="","",A946&amp;"|"&amp;COUNTIF(A$2:A946,A946))</f>
        <v/>
      </c>
      <c r="K946" s="18" t="n">
        <f aca="false">IF(OR(A946="",B946=""),0,IF(COUNTIFS(A$2:A946,A946,B$2:B946,B946)=1,1,0))</f>
        <v>0</v>
      </c>
    </row>
    <row r="947" customFormat="false" ht="15" hidden="false" customHeight="false" outlineLevel="0" collapsed="false">
      <c r="A947" s="15"/>
      <c r="B947" s="15"/>
      <c r="C947" s="15"/>
      <c r="D947" s="15"/>
      <c r="F947" s="18" t="str">
        <f aca="false">IF(B947="","",IFERROR(INDEX(Materials!$B$2:$B$201,MATCH(B947,Materials!$A$2:$A$201,0)),""))</f>
        <v/>
      </c>
      <c r="G947" s="18" t="str">
        <f aca="true">IF(AND(A947="",B947=""),"",IF(A947="","Missing product",IF(B947="","Missing material",IF(COUNTIF(ProductList,A947)=0,"Product not in Products list",IF(COUNTIF(MaterialList,B947)=0,"Material not in Materials list","OK")))))</f>
        <v/>
      </c>
      <c r="H947" s="18" t="str">
        <f aca="false">IF(F947="Active",A947&amp;"|"&amp;COUNTIFS(A$2:A947,A947,F$2:F947,"Active"),"")</f>
        <v/>
      </c>
      <c r="I947" s="18" t="str">
        <f aca="false">IF(B947="","",IF(SUMPRODUCT(MAX((A$1:A946=A947)*(B$1:B946=B947)*ROW(A$1:A946)))=0,C947&amp;"",IF(C947="",INDEX(I$1:I946,SUMPRODUCT(MAX((A$1:A946=A947)*(B$1:B946=B947)*ROW(A$1:A946)))),IF(INDEX(I$1:I946,SUMPRODUCT(MAX((A$1:A946=A947)*(B$1:B946=B947)*ROW(A$1:A946))))="",C947&amp;"",INDEX(I$1:I946,SUMPRODUCT(MAX((A$1:A946=A947)*(B$1:B946=B947)*ROW(A$1:A946))))&amp;"; "&amp;C947))))</f>
        <v/>
      </c>
      <c r="J947" s="18" t="str">
        <f aca="false">IF(A947="","",A947&amp;"|"&amp;COUNTIF(A$2:A947,A947))</f>
        <v/>
      </c>
      <c r="K947" s="18" t="n">
        <f aca="false">IF(OR(A947="",B947=""),0,IF(COUNTIFS(A$2:A947,A947,B$2:B947,B947)=1,1,0))</f>
        <v>0</v>
      </c>
    </row>
    <row r="948" customFormat="false" ht="15" hidden="false" customHeight="false" outlineLevel="0" collapsed="false">
      <c r="A948" s="15"/>
      <c r="B948" s="15"/>
      <c r="C948" s="15"/>
      <c r="D948" s="15"/>
      <c r="F948" s="18" t="str">
        <f aca="false">IF(B948="","",IFERROR(INDEX(Materials!$B$2:$B$201,MATCH(B948,Materials!$A$2:$A$201,0)),""))</f>
        <v/>
      </c>
      <c r="G948" s="18" t="str">
        <f aca="true">IF(AND(A948="",B948=""),"",IF(A948="","Missing product",IF(B948="","Missing material",IF(COUNTIF(ProductList,A948)=0,"Product not in Products list",IF(COUNTIF(MaterialList,B948)=0,"Material not in Materials list","OK")))))</f>
        <v/>
      </c>
      <c r="H948" s="18" t="str">
        <f aca="false">IF(F948="Active",A948&amp;"|"&amp;COUNTIFS(A$2:A948,A948,F$2:F948,"Active"),"")</f>
        <v/>
      </c>
      <c r="I948" s="18" t="str">
        <f aca="false">IF(B948="","",IF(SUMPRODUCT(MAX((A$1:A947=A948)*(B$1:B947=B948)*ROW(A$1:A947)))=0,C948&amp;"",IF(C948="",INDEX(I$1:I947,SUMPRODUCT(MAX((A$1:A947=A948)*(B$1:B947=B948)*ROW(A$1:A947)))),IF(INDEX(I$1:I947,SUMPRODUCT(MAX((A$1:A947=A948)*(B$1:B947=B948)*ROW(A$1:A947))))="",C948&amp;"",INDEX(I$1:I947,SUMPRODUCT(MAX((A$1:A947=A948)*(B$1:B947=B948)*ROW(A$1:A947))))&amp;"; "&amp;C948))))</f>
        <v/>
      </c>
      <c r="J948" s="18" t="str">
        <f aca="false">IF(A948="","",A948&amp;"|"&amp;COUNTIF(A$2:A948,A948))</f>
        <v/>
      </c>
      <c r="K948" s="18" t="n">
        <f aca="false">IF(OR(A948="",B948=""),0,IF(COUNTIFS(A$2:A948,A948,B$2:B948,B948)=1,1,0))</f>
        <v>0</v>
      </c>
    </row>
    <row r="949" customFormat="false" ht="15" hidden="false" customHeight="false" outlineLevel="0" collapsed="false">
      <c r="A949" s="15"/>
      <c r="B949" s="15"/>
      <c r="C949" s="15"/>
      <c r="D949" s="15"/>
      <c r="F949" s="18" t="str">
        <f aca="false">IF(B949="","",IFERROR(INDEX(Materials!$B$2:$B$201,MATCH(B949,Materials!$A$2:$A$201,0)),""))</f>
        <v/>
      </c>
      <c r="G949" s="18" t="str">
        <f aca="true">IF(AND(A949="",B949=""),"",IF(A949="","Missing product",IF(B949="","Missing material",IF(COUNTIF(ProductList,A949)=0,"Product not in Products list",IF(COUNTIF(MaterialList,B949)=0,"Material not in Materials list","OK")))))</f>
        <v/>
      </c>
      <c r="H949" s="18" t="str">
        <f aca="false">IF(F949="Active",A949&amp;"|"&amp;COUNTIFS(A$2:A949,A949,F$2:F949,"Active"),"")</f>
        <v/>
      </c>
      <c r="I949" s="18" t="str">
        <f aca="false">IF(B949="","",IF(SUMPRODUCT(MAX((A$1:A948=A949)*(B$1:B948=B949)*ROW(A$1:A948)))=0,C949&amp;"",IF(C949="",INDEX(I$1:I948,SUMPRODUCT(MAX((A$1:A948=A949)*(B$1:B948=B949)*ROW(A$1:A948)))),IF(INDEX(I$1:I948,SUMPRODUCT(MAX((A$1:A948=A949)*(B$1:B948=B949)*ROW(A$1:A948))))="",C949&amp;"",INDEX(I$1:I948,SUMPRODUCT(MAX((A$1:A948=A949)*(B$1:B948=B949)*ROW(A$1:A948))))&amp;"; "&amp;C949))))</f>
        <v/>
      </c>
      <c r="J949" s="18" t="str">
        <f aca="false">IF(A949="","",A949&amp;"|"&amp;COUNTIF(A$2:A949,A949))</f>
        <v/>
      </c>
      <c r="K949" s="18" t="n">
        <f aca="false">IF(OR(A949="",B949=""),0,IF(COUNTIFS(A$2:A949,A949,B$2:B949,B949)=1,1,0))</f>
        <v>0</v>
      </c>
    </row>
    <row r="950" customFormat="false" ht="15" hidden="false" customHeight="false" outlineLevel="0" collapsed="false">
      <c r="A950" s="15"/>
      <c r="B950" s="15"/>
      <c r="C950" s="15"/>
      <c r="D950" s="15"/>
      <c r="F950" s="18" t="str">
        <f aca="false">IF(B950="","",IFERROR(INDEX(Materials!$B$2:$B$201,MATCH(B950,Materials!$A$2:$A$201,0)),""))</f>
        <v/>
      </c>
      <c r="G950" s="18" t="str">
        <f aca="true">IF(AND(A950="",B950=""),"",IF(A950="","Missing product",IF(B950="","Missing material",IF(COUNTIF(ProductList,A950)=0,"Product not in Products list",IF(COUNTIF(MaterialList,B950)=0,"Material not in Materials list","OK")))))</f>
        <v/>
      </c>
      <c r="H950" s="18" t="str">
        <f aca="false">IF(F950="Active",A950&amp;"|"&amp;COUNTIFS(A$2:A950,A950,F$2:F950,"Active"),"")</f>
        <v/>
      </c>
      <c r="I950" s="18" t="str">
        <f aca="false">IF(B950="","",IF(SUMPRODUCT(MAX((A$1:A949=A950)*(B$1:B949=B950)*ROW(A$1:A949)))=0,C950&amp;"",IF(C950="",INDEX(I$1:I949,SUMPRODUCT(MAX((A$1:A949=A950)*(B$1:B949=B950)*ROW(A$1:A949)))),IF(INDEX(I$1:I949,SUMPRODUCT(MAX((A$1:A949=A950)*(B$1:B949=B950)*ROW(A$1:A949))))="",C950&amp;"",INDEX(I$1:I949,SUMPRODUCT(MAX((A$1:A949=A950)*(B$1:B949=B950)*ROW(A$1:A949))))&amp;"; "&amp;C950))))</f>
        <v/>
      </c>
      <c r="J950" s="18" t="str">
        <f aca="false">IF(A950="","",A950&amp;"|"&amp;COUNTIF(A$2:A950,A950))</f>
        <v/>
      </c>
      <c r="K950" s="18" t="n">
        <f aca="false">IF(OR(A950="",B950=""),0,IF(COUNTIFS(A$2:A950,A950,B$2:B950,B950)=1,1,0))</f>
        <v>0</v>
      </c>
    </row>
    <row r="951" customFormat="false" ht="15" hidden="false" customHeight="false" outlineLevel="0" collapsed="false">
      <c r="A951" s="15"/>
      <c r="B951" s="15"/>
      <c r="C951" s="15"/>
      <c r="D951" s="15"/>
      <c r="F951" s="18" t="str">
        <f aca="false">IF(B951="","",IFERROR(INDEX(Materials!$B$2:$B$201,MATCH(B951,Materials!$A$2:$A$201,0)),""))</f>
        <v/>
      </c>
      <c r="G951" s="18" t="str">
        <f aca="true">IF(AND(A951="",B951=""),"",IF(A951="","Missing product",IF(B951="","Missing material",IF(COUNTIF(ProductList,A951)=0,"Product not in Products list",IF(COUNTIF(MaterialList,B951)=0,"Material not in Materials list","OK")))))</f>
        <v/>
      </c>
      <c r="H951" s="18" t="str">
        <f aca="false">IF(F951="Active",A951&amp;"|"&amp;COUNTIFS(A$2:A951,A951,F$2:F951,"Active"),"")</f>
        <v/>
      </c>
      <c r="I951" s="18" t="str">
        <f aca="false">IF(B951="","",IF(SUMPRODUCT(MAX((A$1:A950=A951)*(B$1:B950=B951)*ROW(A$1:A950)))=0,C951&amp;"",IF(C951="",INDEX(I$1:I950,SUMPRODUCT(MAX((A$1:A950=A951)*(B$1:B950=B951)*ROW(A$1:A950)))),IF(INDEX(I$1:I950,SUMPRODUCT(MAX((A$1:A950=A951)*(B$1:B950=B951)*ROW(A$1:A950))))="",C951&amp;"",INDEX(I$1:I950,SUMPRODUCT(MAX((A$1:A950=A951)*(B$1:B950=B951)*ROW(A$1:A950))))&amp;"; "&amp;C951))))</f>
        <v/>
      </c>
      <c r="J951" s="18" t="str">
        <f aca="false">IF(A951="","",A951&amp;"|"&amp;COUNTIF(A$2:A951,A951))</f>
        <v/>
      </c>
      <c r="K951" s="18" t="n">
        <f aca="false">IF(OR(A951="",B951=""),0,IF(COUNTIFS(A$2:A951,A951,B$2:B951,B951)=1,1,0))</f>
        <v>0</v>
      </c>
    </row>
    <row r="952" customFormat="false" ht="15" hidden="false" customHeight="false" outlineLevel="0" collapsed="false">
      <c r="A952" s="15"/>
      <c r="B952" s="15"/>
      <c r="C952" s="15"/>
      <c r="D952" s="15"/>
      <c r="F952" s="18" t="str">
        <f aca="false">IF(B952="","",IFERROR(INDEX(Materials!$B$2:$B$201,MATCH(B952,Materials!$A$2:$A$201,0)),""))</f>
        <v/>
      </c>
      <c r="G952" s="18" t="str">
        <f aca="true">IF(AND(A952="",B952=""),"",IF(A952="","Missing product",IF(B952="","Missing material",IF(COUNTIF(ProductList,A952)=0,"Product not in Products list",IF(COUNTIF(MaterialList,B952)=0,"Material not in Materials list","OK")))))</f>
        <v/>
      </c>
      <c r="H952" s="18" t="str">
        <f aca="false">IF(F952="Active",A952&amp;"|"&amp;COUNTIFS(A$2:A952,A952,F$2:F952,"Active"),"")</f>
        <v/>
      </c>
      <c r="I952" s="18" t="str">
        <f aca="false">IF(B952="","",IF(SUMPRODUCT(MAX((A$1:A951=A952)*(B$1:B951=B952)*ROW(A$1:A951)))=0,C952&amp;"",IF(C952="",INDEX(I$1:I951,SUMPRODUCT(MAX((A$1:A951=A952)*(B$1:B951=B952)*ROW(A$1:A951)))),IF(INDEX(I$1:I951,SUMPRODUCT(MAX((A$1:A951=A952)*(B$1:B951=B952)*ROW(A$1:A951))))="",C952&amp;"",INDEX(I$1:I951,SUMPRODUCT(MAX((A$1:A951=A952)*(B$1:B951=B952)*ROW(A$1:A951))))&amp;"; "&amp;C952))))</f>
        <v/>
      </c>
      <c r="J952" s="18" t="str">
        <f aca="false">IF(A952="","",A952&amp;"|"&amp;COUNTIF(A$2:A952,A952))</f>
        <v/>
      </c>
      <c r="K952" s="18" t="n">
        <f aca="false">IF(OR(A952="",B952=""),0,IF(COUNTIFS(A$2:A952,A952,B$2:B952,B952)=1,1,0))</f>
        <v>0</v>
      </c>
    </row>
    <row r="953" customFormat="false" ht="15" hidden="false" customHeight="false" outlineLevel="0" collapsed="false">
      <c r="A953" s="15"/>
      <c r="B953" s="15"/>
      <c r="C953" s="15"/>
      <c r="D953" s="15"/>
      <c r="F953" s="18" t="str">
        <f aca="false">IF(B953="","",IFERROR(INDEX(Materials!$B$2:$B$201,MATCH(B953,Materials!$A$2:$A$201,0)),""))</f>
        <v/>
      </c>
      <c r="G953" s="18" t="str">
        <f aca="true">IF(AND(A953="",B953=""),"",IF(A953="","Missing product",IF(B953="","Missing material",IF(COUNTIF(ProductList,A953)=0,"Product not in Products list",IF(COUNTIF(MaterialList,B953)=0,"Material not in Materials list","OK")))))</f>
        <v/>
      </c>
      <c r="H953" s="18" t="str">
        <f aca="false">IF(F953="Active",A953&amp;"|"&amp;COUNTIFS(A$2:A953,A953,F$2:F953,"Active"),"")</f>
        <v/>
      </c>
      <c r="I953" s="18" t="str">
        <f aca="false">IF(B953="","",IF(SUMPRODUCT(MAX((A$1:A952=A953)*(B$1:B952=B953)*ROW(A$1:A952)))=0,C953&amp;"",IF(C953="",INDEX(I$1:I952,SUMPRODUCT(MAX((A$1:A952=A953)*(B$1:B952=B953)*ROW(A$1:A952)))),IF(INDEX(I$1:I952,SUMPRODUCT(MAX((A$1:A952=A953)*(B$1:B952=B953)*ROW(A$1:A952))))="",C953&amp;"",INDEX(I$1:I952,SUMPRODUCT(MAX((A$1:A952=A953)*(B$1:B952=B953)*ROW(A$1:A952))))&amp;"; "&amp;C953))))</f>
        <v/>
      </c>
      <c r="J953" s="18" t="str">
        <f aca="false">IF(A953="","",A953&amp;"|"&amp;COUNTIF(A$2:A953,A953))</f>
        <v/>
      </c>
      <c r="K953" s="18" t="n">
        <f aca="false">IF(OR(A953="",B953=""),0,IF(COUNTIFS(A$2:A953,A953,B$2:B953,B953)=1,1,0))</f>
        <v>0</v>
      </c>
    </row>
    <row r="954" customFormat="false" ht="15" hidden="false" customHeight="false" outlineLevel="0" collapsed="false">
      <c r="A954" s="15"/>
      <c r="B954" s="15"/>
      <c r="C954" s="15"/>
      <c r="D954" s="15"/>
      <c r="F954" s="18" t="str">
        <f aca="false">IF(B954="","",IFERROR(INDEX(Materials!$B$2:$B$201,MATCH(B954,Materials!$A$2:$A$201,0)),""))</f>
        <v/>
      </c>
      <c r="G954" s="18" t="str">
        <f aca="true">IF(AND(A954="",B954=""),"",IF(A954="","Missing product",IF(B954="","Missing material",IF(COUNTIF(ProductList,A954)=0,"Product not in Products list",IF(COUNTIF(MaterialList,B954)=0,"Material not in Materials list","OK")))))</f>
        <v/>
      </c>
      <c r="H954" s="18" t="str">
        <f aca="false">IF(F954="Active",A954&amp;"|"&amp;COUNTIFS(A$2:A954,A954,F$2:F954,"Active"),"")</f>
        <v/>
      </c>
      <c r="I954" s="18" t="str">
        <f aca="false">IF(B954="","",IF(SUMPRODUCT(MAX((A$1:A953=A954)*(B$1:B953=B954)*ROW(A$1:A953)))=0,C954&amp;"",IF(C954="",INDEX(I$1:I953,SUMPRODUCT(MAX((A$1:A953=A954)*(B$1:B953=B954)*ROW(A$1:A953)))),IF(INDEX(I$1:I953,SUMPRODUCT(MAX((A$1:A953=A954)*(B$1:B953=B954)*ROW(A$1:A953))))="",C954&amp;"",INDEX(I$1:I953,SUMPRODUCT(MAX((A$1:A953=A954)*(B$1:B953=B954)*ROW(A$1:A953))))&amp;"; "&amp;C954))))</f>
        <v/>
      </c>
      <c r="J954" s="18" t="str">
        <f aca="false">IF(A954="","",A954&amp;"|"&amp;COUNTIF(A$2:A954,A954))</f>
        <v/>
      </c>
      <c r="K954" s="18" t="n">
        <f aca="false">IF(OR(A954="",B954=""),0,IF(COUNTIFS(A$2:A954,A954,B$2:B954,B954)=1,1,0))</f>
        <v>0</v>
      </c>
    </row>
    <row r="955" customFormat="false" ht="15" hidden="false" customHeight="false" outlineLevel="0" collapsed="false">
      <c r="A955" s="15"/>
      <c r="B955" s="15"/>
      <c r="C955" s="15"/>
      <c r="D955" s="15"/>
      <c r="F955" s="18" t="str">
        <f aca="false">IF(B955="","",IFERROR(INDEX(Materials!$B$2:$B$201,MATCH(B955,Materials!$A$2:$A$201,0)),""))</f>
        <v/>
      </c>
      <c r="G955" s="18" t="str">
        <f aca="true">IF(AND(A955="",B955=""),"",IF(A955="","Missing product",IF(B955="","Missing material",IF(COUNTIF(ProductList,A955)=0,"Product not in Products list",IF(COUNTIF(MaterialList,B955)=0,"Material not in Materials list","OK")))))</f>
        <v/>
      </c>
      <c r="H955" s="18" t="str">
        <f aca="false">IF(F955="Active",A955&amp;"|"&amp;COUNTIFS(A$2:A955,A955,F$2:F955,"Active"),"")</f>
        <v/>
      </c>
      <c r="I955" s="18" t="str">
        <f aca="false">IF(B955="","",IF(SUMPRODUCT(MAX((A$1:A954=A955)*(B$1:B954=B955)*ROW(A$1:A954)))=0,C955&amp;"",IF(C955="",INDEX(I$1:I954,SUMPRODUCT(MAX((A$1:A954=A955)*(B$1:B954=B955)*ROW(A$1:A954)))),IF(INDEX(I$1:I954,SUMPRODUCT(MAX((A$1:A954=A955)*(B$1:B954=B955)*ROW(A$1:A954))))="",C955&amp;"",INDEX(I$1:I954,SUMPRODUCT(MAX((A$1:A954=A955)*(B$1:B954=B955)*ROW(A$1:A954))))&amp;"; "&amp;C955))))</f>
        <v/>
      </c>
      <c r="J955" s="18" t="str">
        <f aca="false">IF(A955="","",A955&amp;"|"&amp;COUNTIF(A$2:A955,A955))</f>
        <v/>
      </c>
      <c r="K955" s="18" t="n">
        <f aca="false">IF(OR(A955="",B955=""),0,IF(COUNTIFS(A$2:A955,A955,B$2:B955,B955)=1,1,0))</f>
        <v>0</v>
      </c>
    </row>
    <row r="956" customFormat="false" ht="15" hidden="false" customHeight="false" outlineLevel="0" collapsed="false">
      <c r="A956" s="15"/>
      <c r="B956" s="15"/>
      <c r="C956" s="15"/>
      <c r="D956" s="15"/>
      <c r="F956" s="18" t="str">
        <f aca="false">IF(B956="","",IFERROR(INDEX(Materials!$B$2:$B$201,MATCH(B956,Materials!$A$2:$A$201,0)),""))</f>
        <v/>
      </c>
      <c r="G956" s="18" t="str">
        <f aca="true">IF(AND(A956="",B956=""),"",IF(A956="","Missing product",IF(B956="","Missing material",IF(COUNTIF(ProductList,A956)=0,"Product not in Products list",IF(COUNTIF(MaterialList,B956)=0,"Material not in Materials list","OK")))))</f>
        <v/>
      </c>
      <c r="H956" s="18" t="str">
        <f aca="false">IF(F956="Active",A956&amp;"|"&amp;COUNTIFS(A$2:A956,A956,F$2:F956,"Active"),"")</f>
        <v/>
      </c>
      <c r="I956" s="18" t="str">
        <f aca="false">IF(B956="","",IF(SUMPRODUCT(MAX((A$1:A955=A956)*(B$1:B955=B956)*ROW(A$1:A955)))=0,C956&amp;"",IF(C956="",INDEX(I$1:I955,SUMPRODUCT(MAX((A$1:A955=A956)*(B$1:B955=B956)*ROW(A$1:A955)))),IF(INDEX(I$1:I955,SUMPRODUCT(MAX((A$1:A955=A956)*(B$1:B955=B956)*ROW(A$1:A955))))="",C956&amp;"",INDEX(I$1:I955,SUMPRODUCT(MAX((A$1:A955=A956)*(B$1:B955=B956)*ROW(A$1:A955))))&amp;"; "&amp;C956))))</f>
        <v/>
      </c>
      <c r="J956" s="18" t="str">
        <f aca="false">IF(A956="","",A956&amp;"|"&amp;COUNTIF(A$2:A956,A956))</f>
        <v/>
      </c>
      <c r="K956" s="18" t="n">
        <f aca="false">IF(OR(A956="",B956=""),0,IF(COUNTIFS(A$2:A956,A956,B$2:B956,B956)=1,1,0))</f>
        <v>0</v>
      </c>
    </row>
    <row r="957" customFormat="false" ht="15" hidden="false" customHeight="false" outlineLevel="0" collapsed="false">
      <c r="A957" s="15"/>
      <c r="B957" s="15"/>
      <c r="C957" s="15"/>
      <c r="D957" s="15"/>
      <c r="F957" s="18" t="str">
        <f aca="false">IF(B957="","",IFERROR(INDEX(Materials!$B$2:$B$201,MATCH(B957,Materials!$A$2:$A$201,0)),""))</f>
        <v/>
      </c>
      <c r="G957" s="18" t="str">
        <f aca="true">IF(AND(A957="",B957=""),"",IF(A957="","Missing product",IF(B957="","Missing material",IF(COUNTIF(ProductList,A957)=0,"Product not in Products list",IF(COUNTIF(MaterialList,B957)=0,"Material not in Materials list","OK")))))</f>
        <v/>
      </c>
      <c r="H957" s="18" t="str">
        <f aca="false">IF(F957="Active",A957&amp;"|"&amp;COUNTIFS(A$2:A957,A957,F$2:F957,"Active"),"")</f>
        <v/>
      </c>
      <c r="I957" s="18" t="str">
        <f aca="false">IF(B957="","",IF(SUMPRODUCT(MAX((A$1:A956=A957)*(B$1:B956=B957)*ROW(A$1:A956)))=0,C957&amp;"",IF(C957="",INDEX(I$1:I956,SUMPRODUCT(MAX((A$1:A956=A957)*(B$1:B956=B957)*ROW(A$1:A956)))),IF(INDEX(I$1:I956,SUMPRODUCT(MAX((A$1:A956=A957)*(B$1:B956=B957)*ROW(A$1:A956))))="",C957&amp;"",INDEX(I$1:I956,SUMPRODUCT(MAX((A$1:A956=A957)*(B$1:B956=B957)*ROW(A$1:A956))))&amp;"; "&amp;C957))))</f>
        <v/>
      </c>
      <c r="J957" s="18" t="str">
        <f aca="false">IF(A957="","",A957&amp;"|"&amp;COUNTIF(A$2:A957,A957))</f>
        <v/>
      </c>
      <c r="K957" s="18" t="n">
        <f aca="false">IF(OR(A957="",B957=""),0,IF(COUNTIFS(A$2:A957,A957,B$2:B957,B957)=1,1,0))</f>
        <v>0</v>
      </c>
    </row>
    <row r="958" customFormat="false" ht="15" hidden="false" customHeight="false" outlineLevel="0" collapsed="false">
      <c r="A958" s="15"/>
      <c r="B958" s="15"/>
      <c r="C958" s="15"/>
      <c r="D958" s="15"/>
      <c r="F958" s="18" t="str">
        <f aca="false">IF(B958="","",IFERROR(INDEX(Materials!$B$2:$B$201,MATCH(B958,Materials!$A$2:$A$201,0)),""))</f>
        <v/>
      </c>
      <c r="G958" s="18" t="str">
        <f aca="true">IF(AND(A958="",B958=""),"",IF(A958="","Missing product",IF(B958="","Missing material",IF(COUNTIF(ProductList,A958)=0,"Product not in Products list",IF(COUNTIF(MaterialList,B958)=0,"Material not in Materials list","OK")))))</f>
        <v/>
      </c>
      <c r="H958" s="18" t="str">
        <f aca="false">IF(F958="Active",A958&amp;"|"&amp;COUNTIFS(A$2:A958,A958,F$2:F958,"Active"),"")</f>
        <v/>
      </c>
      <c r="I958" s="18" t="str">
        <f aca="false">IF(B958="","",IF(SUMPRODUCT(MAX((A$1:A957=A958)*(B$1:B957=B958)*ROW(A$1:A957)))=0,C958&amp;"",IF(C958="",INDEX(I$1:I957,SUMPRODUCT(MAX((A$1:A957=A958)*(B$1:B957=B958)*ROW(A$1:A957)))),IF(INDEX(I$1:I957,SUMPRODUCT(MAX((A$1:A957=A958)*(B$1:B957=B958)*ROW(A$1:A957))))="",C958&amp;"",INDEX(I$1:I957,SUMPRODUCT(MAX((A$1:A957=A958)*(B$1:B957=B958)*ROW(A$1:A957))))&amp;"; "&amp;C958))))</f>
        <v/>
      </c>
      <c r="J958" s="18" t="str">
        <f aca="false">IF(A958="","",A958&amp;"|"&amp;COUNTIF(A$2:A958,A958))</f>
        <v/>
      </c>
      <c r="K958" s="18" t="n">
        <f aca="false">IF(OR(A958="",B958=""),0,IF(COUNTIFS(A$2:A958,A958,B$2:B958,B958)=1,1,0))</f>
        <v>0</v>
      </c>
    </row>
    <row r="959" customFormat="false" ht="15" hidden="false" customHeight="false" outlineLevel="0" collapsed="false">
      <c r="A959" s="15"/>
      <c r="B959" s="15"/>
      <c r="C959" s="15"/>
      <c r="D959" s="15"/>
      <c r="F959" s="18" t="str">
        <f aca="false">IF(B959="","",IFERROR(INDEX(Materials!$B$2:$B$201,MATCH(B959,Materials!$A$2:$A$201,0)),""))</f>
        <v/>
      </c>
      <c r="G959" s="18" t="str">
        <f aca="true">IF(AND(A959="",B959=""),"",IF(A959="","Missing product",IF(B959="","Missing material",IF(COUNTIF(ProductList,A959)=0,"Product not in Products list",IF(COUNTIF(MaterialList,B959)=0,"Material not in Materials list","OK")))))</f>
        <v/>
      </c>
      <c r="H959" s="18" t="str">
        <f aca="false">IF(F959="Active",A959&amp;"|"&amp;COUNTIFS(A$2:A959,A959,F$2:F959,"Active"),"")</f>
        <v/>
      </c>
      <c r="I959" s="18" t="str">
        <f aca="false">IF(B959="","",IF(SUMPRODUCT(MAX((A$1:A958=A959)*(B$1:B958=B959)*ROW(A$1:A958)))=0,C959&amp;"",IF(C959="",INDEX(I$1:I958,SUMPRODUCT(MAX((A$1:A958=A959)*(B$1:B958=B959)*ROW(A$1:A958)))),IF(INDEX(I$1:I958,SUMPRODUCT(MAX((A$1:A958=A959)*(B$1:B958=B959)*ROW(A$1:A958))))="",C959&amp;"",INDEX(I$1:I958,SUMPRODUCT(MAX((A$1:A958=A959)*(B$1:B958=B959)*ROW(A$1:A958))))&amp;"; "&amp;C959))))</f>
        <v/>
      </c>
      <c r="J959" s="18" t="str">
        <f aca="false">IF(A959="","",A959&amp;"|"&amp;COUNTIF(A$2:A959,A959))</f>
        <v/>
      </c>
      <c r="K959" s="18" t="n">
        <f aca="false">IF(OR(A959="",B959=""),0,IF(COUNTIFS(A$2:A959,A959,B$2:B959,B959)=1,1,0))</f>
        <v>0</v>
      </c>
    </row>
    <row r="960" customFormat="false" ht="15" hidden="false" customHeight="false" outlineLevel="0" collapsed="false">
      <c r="A960" s="15"/>
      <c r="B960" s="15"/>
      <c r="C960" s="15"/>
      <c r="D960" s="15"/>
      <c r="F960" s="18" t="str">
        <f aca="false">IF(B960="","",IFERROR(INDEX(Materials!$B$2:$B$201,MATCH(B960,Materials!$A$2:$A$201,0)),""))</f>
        <v/>
      </c>
      <c r="G960" s="18" t="str">
        <f aca="true">IF(AND(A960="",B960=""),"",IF(A960="","Missing product",IF(B960="","Missing material",IF(COUNTIF(ProductList,A960)=0,"Product not in Products list",IF(COUNTIF(MaterialList,B960)=0,"Material not in Materials list","OK")))))</f>
        <v/>
      </c>
      <c r="H960" s="18" t="str">
        <f aca="false">IF(F960="Active",A960&amp;"|"&amp;COUNTIFS(A$2:A960,A960,F$2:F960,"Active"),"")</f>
        <v/>
      </c>
      <c r="I960" s="18" t="str">
        <f aca="false">IF(B960="","",IF(SUMPRODUCT(MAX((A$1:A959=A960)*(B$1:B959=B960)*ROW(A$1:A959)))=0,C960&amp;"",IF(C960="",INDEX(I$1:I959,SUMPRODUCT(MAX((A$1:A959=A960)*(B$1:B959=B960)*ROW(A$1:A959)))),IF(INDEX(I$1:I959,SUMPRODUCT(MAX((A$1:A959=A960)*(B$1:B959=B960)*ROW(A$1:A959))))="",C960&amp;"",INDEX(I$1:I959,SUMPRODUCT(MAX((A$1:A959=A960)*(B$1:B959=B960)*ROW(A$1:A959))))&amp;"; "&amp;C960))))</f>
        <v/>
      </c>
      <c r="J960" s="18" t="str">
        <f aca="false">IF(A960="","",A960&amp;"|"&amp;COUNTIF(A$2:A960,A960))</f>
        <v/>
      </c>
      <c r="K960" s="18" t="n">
        <f aca="false">IF(OR(A960="",B960=""),0,IF(COUNTIFS(A$2:A960,A960,B$2:B960,B960)=1,1,0))</f>
        <v>0</v>
      </c>
    </row>
    <row r="961" customFormat="false" ht="15" hidden="false" customHeight="false" outlineLevel="0" collapsed="false">
      <c r="A961" s="15"/>
      <c r="B961" s="15"/>
      <c r="C961" s="15"/>
      <c r="D961" s="15"/>
      <c r="F961" s="18" t="str">
        <f aca="false">IF(B961="","",IFERROR(INDEX(Materials!$B$2:$B$201,MATCH(B961,Materials!$A$2:$A$201,0)),""))</f>
        <v/>
      </c>
      <c r="G961" s="18" t="str">
        <f aca="true">IF(AND(A961="",B961=""),"",IF(A961="","Missing product",IF(B961="","Missing material",IF(COUNTIF(ProductList,A961)=0,"Product not in Products list",IF(COUNTIF(MaterialList,B961)=0,"Material not in Materials list","OK")))))</f>
        <v/>
      </c>
      <c r="H961" s="18" t="str">
        <f aca="false">IF(F961="Active",A961&amp;"|"&amp;COUNTIFS(A$2:A961,A961,F$2:F961,"Active"),"")</f>
        <v/>
      </c>
      <c r="I961" s="18" t="str">
        <f aca="false">IF(B961="","",IF(SUMPRODUCT(MAX((A$1:A960=A961)*(B$1:B960=B961)*ROW(A$1:A960)))=0,C961&amp;"",IF(C961="",INDEX(I$1:I960,SUMPRODUCT(MAX((A$1:A960=A961)*(B$1:B960=B961)*ROW(A$1:A960)))),IF(INDEX(I$1:I960,SUMPRODUCT(MAX((A$1:A960=A961)*(B$1:B960=B961)*ROW(A$1:A960))))="",C961&amp;"",INDEX(I$1:I960,SUMPRODUCT(MAX((A$1:A960=A961)*(B$1:B960=B961)*ROW(A$1:A960))))&amp;"; "&amp;C961))))</f>
        <v/>
      </c>
      <c r="J961" s="18" t="str">
        <f aca="false">IF(A961="","",A961&amp;"|"&amp;COUNTIF(A$2:A961,A961))</f>
        <v/>
      </c>
      <c r="K961" s="18" t="n">
        <f aca="false">IF(OR(A961="",B961=""),0,IF(COUNTIFS(A$2:A961,A961,B$2:B961,B961)=1,1,0))</f>
        <v>0</v>
      </c>
    </row>
    <row r="962" customFormat="false" ht="15" hidden="false" customHeight="false" outlineLevel="0" collapsed="false">
      <c r="A962" s="15"/>
      <c r="B962" s="15"/>
      <c r="C962" s="15"/>
      <c r="D962" s="15"/>
      <c r="F962" s="18" t="str">
        <f aca="false">IF(B962="","",IFERROR(INDEX(Materials!$B$2:$B$201,MATCH(B962,Materials!$A$2:$A$201,0)),""))</f>
        <v/>
      </c>
      <c r="G962" s="18" t="str">
        <f aca="true">IF(AND(A962="",B962=""),"",IF(A962="","Missing product",IF(B962="","Missing material",IF(COUNTIF(ProductList,A962)=0,"Product not in Products list",IF(COUNTIF(MaterialList,B962)=0,"Material not in Materials list","OK")))))</f>
        <v/>
      </c>
      <c r="H962" s="18" t="str">
        <f aca="false">IF(F962="Active",A962&amp;"|"&amp;COUNTIFS(A$2:A962,A962,F$2:F962,"Active"),"")</f>
        <v/>
      </c>
      <c r="I962" s="18" t="str">
        <f aca="false">IF(B962="","",IF(SUMPRODUCT(MAX((A$1:A961=A962)*(B$1:B961=B962)*ROW(A$1:A961)))=0,C962&amp;"",IF(C962="",INDEX(I$1:I961,SUMPRODUCT(MAX((A$1:A961=A962)*(B$1:B961=B962)*ROW(A$1:A961)))),IF(INDEX(I$1:I961,SUMPRODUCT(MAX((A$1:A961=A962)*(B$1:B961=B962)*ROW(A$1:A961))))="",C962&amp;"",INDEX(I$1:I961,SUMPRODUCT(MAX((A$1:A961=A962)*(B$1:B961=B962)*ROW(A$1:A961))))&amp;"; "&amp;C962))))</f>
        <v/>
      </c>
      <c r="J962" s="18" t="str">
        <f aca="false">IF(A962="","",A962&amp;"|"&amp;COUNTIF(A$2:A962,A962))</f>
        <v/>
      </c>
      <c r="K962" s="18" t="n">
        <f aca="false">IF(OR(A962="",B962=""),0,IF(COUNTIFS(A$2:A962,A962,B$2:B962,B962)=1,1,0))</f>
        <v>0</v>
      </c>
    </row>
    <row r="963" customFormat="false" ht="15" hidden="false" customHeight="false" outlineLevel="0" collapsed="false">
      <c r="A963" s="15"/>
      <c r="B963" s="15"/>
      <c r="C963" s="15"/>
      <c r="D963" s="15"/>
      <c r="F963" s="18" t="str">
        <f aca="false">IF(B963="","",IFERROR(INDEX(Materials!$B$2:$B$201,MATCH(B963,Materials!$A$2:$A$201,0)),""))</f>
        <v/>
      </c>
      <c r="G963" s="18" t="str">
        <f aca="true">IF(AND(A963="",B963=""),"",IF(A963="","Missing product",IF(B963="","Missing material",IF(COUNTIF(ProductList,A963)=0,"Product not in Products list",IF(COUNTIF(MaterialList,B963)=0,"Material not in Materials list","OK")))))</f>
        <v/>
      </c>
      <c r="H963" s="18" t="str">
        <f aca="false">IF(F963="Active",A963&amp;"|"&amp;COUNTIFS(A$2:A963,A963,F$2:F963,"Active"),"")</f>
        <v/>
      </c>
      <c r="I963" s="18" t="str">
        <f aca="false">IF(B963="","",IF(SUMPRODUCT(MAX((A$1:A962=A963)*(B$1:B962=B963)*ROW(A$1:A962)))=0,C963&amp;"",IF(C963="",INDEX(I$1:I962,SUMPRODUCT(MAX((A$1:A962=A963)*(B$1:B962=B963)*ROW(A$1:A962)))),IF(INDEX(I$1:I962,SUMPRODUCT(MAX((A$1:A962=A963)*(B$1:B962=B963)*ROW(A$1:A962))))="",C963&amp;"",INDEX(I$1:I962,SUMPRODUCT(MAX((A$1:A962=A963)*(B$1:B962=B963)*ROW(A$1:A962))))&amp;"; "&amp;C963))))</f>
        <v/>
      </c>
      <c r="J963" s="18" t="str">
        <f aca="false">IF(A963="","",A963&amp;"|"&amp;COUNTIF(A$2:A963,A963))</f>
        <v/>
      </c>
      <c r="K963" s="18" t="n">
        <f aca="false">IF(OR(A963="",B963=""),0,IF(COUNTIFS(A$2:A963,A963,B$2:B963,B963)=1,1,0))</f>
        <v>0</v>
      </c>
    </row>
    <row r="964" customFormat="false" ht="15" hidden="false" customHeight="false" outlineLevel="0" collapsed="false">
      <c r="A964" s="15"/>
      <c r="B964" s="15"/>
      <c r="C964" s="15"/>
      <c r="D964" s="15"/>
      <c r="F964" s="18" t="str">
        <f aca="false">IF(B964="","",IFERROR(INDEX(Materials!$B$2:$B$201,MATCH(B964,Materials!$A$2:$A$201,0)),""))</f>
        <v/>
      </c>
      <c r="G964" s="18" t="str">
        <f aca="true">IF(AND(A964="",B964=""),"",IF(A964="","Missing product",IF(B964="","Missing material",IF(COUNTIF(ProductList,A964)=0,"Product not in Products list",IF(COUNTIF(MaterialList,B964)=0,"Material not in Materials list","OK")))))</f>
        <v/>
      </c>
      <c r="H964" s="18" t="str">
        <f aca="false">IF(F964="Active",A964&amp;"|"&amp;COUNTIFS(A$2:A964,A964,F$2:F964,"Active"),"")</f>
        <v/>
      </c>
      <c r="I964" s="18" t="str">
        <f aca="false">IF(B964="","",IF(SUMPRODUCT(MAX((A$1:A963=A964)*(B$1:B963=B964)*ROW(A$1:A963)))=0,C964&amp;"",IF(C964="",INDEX(I$1:I963,SUMPRODUCT(MAX((A$1:A963=A964)*(B$1:B963=B964)*ROW(A$1:A963)))),IF(INDEX(I$1:I963,SUMPRODUCT(MAX((A$1:A963=A964)*(B$1:B963=B964)*ROW(A$1:A963))))="",C964&amp;"",INDEX(I$1:I963,SUMPRODUCT(MAX((A$1:A963=A964)*(B$1:B963=B964)*ROW(A$1:A963))))&amp;"; "&amp;C964))))</f>
        <v/>
      </c>
      <c r="J964" s="18" t="str">
        <f aca="false">IF(A964="","",A964&amp;"|"&amp;COUNTIF(A$2:A964,A964))</f>
        <v/>
      </c>
      <c r="K964" s="18" t="n">
        <f aca="false">IF(OR(A964="",B964=""),0,IF(COUNTIFS(A$2:A964,A964,B$2:B964,B964)=1,1,0))</f>
        <v>0</v>
      </c>
    </row>
    <row r="965" customFormat="false" ht="15" hidden="false" customHeight="false" outlineLevel="0" collapsed="false">
      <c r="A965" s="15"/>
      <c r="B965" s="15"/>
      <c r="C965" s="15"/>
      <c r="D965" s="15"/>
      <c r="F965" s="18" t="str">
        <f aca="false">IF(B965="","",IFERROR(INDEX(Materials!$B$2:$B$201,MATCH(B965,Materials!$A$2:$A$201,0)),""))</f>
        <v/>
      </c>
      <c r="G965" s="18" t="str">
        <f aca="true">IF(AND(A965="",B965=""),"",IF(A965="","Missing product",IF(B965="","Missing material",IF(COUNTIF(ProductList,A965)=0,"Product not in Products list",IF(COUNTIF(MaterialList,B965)=0,"Material not in Materials list","OK")))))</f>
        <v/>
      </c>
      <c r="H965" s="18" t="str">
        <f aca="false">IF(F965="Active",A965&amp;"|"&amp;COUNTIFS(A$2:A965,A965,F$2:F965,"Active"),"")</f>
        <v/>
      </c>
      <c r="I965" s="18" t="str">
        <f aca="false">IF(B965="","",IF(SUMPRODUCT(MAX((A$1:A964=A965)*(B$1:B964=B965)*ROW(A$1:A964)))=0,C965&amp;"",IF(C965="",INDEX(I$1:I964,SUMPRODUCT(MAX((A$1:A964=A965)*(B$1:B964=B965)*ROW(A$1:A964)))),IF(INDEX(I$1:I964,SUMPRODUCT(MAX((A$1:A964=A965)*(B$1:B964=B965)*ROW(A$1:A964))))="",C965&amp;"",INDEX(I$1:I964,SUMPRODUCT(MAX((A$1:A964=A965)*(B$1:B964=B965)*ROW(A$1:A964))))&amp;"; "&amp;C965))))</f>
        <v/>
      </c>
      <c r="J965" s="18" t="str">
        <f aca="false">IF(A965="","",A965&amp;"|"&amp;COUNTIF(A$2:A965,A965))</f>
        <v/>
      </c>
      <c r="K965" s="18" t="n">
        <f aca="false">IF(OR(A965="",B965=""),0,IF(COUNTIFS(A$2:A965,A965,B$2:B965,B965)=1,1,0))</f>
        <v>0</v>
      </c>
    </row>
    <row r="966" customFormat="false" ht="15" hidden="false" customHeight="false" outlineLevel="0" collapsed="false">
      <c r="A966" s="15"/>
      <c r="B966" s="15"/>
      <c r="C966" s="15"/>
      <c r="D966" s="15"/>
      <c r="F966" s="18" t="str">
        <f aca="false">IF(B966="","",IFERROR(INDEX(Materials!$B$2:$B$201,MATCH(B966,Materials!$A$2:$A$201,0)),""))</f>
        <v/>
      </c>
      <c r="G966" s="18" t="str">
        <f aca="true">IF(AND(A966="",B966=""),"",IF(A966="","Missing product",IF(B966="","Missing material",IF(COUNTIF(ProductList,A966)=0,"Product not in Products list",IF(COUNTIF(MaterialList,B966)=0,"Material not in Materials list","OK")))))</f>
        <v/>
      </c>
      <c r="H966" s="18" t="str">
        <f aca="false">IF(F966="Active",A966&amp;"|"&amp;COUNTIFS(A$2:A966,A966,F$2:F966,"Active"),"")</f>
        <v/>
      </c>
      <c r="I966" s="18" t="str">
        <f aca="false">IF(B966="","",IF(SUMPRODUCT(MAX((A$1:A965=A966)*(B$1:B965=B966)*ROW(A$1:A965)))=0,C966&amp;"",IF(C966="",INDEX(I$1:I965,SUMPRODUCT(MAX((A$1:A965=A966)*(B$1:B965=B966)*ROW(A$1:A965)))),IF(INDEX(I$1:I965,SUMPRODUCT(MAX((A$1:A965=A966)*(B$1:B965=B966)*ROW(A$1:A965))))="",C966&amp;"",INDEX(I$1:I965,SUMPRODUCT(MAX((A$1:A965=A966)*(B$1:B965=B966)*ROW(A$1:A965))))&amp;"; "&amp;C966))))</f>
        <v/>
      </c>
      <c r="J966" s="18" t="str">
        <f aca="false">IF(A966="","",A966&amp;"|"&amp;COUNTIF(A$2:A966,A966))</f>
        <v/>
      </c>
      <c r="K966" s="18" t="n">
        <f aca="false">IF(OR(A966="",B966=""),0,IF(COUNTIFS(A$2:A966,A966,B$2:B966,B966)=1,1,0))</f>
        <v>0</v>
      </c>
    </row>
    <row r="967" customFormat="false" ht="15" hidden="false" customHeight="false" outlineLevel="0" collapsed="false">
      <c r="A967" s="15"/>
      <c r="B967" s="15"/>
      <c r="C967" s="15"/>
      <c r="D967" s="15"/>
      <c r="F967" s="18" t="str">
        <f aca="false">IF(B967="","",IFERROR(INDEX(Materials!$B$2:$B$201,MATCH(B967,Materials!$A$2:$A$201,0)),""))</f>
        <v/>
      </c>
      <c r="G967" s="18" t="str">
        <f aca="true">IF(AND(A967="",B967=""),"",IF(A967="","Missing product",IF(B967="","Missing material",IF(COUNTIF(ProductList,A967)=0,"Product not in Products list",IF(COUNTIF(MaterialList,B967)=0,"Material not in Materials list","OK")))))</f>
        <v/>
      </c>
      <c r="H967" s="18" t="str">
        <f aca="false">IF(F967="Active",A967&amp;"|"&amp;COUNTIFS(A$2:A967,A967,F$2:F967,"Active"),"")</f>
        <v/>
      </c>
      <c r="I967" s="18" t="str">
        <f aca="false">IF(B967="","",IF(SUMPRODUCT(MAX((A$1:A966=A967)*(B$1:B966=B967)*ROW(A$1:A966)))=0,C967&amp;"",IF(C967="",INDEX(I$1:I966,SUMPRODUCT(MAX((A$1:A966=A967)*(B$1:B966=B967)*ROW(A$1:A966)))),IF(INDEX(I$1:I966,SUMPRODUCT(MAX((A$1:A966=A967)*(B$1:B966=B967)*ROW(A$1:A966))))="",C967&amp;"",INDEX(I$1:I966,SUMPRODUCT(MAX((A$1:A966=A967)*(B$1:B966=B967)*ROW(A$1:A966))))&amp;"; "&amp;C967))))</f>
        <v/>
      </c>
      <c r="J967" s="18" t="str">
        <f aca="false">IF(A967="","",A967&amp;"|"&amp;COUNTIF(A$2:A967,A967))</f>
        <v/>
      </c>
      <c r="K967" s="18" t="n">
        <f aca="false">IF(OR(A967="",B967=""),0,IF(COUNTIFS(A$2:A967,A967,B$2:B967,B967)=1,1,0))</f>
        <v>0</v>
      </c>
    </row>
    <row r="968" customFormat="false" ht="15" hidden="false" customHeight="false" outlineLevel="0" collapsed="false">
      <c r="A968" s="15"/>
      <c r="B968" s="15"/>
      <c r="C968" s="15"/>
      <c r="D968" s="15"/>
      <c r="F968" s="18" t="str">
        <f aca="false">IF(B968="","",IFERROR(INDEX(Materials!$B$2:$B$201,MATCH(B968,Materials!$A$2:$A$201,0)),""))</f>
        <v/>
      </c>
      <c r="G968" s="18" t="str">
        <f aca="true">IF(AND(A968="",B968=""),"",IF(A968="","Missing product",IF(B968="","Missing material",IF(COUNTIF(ProductList,A968)=0,"Product not in Products list",IF(COUNTIF(MaterialList,B968)=0,"Material not in Materials list","OK")))))</f>
        <v/>
      </c>
      <c r="H968" s="18" t="str">
        <f aca="false">IF(F968="Active",A968&amp;"|"&amp;COUNTIFS(A$2:A968,A968,F$2:F968,"Active"),"")</f>
        <v/>
      </c>
      <c r="I968" s="18" t="str">
        <f aca="false">IF(B968="","",IF(SUMPRODUCT(MAX((A$1:A967=A968)*(B$1:B967=B968)*ROW(A$1:A967)))=0,C968&amp;"",IF(C968="",INDEX(I$1:I967,SUMPRODUCT(MAX((A$1:A967=A968)*(B$1:B967=B968)*ROW(A$1:A967)))),IF(INDEX(I$1:I967,SUMPRODUCT(MAX((A$1:A967=A968)*(B$1:B967=B968)*ROW(A$1:A967))))="",C968&amp;"",INDEX(I$1:I967,SUMPRODUCT(MAX((A$1:A967=A968)*(B$1:B967=B968)*ROW(A$1:A967))))&amp;"; "&amp;C968))))</f>
        <v/>
      </c>
      <c r="J968" s="18" t="str">
        <f aca="false">IF(A968="","",A968&amp;"|"&amp;COUNTIF(A$2:A968,A968))</f>
        <v/>
      </c>
      <c r="K968" s="18" t="n">
        <f aca="false">IF(OR(A968="",B968=""),0,IF(COUNTIFS(A$2:A968,A968,B$2:B968,B968)=1,1,0))</f>
        <v>0</v>
      </c>
    </row>
    <row r="969" customFormat="false" ht="15" hidden="false" customHeight="false" outlineLevel="0" collapsed="false">
      <c r="A969" s="15"/>
      <c r="B969" s="15"/>
      <c r="C969" s="15"/>
      <c r="D969" s="15"/>
      <c r="F969" s="18" t="str">
        <f aca="false">IF(B969="","",IFERROR(INDEX(Materials!$B$2:$B$201,MATCH(B969,Materials!$A$2:$A$201,0)),""))</f>
        <v/>
      </c>
      <c r="G969" s="18" t="str">
        <f aca="true">IF(AND(A969="",B969=""),"",IF(A969="","Missing product",IF(B969="","Missing material",IF(COUNTIF(ProductList,A969)=0,"Product not in Products list",IF(COUNTIF(MaterialList,B969)=0,"Material not in Materials list","OK")))))</f>
        <v/>
      </c>
      <c r="H969" s="18" t="str">
        <f aca="false">IF(F969="Active",A969&amp;"|"&amp;COUNTIFS(A$2:A969,A969,F$2:F969,"Active"),"")</f>
        <v/>
      </c>
      <c r="I969" s="18" t="str">
        <f aca="false">IF(B969="","",IF(SUMPRODUCT(MAX((A$1:A968=A969)*(B$1:B968=B969)*ROW(A$1:A968)))=0,C969&amp;"",IF(C969="",INDEX(I$1:I968,SUMPRODUCT(MAX((A$1:A968=A969)*(B$1:B968=B969)*ROW(A$1:A968)))),IF(INDEX(I$1:I968,SUMPRODUCT(MAX((A$1:A968=A969)*(B$1:B968=B969)*ROW(A$1:A968))))="",C969&amp;"",INDEX(I$1:I968,SUMPRODUCT(MAX((A$1:A968=A969)*(B$1:B968=B969)*ROW(A$1:A968))))&amp;"; "&amp;C969))))</f>
        <v/>
      </c>
      <c r="J969" s="18" t="str">
        <f aca="false">IF(A969="","",A969&amp;"|"&amp;COUNTIF(A$2:A969,A969))</f>
        <v/>
      </c>
      <c r="K969" s="18" t="n">
        <f aca="false">IF(OR(A969="",B969=""),0,IF(COUNTIFS(A$2:A969,A969,B$2:B969,B969)=1,1,0))</f>
        <v>0</v>
      </c>
    </row>
    <row r="970" customFormat="false" ht="15" hidden="false" customHeight="false" outlineLevel="0" collapsed="false">
      <c r="A970" s="15"/>
      <c r="B970" s="15"/>
      <c r="C970" s="15"/>
      <c r="D970" s="15"/>
      <c r="F970" s="18" t="str">
        <f aca="false">IF(B970="","",IFERROR(INDEX(Materials!$B$2:$B$201,MATCH(B970,Materials!$A$2:$A$201,0)),""))</f>
        <v/>
      </c>
      <c r="G970" s="18" t="str">
        <f aca="true">IF(AND(A970="",B970=""),"",IF(A970="","Missing product",IF(B970="","Missing material",IF(COUNTIF(ProductList,A970)=0,"Product not in Products list",IF(COUNTIF(MaterialList,B970)=0,"Material not in Materials list","OK")))))</f>
        <v/>
      </c>
      <c r="H970" s="18" t="str">
        <f aca="false">IF(F970="Active",A970&amp;"|"&amp;COUNTIFS(A$2:A970,A970,F$2:F970,"Active"),"")</f>
        <v/>
      </c>
      <c r="I970" s="18" t="str">
        <f aca="false">IF(B970="","",IF(SUMPRODUCT(MAX((A$1:A969=A970)*(B$1:B969=B970)*ROW(A$1:A969)))=0,C970&amp;"",IF(C970="",INDEX(I$1:I969,SUMPRODUCT(MAX((A$1:A969=A970)*(B$1:B969=B970)*ROW(A$1:A969)))),IF(INDEX(I$1:I969,SUMPRODUCT(MAX((A$1:A969=A970)*(B$1:B969=B970)*ROW(A$1:A969))))="",C970&amp;"",INDEX(I$1:I969,SUMPRODUCT(MAX((A$1:A969=A970)*(B$1:B969=B970)*ROW(A$1:A969))))&amp;"; "&amp;C970))))</f>
        <v/>
      </c>
      <c r="J970" s="18" t="str">
        <f aca="false">IF(A970="","",A970&amp;"|"&amp;COUNTIF(A$2:A970,A970))</f>
        <v/>
      </c>
      <c r="K970" s="18" t="n">
        <f aca="false">IF(OR(A970="",B970=""),0,IF(COUNTIFS(A$2:A970,A970,B$2:B970,B970)=1,1,0))</f>
        <v>0</v>
      </c>
    </row>
    <row r="971" customFormat="false" ht="15" hidden="false" customHeight="false" outlineLevel="0" collapsed="false">
      <c r="A971" s="15"/>
      <c r="B971" s="15"/>
      <c r="C971" s="15"/>
      <c r="D971" s="15"/>
      <c r="F971" s="18" t="str">
        <f aca="false">IF(B971="","",IFERROR(INDEX(Materials!$B$2:$B$201,MATCH(B971,Materials!$A$2:$A$201,0)),""))</f>
        <v/>
      </c>
      <c r="G971" s="18" t="str">
        <f aca="true">IF(AND(A971="",B971=""),"",IF(A971="","Missing product",IF(B971="","Missing material",IF(COUNTIF(ProductList,A971)=0,"Product not in Products list",IF(COUNTIF(MaterialList,B971)=0,"Material not in Materials list","OK")))))</f>
        <v/>
      </c>
      <c r="H971" s="18" t="str">
        <f aca="false">IF(F971="Active",A971&amp;"|"&amp;COUNTIFS(A$2:A971,A971,F$2:F971,"Active"),"")</f>
        <v/>
      </c>
      <c r="I971" s="18" t="str">
        <f aca="false">IF(B971="","",IF(SUMPRODUCT(MAX((A$1:A970=A971)*(B$1:B970=B971)*ROW(A$1:A970)))=0,C971&amp;"",IF(C971="",INDEX(I$1:I970,SUMPRODUCT(MAX((A$1:A970=A971)*(B$1:B970=B971)*ROW(A$1:A970)))),IF(INDEX(I$1:I970,SUMPRODUCT(MAX((A$1:A970=A971)*(B$1:B970=B971)*ROW(A$1:A970))))="",C971&amp;"",INDEX(I$1:I970,SUMPRODUCT(MAX((A$1:A970=A971)*(B$1:B970=B971)*ROW(A$1:A970))))&amp;"; "&amp;C971))))</f>
        <v/>
      </c>
      <c r="J971" s="18" t="str">
        <f aca="false">IF(A971="","",A971&amp;"|"&amp;COUNTIF(A$2:A971,A971))</f>
        <v/>
      </c>
      <c r="K971" s="18" t="n">
        <f aca="false">IF(OR(A971="",B971=""),0,IF(COUNTIFS(A$2:A971,A971,B$2:B971,B971)=1,1,0))</f>
        <v>0</v>
      </c>
    </row>
    <row r="972" customFormat="false" ht="15" hidden="false" customHeight="false" outlineLevel="0" collapsed="false">
      <c r="A972" s="15"/>
      <c r="B972" s="15"/>
      <c r="C972" s="15"/>
      <c r="D972" s="15"/>
      <c r="F972" s="18" t="str">
        <f aca="false">IF(B972="","",IFERROR(INDEX(Materials!$B$2:$B$201,MATCH(B972,Materials!$A$2:$A$201,0)),""))</f>
        <v/>
      </c>
      <c r="G972" s="18" t="str">
        <f aca="true">IF(AND(A972="",B972=""),"",IF(A972="","Missing product",IF(B972="","Missing material",IF(COUNTIF(ProductList,A972)=0,"Product not in Products list",IF(COUNTIF(MaterialList,B972)=0,"Material not in Materials list","OK")))))</f>
        <v/>
      </c>
      <c r="H972" s="18" t="str">
        <f aca="false">IF(F972="Active",A972&amp;"|"&amp;COUNTIFS(A$2:A972,A972,F$2:F972,"Active"),"")</f>
        <v/>
      </c>
      <c r="I972" s="18" t="str">
        <f aca="false">IF(B972="","",IF(SUMPRODUCT(MAX((A$1:A971=A972)*(B$1:B971=B972)*ROW(A$1:A971)))=0,C972&amp;"",IF(C972="",INDEX(I$1:I971,SUMPRODUCT(MAX((A$1:A971=A972)*(B$1:B971=B972)*ROW(A$1:A971)))),IF(INDEX(I$1:I971,SUMPRODUCT(MAX((A$1:A971=A972)*(B$1:B971=B972)*ROW(A$1:A971))))="",C972&amp;"",INDEX(I$1:I971,SUMPRODUCT(MAX((A$1:A971=A972)*(B$1:B971=B972)*ROW(A$1:A971))))&amp;"; "&amp;C972))))</f>
        <v/>
      </c>
      <c r="J972" s="18" t="str">
        <f aca="false">IF(A972="","",A972&amp;"|"&amp;COUNTIF(A$2:A972,A972))</f>
        <v/>
      </c>
      <c r="K972" s="18" t="n">
        <f aca="false">IF(OR(A972="",B972=""),0,IF(COUNTIFS(A$2:A972,A972,B$2:B972,B972)=1,1,0))</f>
        <v>0</v>
      </c>
    </row>
    <row r="973" customFormat="false" ht="15" hidden="false" customHeight="false" outlineLevel="0" collapsed="false">
      <c r="A973" s="15"/>
      <c r="B973" s="15"/>
      <c r="C973" s="15"/>
      <c r="D973" s="15"/>
      <c r="F973" s="18" t="str">
        <f aca="false">IF(B973="","",IFERROR(INDEX(Materials!$B$2:$B$201,MATCH(B973,Materials!$A$2:$A$201,0)),""))</f>
        <v/>
      </c>
      <c r="G973" s="18" t="str">
        <f aca="true">IF(AND(A973="",B973=""),"",IF(A973="","Missing product",IF(B973="","Missing material",IF(COUNTIF(ProductList,A973)=0,"Product not in Products list",IF(COUNTIF(MaterialList,B973)=0,"Material not in Materials list","OK")))))</f>
        <v/>
      </c>
      <c r="H973" s="18" t="str">
        <f aca="false">IF(F973="Active",A973&amp;"|"&amp;COUNTIFS(A$2:A973,A973,F$2:F973,"Active"),"")</f>
        <v/>
      </c>
      <c r="I973" s="18" t="str">
        <f aca="false">IF(B973="","",IF(SUMPRODUCT(MAX((A$1:A972=A973)*(B$1:B972=B973)*ROW(A$1:A972)))=0,C973&amp;"",IF(C973="",INDEX(I$1:I972,SUMPRODUCT(MAX((A$1:A972=A973)*(B$1:B972=B973)*ROW(A$1:A972)))),IF(INDEX(I$1:I972,SUMPRODUCT(MAX((A$1:A972=A973)*(B$1:B972=B973)*ROW(A$1:A972))))="",C973&amp;"",INDEX(I$1:I972,SUMPRODUCT(MAX((A$1:A972=A973)*(B$1:B972=B973)*ROW(A$1:A972))))&amp;"; "&amp;C973))))</f>
        <v/>
      </c>
      <c r="J973" s="18" t="str">
        <f aca="false">IF(A973="","",A973&amp;"|"&amp;COUNTIF(A$2:A973,A973))</f>
        <v/>
      </c>
      <c r="K973" s="18" t="n">
        <f aca="false">IF(OR(A973="",B973=""),0,IF(COUNTIFS(A$2:A973,A973,B$2:B973,B973)=1,1,0))</f>
        <v>0</v>
      </c>
    </row>
    <row r="974" customFormat="false" ht="15" hidden="false" customHeight="false" outlineLevel="0" collapsed="false">
      <c r="A974" s="15"/>
      <c r="B974" s="15"/>
      <c r="C974" s="15"/>
      <c r="D974" s="15"/>
      <c r="F974" s="18" t="str">
        <f aca="false">IF(B974="","",IFERROR(INDEX(Materials!$B$2:$B$201,MATCH(B974,Materials!$A$2:$A$201,0)),""))</f>
        <v/>
      </c>
      <c r="G974" s="18" t="str">
        <f aca="true">IF(AND(A974="",B974=""),"",IF(A974="","Missing product",IF(B974="","Missing material",IF(COUNTIF(ProductList,A974)=0,"Product not in Products list",IF(COUNTIF(MaterialList,B974)=0,"Material not in Materials list","OK")))))</f>
        <v/>
      </c>
      <c r="H974" s="18" t="str">
        <f aca="false">IF(F974="Active",A974&amp;"|"&amp;COUNTIFS(A$2:A974,A974,F$2:F974,"Active"),"")</f>
        <v/>
      </c>
      <c r="I974" s="18" t="str">
        <f aca="false">IF(B974="","",IF(SUMPRODUCT(MAX((A$1:A973=A974)*(B$1:B973=B974)*ROW(A$1:A973)))=0,C974&amp;"",IF(C974="",INDEX(I$1:I973,SUMPRODUCT(MAX((A$1:A973=A974)*(B$1:B973=B974)*ROW(A$1:A973)))),IF(INDEX(I$1:I973,SUMPRODUCT(MAX((A$1:A973=A974)*(B$1:B973=B974)*ROW(A$1:A973))))="",C974&amp;"",INDEX(I$1:I973,SUMPRODUCT(MAX((A$1:A973=A974)*(B$1:B973=B974)*ROW(A$1:A973))))&amp;"; "&amp;C974))))</f>
        <v/>
      </c>
      <c r="J974" s="18" t="str">
        <f aca="false">IF(A974="","",A974&amp;"|"&amp;COUNTIF(A$2:A974,A974))</f>
        <v/>
      </c>
      <c r="K974" s="18" t="n">
        <f aca="false">IF(OR(A974="",B974=""),0,IF(COUNTIFS(A$2:A974,A974,B$2:B974,B974)=1,1,0))</f>
        <v>0</v>
      </c>
    </row>
    <row r="975" customFormat="false" ht="15" hidden="false" customHeight="false" outlineLevel="0" collapsed="false">
      <c r="A975" s="15"/>
      <c r="B975" s="15"/>
      <c r="C975" s="15"/>
      <c r="D975" s="15"/>
      <c r="F975" s="18" t="str">
        <f aca="false">IF(B975="","",IFERROR(INDEX(Materials!$B$2:$B$201,MATCH(B975,Materials!$A$2:$A$201,0)),""))</f>
        <v/>
      </c>
      <c r="G975" s="18" t="str">
        <f aca="true">IF(AND(A975="",B975=""),"",IF(A975="","Missing product",IF(B975="","Missing material",IF(COUNTIF(ProductList,A975)=0,"Product not in Products list",IF(COUNTIF(MaterialList,B975)=0,"Material not in Materials list","OK")))))</f>
        <v/>
      </c>
      <c r="H975" s="18" t="str">
        <f aca="false">IF(F975="Active",A975&amp;"|"&amp;COUNTIFS(A$2:A975,A975,F$2:F975,"Active"),"")</f>
        <v/>
      </c>
      <c r="I975" s="18" t="str">
        <f aca="false">IF(B975="","",IF(SUMPRODUCT(MAX((A$1:A974=A975)*(B$1:B974=B975)*ROW(A$1:A974)))=0,C975&amp;"",IF(C975="",INDEX(I$1:I974,SUMPRODUCT(MAX((A$1:A974=A975)*(B$1:B974=B975)*ROW(A$1:A974)))),IF(INDEX(I$1:I974,SUMPRODUCT(MAX((A$1:A974=A975)*(B$1:B974=B975)*ROW(A$1:A974))))="",C975&amp;"",INDEX(I$1:I974,SUMPRODUCT(MAX((A$1:A974=A975)*(B$1:B974=B975)*ROW(A$1:A974))))&amp;"; "&amp;C975))))</f>
        <v/>
      </c>
      <c r="J975" s="18" t="str">
        <f aca="false">IF(A975="","",A975&amp;"|"&amp;COUNTIF(A$2:A975,A975))</f>
        <v/>
      </c>
      <c r="K975" s="18" t="n">
        <f aca="false">IF(OR(A975="",B975=""),0,IF(COUNTIFS(A$2:A975,A975,B$2:B975,B975)=1,1,0))</f>
        <v>0</v>
      </c>
    </row>
    <row r="976" customFormat="false" ht="15" hidden="false" customHeight="false" outlineLevel="0" collapsed="false">
      <c r="A976" s="15"/>
      <c r="B976" s="15"/>
      <c r="C976" s="15"/>
      <c r="D976" s="15"/>
      <c r="F976" s="18" t="str">
        <f aca="false">IF(B976="","",IFERROR(INDEX(Materials!$B$2:$B$201,MATCH(B976,Materials!$A$2:$A$201,0)),""))</f>
        <v/>
      </c>
      <c r="G976" s="18" t="str">
        <f aca="true">IF(AND(A976="",B976=""),"",IF(A976="","Missing product",IF(B976="","Missing material",IF(COUNTIF(ProductList,A976)=0,"Product not in Products list",IF(COUNTIF(MaterialList,B976)=0,"Material not in Materials list","OK")))))</f>
        <v/>
      </c>
      <c r="H976" s="18" t="str">
        <f aca="false">IF(F976="Active",A976&amp;"|"&amp;COUNTIFS(A$2:A976,A976,F$2:F976,"Active"),"")</f>
        <v/>
      </c>
      <c r="I976" s="18" t="str">
        <f aca="false">IF(B976="","",IF(SUMPRODUCT(MAX((A$1:A975=A976)*(B$1:B975=B976)*ROW(A$1:A975)))=0,C976&amp;"",IF(C976="",INDEX(I$1:I975,SUMPRODUCT(MAX((A$1:A975=A976)*(B$1:B975=B976)*ROW(A$1:A975)))),IF(INDEX(I$1:I975,SUMPRODUCT(MAX((A$1:A975=A976)*(B$1:B975=B976)*ROW(A$1:A975))))="",C976&amp;"",INDEX(I$1:I975,SUMPRODUCT(MAX((A$1:A975=A976)*(B$1:B975=B976)*ROW(A$1:A975))))&amp;"; "&amp;C976))))</f>
        <v/>
      </c>
      <c r="J976" s="18" t="str">
        <f aca="false">IF(A976="","",A976&amp;"|"&amp;COUNTIF(A$2:A976,A976))</f>
        <v/>
      </c>
      <c r="K976" s="18" t="n">
        <f aca="false">IF(OR(A976="",B976=""),0,IF(COUNTIFS(A$2:A976,A976,B$2:B976,B976)=1,1,0))</f>
        <v>0</v>
      </c>
    </row>
    <row r="977" customFormat="false" ht="15" hidden="false" customHeight="false" outlineLevel="0" collapsed="false">
      <c r="A977" s="15"/>
      <c r="B977" s="15"/>
      <c r="C977" s="15"/>
      <c r="D977" s="15"/>
      <c r="F977" s="18" t="str">
        <f aca="false">IF(B977="","",IFERROR(INDEX(Materials!$B$2:$B$201,MATCH(B977,Materials!$A$2:$A$201,0)),""))</f>
        <v/>
      </c>
      <c r="G977" s="18" t="str">
        <f aca="true">IF(AND(A977="",B977=""),"",IF(A977="","Missing product",IF(B977="","Missing material",IF(COUNTIF(ProductList,A977)=0,"Product not in Products list",IF(COUNTIF(MaterialList,B977)=0,"Material not in Materials list","OK")))))</f>
        <v/>
      </c>
      <c r="H977" s="18" t="str">
        <f aca="false">IF(F977="Active",A977&amp;"|"&amp;COUNTIFS(A$2:A977,A977,F$2:F977,"Active"),"")</f>
        <v/>
      </c>
      <c r="I977" s="18" t="str">
        <f aca="false">IF(B977="","",IF(SUMPRODUCT(MAX((A$1:A976=A977)*(B$1:B976=B977)*ROW(A$1:A976)))=0,C977&amp;"",IF(C977="",INDEX(I$1:I976,SUMPRODUCT(MAX((A$1:A976=A977)*(B$1:B976=B977)*ROW(A$1:A976)))),IF(INDEX(I$1:I976,SUMPRODUCT(MAX((A$1:A976=A977)*(B$1:B976=B977)*ROW(A$1:A976))))="",C977&amp;"",INDEX(I$1:I976,SUMPRODUCT(MAX((A$1:A976=A977)*(B$1:B976=B977)*ROW(A$1:A976))))&amp;"; "&amp;C977))))</f>
        <v/>
      </c>
      <c r="J977" s="18" t="str">
        <f aca="false">IF(A977="","",A977&amp;"|"&amp;COUNTIF(A$2:A977,A977))</f>
        <v/>
      </c>
      <c r="K977" s="18" t="n">
        <f aca="false">IF(OR(A977="",B977=""),0,IF(COUNTIFS(A$2:A977,A977,B$2:B977,B977)=1,1,0))</f>
        <v>0</v>
      </c>
    </row>
    <row r="978" customFormat="false" ht="15" hidden="false" customHeight="false" outlineLevel="0" collapsed="false">
      <c r="A978" s="15"/>
      <c r="B978" s="15"/>
      <c r="C978" s="15"/>
      <c r="D978" s="15"/>
      <c r="F978" s="18" t="str">
        <f aca="false">IF(B978="","",IFERROR(INDEX(Materials!$B$2:$B$201,MATCH(B978,Materials!$A$2:$A$201,0)),""))</f>
        <v/>
      </c>
      <c r="G978" s="18" t="str">
        <f aca="true">IF(AND(A978="",B978=""),"",IF(A978="","Missing product",IF(B978="","Missing material",IF(COUNTIF(ProductList,A978)=0,"Product not in Products list",IF(COUNTIF(MaterialList,B978)=0,"Material not in Materials list","OK")))))</f>
        <v/>
      </c>
      <c r="H978" s="18" t="str">
        <f aca="false">IF(F978="Active",A978&amp;"|"&amp;COUNTIFS(A$2:A978,A978,F$2:F978,"Active"),"")</f>
        <v/>
      </c>
      <c r="I978" s="18" t="str">
        <f aca="false">IF(B978="","",IF(SUMPRODUCT(MAX((A$1:A977=A978)*(B$1:B977=B978)*ROW(A$1:A977)))=0,C978&amp;"",IF(C978="",INDEX(I$1:I977,SUMPRODUCT(MAX((A$1:A977=A978)*(B$1:B977=B978)*ROW(A$1:A977)))),IF(INDEX(I$1:I977,SUMPRODUCT(MAX((A$1:A977=A978)*(B$1:B977=B978)*ROW(A$1:A977))))="",C978&amp;"",INDEX(I$1:I977,SUMPRODUCT(MAX((A$1:A977=A978)*(B$1:B977=B978)*ROW(A$1:A977))))&amp;"; "&amp;C978))))</f>
        <v/>
      </c>
      <c r="J978" s="18" t="str">
        <f aca="false">IF(A978="","",A978&amp;"|"&amp;COUNTIF(A$2:A978,A978))</f>
        <v/>
      </c>
      <c r="K978" s="18" t="n">
        <f aca="false">IF(OR(A978="",B978=""),0,IF(COUNTIFS(A$2:A978,A978,B$2:B978,B978)=1,1,0))</f>
        <v>0</v>
      </c>
    </row>
    <row r="979" customFormat="false" ht="15" hidden="false" customHeight="false" outlineLevel="0" collapsed="false">
      <c r="A979" s="15"/>
      <c r="B979" s="15"/>
      <c r="C979" s="15"/>
      <c r="D979" s="15"/>
      <c r="F979" s="18" t="str">
        <f aca="false">IF(B979="","",IFERROR(INDEX(Materials!$B$2:$B$201,MATCH(B979,Materials!$A$2:$A$201,0)),""))</f>
        <v/>
      </c>
      <c r="G979" s="18" t="str">
        <f aca="true">IF(AND(A979="",B979=""),"",IF(A979="","Missing product",IF(B979="","Missing material",IF(COUNTIF(ProductList,A979)=0,"Product not in Products list",IF(COUNTIF(MaterialList,B979)=0,"Material not in Materials list","OK")))))</f>
        <v/>
      </c>
      <c r="H979" s="18" t="str">
        <f aca="false">IF(F979="Active",A979&amp;"|"&amp;COUNTIFS(A$2:A979,A979,F$2:F979,"Active"),"")</f>
        <v/>
      </c>
      <c r="I979" s="18" t="str">
        <f aca="false">IF(B979="","",IF(SUMPRODUCT(MAX((A$1:A978=A979)*(B$1:B978=B979)*ROW(A$1:A978)))=0,C979&amp;"",IF(C979="",INDEX(I$1:I978,SUMPRODUCT(MAX((A$1:A978=A979)*(B$1:B978=B979)*ROW(A$1:A978)))),IF(INDEX(I$1:I978,SUMPRODUCT(MAX((A$1:A978=A979)*(B$1:B978=B979)*ROW(A$1:A978))))="",C979&amp;"",INDEX(I$1:I978,SUMPRODUCT(MAX((A$1:A978=A979)*(B$1:B978=B979)*ROW(A$1:A978))))&amp;"; "&amp;C979))))</f>
        <v/>
      </c>
      <c r="J979" s="18" t="str">
        <f aca="false">IF(A979="","",A979&amp;"|"&amp;COUNTIF(A$2:A979,A979))</f>
        <v/>
      </c>
      <c r="K979" s="18" t="n">
        <f aca="false">IF(OR(A979="",B979=""),0,IF(COUNTIFS(A$2:A979,A979,B$2:B979,B979)=1,1,0))</f>
        <v>0</v>
      </c>
    </row>
    <row r="980" customFormat="false" ht="15" hidden="false" customHeight="false" outlineLevel="0" collapsed="false">
      <c r="A980" s="15"/>
      <c r="B980" s="15"/>
      <c r="C980" s="15"/>
      <c r="D980" s="15"/>
      <c r="F980" s="18" t="str">
        <f aca="false">IF(B980="","",IFERROR(INDEX(Materials!$B$2:$B$201,MATCH(B980,Materials!$A$2:$A$201,0)),""))</f>
        <v/>
      </c>
      <c r="G980" s="18" t="str">
        <f aca="true">IF(AND(A980="",B980=""),"",IF(A980="","Missing product",IF(B980="","Missing material",IF(COUNTIF(ProductList,A980)=0,"Product not in Products list",IF(COUNTIF(MaterialList,B980)=0,"Material not in Materials list","OK")))))</f>
        <v/>
      </c>
      <c r="H980" s="18" t="str">
        <f aca="false">IF(F980="Active",A980&amp;"|"&amp;COUNTIFS(A$2:A980,A980,F$2:F980,"Active"),"")</f>
        <v/>
      </c>
      <c r="I980" s="18" t="str">
        <f aca="false">IF(B980="","",IF(SUMPRODUCT(MAX((A$1:A979=A980)*(B$1:B979=B980)*ROW(A$1:A979)))=0,C980&amp;"",IF(C980="",INDEX(I$1:I979,SUMPRODUCT(MAX((A$1:A979=A980)*(B$1:B979=B980)*ROW(A$1:A979)))),IF(INDEX(I$1:I979,SUMPRODUCT(MAX((A$1:A979=A980)*(B$1:B979=B980)*ROW(A$1:A979))))="",C980&amp;"",INDEX(I$1:I979,SUMPRODUCT(MAX((A$1:A979=A980)*(B$1:B979=B980)*ROW(A$1:A979))))&amp;"; "&amp;C980))))</f>
        <v/>
      </c>
      <c r="J980" s="18" t="str">
        <f aca="false">IF(A980="","",A980&amp;"|"&amp;COUNTIF(A$2:A980,A980))</f>
        <v/>
      </c>
      <c r="K980" s="18" t="n">
        <f aca="false">IF(OR(A980="",B980=""),0,IF(COUNTIFS(A$2:A980,A980,B$2:B980,B980)=1,1,0))</f>
        <v>0</v>
      </c>
    </row>
    <row r="981" customFormat="false" ht="15" hidden="false" customHeight="false" outlineLevel="0" collapsed="false">
      <c r="A981" s="15"/>
      <c r="B981" s="15"/>
      <c r="C981" s="15"/>
      <c r="D981" s="15"/>
      <c r="F981" s="18" t="str">
        <f aca="false">IF(B981="","",IFERROR(INDEX(Materials!$B$2:$B$201,MATCH(B981,Materials!$A$2:$A$201,0)),""))</f>
        <v/>
      </c>
      <c r="G981" s="18" t="str">
        <f aca="true">IF(AND(A981="",B981=""),"",IF(A981="","Missing product",IF(B981="","Missing material",IF(COUNTIF(ProductList,A981)=0,"Product not in Products list",IF(COUNTIF(MaterialList,B981)=0,"Material not in Materials list","OK")))))</f>
        <v/>
      </c>
      <c r="H981" s="18" t="str">
        <f aca="false">IF(F981="Active",A981&amp;"|"&amp;COUNTIFS(A$2:A981,A981,F$2:F981,"Active"),"")</f>
        <v/>
      </c>
      <c r="I981" s="18" t="str">
        <f aca="false">IF(B981="","",IF(SUMPRODUCT(MAX((A$1:A980=A981)*(B$1:B980=B981)*ROW(A$1:A980)))=0,C981&amp;"",IF(C981="",INDEX(I$1:I980,SUMPRODUCT(MAX((A$1:A980=A981)*(B$1:B980=B981)*ROW(A$1:A980)))),IF(INDEX(I$1:I980,SUMPRODUCT(MAX((A$1:A980=A981)*(B$1:B980=B981)*ROW(A$1:A980))))="",C981&amp;"",INDEX(I$1:I980,SUMPRODUCT(MAX((A$1:A980=A981)*(B$1:B980=B981)*ROW(A$1:A980))))&amp;"; "&amp;C981))))</f>
        <v/>
      </c>
      <c r="J981" s="18" t="str">
        <f aca="false">IF(A981="","",A981&amp;"|"&amp;COUNTIF(A$2:A981,A981))</f>
        <v/>
      </c>
      <c r="K981" s="18" t="n">
        <f aca="false">IF(OR(A981="",B981=""),0,IF(COUNTIFS(A$2:A981,A981,B$2:B981,B981)=1,1,0))</f>
        <v>0</v>
      </c>
    </row>
    <row r="982" customFormat="false" ht="15" hidden="false" customHeight="false" outlineLevel="0" collapsed="false">
      <c r="A982" s="15"/>
      <c r="B982" s="15"/>
      <c r="C982" s="15"/>
      <c r="D982" s="15"/>
      <c r="F982" s="18" t="str">
        <f aca="false">IF(B982="","",IFERROR(INDEX(Materials!$B$2:$B$201,MATCH(B982,Materials!$A$2:$A$201,0)),""))</f>
        <v/>
      </c>
      <c r="G982" s="18" t="str">
        <f aca="true">IF(AND(A982="",B982=""),"",IF(A982="","Missing product",IF(B982="","Missing material",IF(COUNTIF(ProductList,A982)=0,"Product not in Products list",IF(COUNTIF(MaterialList,B982)=0,"Material not in Materials list","OK")))))</f>
        <v/>
      </c>
      <c r="H982" s="18" t="str">
        <f aca="false">IF(F982="Active",A982&amp;"|"&amp;COUNTIFS(A$2:A982,A982,F$2:F982,"Active"),"")</f>
        <v/>
      </c>
      <c r="I982" s="18" t="str">
        <f aca="false">IF(B982="","",IF(SUMPRODUCT(MAX((A$1:A981=A982)*(B$1:B981=B982)*ROW(A$1:A981)))=0,C982&amp;"",IF(C982="",INDEX(I$1:I981,SUMPRODUCT(MAX((A$1:A981=A982)*(B$1:B981=B982)*ROW(A$1:A981)))),IF(INDEX(I$1:I981,SUMPRODUCT(MAX((A$1:A981=A982)*(B$1:B981=B982)*ROW(A$1:A981))))="",C982&amp;"",INDEX(I$1:I981,SUMPRODUCT(MAX((A$1:A981=A982)*(B$1:B981=B982)*ROW(A$1:A981))))&amp;"; "&amp;C982))))</f>
        <v/>
      </c>
      <c r="J982" s="18" t="str">
        <f aca="false">IF(A982="","",A982&amp;"|"&amp;COUNTIF(A$2:A982,A982))</f>
        <v/>
      </c>
      <c r="K982" s="18" t="n">
        <f aca="false">IF(OR(A982="",B982=""),0,IF(COUNTIFS(A$2:A982,A982,B$2:B982,B982)=1,1,0))</f>
        <v>0</v>
      </c>
    </row>
    <row r="983" customFormat="false" ht="15" hidden="false" customHeight="false" outlineLevel="0" collapsed="false">
      <c r="A983" s="15"/>
      <c r="B983" s="15"/>
      <c r="C983" s="15"/>
      <c r="D983" s="15"/>
      <c r="F983" s="18" t="str">
        <f aca="false">IF(B983="","",IFERROR(INDEX(Materials!$B$2:$B$201,MATCH(B983,Materials!$A$2:$A$201,0)),""))</f>
        <v/>
      </c>
      <c r="G983" s="18" t="str">
        <f aca="true">IF(AND(A983="",B983=""),"",IF(A983="","Missing product",IF(B983="","Missing material",IF(COUNTIF(ProductList,A983)=0,"Product not in Products list",IF(COUNTIF(MaterialList,B983)=0,"Material not in Materials list","OK")))))</f>
        <v/>
      </c>
      <c r="H983" s="18" t="str">
        <f aca="false">IF(F983="Active",A983&amp;"|"&amp;COUNTIFS(A$2:A983,A983,F$2:F983,"Active"),"")</f>
        <v/>
      </c>
      <c r="I983" s="18" t="str">
        <f aca="false">IF(B983="","",IF(SUMPRODUCT(MAX((A$1:A982=A983)*(B$1:B982=B983)*ROW(A$1:A982)))=0,C983&amp;"",IF(C983="",INDEX(I$1:I982,SUMPRODUCT(MAX((A$1:A982=A983)*(B$1:B982=B983)*ROW(A$1:A982)))),IF(INDEX(I$1:I982,SUMPRODUCT(MAX((A$1:A982=A983)*(B$1:B982=B983)*ROW(A$1:A982))))="",C983&amp;"",INDEX(I$1:I982,SUMPRODUCT(MAX((A$1:A982=A983)*(B$1:B982=B983)*ROW(A$1:A982))))&amp;"; "&amp;C983))))</f>
        <v/>
      </c>
      <c r="J983" s="18" t="str">
        <f aca="false">IF(A983="","",A983&amp;"|"&amp;COUNTIF(A$2:A983,A983))</f>
        <v/>
      </c>
      <c r="K983" s="18" t="n">
        <f aca="false">IF(OR(A983="",B983=""),0,IF(COUNTIFS(A$2:A983,A983,B$2:B983,B983)=1,1,0))</f>
        <v>0</v>
      </c>
    </row>
    <row r="984" customFormat="false" ht="15" hidden="false" customHeight="false" outlineLevel="0" collapsed="false">
      <c r="A984" s="15"/>
      <c r="B984" s="15"/>
      <c r="C984" s="15"/>
      <c r="D984" s="15"/>
      <c r="F984" s="18" t="str">
        <f aca="false">IF(B984="","",IFERROR(INDEX(Materials!$B$2:$B$201,MATCH(B984,Materials!$A$2:$A$201,0)),""))</f>
        <v/>
      </c>
      <c r="G984" s="18" t="str">
        <f aca="true">IF(AND(A984="",B984=""),"",IF(A984="","Missing product",IF(B984="","Missing material",IF(COUNTIF(ProductList,A984)=0,"Product not in Products list",IF(COUNTIF(MaterialList,B984)=0,"Material not in Materials list","OK")))))</f>
        <v/>
      </c>
      <c r="H984" s="18" t="str">
        <f aca="false">IF(F984="Active",A984&amp;"|"&amp;COUNTIFS(A$2:A984,A984,F$2:F984,"Active"),"")</f>
        <v/>
      </c>
      <c r="I984" s="18" t="str">
        <f aca="false">IF(B984="","",IF(SUMPRODUCT(MAX((A$1:A983=A984)*(B$1:B983=B984)*ROW(A$1:A983)))=0,C984&amp;"",IF(C984="",INDEX(I$1:I983,SUMPRODUCT(MAX((A$1:A983=A984)*(B$1:B983=B984)*ROW(A$1:A983)))),IF(INDEX(I$1:I983,SUMPRODUCT(MAX((A$1:A983=A984)*(B$1:B983=B984)*ROW(A$1:A983))))="",C984&amp;"",INDEX(I$1:I983,SUMPRODUCT(MAX((A$1:A983=A984)*(B$1:B983=B984)*ROW(A$1:A983))))&amp;"; "&amp;C984))))</f>
        <v/>
      </c>
      <c r="J984" s="18" t="str">
        <f aca="false">IF(A984="","",A984&amp;"|"&amp;COUNTIF(A$2:A984,A984))</f>
        <v/>
      </c>
      <c r="K984" s="18" t="n">
        <f aca="false">IF(OR(A984="",B984=""),0,IF(COUNTIFS(A$2:A984,A984,B$2:B984,B984)=1,1,0))</f>
        <v>0</v>
      </c>
    </row>
    <row r="985" customFormat="false" ht="15" hidden="false" customHeight="false" outlineLevel="0" collapsed="false">
      <c r="A985" s="15"/>
      <c r="B985" s="15"/>
      <c r="C985" s="15"/>
      <c r="D985" s="15"/>
      <c r="F985" s="18" t="str">
        <f aca="false">IF(B985="","",IFERROR(INDEX(Materials!$B$2:$B$201,MATCH(B985,Materials!$A$2:$A$201,0)),""))</f>
        <v/>
      </c>
      <c r="G985" s="18" t="str">
        <f aca="true">IF(AND(A985="",B985=""),"",IF(A985="","Missing product",IF(B985="","Missing material",IF(COUNTIF(ProductList,A985)=0,"Product not in Products list",IF(COUNTIF(MaterialList,B985)=0,"Material not in Materials list","OK")))))</f>
        <v/>
      </c>
      <c r="H985" s="18" t="str">
        <f aca="false">IF(F985="Active",A985&amp;"|"&amp;COUNTIFS(A$2:A985,A985,F$2:F985,"Active"),"")</f>
        <v/>
      </c>
      <c r="I985" s="18" t="str">
        <f aca="false">IF(B985="","",IF(SUMPRODUCT(MAX((A$1:A984=A985)*(B$1:B984=B985)*ROW(A$1:A984)))=0,C985&amp;"",IF(C985="",INDEX(I$1:I984,SUMPRODUCT(MAX((A$1:A984=A985)*(B$1:B984=B985)*ROW(A$1:A984)))),IF(INDEX(I$1:I984,SUMPRODUCT(MAX((A$1:A984=A985)*(B$1:B984=B985)*ROW(A$1:A984))))="",C985&amp;"",INDEX(I$1:I984,SUMPRODUCT(MAX((A$1:A984=A985)*(B$1:B984=B985)*ROW(A$1:A984))))&amp;"; "&amp;C985))))</f>
        <v/>
      </c>
      <c r="J985" s="18" t="str">
        <f aca="false">IF(A985="","",A985&amp;"|"&amp;COUNTIF(A$2:A985,A985))</f>
        <v/>
      </c>
      <c r="K985" s="18" t="n">
        <f aca="false">IF(OR(A985="",B985=""),0,IF(COUNTIFS(A$2:A985,A985,B$2:B985,B985)=1,1,0))</f>
        <v>0</v>
      </c>
    </row>
    <row r="986" customFormat="false" ht="15" hidden="false" customHeight="false" outlineLevel="0" collapsed="false">
      <c r="A986" s="15"/>
      <c r="B986" s="15"/>
      <c r="C986" s="15"/>
      <c r="D986" s="15"/>
      <c r="F986" s="18" t="str">
        <f aca="false">IF(B986="","",IFERROR(INDEX(Materials!$B$2:$B$201,MATCH(B986,Materials!$A$2:$A$201,0)),""))</f>
        <v/>
      </c>
      <c r="G986" s="18" t="str">
        <f aca="true">IF(AND(A986="",B986=""),"",IF(A986="","Missing product",IF(B986="","Missing material",IF(COUNTIF(ProductList,A986)=0,"Product not in Products list",IF(COUNTIF(MaterialList,B986)=0,"Material not in Materials list","OK")))))</f>
        <v/>
      </c>
      <c r="H986" s="18" t="str">
        <f aca="false">IF(F986="Active",A986&amp;"|"&amp;COUNTIFS(A$2:A986,A986,F$2:F986,"Active"),"")</f>
        <v/>
      </c>
      <c r="I986" s="18" t="str">
        <f aca="false">IF(B986="","",IF(SUMPRODUCT(MAX((A$1:A985=A986)*(B$1:B985=B986)*ROW(A$1:A985)))=0,C986&amp;"",IF(C986="",INDEX(I$1:I985,SUMPRODUCT(MAX((A$1:A985=A986)*(B$1:B985=B986)*ROW(A$1:A985)))),IF(INDEX(I$1:I985,SUMPRODUCT(MAX((A$1:A985=A986)*(B$1:B985=B986)*ROW(A$1:A985))))="",C986&amp;"",INDEX(I$1:I985,SUMPRODUCT(MAX((A$1:A985=A986)*(B$1:B985=B986)*ROW(A$1:A985))))&amp;"; "&amp;C986))))</f>
        <v/>
      </c>
      <c r="J986" s="18" t="str">
        <f aca="false">IF(A986="","",A986&amp;"|"&amp;COUNTIF(A$2:A986,A986))</f>
        <v/>
      </c>
      <c r="K986" s="18" t="n">
        <f aca="false">IF(OR(A986="",B986=""),0,IF(COUNTIFS(A$2:A986,A986,B$2:B986,B986)=1,1,0))</f>
        <v>0</v>
      </c>
    </row>
    <row r="987" customFormat="false" ht="15" hidden="false" customHeight="false" outlineLevel="0" collapsed="false">
      <c r="A987" s="15"/>
      <c r="B987" s="15"/>
      <c r="C987" s="15"/>
      <c r="D987" s="15"/>
      <c r="F987" s="18" t="str">
        <f aca="false">IF(B987="","",IFERROR(INDEX(Materials!$B$2:$B$201,MATCH(B987,Materials!$A$2:$A$201,0)),""))</f>
        <v/>
      </c>
      <c r="G987" s="18" t="str">
        <f aca="true">IF(AND(A987="",B987=""),"",IF(A987="","Missing product",IF(B987="","Missing material",IF(COUNTIF(ProductList,A987)=0,"Product not in Products list",IF(COUNTIF(MaterialList,B987)=0,"Material not in Materials list","OK")))))</f>
        <v/>
      </c>
      <c r="H987" s="18" t="str">
        <f aca="false">IF(F987="Active",A987&amp;"|"&amp;COUNTIFS(A$2:A987,A987,F$2:F987,"Active"),"")</f>
        <v/>
      </c>
      <c r="I987" s="18" t="str">
        <f aca="false">IF(B987="","",IF(SUMPRODUCT(MAX((A$1:A986=A987)*(B$1:B986=B987)*ROW(A$1:A986)))=0,C987&amp;"",IF(C987="",INDEX(I$1:I986,SUMPRODUCT(MAX((A$1:A986=A987)*(B$1:B986=B987)*ROW(A$1:A986)))),IF(INDEX(I$1:I986,SUMPRODUCT(MAX((A$1:A986=A987)*(B$1:B986=B987)*ROW(A$1:A986))))="",C987&amp;"",INDEX(I$1:I986,SUMPRODUCT(MAX((A$1:A986=A987)*(B$1:B986=B987)*ROW(A$1:A986))))&amp;"; "&amp;C987))))</f>
        <v/>
      </c>
      <c r="J987" s="18" t="str">
        <f aca="false">IF(A987="","",A987&amp;"|"&amp;COUNTIF(A$2:A987,A987))</f>
        <v/>
      </c>
      <c r="K987" s="18" t="n">
        <f aca="false">IF(OR(A987="",B987=""),0,IF(COUNTIFS(A$2:A987,A987,B$2:B987,B987)=1,1,0))</f>
        <v>0</v>
      </c>
    </row>
    <row r="988" customFormat="false" ht="15" hidden="false" customHeight="false" outlineLevel="0" collapsed="false">
      <c r="A988" s="15"/>
      <c r="B988" s="15"/>
      <c r="C988" s="15"/>
      <c r="D988" s="15"/>
      <c r="F988" s="18" t="str">
        <f aca="false">IF(B988="","",IFERROR(INDEX(Materials!$B$2:$B$201,MATCH(B988,Materials!$A$2:$A$201,0)),""))</f>
        <v/>
      </c>
      <c r="G988" s="18" t="str">
        <f aca="true">IF(AND(A988="",B988=""),"",IF(A988="","Missing product",IF(B988="","Missing material",IF(COUNTIF(ProductList,A988)=0,"Product not in Products list",IF(COUNTIF(MaterialList,B988)=0,"Material not in Materials list","OK")))))</f>
        <v/>
      </c>
      <c r="H988" s="18" t="str">
        <f aca="false">IF(F988="Active",A988&amp;"|"&amp;COUNTIFS(A$2:A988,A988,F$2:F988,"Active"),"")</f>
        <v/>
      </c>
      <c r="I988" s="18" t="str">
        <f aca="false">IF(B988="","",IF(SUMPRODUCT(MAX((A$1:A987=A988)*(B$1:B987=B988)*ROW(A$1:A987)))=0,C988&amp;"",IF(C988="",INDEX(I$1:I987,SUMPRODUCT(MAX((A$1:A987=A988)*(B$1:B987=B988)*ROW(A$1:A987)))),IF(INDEX(I$1:I987,SUMPRODUCT(MAX((A$1:A987=A988)*(B$1:B987=B988)*ROW(A$1:A987))))="",C988&amp;"",INDEX(I$1:I987,SUMPRODUCT(MAX((A$1:A987=A988)*(B$1:B987=B988)*ROW(A$1:A987))))&amp;"; "&amp;C988))))</f>
        <v/>
      </c>
      <c r="J988" s="18" t="str">
        <f aca="false">IF(A988="","",A988&amp;"|"&amp;COUNTIF(A$2:A988,A988))</f>
        <v/>
      </c>
      <c r="K988" s="18" t="n">
        <f aca="false">IF(OR(A988="",B988=""),0,IF(COUNTIFS(A$2:A988,A988,B$2:B988,B988)=1,1,0))</f>
        <v>0</v>
      </c>
    </row>
    <row r="989" customFormat="false" ht="15" hidden="false" customHeight="false" outlineLevel="0" collapsed="false">
      <c r="A989" s="15"/>
      <c r="B989" s="15"/>
      <c r="C989" s="15"/>
      <c r="D989" s="15"/>
      <c r="F989" s="18" t="str">
        <f aca="false">IF(B989="","",IFERROR(INDEX(Materials!$B$2:$B$201,MATCH(B989,Materials!$A$2:$A$201,0)),""))</f>
        <v/>
      </c>
      <c r="G989" s="18" t="str">
        <f aca="true">IF(AND(A989="",B989=""),"",IF(A989="","Missing product",IF(B989="","Missing material",IF(COUNTIF(ProductList,A989)=0,"Product not in Products list",IF(COUNTIF(MaterialList,B989)=0,"Material not in Materials list","OK")))))</f>
        <v/>
      </c>
      <c r="H989" s="18" t="str">
        <f aca="false">IF(F989="Active",A989&amp;"|"&amp;COUNTIFS(A$2:A989,A989,F$2:F989,"Active"),"")</f>
        <v/>
      </c>
      <c r="I989" s="18" t="str">
        <f aca="false">IF(B989="","",IF(SUMPRODUCT(MAX((A$1:A988=A989)*(B$1:B988=B989)*ROW(A$1:A988)))=0,C989&amp;"",IF(C989="",INDEX(I$1:I988,SUMPRODUCT(MAX((A$1:A988=A989)*(B$1:B988=B989)*ROW(A$1:A988)))),IF(INDEX(I$1:I988,SUMPRODUCT(MAX((A$1:A988=A989)*(B$1:B988=B989)*ROW(A$1:A988))))="",C989&amp;"",INDEX(I$1:I988,SUMPRODUCT(MAX((A$1:A988=A989)*(B$1:B988=B989)*ROW(A$1:A988))))&amp;"; "&amp;C989))))</f>
        <v/>
      </c>
      <c r="J989" s="18" t="str">
        <f aca="false">IF(A989="","",A989&amp;"|"&amp;COUNTIF(A$2:A989,A989))</f>
        <v/>
      </c>
      <c r="K989" s="18" t="n">
        <f aca="false">IF(OR(A989="",B989=""),0,IF(COUNTIFS(A$2:A989,A989,B$2:B989,B989)=1,1,0))</f>
        <v>0</v>
      </c>
    </row>
    <row r="990" customFormat="false" ht="15" hidden="false" customHeight="false" outlineLevel="0" collapsed="false">
      <c r="A990" s="15"/>
      <c r="B990" s="15"/>
      <c r="C990" s="15"/>
      <c r="D990" s="15"/>
      <c r="F990" s="18" t="str">
        <f aca="false">IF(B990="","",IFERROR(INDEX(Materials!$B$2:$B$201,MATCH(B990,Materials!$A$2:$A$201,0)),""))</f>
        <v/>
      </c>
      <c r="G990" s="18" t="str">
        <f aca="true">IF(AND(A990="",B990=""),"",IF(A990="","Missing product",IF(B990="","Missing material",IF(COUNTIF(ProductList,A990)=0,"Product not in Products list",IF(COUNTIF(MaterialList,B990)=0,"Material not in Materials list","OK")))))</f>
        <v/>
      </c>
      <c r="H990" s="18" t="str">
        <f aca="false">IF(F990="Active",A990&amp;"|"&amp;COUNTIFS(A$2:A990,A990,F$2:F990,"Active"),"")</f>
        <v/>
      </c>
      <c r="I990" s="18" t="str">
        <f aca="false">IF(B990="","",IF(SUMPRODUCT(MAX((A$1:A989=A990)*(B$1:B989=B990)*ROW(A$1:A989)))=0,C990&amp;"",IF(C990="",INDEX(I$1:I989,SUMPRODUCT(MAX((A$1:A989=A990)*(B$1:B989=B990)*ROW(A$1:A989)))),IF(INDEX(I$1:I989,SUMPRODUCT(MAX((A$1:A989=A990)*(B$1:B989=B990)*ROW(A$1:A989))))="",C990&amp;"",INDEX(I$1:I989,SUMPRODUCT(MAX((A$1:A989=A990)*(B$1:B989=B990)*ROW(A$1:A989))))&amp;"; "&amp;C990))))</f>
        <v/>
      </c>
      <c r="J990" s="18" t="str">
        <f aca="false">IF(A990="","",A990&amp;"|"&amp;COUNTIF(A$2:A990,A990))</f>
        <v/>
      </c>
      <c r="K990" s="18" t="n">
        <f aca="false">IF(OR(A990="",B990=""),0,IF(COUNTIFS(A$2:A990,A990,B$2:B990,B990)=1,1,0))</f>
        <v>0</v>
      </c>
    </row>
    <row r="991" customFormat="false" ht="15" hidden="false" customHeight="false" outlineLevel="0" collapsed="false">
      <c r="A991" s="15"/>
      <c r="B991" s="15"/>
      <c r="C991" s="15"/>
      <c r="D991" s="15"/>
      <c r="F991" s="18" t="str">
        <f aca="false">IF(B991="","",IFERROR(INDEX(Materials!$B$2:$B$201,MATCH(B991,Materials!$A$2:$A$201,0)),""))</f>
        <v/>
      </c>
      <c r="G991" s="18" t="str">
        <f aca="true">IF(AND(A991="",B991=""),"",IF(A991="","Missing product",IF(B991="","Missing material",IF(COUNTIF(ProductList,A991)=0,"Product not in Products list",IF(COUNTIF(MaterialList,B991)=0,"Material not in Materials list","OK")))))</f>
        <v/>
      </c>
      <c r="H991" s="18" t="str">
        <f aca="false">IF(F991="Active",A991&amp;"|"&amp;COUNTIFS(A$2:A991,A991,F$2:F991,"Active"),"")</f>
        <v/>
      </c>
      <c r="I991" s="18" t="str">
        <f aca="false">IF(B991="","",IF(SUMPRODUCT(MAX((A$1:A990=A991)*(B$1:B990=B991)*ROW(A$1:A990)))=0,C991&amp;"",IF(C991="",INDEX(I$1:I990,SUMPRODUCT(MAX((A$1:A990=A991)*(B$1:B990=B991)*ROW(A$1:A990)))),IF(INDEX(I$1:I990,SUMPRODUCT(MAX((A$1:A990=A991)*(B$1:B990=B991)*ROW(A$1:A990))))="",C991&amp;"",INDEX(I$1:I990,SUMPRODUCT(MAX((A$1:A990=A991)*(B$1:B990=B991)*ROW(A$1:A990))))&amp;"; "&amp;C991))))</f>
        <v/>
      </c>
      <c r="J991" s="18" t="str">
        <f aca="false">IF(A991="","",A991&amp;"|"&amp;COUNTIF(A$2:A991,A991))</f>
        <v/>
      </c>
      <c r="K991" s="18" t="n">
        <f aca="false">IF(OR(A991="",B991=""),0,IF(COUNTIFS(A$2:A991,A991,B$2:B991,B991)=1,1,0))</f>
        <v>0</v>
      </c>
    </row>
    <row r="992" customFormat="false" ht="15" hidden="false" customHeight="false" outlineLevel="0" collapsed="false">
      <c r="A992" s="15"/>
      <c r="B992" s="15"/>
      <c r="C992" s="15"/>
      <c r="D992" s="15"/>
      <c r="F992" s="18" t="str">
        <f aca="false">IF(B992="","",IFERROR(INDEX(Materials!$B$2:$B$201,MATCH(B992,Materials!$A$2:$A$201,0)),""))</f>
        <v/>
      </c>
      <c r="G992" s="18" t="str">
        <f aca="true">IF(AND(A992="",B992=""),"",IF(A992="","Missing product",IF(B992="","Missing material",IF(COUNTIF(ProductList,A992)=0,"Product not in Products list",IF(COUNTIF(MaterialList,B992)=0,"Material not in Materials list","OK")))))</f>
        <v/>
      </c>
      <c r="H992" s="18" t="str">
        <f aca="false">IF(F992="Active",A992&amp;"|"&amp;COUNTIFS(A$2:A992,A992,F$2:F992,"Active"),"")</f>
        <v/>
      </c>
      <c r="I992" s="18" t="str">
        <f aca="false">IF(B992="","",IF(SUMPRODUCT(MAX((A$1:A991=A992)*(B$1:B991=B992)*ROW(A$1:A991)))=0,C992&amp;"",IF(C992="",INDEX(I$1:I991,SUMPRODUCT(MAX((A$1:A991=A992)*(B$1:B991=B992)*ROW(A$1:A991)))),IF(INDEX(I$1:I991,SUMPRODUCT(MAX((A$1:A991=A992)*(B$1:B991=B992)*ROW(A$1:A991))))="",C992&amp;"",INDEX(I$1:I991,SUMPRODUCT(MAX((A$1:A991=A992)*(B$1:B991=B992)*ROW(A$1:A991))))&amp;"; "&amp;C992))))</f>
        <v/>
      </c>
      <c r="J992" s="18" t="str">
        <f aca="false">IF(A992="","",A992&amp;"|"&amp;COUNTIF(A$2:A992,A992))</f>
        <v/>
      </c>
      <c r="K992" s="18" t="n">
        <f aca="false">IF(OR(A992="",B992=""),0,IF(COUNTIFS(A$2:A992,A992,B$2:B992,B992)=1,1,0))</f>
        <v>0</v>
      </c>
    </row>
    <row r="993" customFormat="false" ht="15" hidden="false" customHeight="false" outlineLevel="0" collapsed="false">
      <c r="A993" s="15"/>
      <c r="B993" s="15"/>
      <c r="C993" s="15"/>
      <c r="D993" s="15"/>
      <c r="F993" s="18" t="str">
        <f aca="false">IF(B993="","",IFERROR(INDEX(Materials!$B$2:$B$201,MATCH(B993,Materials!$A$2:$A$201,0)),""))</f>
        <v/>
      </c>
      <c r="G993" s="18" t="str">
        <f aca="true">IF(AND(A993="",B993=""),"",IF(A993="","Missing product",IF(B993="","Missing material",IF(COUNTIF(ProductList,A993)=0,"Product not in Products list",IF(COUNTIF(MaterialList,B993)=0,"Material not in Materials list","OK")))))</f>
        <v/>
      </c>
      <c r="H993" s="18" t="str">
        <f aca="false">IF(F993="Active",A993&amp;"|"&amp;COUNTIFS(A$2:A993,A993,F$2:F993,"Active"),"")</f>
        <v/>
      </c>
      <c r="I993" s="18" t="str">
        <f aca="false">IF(B993="","",IF(SUMPRODUCT(MAX((A$1:A992=A993)*(B$1:B992=B993)*ROW(A$1:A992)))=0,C993&amp;"",IF(C993="",INDEX(I$1:I992,SUMPRODUCT(MAX((A$1:A992=A993)*(B$1:B992=B993)*ROW(A$1:A992)))),IF(INDEX(I$1:I992,SUMPRODUCT(MAX((A$1:A992=A993)*(B$1:B992=B993)*ROW(A$1:A992))))="",C993&amp;"",INDEX(I$1:I992,SUMPRODUCT(MAX((A$1:A992=A993)*(B$1:B992=B993)*ROW(A$1:A992))))&amp;"; "&amp;C993))))</f>
        <v/>
      </c>
      <c r="J993" s="18" t="str">
        <f aca="false">IF(A993="","",A993&amp;"|"&amp;COUNTIF(A$2:A993,A993))</f>
        <v/>
      </c>
      <c r="K993" s="18" t="n">
        <f aca="false">IF(OR(A993="",B993=""),0,IF(COUNTIFS(A$2:A993,A993,B$2:B993,B993)=1,1,0))</f>
        <v>0</v>
      </c>
    </row>
    <row r="994" customFormat="false" ht="15" hidden="false" customHeight="false" outlineLevel="0" collapsed="false">
      <c r="A994" s="15"/>
      <c r="B994" s="15"/>
      <c r="C994" s="15"/>
      <c r="D994" s="15"/>
      <c r="F994" s="18" t="str">
        <f aca="false">IF(B994="","",IFERROR(INDEX(Materials!$B$2:$B$201,MATCH(B994,Materials!$A$2:$A$201,0)),""))</f>
        <v/>
      </c>
      <c r="G994" s="18" t="str">
        <f aca="true">IF(AND(A994="",B994=""),"",IF(A994="","Missing product",IF(B994="","Missing material",IF(COUNTIF(ProductList,A994)=0,"Product not in Products list",IF(COUNTIF(MaterialList,B994)=0,"Material not in Materials list","OK")))))</f>
        <v/>
      </c>
      <c r="H994" s="18" t="str">
        <f aca="false">IF(F994="Active",A994&amp;"|"&amp;COUNTIFS(A$2:A994,A994,F$2:F994,"Active"),"")</f>
        <v/>
      </c>
      <c r="I994" s="18" t="str">
        <f aca="false">IF(B994="","",IF(SUMPRODUCT(MAX((A$1:A993=A994)*(B$1:B993=B994)*ROW(A$1:A993)))=0,C994&amp;"",IF(C994="",INDEX(I$1:I993,SUMPRODUCT(MAX((A$1:A993=A994)*(B$1:B993=B994)*ROW(A$1:A993)))),IF(INDEX(I$1:I993,SUMPRODUCT(MAX((A$1:A993=A994)*(B$1:B993=B994)*ROW(A$1:A993))))="",C994&amp;"",INDEX(I$1:I993,SUMPRODUCT(MAX((A$1:A993=A994)*(B$1:B993=B994)*ROW(A$1:A993))))&amp;"; "&amp;C994))))</f>
        <v/>
      </c>
      <c r="J994" s="18" t="str">
        <f aca="false">IF(A994="","",A994&amp;"|"&amp;COUNTIF(A$2:A994,A994))</f>
        <v/>
      </c>
      <c r="K994" s="18" t="n">
        <f aca="false">IF(OR(A994="",B994=""),0,IF(COUNTIFS(A$2:A994,A994,B$2:B994,B994)=1,1,0))</f>
        <v>0</v>
      </c>
    </row>
    <row r="995" customFormat="false" ht="15" hidden="false" customHeight="false" outlineLevel="0" collapsed="false">
      <c r="A995" s="15"/>
      <c r="B995" s="15"/>
      <c r="C995" s="15"/>
      <c r="D995" s="15"/>
      <c r="F995" s="18" t="str">
        <f aca="false">IF(B995="","",IFERROR(INDEX(Materials!$B$2:$B$201,MATCH(B995,Materials!$A$2:$A$201,0)),""))</f>
        <v/>
      </c>
      <c r="G995" s="18" t="str">
        <f aca="true">IF(AND(A995="",B995=""),"",IF(A995="","Missing product",IF(B995="","Missing material",IF(COUNTIF(ProductList,A995)=0,"Product not in Products list",IF(COUNTIF(MaterialList,B995)=0,"Material not in Materials list","OK")))))</f>
        <v/>
      </c>
      <c r="H995" s="18" t="str">
        <f aca="false">IF(F995="Active",A995&amp;"|"&amp;COUNTIFS(A$2:A995,A995,F$2:F995,"Active"),"")</f>
        <v/>
      </c>
      <c r="I995" s="18" t="str">
        <f aca="false">IF(B995="","",IF(SUMPRODUCT(MAX((A$1:A994=A995)*(B$1:B994=B995)*ROW(A$1:A994)))=0,C995&amp;"",IF(C995="",INDEX(I$1:I994,SUMPRODUCT(MAX((A$1:A994=A995)*(B$1:B994=B995)*ROW(A$1:A994)))),IF(INDEX(I$1:I994,SUMPRODUCT(MAX((A$1:A994=A995)*(B$1:B994=B995)*ROW(A$1:A994))))="",C995&amp;"",INDEX(I$1:I994,SUMPRODUCT(MAX((A$1:A994=A995)*(B$1:B994=B995)*ROW(A$1:A994))))&amp;"; "&amp;C995))))</f>
        <v/>
      </c>
      <c r="J995" s="18" t="str">
        <f aca="false">IF(A995="","",A995&amp;"|"&amp;COUNTIF(A$2:A995,A995))</f>
        <v/>
      </c>
      <c r="K995" s="18" t="n">
        <f aca="false">IF(OR(A995="",B995=""),0,IF(COUNTIFS(A$2:A995,A995,B$2:B995,B995)=1,1,0))</f>
        <v>0</v>
      </c>
    </row>
    <row r="996" customFormat="false" ht="15" hidden="false" customHeight="false" outlineLevel="0" collapsed="false">
      <c r="A996" s="15"/>
      <c r="B996" s="15"/>
      <c r="C996" s="15"/>
      <c r="D996" s="15"/>
      <c r="F996" s="18" t="str">
        <f aca="false">IF(B996="","",IFERROR(INDEX(Materials!$B$2:$B$201,MATCH(B996,Materials!$A$2:$A$201,0)),""))</f>
        <v/>
      </c>
      <c r="G996" s="18" t="str">
        <f aca="true">IF(AND(A996="",B996=""),"",IF(A996="","Missing product",IF(B996="","Missing material",IF(COUNTIF(ProductList,A996)=0,"Product not in Products list",IF(COUNTIF(MaterialList,B996)=0,"Material not in Materials list","OK")))))</f>
        <v/>
      </c>
      <c r="H996" s="18" t="str">
        <f aca="false">IF(F996="Active",A996&amp;"|"&amp;COUNTIFS(A$2:A996,A996,F$2:F996,"Active"),"")</f>
        <v/>
      </c>
      <c r="I996" s="18" t="str">
        <f aca="false">IF(B996="","",IF(SUMPRODUCT(MAX((A$1:A995=A996)*(B$1:B995=B996)*ROW(A$1:A995)))=0,C996&amp;"",IF(C996="",INDEX(I$1:I995,SUMPRODUCT(MAX((A$1:A995=A996)*(B$1:B995=B996)*ROW(A$1:A995)))),IF(INDEX(I$1:I995,SUMPRODUCT(MAX((A$1:A995=A996)*(B$1:B995=B996)*ROW(A$1:A995))))="",C996&amp;"",INDEX(I$1:I995,SUMPRODUCT(MAX((A$1:A995=A996)*(B$1:B995=B996)*ROW(A$1:A995))))&amp;"; "&amp;C996))))</f>
        <v/>
      </c>
      <c r="J996" s="18" t="str">
        <f aca="false">IF(A996="","",A996&amp;"|"&amp;COUNTIF(A$2:A996,A996))</f>
        <v/>
      </c>
      <c r="K996" s="18" t="n">
        <f aca="false">IF(OR(A996="",B996=""),0,IF(COUNTIFS(A$2:A996,A996,B$2:B996,B996)=1,1,0))</f>
        <v>0</v>
      </c>
    </row>
    <row r="997" customFormat="false" ht="15" hidden="false" customHeight="false" outlineLevel="0" collapsed="false">
      <c r="A997" s="15"/>
      <c r="B997" s="15"/>
      <c r="C997" s="15"/>
      <c r="D997" s="15"/>
      <c r="F997" s="18" t="str">
        <f aca="false">IF(B997="","",IFERROR(INDEX(Materials!$B$2:$B$201,MATCH(B997,Materials!$A$2:$A$201,0)),""))</f>
        <v/>
      </c>
      <c r="G997" s="18" t="str">
        <f aca="true">IF(AND(A997="",B997=""),"",IF(A997="","Missing product",IF(B997="","Missing material",IF(COUNTIF(ProductList,A997)=0,"Product not in Products list",IF(COUNTIF(MaterialList,B997)=0,"Material not in Materials list","OK")))))</f>
        <v/>
      </c>
      <c r="H997" s="18" t="str">
        <f aca="false">IF(F997="Active",A997&amp;"|"&amp;COUNTIFS(A$2:A997,A997,F$2:F997,"Active"),"")</f>
        <v/>
      </c>
      <c r="I997" s="18" t="str">
        <f aca="false">IF(B997="","",IF(SUMPRODUCT(MAX((A$1:A996=A997)*(B$1:B996=B997)*ROW(A$1:A996)))=0,C997&amp;"",IF(C997="",INDEX(I$1:I996,SUMPRODUCT(MAX((A$1:A996=A997)*(B$1:B996=B997)*ROW(A$1:A996)))),IF(INDEX(I$1:I996,SUMPRODUCT(MAX((A$1:A996=A997)*(B$1:B996=B997)*ROW(A$1:A996))))="",C997&amp;"",INDEX(I$1:I996,SUMPRODUCT(MAX((A$1:A996=A997)*(B$1:B996=B997)*ROW(A$1:A996))))&amp;"; "&amp;C997))))</f>
        <v/>
      </c>
      <c r="J997" s="18" t="str">
        <f aca="false">IF(A997="","",A997&amp;"|"&amp;COUNTIF(A$2:A997,A997))</f>
        <v/>
      </c>
      <c r="K997" s="18" t="n">
        <f aca="false">IF(OR(A997="",B997=""),0,IF(COUNTIFS(A$2:A997,A997,B$2:B997,B997)=1,1,0))</f>
        <v>0</v>
      </c>
    </row>
    <row r="998" customFormat="false" ht="15" hidden="false" customHeight="false" outlineLevel="0" collapsed="false">
      <c r="A998" s="15"/>
      <c r="B998" s="15"/>
      <c r="C998" s="15"/>
      <c r="D998" s="15"/>
      <c r="F998" s="18" t="str">
        <f aca="false">IF(B998="","",IFERROR(INDEX(Materials!$B$2:$B$201,MATCH(B998,Materials!$A$2:$A$201,0)),""))</f>
        <v/>
      </c>
      <c r="G998" s="18" t="str">
        <f aca="true">IF(AND(A998="",B998=""),"",IF(A998="","Missing product",IF(B998="","Missing material",IF(COUNTIF(ProductList,A998)=0,"Product not in Products list",IF(COUNTIF(MaterialList,B998)=0,"Material not in Materials list","OK")))))</f>
        <v/>
      </c>
      <c r="H998" s="18" t="str">
        <f aca="false">IF(F998="Active",A998&amp;"|"&amp;COUNTIFS(A$2:A998,A998,F$2:F998,"Active"),"")</f>
        <v/>
      </c>
      <c r="I998" s="18" t="str">
        <f aca="false">IF(B998="","",IF(SUMPRODUCT(MAX((A$1:A997=A998)*(B$1:B997=B998)*ROW(A$1:A997)))=0,C998&amp;"",IF(C998="",INDEX(I$1:I997,SUMPRODUCT(MAX((A$1:A997=A998)*(B$1:B997=B998)*ROW(A$1:A997)))),IF(INDEX(I$1:I997,SUMPRODUCT(MAX((A$1:A997=A998)*(B$1:B997=B998)*ROW(A$1:A997))))="",C998&amp;"",INDEX(I$1:I997,SUMPRODUCT(MAX((A$1:A997=A998)*(B$1:B997=B998)*ROW(A$1:A997))))&amp;"; "&amp;C998))))</f>
        <v/>
      </c>
      <c r="J998" s="18" t="str">
        <f aca="false">IF(A998="","",A998&amp;"|"&amp;COUNTIF(A$2:A998,A998))</f>
        <v/>
      </c>
      <c r="K998" s="18" t="n">
        <f aca="false">IF(OR(A998="",B998=""),0,IF(COUNTIFS(A$2:A998,A998,B$2:B998,B998)=1,1,0))</f>
        <v>0</v>
      </c>
    </row>
    <row r="999" customFormat="false" ht="15" hidden="false" customHeight="false" outlineLevel="0" collapsed="false">
      <c r="A999" s="15"/>
      <c r="B999" s="15"/>
      <c r="C999" s="15"/>
      <c r="D999" s="15"/>
      <c r="F999" s="18" t="str">
        <f aca="false">IF(B999="","",IFERROR(INDEX(Materials!$B$2:$B$201,MATCH(B999,Materials!$A$2:$A$201,0)),""))</f>
        <v/>
      </c>
      <c r="G999" s="18" t="str">
        <f aca="true">IF(AND(A999="",B999=""),"",IF(A999="","Missing product",IF(B999="","Missing material",IF(COUNTIF(ProductList,A999)=0,"Product not in Products list",IF(COUNTIF(MaterialList,B999)=0,"Material not in Materials list","OK")))))</f>
        <v/>
      </c>
      <c r="H999" s="18" t="str">
        <f aca="false">IF(F999="Active",A999&amp;"|"&amp;COUNTIFS(A$2:A999,A999,F$2:F999,"Active"),"")</f>
        <v/>
      </c>
      <c r="I999" s="18" t="str">
        <f aca="false">IF(B999="","",IF(SUMPRODUCT(MAX((A$1:A998=A999)*(B$1:B998=B999)*ROW(A$1:A998)))=0,C999&amp;"",IF(C999="",INDEX(I$1:I998,SUMPRODUCT(MAX((A$1:A998=A999)*(B$1:B998=B999)*ROW(A$1:A998)))),IF(INDEX(I$1:I998,SUMPRODUCT(MAX((A$1:A998=A999)*(B$1:B998=B999)*ROW(A$1:A998))))="",C999&amp;"",INDEX(I$1:I998,SUMPRODUCT(MAX((A$1:A998=A999)*(B$1:B998=B999)*ROW(A$1:A998))))&amp;"; "&amp;C999))))</f>
        <v/>
      </c>
      <c r="J999" s="18" t="str">
        <f aca="false">IF(A999="","",A999&amp;"|"&amp;COUNTIF(A$2:A999,A999))</f>
        <v/>
      </c>
      <c r="K999" s="18" t="n">
        <f aca="false">IF(OR(A999="",B999=""),0,IF(COUNTIFS(A$2:A999,A999,B$2:B999,B999)=1,1,0))</f>
        <v>0</v>
      </c>
    </row>
    <row r="1000" customFormat="false" ht="15" hidden="false" customHeight="false" outlineLevel="0" collapsed="false">
      <c r="A1000" s="15"/>
      <c r="B1000" s="15"/>
      <c r="C1000" s="15"/>
      <c r="D1000" s="15"/>
      <c r="F1000" s="18" t="str">
        <f aca="false">IF(B1000="","",IFERROR(INDEX(Materials!$B$2:$B$201,MATCH(B1000,Materials!$A$2:$A$201,0)),""))</f>
        <v/>
      </c>
      <c r="G1000" s="18" t="str">
        <f aca="true">IF(AND(A1000="",B1000=""),"",IF(A1000="","Missing product",IF(B1000="","Missing material",IF(COUNTIF(ProductList,A1000)=0,"Product not in Products list",IF(COUNTIF(MaterialList,B1000)=0,"Material not in Materials list","OK")))))</f>
        <v/>
      </c>
      <c r="H1000" s="18" t="str">
        <f aca="false">IF(F1000="Active",A1000&amp;"|"&amp;COUNTIFS(A$2:A1000,A1000,F$2:F1000,"Active"),"")</f>
        <v/>
      </c>
      <c r="I1000" s="18" t="str">
        <f aca="false">IF(B1000="","",IF(SUMPRODUCT(MAX((A$1:A999=A1000)*(B$1:B999=B1000)*ROW(A$1:A999)))=0,C1000&amp;"",IF(C1000="",INDEX(I$1:I999,SUMPRODUCT(MAX((A$1:A999=A1000)*(B$1:B999=B1000)*ROW(A$1:A999)))),IF(INDEX(I$1:I999,SUMPRODUCT(MAX((A$1:A999=A1000)*(B$1:B999=B1000)*ROW(A$1:A999))))="",C1000&amp;"",INDEX(I$1:I999,SUMPRODUCT(MAX((A$1:A999=A1000)*(B$1:B999=B1000)*ROW(A$1:A999))))&amp;"; "&amp;C1000))))</f>
        <v/>
      </c>
      <c r="J1000" s="18" t="str">
        <f aca="false">IF(A1000="","",A1000&amp;"|"&amp;COUNTIF(A$2:A1000,A1000))</f>
        <v/>
      </c>
      <c r="K1000" s="18" t="n">
        <f aca="false">IF(OR(A1000="",B1000=""),0,IF(COUNTIFS(A$2:A1000,A1000,B$2:B1000,B1000)=1,1,0))</f>
        <v>0</v>
      </c>
    </row>
    <row r="1001" customFormat="false" ht="15" hidden="false" customHeight="false" outlineLevel="0" collapsed="false">
      <c r="A1001" s="15"/>
      <c r="B1001" s="15"/>
      <c r="C1001" s="15"/>
      <c r="D1001" s="15"/>
      <c r="F1001" s="18" t="str">
        <f aca="false">IF(B1001="","",IFERROR(INDEX(Materials!$B$2:$B$201,MATCH(B1001,Materials!$A$2:$A$201,0)),""))</f>
        <v/>
      </c>
      <c r="G1001" s="18" t="str">
        <f aca="true">IF(AND(A1001="",B1001=""),"",IF(A1001="","Missing product",IF(B1001="","Missing material",IF(COUNTIF(ProductList,A1001)=0,"Product not in Products list",IF(COUNTIF(MaterialList,B1001)=0,"Material not in Materials list","OK")))))</f>
        <v/>
      </c>
      <c r="H1001" s="18" t="str">
        <f aca="false">IF(F1001="Active",A1001&amp;"|"&amp;COUNTIFS(A$2:A1001,A1001,F$2:F1001,"Active"),"")</f>
        <v/>
      </c>
      <c r="I1001" s="18" t="str">
        <f aca="false">IF(B1001="","",IF(SUMPRODUCT(MAX((A$1:A1000=A1001)*(B$1:B1000=B1001)*ROW(A$1:A1000)))=0,C1001&amp;"",IF(C1001="",INDEX(I$1:I1000,SUMPRODUCT(MAX((A$1:A1000=A1001)*(B$1:B1000=B1001)*ROW(A$1:A1000)))),IF(INDEX(I$1:I1000,SUMPRODUCT(MAX((A$1:A1000=A1001)*(B$1:B1000=B1001)*ROW(A$1:A1000))))="",C1001&amp;"",INDEX(I$1:I1000,SUMPRODUCT(MAX((A$1:A1000=A1001)*(B$1:B1000=B1001)*ROW(A$1:A1000))))&amp;"; "&amp;C1001))))</f>
        <v/>
      </c>
      <c r="J1001" s="18" t="str">
        <f aca="false">IF(A1001="","",A1001&amp;"|"&amp;COUNTIF(A$2:A1001,A1001))</f>
        <v/>
      </c>
      <c r="K1001" s="18" t="n">
        <f aca="false">IF(OR(A1001="",B1001=""),0,IF(COUNTIFS(A$2:A1001,A1001,B$2:B1001,B1001)=1,1,0))</f>
        <v>0</v>
      </c>
    </row>
    <row r="1002" customFormat="false" ht="15" hidden="false" customHeight="false" outlineLevel="0" collapsed="false">
      <c r="A1002" s="15"/>
      <c r="B1002" s="15"/>
      <c r="C1002" s="15"/>
      <c r="D1002" s="15"/>
      <c r="F1002" s="18" t="str">
        <f aca="false">IF(B1002="","",IFERROR(INDEX(Materials!$B$2:$B$201,MATCH(B1002,Materials!$A$2:$A$201,0)),""))</f>
        <v/>
      </c>
      <c r="G1002" s="18" t="str">
        <f aca="true">IF(AND(A1002="",B1002=""),"",IF(A1002="","Missing product",IF(B1002="","Missing material",IF(COUNTIF(ProductList,A1002)=0,"Product not in Products list",IF(COUNTIF(MaterialList,B1002)=0,"Material not in Materials list","OK")))))</f>
        <v/>
      </c>
      <c r="H1002" s="18" t="str">
        <f aca="false">IF(F1002="Active",A1002&amp;"|"&amp;COUNTIFS(A$2:A1002,A1002,F$2:F1002,"Active"),"")</f>
        <v/>
      </c>
      <c r="I1002" s="18" t="str">
        <f aca="false">IF(B1002="","",IF(SUMPRODUCT(MAX((A$1:A1001=A1002)*(B$1:B1001=B1002)*ROW(A$1:A1001)))=0,C1002&amp;"",IF(C1002="",INDEX(I$1:I1001,SUMPRODUCT(MAX((A$1:A1001=A1002)*(B$1:B1001=B1002)*ROW(A$1:A1001)))),IF(INDEX(I$1:I1001,SUMPRODUCT(MAX((A$1:A1001=A1002)*(B$1:B1001=B1002)*ROW(A$1:A1001))))="",C1002&amp;"",INDEX(I$1:I1001,SUMPRODUCT(MAX((A$1:A1001=A1002)*(B$1:B1001=B1002)*ROW(A$1:A1001))))&amp;"; "&amp;C1002))))</f>
        <v/>
      </c>
      <c r="J1002" s="18" t="str">
        <f aca="false">IF(A1002="","",A1002&amp;"|"&amp;COUNTIF(A$2:A1002,A1002))</f>
        <v/>
      </c>
      <c r="K1002" s="18" t="n">
        <f aca="false">IF(OR(A1002="",B1002=""),0,IF(COUNTIFS(A$2:A1002,A1002,B$2:B1002,B1002)=1,1,0))</f>
        <v>0</v>
      </c>
    </row>
    <row r="1003" customFormat="false" ht="15" hidden="false" customHeight="false" outlineLevel="0" collapsed="false">
      <c r="A1003" s="15"/>
      <c r="B1003" s="15"/>
      <c r="C1003" s="15"/>
      <c r="D1003" s="15"/>
      <c r="F1003" s="18" t="str">
        <f aca="false">IF(B1003="","",IFERROR(INDEX(Materials!$B$2:$B$201,MATCH(B1003,Materials!$A$2:$A$201,0)),""))</f>
        <v/>
      </c>
      <c r="G1003" s="18" t="str">
        <f aca="true">IF(AND(A1003="",B1003=""),"",IF(A1003="","Missing product",IF(B1003="","Missing material",IF(COUNTIF(ProductList,A1003)=0,"Product not in Products list",IF(COUNTIF(MaterialList,B1003)=0,"Material not in Materials list","OK")))))</f>
        <v/>
      </c>
      <c r="H1003" s="18" t="str">
        <f aca="false">IF(F1003="Active",A1003&amp;"|"&amp;COUNTIFS(A$2:A1003,A1003,F$2:F1003,"Active"),"")</f>
        <v/>
      </c>
      <c r="I1003" s="18" t="str">
        <f aca="false">IF(B1003="","",IF(SUMPRODUCT(MAX((A$1:A1002=A1003)*(B$1:B1002=B1003)*ROW(A$1:A1002)))=0,C1003&amp;"",IF(C1003="",INDEX(I$1:I1002,SUMPRODUCT(MAX((A$1:A1002=A1003)*(B$1:B1002=B1003)*ROW(A$1:A1002)))),IF(INDEX(I$1:I1002,SUMPRODUCT(MAX((A$1:A1002=A1003)*(B$1:B1002=B1003)*ROW(A$1:A1002))))="",C1003&amp;"",INDEX(I$1:I1002,SUMPRODUCT(MAX((A$1:A1002=A1003)*(B$1:B1002=B1003)*ROW(A$1:A1002))))&amp;"; "&amp;C1003))))</f>
        <v/>
      </c>
      <c r="J1003" s="18" t="str">
        <f aca="false">IF(A1003="","",A1003&amp;"|"&amp;COUNTIF(A$2:A1003,A1003))</f>
        <v/>
      </c>
      <c r="K1003" s="18" t="n">
        <f aca="false">IF(OR(A1003="",B1003=""),0,IF(COUNTIFS(A$2:A1003,A1003,B$2:B1003,B1003)=1,1,0))</f>
        <v>0</v>
      </c>
    </row>
    <row r="1004" customFormat="false" ht="15" hidden="false" customHeight="false" outlineLevel="0" collapsed="false">
      <c r="A1004" s="15"/>
      <c r="B1004" s="15"/>
      <c r="C1004" s="15"/>
      <c r="D1004" s="15"/>
      <c r="F1004" s="18" t="str">
        <f aca="false">IF(B1004="","",IFERROR(INDEX(Materials!$B$2:$B$201,MATCH(B1004,Materials!$A$2:$A$201,0)),""))</f>
        <v/>
      </c>
      <c r="G1004" s="18" t="str">
        <f aca="true">IF(AND(A1004="",B1004=""),"",IF(A1004="","Missing product",IF(B1004="","Missing material",IF(COUNTIF(ProductList,A1004)=0,"Product not in Products list",IF(COUNTIF(MaterialList,B1004)=0,"Material not in Materials list","OK")))))</f>
        <v/>
      </c>
      <c r="H1004" s="18" t="str">
        <f aca="false">IF(F1004="Active",A1004&amp;"|"&amp;COUNTIFS(A$2:A1004,A1004,F$2:F1004,"Active"),"")</f>
        <v/>
      </c>
      <c r="I1004" s="18" t="str">
        <f aca="false">IF(B1004="","",IF(SUMPRODUCT(MAX((A$1:A1003=A1004)*(B$1:B1003=B1004)*ROW(A$1:A1003)))=0,C1004&amp;"",IF(C1004="",INDEX(I$1:I1003,SUMPRODUCT(MAX((A$1:A1003=A1004)*(B$1:B1003=B1004)*ROW(A$1:A1003)))),IF(INDEX(I$1:I1003,SUMPRODUCT(MAX((A$1:A1003=A1004)*(B$1:B1003=B1004)*ROW(A$1:A1003))))="",C1004&amp;"",INDEX(I$1:I1003,SUMPRODUCT(MAX((A$1:A1003=A1004)*(B$1:B1003=B1004)*ROW(A$1:A1003))))&amp;"; "&amp;C1004))))</f>
        <v/>
      </c>
      <c r="J1004" s="18" t="str">
        <f aca="false">IF(A1004="","",A1004&amp;"|"&amp;COUNTIF(A$2:A1004,A1004))</f>
        <v/>
      </c>
      <c r="K1004" s="18" t="n">
        <f aca="false">IF(OR(A1004="",B1004=""),0,IF(COUNTIFS(A$2:A1004,A1004,B$2:B1004,B1004)=1,1,0))</f>
        <v>0</v>
      </c>
    </row>
    <row r="1005" customFormat="false" ht="15" hidden="false" customHeight="false" outlineLevel="0" collapsed="false">
      <c r="A1005" s="15"/>
      <c r="B1005" s="15"/>
      <c r="C1005" s="15"/>
      <c r="D1005" s="15"/>
      <c r="F1005" s="18" t="str">
        <f aca="false">IF(B1005="","",IFERROR(INDEX(Materials!$B$2:$B$201,MATCH(B1005,Materials!$A$2:$A$201,0)),""))</f>
        <v/>
      </c>
      <c r="G1005" s="18" t="str">
        <f aca="true">IF(AND(A1005="",B1005=""),"",IF(A1005="","Missing product",IF(B1005="","Missing material",IF(COUNTIF(ProductList,A1005)=0,"Product not in Products list",IF(COUNTIF(MaterialList,B1005)=0,"Material not in Materials list","OK")))))</f>
        <v/>
      </c>
      <c r="H1005" s="18" t="str">
        <f aca="false">IF(F1005="Active",A1005&amp;"|"&amp;COUNTIFS(A$2:A1005,A1005,F$2:F1005,"Active"),"")</f>
        <v/>
      </c>
      <c r="I1005" s="18" t="str">
        <f aca="false">IF(B1005="","",IF(SUMPRODUCT(MAX((A$1:A1004=A1005)*(B$1:B1004=B1005)*ROW(A$1:A1004)))=0,C1005&amp;"",IF(C1005="",INDEX(I$1:I1004,SUMPRODUCT(MAX((A$1:A1004=A1005)*(B$1:B1004=B1005)*ROW(A$1:A1004)))),IF(INDEX(I$1:I1004,SUMPRODUCT(MAX((A$1:A1004=A1005)*(B$1:B1004=B1005)*ROW(A$1:A1004))))="",C1005&amp;"",INDEX(I$1:I1004,SUMPRODUCT(MAX((A$1:A1004=A1005)*(B$1:B1004=B1005)*ROW(A$1:A1004))))&amp;"; "&amp;C1005))))</f>
        <v/>
      </c>
      <c r="J1005" s="18" t="str">
        <f aca="false">IF(A1005="","",A1005&amp;"|"&amp;COUNTIF(A$2:A1005,A1005))</f>
        <v/>
      </c>
      <c r="K1005" s="18" t="n">
        <f aca="false">IF(OR(A1005="",B1005=""),0,IF(COUNTIFS(A$2:A1005,A1005,B$2:B1005,B1005)=1,1,0))</f>
        <v>0</v>
      </c>
    </row>
    <row r="1006" customFormat="false" ht="15" hidden="false" customHeight="false" outlineLevel="0" collapsed="false">
      <c r="A1006" s="15"/>
      <c r="B1006" s="15"/>
      <c r="C1006" s="15"/>
      <c r="D1006" s="15"/>
      <c r="F1006" s="18" t="str">
        <f aca="false">IF(B1006="","",IFERROR(INDEX(Materials!$B$2:$B$201,MATCH(B1006,Materials!$A$2:$A$201,0)),""))</f>
        <v/>
      </c>
      <c r="G1006" s="18" t="str">
        <f aca="true">IF(AND(A1006="",B1006=""),"",IF(A1006="","Missing product",IF(B1006="","Missing material",IF(COUNTIF(ProductList,A1006)=0,"Product not in Products list",IF(COUNTIF(MaterialList,B1006)=0,"Material not in Materials list","OK")))))</f>
        <v/>
      </c>
      <c r="H1006" s="18" t="str">
        <f aca="false">IF(F1006="Active",A1006&amp;"|"&amp;COUNTIFS(A$2:A1006,A1006,F$2:F1006,"Active"),"")</f>
        <v/>
      </c>
      <c r="I1006" s="18" t="str">
        <f aca="false">IF(B1006="","",IF(SUMPRODUCT(MAX((A$1:A1005=A1006)*(B$1:B1005=B1006)*ROW(A$1:A1005)))=0,C1006&amp;"",IF(C1006="",INDEX(I$1:I1005,SUMPRODUCT(MAX((A$1:A1005=A1006)*(B$1:B1005=B1006)*ROW(A$1:A1005)))),IF(INDEX(I$1:I1005,SUMPRODUCT(MAX((A$1:A1005=A1006)*(B$1:B1005=B1006)*ROW(A$1:A1005))))="",C1006&amp;"",INDEX(I$1:I1005,SUMPRODUCT(MAX((A$1:A1005=A1006)*(B$1:B1005=B1006)*ROW(A$1:A1005))))&amp;"; "&amp;C1006))))</f>
        <v/>
      </c>
      <c r="J1006" s="18" t="str">
        <f aca="false">IF(A1006="","",A1006&amp;"|"&amp;COUNTIF(A$2:A1006,A1006))</f>
        <v/>
      </c>
      <c r="K1006" s="18" t="n">
        <f aca="false">IF(OR(A1006="",B1006=""),0,IF(COUNTIFS(A$2:A1006,A1006,B$2:B1006,B1006)=1,1,0))</f>
        <v>0</v>
      </c>
    </row>
    <row r="1007" customFormat="false" ht="15" hidden="false" customHeight="false" outlineLevel="0" collapsed="false">
      <c r="A1007" s="15"/>
      <c r="B1007" s="15"/>
      <c r="C1007" s="15"/>
      <c r="D1007" s="15"/>
      <c r="F1007" s="18" t="str">
        <f aca="false">IF(B1007="","",IFERROR(INDEX(Materials!$B$2:$B$201,MATCH(B1007,Materials!$A$2:$A$201,0)),""))</f>
        <v/>
      </c>
      <c r="G1007" s="18" t="str">
        <f aca="true">IF(AND(A1007="",B1007=""),"",IF(A1007="","Missing product",IF(B1007="","Missing material",IF(COUNTIF(ProductList,A1007)=0,"Product not in Products list",IF(COUNTIF(MaterialList,B1007)=0,"Material not in Materials list","OK")))))</f>
        <v/>
      </c>
      <c r="H1007" s="18" t="str">
        <f aca="false">IF(F1007="Active",A1007&amp;"|"&amp;COUNTIFS(A$2:A1007,A1007,F$2:F1007,"Active"),"")</f>
        <v/>
      </c>
      <c r="I1007" s="18" t="str">
        <f aca="false">IF(B1007="","",IF(SUMPRODUCT(MAX((A$1:A1006=A1007)*(B$1:B1006=B1007)*ROW(A$1:A1006)))=0,C1007&amp;"",IF(C1007="",INDEX(I$1:I1006,SUMPRODUCT(MAX((A$1:A1006=A1007)*(B$1:B1006=B1007)*ROW(A$1:A1006)))),IF(INDEX(I$1:I1006,SUMPRODUCT(MAX((A$1:A1006=A1007)*(B$1:B1006=B1007)*ROW(A$1:A1006))))="",C1007&amp;"",INDEX(I$1:I1006,SUMPRODUCT(MAX((A$1:A1006=A1007)*(B$1:B1006=B1007)*ROW(A$1:A1006))))&amp;"; "&amp;C1007))))</f>
        <v/>
      </c>
      <c r="J1007" s="18" t="str">
        <f aca="false">IF(A1007="","",A1007&amp;"|"&amp;COUNTIF(A$2:A1007,A1007))</f>
        <v/>
      </c>
      <c r="K1007" s="18" t="n">
        <f aca="false">IF(OR(A1007="",B1007=""),0,IF(COUNTIFS(A$2:A1007,A1007,B$2:B1007,B1007)=1,1,0))</f>
        <v>0</v>
      </c>
    </row>
    <row r="1008" customFormat="false" ht="15" hidden="false" customHeight="false" outlineLevel="0" collapsed="false">
      <c r="A1008" s="15"/>
      <c r="B1008" s="15"/>
      <c r="C1008" s="15"/>
      <c r="D1008" s="15"/>
      <c r="F1008" s="18" t="str">
        <f aca="false">IF(B1008="","",IFERROR(INDEX(Materials!$B$2:$B$201,MATCH(B1008,Materials!$A$2:$A$201,0)),""))</f>
        <v/>
      </c>
      <c r="G1008" s="18" t="str">
        <f aca="true">IF(AND(A1008="",B1008=""),"",IF(A1008="","Missing product",IF(B1008="","Missing material",IF(COUNTIF(ProductList,A1008)=0,"Product not in Products list",IF(COUNTIF(MaterialList,B1008)=0,"Material not in Materials list","OK")))))</f>
        <v/>
      </c>
      <c r="H1008" s="18" t="str">
        <f aca="false">IF(F1008="Active",A1008&amp;"|"&amp;COUNTIFS(A$2:A1008,A1008,F$2:F1008,"Active"),"")</f>
        <v/>
      </c>
      <c r="I1008" s="18" t="str">
        <f aca="false">IF(B1008="","",IF(SUMPRODUCT(MAX((A$1:A1007=A1008)*(B$1:B1007=B1008)*ROW(A$1:A1007)))=0,C1008&amp;"",IF(C1008="",INDEX(I$1:I1007,SUMPRODUCT(MAX((A$1:A1007=A1008)*(B$1:B1007=B1008)*ROW(A$1:A1007)))),IF(INDEX(I$1:I1007,SUMPRODUCT(MAX((A$1:A1007=A1008)*(B$1:B1007=B1008)*ROW(A$1:A1007))))="",C1008&amp;"",INDEX(I$1:I1007,SUMPRODUCT(MAX((A$1:A1007=A1008)*(B$1:B1007=B1008)*ROW(A$1:A1007))))&amp;"; "&amp;C1008))))</f>
        <v/>
      </c>
      <c r="J1008" s="18" t="str">
        <f aca="false">IF(A1008="","",A1008&amp;"|"&amp;COUNTIF(A$2:A1008,A1008))</f>
        <v/>
      </c>
      <c r="K1008" s="18" t="n">
        <f aca="false">IF(OR(A1008="",B1008=""),0,IF(COUNTIFS(A$2:A1008,A1008,B$2:B1008,B1008)=1,1,0))</f>
        <v>0</v>
      </c>
    </row>
    <row r="1009" customFormat="false" ht="15" hidden="false" customHeight="false" outlineLevel="0" collapsed="false">
      <c r="A1009" s="15"/>
      <c r="B1009" s="15"/>
      <c r="C1009" s="15"/>
      <c r="D1009" s="15"/>
      <c r="F1009" s="18" t="str">
        <f aca="false">IF(B1009="","",IFERROR(INDEX(Materials!$B$2:$B$201,MATCH(B1009,Materials!$A$2:$A$201,0)),""))</f>
        <v/>
      </c>
      <c r="G1009" s="18" t="str">
        <f aca="true">IF(AND(A1009="",B1009=""),"",IF(A1009="","Missing product",IF(B1009="","Missing material",IF(COUNTIF(ProductList,A1009)=0,"Product not in Products list",IF(COUNTIF(MaterialList,B1009)=0,"Material not in Materials list","OK")))))</f>
        <v/>
      </c>
      <c r="H1009" s="18" t="str">
        <f aca="false">IF(F1009="Active",A1009&amp;"|"&amp;COUNTIFS(A$2:A1009,A1009,F$2:F1009,"Active"),"")</f>
        <v/>
      </c>
      <c r="I1009" s="18" t="str">
        <f aca="false">IF(B1009="","",IF(SUMPRODUCT(MAX((A$1:A1008=A1009)*(B$1:B1008=B1009)*ROW(A$1:A1008)))=0,C1009&amp;"",IF(C1009="",INDEX(I$1:I1008,SUMPRODUCT(MAX((A$1:A1008=A1009)*(B$1:B1008=B1009)*ROW(A$1:A1008)))),IF(INDEX(I$1:I1008,SUMPRODUCT(MAX((A$1:A1008=A1009)*(B$1:B1008=B1009)*ROW(A$1:A1008))))="",C1009&amp;"",INDEX(I$1:I1008,SUMPRODUCT(MAX((A$1:A1008=A1009)*(B$1:B1008=B1009)*ROW(A$1:A1008))))&amp;"; "&amp;C1009))))</f>
        <v/>
      </c>
      <c r="J1009" s="18" t="str">
        <f aca="false">IF(A1009="","",A1009&amp;"|"&amp;COUNTIF(A$2:A1009,A1009))</f>
        <v/>
      </c>
      <c r="K1009" s="18" t="n">
        <f aca="false">IF(OR(A1009="",B1009=""),0,IF(COUNTIFS(A$2:A1009,A1009,B$2:B1009,B1009)=1,1,0))</f>
        <v>0</v>
      </c>
    </row>
    <row r="1010" customFormat="false" ht="15" hidden="false" customHeight="false" outlineLevel="0" collapsed="false">
      <c r="A1010" s="15"/>
      <c r="B1010" s="15"/>
      <c r="C1010" s="15"/>
      <c r="D1010" s="15"/>
      <c r="F1010" s="18" t="str">
        <f aca="false">IF(B1010="","",IFERROR(INDEX(Materials!$B$2:$B$201,MATCH(B1010,Materials!$A$2:$A$201,0)),""))</f>
        <v/>
      </c>
      <c r="G1010" s="18" t="str">
        <f aca="true">IF(AND(A1010="",B1010=""),"",IF(A1010="","Missing product",IF(B1010="","Missing material",IF(COUNTIF(ProductList,A1010)=0,"Product not in Products list",IF(COUNTIF(MaterialList,B1010)=0,"Material not in Materials list","OK")))))</f>
        <v/>
      </c>
      <c r="H1010" s="18" t="str">
        <f aca="false">IF(F1010="Active",A1010&amp;"|"&amp;COUNTIFS(A$2:A1010,A1010,F$2:F1010,"Active"),"")</f>
        <v/>
      </c>
      <c r="I1010" s="18" t="str">
        <f aca="false">IF(B1010="","",IF(SUMPRODUCT(MAX((A$1:A1009=A1010)*(B$1:B1009=B1010)*ROW(A$1:A1009)))=0,C1010&amp;"",IF(C1010="",INDEX(I$1:I1009,SUMPRODUCT(MAX((A$1:A1009=A1010)*(B$1:B1009=B1010)*ROW(A$1:A1009)))),IF(INDEX(I$1:I1009,SUMPRODUCT(MAX((A$1:A1009=A1010)*(B$1:B1009=B1010)*ROW(A$1:A1009))))="",C1010&amp;"",INDEX(I$1:I1009,SUMPRODUCT(MAX((A$1:A1009=A1010)*(B$1:B1009=B1010)*ROW(A$1:A1009))))&amp;"; "&amp;C1010))))</f>
        <v/>
      </c>
      <c r="J1010" s="18" t="str">
        <f aca="false">IF(A1010="","",A1010&amp;"|"&amp;COUNTIF(A$2:A1010,A1010))</f>
        <v/>
      </c>
      <c r="K1010" s="18" t="n">
        <f aca="false">IF(OR(A1010="",B1010=""),0,IF(COUNTIFS(A$2:A1010,A1010,B$2:B1010,B1010)=1,1,0))</f>
        <v>0</v>
      </c>
    </row>
    <row r="1011" customFormat="false" ht="15" hidden="false" customHeight="false" outlineLevel="0" collapsed="false">
      <c r="A1011" s="15"/>
      <c r="B1011" s="15"/>
      <c r="C1011" s="15"/>
      <c r="D1011" s="15"/>
      <c r="F1011" s="18" t="str">
        <f aca="false">IF(B1011="","",IFERROR(INDEX(Materials!$B$2:$B$201,MATCH(B1011,Materials!$A$2:$A$201,0)),""))</f>
        <v/>
      </c>
      <c r="G1011" s="18" t="str">
        <f aca="true">IF(AND(A1011="",B1011=""),"",IF(A1011="","Missing product",IF(B1011="","Missing material",IF(COUNTIF(ProductList,A1011)=0,"Product not in Products list",IF(COUNTIF(MaterialList,B1011)=0,"Material not in Materials list","OK")))))</f>
        <v/>
      </c>
      <c r="H1011" s="18" t="str">
        <f aca="false">IF(F1011="Active",A1011&amp;"|"&amp;COUNTIFS(A$2:A1011,A1011,F$2:F1011,"Active"),"")</f>
        <v/>
      </c>
      <c r="I1011" s="18" t="str">
        <f aca="false">IF(B1011="","",IF(SUMPRODUCT(MAX((A$1:A1010=A1011)*(B$1:B1010=B1011)*ROW(A$1:A1010)))=0,C1011&amp;"",IF(C1011="",INDEX(I$1:I1010,SUMPRODUCT(MAX((A$1:A1010=A1011)*(B$1:B1010=B1011)*ROW(A$1:A1010)))),IF(INDEX(I$1:I1010,SUMPRODUCT(MAX((A$1:A1010=A1011)*(B$1:B1010=B1011)*ROW(A$1:A1010))))="",C1011&amp;"",INDEX(I$1:I1010,SUMPRODUCT(MAX((A$1:A1010=A1011)*(B$1:B1010=B1011)*ROW(A$1:A1010))))&amp;"; "&amp;C1011))))</f>
        <v/>
      </c>
      <c r="J1011" s="18" t="str">
        <f aca="false">IF(A1011="","",A1011&amp;"|"&amp;COUNTIF(A$2:A1011,A1011))</f>
        <v/>
      </c>
      <c r="K1011" s="18" t="n">
        <f aca="false">IF(OR(A1011="",B1011=""),0,IF(COUNTIFS(A$2:A1011,A1011,B$2:B1011,B1011)=1,1,0))</f>
        <v>0</v>
      </c>
    </row>
    <row r="1012" customFormat="false" ht="15" hidden="false" customHeight="false" outlineLevel="0" collapsed="false">
      <c r="A1012" s="15"/>
      <c r="B1012" s="15"/>
      <c r="C1012" s="15"/>
      <c r="D1012" s="15"/>
      <c r="F1012" s="18" t="str">
        <f aca="false">IF(B1012="","",IFERROR(INDEX(Materials!$B$2:$B$201,MATCH(B1012,Materials!$A$2:$A$201,0)),""))</f>
        <v/>
      </c>
      <c r="G1012" s="18" t="str">
        <f aca="true">IF(AND(A1012="",B1012=""),"",IF(A1012="","Missing product",IF(B1012="","Missing material",IF(COUNTIF(ProductList,A1012)=0,"Product not in Products list",IF(COUNTIF(MaterialList,B1012)=0,"Material not in Materials list","OK")))))</f>
        <v/>
      </c>
      <c r="H1012" s="18" t="str">
        <f aca="false">IF(F1012="Active",A1012&amp;"|"&amp;COUNTIFS(A$2:A1012,A1012,F$2:F1012,"Active"),"")</f>
        <v/>
      </c>
      <c r="I1012" s="18" t="str">
        <f aca="false">IF(B1012="","",IF(SUMPRODUCT(MAX((A$1:A1011=A1012)*(B$1:B1011=B1012)*ROW(A$1:A1011)))=0,C1012&amp;"",IF(C1012="",INDEX(I$1:I1011,SUMPRODUCT(MAX((A$1:A1011=A1012)*(B$1:B1011=B1012)*ROW(A$1:A1011)))),IF(INDEX(I$1:I1011,SUMPRODUCT(MAX((A$1:A1011=A1012)*(B$1:B1011=B1012)*ROW(A$1:A1011))))="",C1012&amp;"",INDEX(I$1:I1011,SUMPRODUCT(MAX((A$1:A1011=A1012)*(B$1:B1011=B1012)*ROW(A$1:A1011))))&amp;"; "&amp;C1012))))</f>
        <v/>
      </c>
      <c r="J1012" s="18" t="str">
        <f aca="false">IF(A1012="","",A1012&amp;"|"&amp;COUNTIF(A$2:A1012,A1012))</f>
        <v/>
      </c>
      <c r="K1012" s="18" t="n">
        <f aca="false">IF(OR(A1012="",B1012=""),0,IF(COUNTIFS(A$2:A1012,A1012,B$2:B1012,B1012)=1,1,0))</f>
        <v>0</v>
      </c>
    </row>
    <row r="1013" customFormat="false" ht="15" hidden="false" customHeight="false" outlineLevel="0" collapsed="false">
      <c r="A1013" s="15"/>
      <c r="B1013" s="15"/>
      <c r="C1013" s="15"/>
      <c r="D1013" s="15"/>
      <c r="F1013" s="18" t="str">
        <f aca="false">IF(B1013="","",IFERROR(INDEX(Materials!$B$2:$B$201,MATCH(B1013,Materials!$A$2:$A$201,0)),""))</f>
        <v/>
      </c>
      <c r="G1013" s="18" t="str">
        <f aca="true">IF(AND(A1013="",B1013=""),"",IF(A1013="","Missing product",IF(B1013="","Missing material",IF(COUNTIF(ProductList,A1013)=0,"Product not in Products list",IF(COUNTIF(MaterialList,B1013)=0,"Material not in Materials list","OK")))))</f>
        <v/>
      </c>
      <c r="H1013" s="18" t="str">
        <f aca="false">IF(F1013="Active",A1013&amp;"|"&amp;COUNTIFS(A$2:A1013,A1013,F$2:F1013,"Active"),"")</f>
        <v/>
      </c>
      <c r="I1013" s="18" t="str">
        <f aca="false">IF(B1013="","",IF(SUMPRODUCT(MAX((A$1:A1012=A1013)*(B$1:B1012=B1013)*ROW(A$1:A1012)))=0,C1013&amp;"",IF(C1013="",INDEX(I$1:I1012,SUMPRODUCT(MAX((A$1:A1012=A1013)*(B$1:B1012=B1013)*ROW(A$1:A1012)))),IF(INDEX(I$1:I1012,SUMPRODUCT(MAX((A$1:A1012=A1013)*(B$1:B1012=B1013)*ROW(A$1:A1012))))="",C1013&amp;"",INDEX(I$1:I1012,SUMPRODUCT(MAX((A$1:A1012=A1013)*(B$1:B1012=B1013)*ROW(A$1:A1012))))&amp;"; "&amp;C1013))))</f>
        <v/>
      </c>
      <c r="J1013" s="18" t="str">
        <f aca="false">IF(A1013="","",A1013&amp;"|"&amp;COUNTIF(A$2:A1013,A1013))</f>
        <v/>
      </c>
      <c r="K1013" s="18" t="n">
        <f aca="false">IF(OR(A1013="",B1013=""),0,IF(COUNTIFS(A$2:A1013,A1013,B$2:B1013,B1013)=1,1,0))</f>
        <v>0</v>
      </c>
    </row>
    <row r="1014" customFormat="false" ht="15" hidden="false" customHeight="false" outlineLevel="0" collapsed="false">
      <c r="A1014" s="15"/>
      <c r="B1014" s="15"/>
      <c r="C1014" s="15"/>
      <c r="D1014" s="15"/>
      <c r="F1014" s="18" t="str">
        <f aca="false">IF(B1014="","",IFERROR(INDEX(Materials!$B$2:$B$201,MATCH(B1014,Materials!$A$2:$A$201,0)),""))</f>
        <v/>
      </c>
      <c r="G1014" s="18" t="str">
        <f aca="true">IF(AND(A1014="",B1014=""),"",IF(A1014="","Missing product",IF(B1014="","Missing material",IF(COUNTIF(ProductList,A1014)=0,"Product not in Products list",IF(COUNTIF(MaterialList,B1014)=0,"Material not in Materials list","OK")))))</f>
        <v/>
      </c>
      <c r="H1014" s="18" t="str">
        <f aca="false">IF(F1014="Active",A1014&amp;"|"&amp;COUNTIFS(A$2:A1014,A1014,F$2:F1014,"Active"),"")</f>
        <v/>
      </c>
      <c r="I1014" s="18" t="str">
        <f aca="false">IF(B1014="","",IF(SUMPRODUCT(MAX((A$1:A1013=A1014)*(B$1:B1013=B1014)*ROW(A$1:A1013)))=0,C1014&amp;"",IF(C1014="",INDEX(I$1:I1013,SUMPRODUCT(MAX((A$1:A1013=A1014)*(B$1:B1013=B1014)*ROW(A$1:A1013)))),IF(INDEX(I$1:I1013,SUMPRODUCT(MAX((A$1:A1013=A1014)*(B$1:B1013=B1014)*ROW(A$1:A1013))))="",C1014&amp;"",INDEX(I$1:I1013,SUMPRODUCT(MAX((A$1:A1013=A1014)*(B$1:B1013=B1014)*ROW(A$1:A1013))))&amp;"; "&amp;C1014))))</f>
        <v/>
      </c>
      <c r="J1014" s="18" t="str">
        <f aca="false">IF(A1014="","",A1014&amp;"|"&amp;COUNTIF(A$2:A1014,A1014))</f>
        <v/>
      </c>
      <c r="K1014" s="18" t="n">
        <f aca="false">IF(OR(A1014="",B1014=""),0,IF(COUNTIFS(A$2:A1014,A1014,B$2:B1014,B1014)=1,1,0))</f>
        <v>0</v>
      </c>
    </row>
    <row r="1015" customFormat="false" ht="15" hidden="false" customHeight="false" outlineLevel="0" collapsed="false">
      <c r="A1015" s="15"/>
      <c r="B1015" s="15"/>
      <c r="C1015" s="15"/>
      <c r="D1015" s="15"/>
      <c r="F1015" s="18" t="str">
        <f aca="false">IF(B1015="","",IFERROR(INDEX(Materials!$B$2:$B$201,MATCH(B1015,Materials!$A$2:$A$201,0)),""))</f>
        <v/>
      </c>
      <c r="G1015" s="18" t="str">
        <f aca="true">IF(AND(A1015="",B1015=""),"",IF(A1015="","Missing product",IF(B1015="","Missing material",IF(COUNTIF(ProductList,A1015)=0,"Product not in Products list",IF(COUNTIF(MaterialList,B1015)=0,"Material not in Materials list","OK")))))</f>
        <v/>
      </c>
      <c r="H1015" s="18" t="str">
        <f aca="false">IF(F1015="Active",A1015&amp;"|"&amp;COUNTIFS(A$2:A1015,A1015,F$2:F1015,"Active"),"")</f>
        <v/>
      </c>
      <c r="I1015" s="18" t="str">
        <f aca="false">IF(B1015="","",IF(SUMPRODUCT(MAX((A$1:A1014=A1015)*(B$1:B1014=B1015)*ROW(A$1:A1014)))=0,C1015&amp;"",IF(C1015="",INDEX(I$1:I1014,SUMPRODUCT(MAX((A$1:A1014=A1015)*(B$1:B1014=B1015)*ROW(A$1:A1014)))),IF(INDEX(I$1:I1014,SUMPRODUCT(MAX((A$1:A1014=A1015)*(B$1:B1014=B1015)*ROW(A$1:A1014))))="",C1015&amp;"",INDEX(I$1:I1014,SUMPRODUCT(MAX((A$1:A1014=A1015)*(B$1:B1014=B1015)*ROW(A$1:A1014))))&amp;"; "&amp;C1015))))</f>
        <v/>
      </c>
      <c r="J1015" s="18" t="str">
        <f aca="false">IF(A1015="","",A1015&amp;"|"&amp;COUNTIF(A$2:A1015,A1015))</f>
        <v/>
      </c>
      <c r="K1015" s="18" t="n">
        <f aca="false">IF(OR(A1015="",B1015=""),0,IF(COUNTIFS(A$2:A1015,A1015,B$2:B1015,B1015)=1,1,0))</f>
        <v>0</v>
      </c>
    </row>
    <row r="1016" customFormat="false" ht="15" hidden="false" customHeight="false" outlineLevel="0" collapsed="false">
      <c r="A1016" s="15"/>
      <c r="B1016" s="15"/>
      <c r="C1016" s="15"/>
      <c r="D1016" s="15"/>
      <c r="F1016" s="18" t="str">
        <f aca="false">IF(B1016="","",IFERROR(INDEX(Materials!$B$2:$B$201,MATCH(B1016,Materials!$A$2:$A$201,0)),""))</f>
        <v/>
      </c>
      <c r="G1016" s="18" t="str">
        <f aca="true">IF(AND(A1016="",B1016=""),"",IF(A1016="","Missing product",IF(B1016="","Missing material",IF(COUNTIF(ProductList,A1016)=0,"Product not in Products list",IF(COUNTIF(MaterialList,B1016)=0,"Material not in Materials list","OK")))))</f>
        <v/>
      </c>
      <c r="H1016" s="18" t="str">
        <f aca="false">IF(F1016="Active",A1016&amp;"|"&amp;COUNTIFS(A$2:A1016,A1016,F$2:F1016,"Active"),"")</f>
        <v/>
      </c>
      <c r="I1016" s="18" t="str">
        <f aca="false">IF(B1016="","",IF(SUMPRODUCT(MAX((A$1:A1015=A1016)*(B$1:B1015=B1016)*ROW(A$1:A1015)))=0,C1016&amp;"",IF(C1016="",INDEX(I$1:I1015,SUMPRODUCT(MAX((A$1:A1015=A1016)*(B$1:B1015=B1016)*ROW(A$1:A1015)))),IF(INDEX(I$1:I1015,SUMPRODUCT(MAX((A$1:A1015=A1016)*(B$1:B1015=B1016)*ROW(A$1:A1015))))="",C1016&amp;"",INDEX(I$1:I1015,SUMPRODUCT(MAX((A$1:A1015=A1016)*(B$1:B1015=B1016)*ROW(A$1:A1015))))&amp;"; "&amp;C1016))))</f>
        <v/>
      </c>
      <c r="J1016" s="18" t="str">
        <f aca="false">IF(A1016="","",A1016&amp;"|"&amp;COUNTIF(A$2:A1016,A1016))</f>
        <v/>
      </c>
      <c r="K1016" s="18" t="n">
        <f aca="false">IF(OR(A1016="",B1016=""),0,IF(COUNTIFS(A$2:A1016,A1016,B$2:B1016,B1016)=1,1,0))</f>
        <v>0</v>
      </c>
    </row>
    <row r="1017" customFormat="false" ht="15" hidden="false" customHeight="false" outlineLevel="0" collapsed="false">
      <c r="A1017" s="15"/>
      <c r="B1017" s="15"/>
      <c r="C1017" s="15"/>
      <c r="D1017" s="15"/>
      <c r="F1017" s="18" t="str">
        <f aca="false">IF(B1017="","",IFERROR(INDEX(Materials!$B$2:$B$201,MATCH(B1017,Materials!$A$2:$A$201,0)),""))</f>
        <v/>
      </c>
      <c r="G1017" s="18" t="str">
        <f aca="true">IF(AND(A1017="",B1017=""),"",IF(A1017="","Missing product",IF(B1017="","Missing material",IF(COUNTIF(ProductList,A1017)=0,"Product not in Products list",IF(COUNTIF(MaterialList,B1017)=0,"Material not in Materials list","OK")))))</f>
        <v/>
      </c>
      <c r="H1017" s="18" t="str">
        <f aca="false">IF(F1017="Active",A1017&amp;"|"&amp;COUNTIFS(A$2:A1017,A1017,F$2:F1017,"Active"),"")</f>
        <v/>
      </c>
      <c r="I1017" s="18" t="str">
        <f aca="false">IF(B1017="","",IF(SUMPRODUCT(MAX((A$1:A1016=A1017)*(B$1:B1016=B1017)*ROW(A$1:A1016)))=0,C1017&amp;"",IF(C1017="",INDEX(I$1:I1016,SUMPRODUCT(MAX((A$1:A1016=A1017)*(B$1:B1016=B1017)*ROW(A$1:A1016)))),IF(INDEX(I$1:I1016,SUMPRODUCT(MAX((A$1:A1016=A1017)*(B$1:B1016=B1017)*ROW(A$1:A1016))))="",C1017&amp;"",INDEX(I$1:I1016,SUMPRODUCT(MAX((A$1:A1016=A1017)*(B$1:B1016=B1017)*ROW(A$1:A1016))))&amp;"; "&amp;C1017))))</f>
        <v/>
      </c>
      <c r="J1017" s="18" t="str">
        <f aca="false">IF(A1017="","",A1017&amp;"|"&amp;COUNTIF(A$2:A1017,A1017))</f>
        <v/>
      </c>
      <c r="K1017" s="18" t="n">
        <f aca="false">IF(OR(A1017="",B1017=""),0,IF(COUNTIFS(A$2:A1017,A1017,B$2:B1017,B1017)=1,1,0))</f>
        <v>0</v>
      </c>
    </row>
    <row r="1018" customFormat="false" ht="15" hidden="false" customHeight="false" outlineLevel="0" collapsed="false">
      <c r="A1018" s="15"/>
      <c r="B1018" s="15"/>
      <c r="C1018" s="15"/>
      <c r="D1018" s="15"/>
      <c r="F1018" s="18" t="str">
        <f aca="false">IF(B1018="","",IFERROR(INDEX(Materials!$B$2:$B$201,MATCH(B1018,Materials!$A$2:$A$201,0)),""))</f>
        <v/>
      </c>
      <c r="G1018" s="18" t="str">
        <f aca="true">IF(AND(A1018="",B1018=""),"",IF(A1018="","Missing product",IF(B1018="","Missing material",IF(COUNTIF(ProductList,A1018)=0,"Product not in Products list",IF(COUNTIF(MaterialList,B1018)=0,"Material not in Materials list","OK")))))</f>
        <v/>
      </c>
      <c r="H1018" s="18" t="str">
        <f aca="false">IF(F1018="Active",A1018&amp;"|"&amp;COUNTIFS(A$2:A1018,A1018,F$2:F1018,"Active"),"")</f>
        <v/>
      </c>
      <c r="I1018" s="18" t="str">
        <f aca="false">IF(B1018="","",IF(SUMPRODUCT(MAX((A$1:A1017=A1018)*(B$1:B1017=B1018)*ROW(A$1:A1017)))=0,C1018&amp;"",IF(C1018="",INDEX(I$1:I1017,SUMPRODUCT(MAX((A$1:A1017=A1018)*(B$1:B1017=B1018)*ROW(A$1:A1017)))),IF(INDEX(I$1:I1017,SUMPRODUCT(MAX((A$1:A1017=A1018)*(B$1:B1017=B1018)*ROW(A$1:A1017))))="",C1018&amp;"",INDEX(I$1:I1017,SUMPRODUCT(MAX((A$1:A1017=A1018)*(B$1:B1017=B1018)*ROW(A$1:A1017))))&amp;"; "&amp;C1018))))</f>
        <v/>
      </c>
      <c r="J1018" s="18" t="str">
        <f aca="false">IF(A1018="","",A1018&amp;"|"&amp;COUNTIF(A$2:A1018,A1018))</f>
        <v/>
      </c>
      <c r="K1018" s="18" t="n">
        <f aca="false">IF(OR(A1018="",B1018=""),0,IF(COUNTIFS(A$2:A1018,A1018,B$2:B1018,B1018)=1,1,0))</f>
        <v>0</v>
      </c>
    </row>
    <row r="1019" customFormat="false" ht="15" hidden="false" customHeight="false" outlineLevel="0" collapsed="false">
      <c r="A1019" s="15"/>
      <c r="B1019" s="15"/>
      <c r="C1019" s="15"/>
      <c r="D1019" s="15"/>
      <c r="F1019" s="18" t="str">
        <f aca="false">IF(B1019="","",IFERROR(INDEX(Materials!$B$2:$B$201,MATCH(B1019,Materials!$A$2:$A$201,0)),""))</f>
        <v/>
      </c>
      <c r="G1019" s="18" t="str">
        <f aca="true">IF(AND(A1019="",B1019=""),"",IF(A1019="","Missing product",IF(B1019="","Missing material",IF(COUNTIF(ProductList,A1019)=0,"Product not in Products list",IF(COUNTIF(MaterialList,B1019)=0,"Material not in Materials list","OK")))))</f>
        <v/>
      </c>
      <c r="H1019" s="18" t="str">
        <f aca="false">IF(F1019="Active",A1019&amp;"|"&amp;COUNTIFS(A$2:A1019,A1019,F$2:F1019,"Active"),"")</f>
        <v/>
      </c>
      <c r="I1019" s="18" t="str">
        <f aca="false">IF(B1019="","",IF(SUMPRODUCT(MAX((A$1:A1018=A1019)*(B$1:B1018=B1019)*ROW(A$1:A1018)))=0,C1019&amp;"",IF(C1019="",INDEX(I$1:I1018,SUMPRODUCT(MAX((A$1:A1018=A1019)*(B$1:B1018=B1019)*ROW(A$1:A1018)))),IF(INDEX(I$1:I1018,SUMPRODUCT(MAX((A$1:A1018=A1019)*(B$1:B1018=B1019)*ROW(A$1:A1018))))="",C1019&amp;"",INDEX(I$1:I1018,SUMPRODUCT(MAX((A$1:A1018=A1019)*(B$1:B1018=B1019)*ROW(A$1:A1018))))&amp;"; "&amp;C1019))))</f>
        <v/>
      </c>
      <c r="J1019" s="18" t="str">
        <f aca="false">IF(A1019="","",A1019&amp;"|"&amp;COUNTIF(A$2:A1019,A1019))</f>
        <v/>
      </c>
      <c r="K1019" s="18" t="n">
        <f aca="false">IF(OR(A1019="",B1019=""),0,IF(COUNTIFS(A$2:A1019,A1019,B$2:B1019,B1019)=1,1,0))</f>
        <v>0</v>
      </c>
    </row>
    <row r="1020" customFormat="false" ht="15" hidden="false" customHeight="false" outlineLevel="0" collapsed="false">
      <c r="A1020" s="15"/>
      <c r="B1020" s="15"/>
      <c r="C1020" s="15"/>
      <c r="D1020" s="15"/>
      <c r="F1020" s="18" t="str">
        <f aca="false">IF(B1020="","",IFERROR(INDEX(Materials!$B$2:$B$201,MATCH(B1020,Materials!$A$2:$A$201,0)),""))</f>
        <v/>
      </c>
      <c r="G1020" s="18" t="str">
        <f aca="true">IF(AND(A1020="",B1020=""),"",IF(A1020="","Missing product",IF(B1020="","Missing material",IF(COUNTIF(ProductList,A1020)=0,"Product not in Products list",IF(COUNTIF(MaterialList,B1020)=0,"Material not in Materials list","OK")))))</f>
        <v/>
      </c>
      <c r="H1020" s="18" t="str">
        <f aca="false">IF(F1020="Active",A1020&amp;"|"&amp;COUNTIFS(A$2:A1020,A1020,F$2:F1020,"Active"),"")</f>
        <v/>
      </c>
      <c r="I1020" s="18" t="str">
        <f aca="false">IF(B1020="","",IF(SUMPRODUCT(MAX((A$1:A1019=A1020)*(B$1:B1019=B1020)*ROW(A$1:A1019)))=0,C1020&amp;"",IF(C1020="",INDEX(I$1:I1019,SUMPRODUCT(MAX((A$1:A1019=A1020)*(B$1:B1019=B1020)*ROW(A$1:A1019)))),IF(INDEX(I$1:I1019,SUMPRODUCT(MAX((A$1:A1019=A1020)*(B$1:B1019=B1020)*ROW(A$1:A1019))))="",C1020&amp;"",INDEX(I$1:I1019,SUMPRODUCT(MAX((A$1:A1019=A1020)*(B$1:B1019=B1020)*ROW(A$1:A1019))))&amp;"; "&amp;C1020))))</f>
        <v/>
      </c>
      <c r="J1020" s="18" t="str">
        <f aca="false">IF(A1020="","",A1020&amp;"|"&amp;COUNTIF(A$2:A1020,A1020))</f>
        <v/>
      </c>
      <c r="K1020" s="18" t="n">
        <f aca="false">IF(OR(A1020="",B1020=""),0,IF(COUNTIFS(A$2:A1020,A1020,B$2:B1020,B1020)=1,1,0))</f>
        <v>0</v>
      </c>
    </row>
    <row r="1021" customFormat="false" ht="15" hidden="false" customHeight="false" outlineLevel="0" collapsed="false">
      <c r="A1021" s="15"/>
      <c r="B1021" s="15"/>
      <c r="C1021" s="15"/>
      <c r="D1021" s="15"/>
      <c r="F1021" s="18" t="str">
        <f aca="false">IF(B1021="","",IFERROR(INDEX(Materials!$B$2:$B$201,MATCH(B1021,Materials!$A$2:$A$201,0)),""))</f>
        <v/>
      </c>
      <c r="G1021" s="18" t="str">
        <f aca="true">IF(AND(A1021="",B1021=""),"",IF(A1021="","Missing product",IF(B1021="","Missing material",IF(COUNTIF(ProductList,A1021)=0,"Product not in Products list",IF(COUNTIF(MaterialList,B1021)=0,"Material not in Materials list","OK")))))</f>
        <v/>
      </c>
      <c r="H1021" s="18" t="str">
        <f aca="false">IF(F1021="Active",A1021&amp;"|"&amp;COUNTIFS(A$2:A1021,A1021,F$2:F1021,"Active"),"")</f>
        <v/>
      </c>
      <c r="I1021" s="18" t="str">
        <f aca="false">IF(B1021="","",IF(SUMPRODUCT(MAX((A$1:A1020=A1021)*(B$1:B1020=B1021)*ROW(A$1:A1020)))=0,C1021&amp;"",IF(C1021="",INDEX(I$1:I1020,SUMPRODUCT(MAX((A$1:A1020=A1021)*(B$1:B1020=B1021)*ROW(A$1:A1020)))),IF(INDEX(I$1:I1020,SUMPRODUCT(MAX((A$1:A1020=A1021)*(B$1:B1020=B1021)*ROW(A$1:A1020))))="",C1021&amp;"",INDEX(I$1:I1020,SUMPRODUCT(MAX((A$1:A1020=A1021)*(B$1:B1020=B1021)*ROW(A$1:A1020))))&amp;"; "&amp;C1021))))</f>
        <v/>
      </c>
      <c r="J1021" s="18" t="str">
        <f aca="false">IF(A1021="","",A1021&amp;"|"&amp;COUNTIF(A$2:A1021,A1021))</f>
        <v/>
      </c>
      <c r="K1021" s="18" t="n">
        <f aca="false">IF(OR(A1021="",B1021=""),0,IF(COUNTIFS(A$2:A1021,A1021,B$2:B1021,B1021)=1,1,0))</f>
        <v>0</v>
      </c>
    </row>
    <row r="1022" customFormat="false" ht="15" hidden="false" customHeight="false" outlineLevel="0" collapsed="false">
      <c r="A1022" s="15"/>
      <c r="B1022" s="15"/>
      <c r="C1022" s="15"/>
      <c r="D1022" s="15"/>
      <c r="F1022" s="18" t="str">
        <f aca="false">IF(B1022="","",IFERROR(INDEX(Materials!$B$2:$B$201,MATCH(B1022,Materials!$A$2:$A$201,0)),""))</f>
        <v/>
      </c>
      <c r="G1022" s="18" t="str">
        <f aca="true">IF(AND(A1022="",B1022=""),"",IF(A1022="","Missing product",IF(B1022="","Missing material",IF(COUNTIF(ProductList,A1022)=0,"Product not in Products list",IF(COUNTIF(MaterialList,B1022)=0,"Material not in Materials list","OK")))))</f>
        <v/>
      </c>
      <c r="H1022" s="18" t="str">
        <f aca="false">IF(F1022="Active",A1022&amp;"|"&amp;COUNTIFS(A$2:A1022,A1022,F$2:F1022,"Active"),"")</f>
        <v/>
      </c>
      <c r="I1022" s="18" t="str">
        <f aca="false">IF(B1022="","",IF(SUMPRODUCT(MAX((A$1:A1021=A1022)*(B$1:B1021=B1022)*ROW(A$1:A1021)))=0,C1022&amp;"",IF(C1022="",INDEX(I$1:I1021,SUMPRODUCT(MAX((A$1:A1021=A1022)*(B$1:B1021=B1022)*ROW(A$1:A1021)))),IF(INDEX(I$1:I1021,SUMPRODUCT(MAX((A$1:A1021=A1022)*(B$1:B1021=B1022)*ROW(A$1:A1021))))="",C1022&amp;"",INDEX(I$1:I1021,SUMPRODUCT(MAX((A$1:A1021=A1022)*(B$1:B1021=B1022)*ROW(A$1:A1021))))&amp;"; "&amp;C1022))))</f>
        <v/>
      </c>
      <c r="J1022" s="18" t="str">
        <f aca="false">IF(A1022="","",A1022&amp;"|"&amp;COUNTIF(A$2:A1022,A1022))</f>
        <v/>
      </c>
      <c r="K1022" s="18" t="n">
        <f aca="false">IF(OR(A1022="",B1022=""),0,IF(COUNTIFS(A$2:A1022,A1022,B$2:B1022,B1022)=1,1,0))</f>
        <v>0</v>
      </c>
    </row>
    <row r="1023" customFormat="false" ht="15" hidden="false" customHeight="false" outlineLevel="0" collapsed="false">
      <c r="A1023" s="15"/>
      <c r="B1023" s="15"/>
      <c r="C1023" s="15"/>
      <c r="D1023" s="15"/>
      <c r="F1023" s="18" t="str">
        <f aca="false">IF(B1023="","",IFERROR(INDEX(Materials!$B$2:$B$201,MATCH(B1023,Materials!$A$2:$A$201,0)),""))</f>
        <v/>
      </c>
      <c r="G1023" s="18" t="str">
        <f aca="true">IF(AND(A1023="",B1023=""),"",IF(A1023="","Missing product",IF(B1023="","Missing material",IF(COUNTIF(ProductList,A1023)=0,"Product not in Products list",IF(COUNTIF(MaterialList,B1023)=0,"Material not in Materials list","OK")))))</f>
        <v/>
      </c>
      <c r="H1023" s="18" t="str">
        <f aca="false">IF(F1023="Active",A1023&amp;"|"&amp;COUNTIFS(A$2:A1023,A1023,F$2:F1023,"Active"),"")</f>
        <v/>
      </c>
      <c r="I1023" s="18" t="str">
        <f aca="false">IF(B1023="","",IF(SUMPRODUCT(MAX((A$1:A1022=A1023)*(B$1:B1022=B1023)*ROW(A$1:A1022)))=0,C1023&amp;"",IF(C1023="",INDEX(I$1:I1022,SUMPRODUCT(MAX((A$1:A1022=A1023)*(B$1:B1022=B1023)*ROW(A$1:A1022)))),IF(INDEX(I$1:I1022,SUMPRODUCT(MAX((A$1:A1022=A1023)*(B$1:B1022=B1023)*ROW(A$1:A1022))))="",C1023&amp;"",INDEX(I$1:I1022,SUMPRODUCT(MAX((A$1:A1022=A1023)*(B$1:B1022=B1023)*ROW(A$1:A1022))))&amp;"; "&amp;C1023))))</f>
        <v/>
      </c>
      <c r="J1023" s="18" t="str">
        <f aca="false">IF(A1023="","",A1023&amp;"|"&amp;COUNTIF(A$2:A1023,A1023))</f>
        <v/>
      </c>
      <c r="K1023" s="18" t="n">
        <f aca="false">IF(OR(A1023="",B1023=""),0,IF(COUNTIFS(A$2:A1023,A1023,B$2:B1023,B1023)=1,1,0))</f>
        <v>0</v>
      </c>
    </row>
    <row r="1024" customFormat="false" ht="15" hidden="false" customHeight="false" outlineLevel="0" collapsed="false">
      <c r="A1024" s="15"/>
      <c r="B1024" s="15"/>
      <c r="C1024" s="15"/>
      <c r="D1024" s="15"/>
      <c r="F1024" s="18" t="str">
        <f aca="false">IF(B1024="","",IFERROR(INDEX(Materials!$B$2:$B$201,MATCH(B1024,Materials!$A$2:$A$201,0)),""))</f>
        <v/>
      </c>
      <c r="G1024" s="18" t="str">
        <f aca="true">IF(AND(A1024="",B1024=""),"",IF(A1024="","Missing product",IF(B1024="","Missing material",IF(COUNTIF(ProductList,A1024)=0,"Product not in Products list",IF(COUNTIF(MaterialList,B1024)=0,"Material not in Materials list","OK")))))</f>
        <v/>
      </c>
      <c r="H1024" s="18" t="str">
        <f aca="false">IF(F1024="Active",A1024&amp;"|"&amp;COUNTIFS(A$2:A1024,A1024,F$2:F1024,"Active"),"")</f>
        <v/>
      </c>
      <c r="I1024" s="18" t="str">
        <f aca="false">IF(B1024="","",IF(SUMPRODUCT(MAX((A$1:A1023=A1024)*(B$1:B1023=B1024)*ROW(A$1:A1023)))=0,C1024&amp;"",IF(C1024="",INDEX(I$1:I1023,SUMPRODUCT(MAX((A$1:A1023=A1024)*(B$1:B1023=B1024)*ROW(A$1:A1023)))),IF(INDEX(I$1:I1023,SUMPRODUCT(MAX((A$1:A1023=A1024)*(B$1:B1023=B1024)*ROW(A$1:A1023))))="",C1024&amp;"",INDEX(I$1:I1023,SUMPRODUCT(MAX((A$1:A1023=A1024)*(B$1:B1023=B1024)*ROW(A$1:A1023))))&amp;"; "&amp;C1024))))</f>
        <v/>
      </c>
      <c r="J1024" s="18" t="str">
        <f aca="false">IF(A1024="","",A1024&amp;"|"&amp;COUNTIF(A$2:A1024,A1024))</f>
        <v/>
      </c>
      <c r="K1024" s="18" t="n">
        <f aca="false">IF(OR(A1024="",B1024=""),0,IF(COUNTIFS(A$2:A1024,A1024,B$2:B1024,B1024)=1,1,0))</f>
        <v>0</v>
      </c>
    </row>
    <row r="1025" customFormat="false" ht="15" hidden="false" customHeight="false" outlineLevel="0" collapsed="false">
      <c r="A1025" s="15"/>
      <c r="B1025" s="15"/>
      <c r="C1025" s="15"/>
      <c r="D1025" s="15"/>
      <c r="F1025" s="18" t="str">
        <f aca="false">IF(B1025="","",IFERROR(INDEX(Materials!$B$2:$B$201,MATCH(B1025,Materials!$A$2:$A$201,0)),""))</f>
        <v/>
      </c>
      <c r="G1025" s="18" t="str">
        <f aca="true">IF(AND(A1025="",B1025=""),"",IF(A1025="","Missing product",IF(B1025="","Missing material",IF(COUNTIF(ProductList,A1025)=0,"Product not in Products list",IF(COUNTIF(MaterialList,B1025)=0,"Material not in Materials list","OK")))))</f>
        <v/>
      </c>
      <c r="H1025" s="18" t="str">
        <f aca="false">IF(F1025="Active",A1025&amp;"|"&amp;COUNTIFS(A$2:A1025,A1025,F$2:F1025,"Active"),"")</f>
        <v/>
      </c>
      <c r="I1025" s="18" t="str">
        <f aca="false">IF(B1025="","",IF(SUMPRODUCT(MAX((A$1:A1024=A1025)*(B$1:B1024=B1025)*ROW(A$1:A1024)))=0,C1025&amp;"",IF(C1025="",INDEX(I$1:I1024,SUMPRODUCT(MAX((A$1:A1024=A1025)*(B$1:B1024=B1025)*ROW(A$1:A1024)))),IF(INDEX(I$1:I1024,SUMPRODUCT(MAX((A$1:A1024=A1025)*(B$1:B1024=B1025)*ROW(A$1:A1024))))="",C1025&amp;"",INDEX(I$1:I1024,SUMPRODUCT(MAX((A$1:A1024=A1025)*(B$1:B1024=B1025)*ROW(A$1:A1024))))&amp;"; "&amp;C1025))))</f>
        <v/>
      </c>
      <c r="J1025" s="18" t="str">
        <f aca="false">IF(A1025="","",A1025&amp;"|"&amp;COUNTIF(A$2:A1025,A1025))</f>
        <v/>
      </c>
      <c r="K1025" s="18" t="n">
        <f aca="false">IF(OR(A1025="",B1025=""),0,IF(COUNTIFS(A$2:A1025,A1025,B$2:B1025,B1025)=1,1,0))</f>
        <v>0</v>
      </c>
    </row>
    <row r="1026" customFormat="false" ht="15" hidden="false" customHeight="false" outlineLevel="0" collapsed="false">
      <c r="A1026" s="15"/>
      <c r="B1026" s="15"/>
      <c r="C1026" s="15"/>
      <c r="D1026" s="15"/>
      <c r="F1026" s="18" t="str">
        <f aca="false">IF(B1026="","",IFERROR(INDEX(Materials!$B$2:$B$201,MATCH(B1026,Materials!$A$2:$A$201,0)),""))</f>
        <v/>
      </c>
      <c r="G1026" s="18" t="str">
        <f aca="true">IF(AND(A1026="",B1026=""),"",IF(A1026="","Missing product",IF(B1026="","Missing material",IF(COUNTIF(ProductList,A1026)=0,"Product not in Products list",IF(COUNTIF(MaterialList,B1026)=0,"Material not in Materials list","OK")))))</f>
        <v/>
      </c>
      <c r="H1026" s="18" t="str">
        <f aca="false">IF(F1026="Active",A1026&amp;"|"&amp;COUNTIFS(A$2:A1026,A1026,F$2:F1026,"Active"),"")</f>
        <v/>
      </c>
      <c r="I1026" s="18" t="str">
        <f aca="false">IF(B1026="","",IF(SUMPRODUCT(MAX((A$1:A1025=A1026)*(B$1:B1025=B1026)*ROW(A$1:A1025)))=0,C1026&amp;"",IF(C1026="",INDEX(I$1:I1025,SUMPRODUCT(MAX((A$1:A1025=A1026)*(B$1:B1025=B1026)*ROW(A$1:A1025)))),IF(INDEX(I$1:I1025,SUMPRODUCT(MAX((A$1:A1025=A1026)*(B$1:B1025=B1026)*ROW(A$1:A1025))))="",C1026&amp;"",INDEX(I$1:I1025,SUMPRODUCT(MAX((A$1:A1025=A1026)*(B$1:B1025=B1026)*ROW(A$1:A1025))))&amp;"; "&amp;C1026))))</f>
        <v/>
      </c>
      <c r="J1026" s="18" t="str">
        <f aca="false">IF(A1026="","",A1026&amp;"|"&amp;COUNTIF(A$2:A1026,A1026))</f>
        <v/>
      </c>
      <c r="K1026" s="18" t="n">
        <f aca="false">IF(OR(A1026="",B1026=""),0,IF(COUNTIFS(A$2:A1026,A1026,B$2:B1026,B1026)=1,1,0))</f>
        <v>0</v>
      </c>
    </row>
    <row r="1027" customFormat="false" ht="15" hidden="false" customHeight="false" outlineLevel="0" collapsed="false">
      <c r="A1027" s="15"/>
      <c r="B1027" s="15"/>
      <c r="C1027" s="15"/>
      <c r="D1027" s="15"/>
      <c r="F1027" s="18" t="str">
        <f aca="false">IF(B1027="","",IFERROR(INDEX(Materials!$B$2:$B$201,MATCH(B1027,Materials!$A$2:$A$201,0)),""))</f>
        <v/>
      </c>
      <c r="G1027" s="18" t="str">
        <f aca="true">IF(AND(A1027="",B1027=""),"",IF(A1027="","Missing product",IF(B1027="","Missing material",IF(COUNTIF(ProductList,A1027)=0,"Product not in Products list",IF(COUNTIF(MaterialList,B1027)=0,"Material not in Materials list","OK")))))</f>
        <v/>
      </c>
      <c r="H1027" s="18" t="str">
        <f aca="false">IF(F1027="Active",A1027&amp;"|"&amp;COUNTIFS(A$2:A1027,A1027,F$2:F1027,"Active"),"")</f>
        <v/>
      </c>
      <c r="I1027" s="18" t="str">
        <f aca="false">IF(B1027="","",IF(SUMPRODUCT(MAX((A$1:A1026=A1027)*(B$1:B1026=B1027)*ROW(A$1:A1026)))=0,C1027&amp;"",IF(C1027="",INDEX(I$1:I1026,SUMPRODUCT(MAX((A$1:A1026=A1027)*(B$1:B1026=B1027)*ROW(A$1:A1026)))),IF(INDEX(I$1:I1026,SUMPRODUCT(MAX((A$1:A1026=A1027)*(B$1:B1026=B1027)*ROW(A$1:A1026))))="",C1027&amp;"",INDEX(I$1:I1026,SUMPRODUCT(MAX((A$1:A1026=A1027)*(B$1:B1026=B1027)*ROW(A$1:A1026))))&amp;"; "&amp;C1027))))</f>
        <v/>
      </c>
      <c r="J1027" s="18" t="str">
        <f aca="false">IF(A1027="","",A1027&amp;"|"&amp;COUNTIF(A$2:A1027,A1027))</f>
        <v/>
      </c>
      <c r="K1027" s="18" t="n">
        <f aca="false">IF(OR(A1027="",B1027=""),0,IF(COUNTIFS(A$2:A1027,A1027,B$2:B1027,B1027)=1,1,0))</f>
        <v>0</v>
      </c>
    </row>
    <row r="1028" customFormat="false" ht="15" hidden="false" customHeight="false" outlineLevel="0" collapsed="false">
      <c r="A1028" s="15"/>
      <c r="B1028" s="15"/>
      <c r="C1028" s="15"/>
      <c r="D1028" s="15"/>
      <c r="F1028" s="18" t="str">
        <f aca="false">IF(B1028="","",IFERROR(INDEX(Materials!$B$2:$B$201,MATCH(B1028,Materials!$A$2:$A$201,0)),""))</f>
        <v/>
      </c>
      <c r="G1028" s="18" t="str">
        <f aca="true">IF(AND(A1028="",B1028=""),"",IF(A1028="","Missing product",IF(B1028="","Missing material",IF(COUNTIF(ProductList,A1028)=0,"Product not in Products list",IF(COUNTIF(MaterialList,B1028)=0,"Material not in Materials list","OK")))))</f>
        <v/>
      </c>
      <c r="H1028" s="18" t="str">
        <f aca="false">IF(F1028="Active",A1028&amp;"|"&amp;COUNTIFS(A$2:A1028,A1028,F$2:F1028,"Active"),"")</f>
        <v/>
      </c>
      <c r="I1028" s="18" t="str">
        <f aca="false">IF(B1028="","",IF(SUMPRODUCT(MAX((A$1:A1027=A1028)*(B$1:B1027=B1028)*ROW(A$1:A1027)))=0,C1028&amp;"",IF(C1028="",INDEX(I$1:I1027,SUMPRODUCT(MAX((A$1:A1027=A1028)*(B$1:B1027=B1028)*ROW(A$1:A1027)))),IF(INDEX(I$1:I1027,SUMPRODUCT(MAX((A$1:A1027=A1028)*(B$1:B1027=B1028)*ROW(A$1:A1027))))="",C1028&amp;"",INDEX(I$1:I1027,SUMPRODUCT(MAX((A$1:A1027=A1028)*(B$1:B1027=B1028)*ROW(A$1:A1027))))&amp;"; "&amp;C1028))))</f>
        <v/>
      </c>
      <c r="J1028" s="18" t="str">
        <f aca="false">IF(A1028="","",A1028&amp;"|"&amp;COUNTIF(A$2:A1028,A1028))</f>
        <v/>
      </c>
      <c r="K1028" s="18" t="n">
        <f aca="false">IF(OR(A1028="",B1028=""),0,IF(COUNTIFS(A$2:A1028,A1028,B$2:B1028,B1028)=1,1,0))</f>
        <v>0</v>
      </c>
    </row>
    <row r="1029" customFormat="false" ht="15" hidden="false" customHeight="false" outlineLevel="0" collapsed="false">
      <c r="A1029" s="15"/>
      <c r="B1029" s="15"/>
      <c r="C1029" s="15"/>
      <c r="D1029" s="15"/>
      <c r="F1029" s="18" t="str">
        <f aca="false">IF(B1029="","",IFERROR(INDEX(Materials!$B$2:$B$201,MATCH(B1029,Materials!$A$2:$A$201,0)),""))</f>
        <v/>
      </c>
      <c r="G1029" s="18" t="str">
        <f aca="true">IF(AND(A1029="",B1029=""),"",IF(A1029="","Missing product",IF(B1029="","Missing material",IF(COUNTIF(ProductList,A1029)=0,"Product not in Products list",IF(COUNTIF(MaterialList,B1029)=0,"Material not in Materials list","OK")))))</f>
        <v/>
      </c>
      <c r="H1029" s="18" t="str">
        <f aca="false">IF(F1029="Active",A1029&amp;"|"&amp;COUNTIFS(A$2:A1029,A1029,F$2:F1029,"Active"),"")</f>
        <v/>
      </c>
      <c r="I1029" s="18" t="str">
        <f aca="false">IF(B1029="","",IF(SUMPRODUCT(MAX((A$1:A1028=A1029)*(B$1:B1028=B1029)*ROW(A$1:A1028)))=0,C1029&amp;"",IF(C1029="",INDEX(I$1:I1028,SUMPRODUCT(MAX((A$1:A1028=A1029)*(B$1:B1028=B1029)*ROW(A$1:A1028)))),IF(INDEX(I$1:I1028,SUMPRODUCT(MAX((A$1:A1028=A1029)*(B$1:B1028=B1029)*ROW(A$1:A1028))))="",C1029&amp;"",INDEX(I$1:I1028,SUMPRODUCT(MAX((A$1:A1028=A1029)*(B$1:B1028=B1029)*ROW(A$1:A1028))))&amp;"; "&amp;C1029))))</f>
        <v/>
      </c>
      <c r="J1029" s="18" t="str">
        <f aca="false">IF(A1029="","",A1029&amp;"|"&amp;COUNTIF(A$2:A1029,A1029))</f>
        <v/>
      </c>
      <c r="K1029" s="18" t="n">
        <f aca="false">IF(OR(A1029="",B1029=""),0,IF(COUNTIFS(A$2:A1029,A1029,B$2:B1029,B1029)=1,1,0))</f>
        <v>0</v>
      </c>
    </row>
    <row r="1030" customFormat="false" ht="15" hidden="false" customHeight="false" outlineLevel="0" collapsed="false">
      <c r="A1030" s="15"/>
      <c r="B1030" s="15"/>
      <c r="C1030" s="15"/>
      <c r="D1030" s="15"/>
      <c r="F1030" s="18" t="str">
        <f aca="false">IF(B1030="","",IFERROR(INDEX(Materials!$B$2:$B$201,MATCH(B1030,Materials!$A$2:$A$201,0)),""))</f>
        <v/>
      </c>
      <c r="G1030" s="18" t="str">
        <f aca="true">IF(AND(A1030="",B1030=""),"",IF(A1030="","Missing product",IF(B1030="","Missing material",IF(COUNTIF(ProductList,A1030)=0,"Product not in Products list",IF(COUNTIF(MaterialList,B1030)=0,"Material not in Materials list","OK")))))</f>
        <v/>
      </c>
      <c r="H1030" s="18" t="str">
        <f aca="false">IF(F1030="Active",A1030&amp;"|"&amp;COUNTIFS(A$2:A1030,A1030,F$2:F1030,"Active"),"")</f>
        <v/>
      </c>
      <c r="I1030" s="18" t="str">
        <f aca="false">IF(B1030="","",IF(SUMPRODUCT(MAX((A$1:A1029=A1030)*(B$1:B1029=B1030)*ROW(A$1:A1029)))=0,C1030&amp;"",IF(C1030="",INDEX(I$1:I1029,SUMPRODUCT(MAX((A$1:A1029=A1030)*(B$1:B1029=B1030)*ROW(A$1:A1029)))),IF(INDEX(I$1:I1029,SUMPRODUCT(MAX((A$1:A1029=A1030)*(B$1:B1029=B1030)*ROW(A$1:A1029))))="",C1030&amp;"",INDEX(I$1:I1029,SUMPRODUCT(MAX((A$1:A1029=A1030)*(B$1:B1029=B1030)*ROW(A$1:A1029))))&amp;"; "&amp;C1030))))</f>
        <v/>
      </c>
      <c r="J1030" s="18" t="str">
        <f aca="false">IF(A1030="","",A1030&amp;"|"&amp;COUNTIF(A$2:A1030,A1030))</f>
        <v/>
      </c>
      <c r="K1030" s="18" t="n">
        <f aca="false">IF(OR(A1030="",B1030=""),0,IF(COUNTIFS(A$2:A1030,A1030,B$2:B1030,B1030)=1,1,0))</f>
        <v>0</v>
      </c>
    </row>
    <row r="1031" customFormat="false" ht="15" hidden="false" customHeight="false" outlineLevel="0" collapsed="false">
      <c r="A1031" s="15"/>
      <c r="B1031" s="15"/>
      <c r="C1031" s="15"/>
      <c r="D1031" s="15"/>
      <c r="F1031" s="18" t="str">
        <f aca="false">IF(B1031="","",IFERROR(INDEX(Materials!$B$2:$B$201,MATCH(B1031,Materials!$A$2:$A$201,0)),""))</f>
        <v/>
      </c>
      <c r="G1031" s="18" t="str">
        <f aca="true">IF(AND(A1031="",B1031=""),"",IF(A1031="","Missing product",IF(B1031="","Missing material",IF(COUNTIF(ProductList,A1031)=0,"Product not in Products list",IF(COUNTIF(MaterialList,B1031)=0,"Material not in Materials list","OK")))))</f>
        <v/>
      </c>
      <c r="H1031" s="18" t="str">
        <f aca="false">IF(F1031="Active",A1031&amp;"|"&amp;COUNTIFS(A$2:A1031,A1031,F$2:F1031,"Active"),"")</f>
        <v/>
      </c>
      <c r="I1031" s="18" t="str">
        <f aca="false">IF(B1031="","",IF(SUMPRODUCT(MAX((A$1:A1030=A1031)*(B$1:B1030=B1031)*ROW(A$1:A1030)))=0,C1031&amp;"",IF(C1031="",INDEX(I$1:I1030,SUMPRODUCT(MAX((A$1:A1030=A1031)*(B$1:B1030=B1031)*ROW(A$1:A1030)))),IF(INDEX(I$1:I1030,SUMPRODUCT(MAX((A$1:A1030=A1031)*(B$1:B1030=B1031)*ROW(A$1:A1030))))="",C1031&amp;"",INDEX(I$1:I1030,SUMPRODUCT(MAX((A$1:A1030=A1031)*(B$1:B1030=B1031)*ROW(A$1:A1030))))&amp;"; "&amp;C1031))))</f>
        <v/>
      </c>
      <c r="J1031" s="18" t="str">
        <f aca="false">IF(A1031="","",A1031&amp;"|"&amp;COUNTIF(A$2:A1031,A1031))</f>
        <v/>
      </c>
      <c r="K1031" s="18" t="n">
        <f aca="false">IF(OR(A1031="",B1031=""),0,IF(COUNTIFS(A$2:A1031,A1031,B$2:B1031,B1031)=1,1,0))</f>
        <v>0</v>
      </c>
    </row>
    <row r="1032" customFormat="false" ht="15" hidden="false" customHeight="false" outlineLevel="0" collapsed="false">
      <c r="A1032" s="15"/>
      <c r="B1032" s="15"/>
      <c r="C1032" s="15"/>
      <c r="D1032" s="15"/>
      <c r="F1032" s="18" t="str">
        <f aca="false">IF(B1032="","",IFERROR(INDEX(Materials!$B$2:$B$201,MATCH(B1032,Materials!$A$2:$A$201,0)),""))</f>
        <v/>
      </c>
      <c r="G1032" s="18" t="str">
        <f aca="true">IF(AND(A1032="",B1032=""),"",IF(A1032="","Missing product",IF(B1032="","Missing material",IF(COUNTIF(ProductList,A1032)=0,"Product not in Products list",IF(COUNTIF(MaterialList,B1032)=0,"Material not in Materials list","OK")))))</f>
        <v/>
      </c>
      <c r="H1032" s="18" t="str">
        <f aca="false">IF(F1032="Active",A1032&amp;"|"&amp;COUNTIFS(A$2:A1032,A1032,F$2:F1032,"Active"),"")</f>
        <v/>
      </c>
      <c r="I1032" s="18" t="str">
        <f aca="false">IF(B1032="","",IF(SUMPRODUCT(MAX((A$1:A1031=A1032)*(B$1:B1031=B1032)*ROW(A$1:A1031)))=0,C1032&amp;"",IF(C1032="",INDEX(I$1:I1031,SUMPRODUCT(MAX((A$1:A1031=A1032)*(B$1:B1031=B1032)*ROW(A$1:A1031)))),IF(INDEX(I$1:I1031,SUMPRODUCT(MAX((A$1:A1031=A1032)*(B$1:B1031=B1032)*ROW(A$1:A1031))))="",C1032&amp;"",INDEX(I$1:I1031,SUMPRODUCT(MAX((A$1:A1031=A1032)*(B$1:B1031=B1032)*ROW(A$1:A1031))))&amp;"; "&amp;C1032))))</f>
        <v/>
      </c>
      <c r="J1032" s="18" t="str">
        <f aca="false">IF(A1032="","",A1032&amp;"|"&amp;COUNTIF(A$2:A1032,A1032))</f>
        <v/>
      </c>
      <c r="K1032" s="18" t="n">
        <f aca="false">IF(OR(A1032="",B1032=""),0,IF(COUNTIFS(A$2:A1032,A1032,B$2:B1032,B1032)=1,1,0))</f>
        <v>0</v>
      </c>
    </row>
    <row r="1033" customFormat="false" ht="15" hidden="false" customHeight="false" outlineLevel="0" collapsed="false">
      <c r="A1033" s="15"/>
      <c r="B1033" s="15"/>
      <c r="C1033" s="15"/>
      <c r="D1033" s="15"/>
      <c r="F1033" s="18" t="str">
        <f aca="false">IF(B1033="","",IFERROR(INDEX(Materials!$B$2:$B$201,MATCH(B1033,Materials!$A$2:$A$201,0)),""))</f>
        <v/>
      </c>
      <c r="G1033" s="18" t="str">
        <f aca="true">IF(AND(A1033="",B1033=""),"",IF(A1033="","Missing product",IF(B1033="","Missing material",IF(COUNTIF(ProductList,A1033)=0,"Product not in Products list",IF(COUNTIF(MaterialList,B1033)=0,"Material not in Materials list","OK")))))</f>
        <v/>
      </c>
      <c r="H1033" s="18" t="str">
        <f aca="false">IF(F1033="Active",A1033&amp;"|"&amp;COUNTIFS(A$2:A1033,A1033,F$2:F1033,"Active"),"")</f>
        <v/>
      </c>
      <c r="I1033" s="18" t="str">
        <f aca="false">IF(B1033="","",IF(SUMPRODUCT(MAX((A$1:A1032=A1033)*(B$1:B1032=B1033)*ROW(A$1:A1032)))=0,C1033&amp;"",IF(C1033="",INDEX(I$1:I1032,SUMPRODUCT(MAX((A$1:A1032=A1033)*(B$1:B1032=B1033)*ROW(A$1:A1032)))),IF(INDEX(I$1:I1032,SUMPRODUCT(MAX((A$1:A1032=A1033)*(B$1:B1032=B1033)*ROW(A$1:A1032))))="",C1033&amp;"",INDEX(I$1:I1032,SUMPRODUCT(MAX((A$1:A1032=A1033)*(B$1:B1032=B1033)*ROW(A$1:A1032))))&amp;"; "&amp;C1033))))</f>
        <v/>
      </c>
      <c r="J1033" s="18" t="str">
        <f aca="false">IF(A1033="","",A1033&amp;"|"&amp;COUNTIF(A$2:A1033,A1033))</f>
        <v/>
      </c>
      <c r="K1033" s="18" t="n">
        <f aca="false">IF(OR(A1033="",B1033=""),0,IF(COUNTIFS(A$2:A1033,A1033,B$2:B1033,B1033)=1,1,0))</f>
        <v>0</v>
      </c>
    </row>
    <row r="1034" customFormat="false" ht="15" hidden="false" customHeight="false" outlineLevel="0" collapsed="false">
      <c r="A1034" s="15"/>
      <c r="B1034" s="15"/>
      <c r="C1034" s="15"/>
      <c r="D1034" s="15"/>
      <c r="F1034" s="18" t="str">
        <f aca="false">IF(B1034="","",IFERROR(INDEX(Materials!$B$2:$B$201,MATCH(B1034,Materials!$A$2:$A$201,0)),""))</f>
        <v/>
      </c>
      <c r="G1034" s="18" t="str">
        <f aca="true">IF(AND(A1034="",B1034=""),"",IF(A1034="","Missing product",IF(B1034="","Missing material",IF(COUNTIF(ProductList,A1034)=0,"Product not in Products list",IF(COUNTIF(MaterialList,B1034)=0,"Material not in Materials list","OK")))))</f>
        <v/>
      </c>
      <c r="H1034" s="18" t="str">
        <f aca="false">IF(F1034="Active",A1034&amp;"|"&amp;COUNTIFS(A$2:A1034,A1034,F$2:F1034,"Active"),"")</f>
        <v/>
      </c>
      <c r="I1034" s="18" t="str">
        <f aca="false">IF(B1034="","",IF(SUMPRODUCT(MAX((A$1:A1033=A1034)*(B$1:B1033=B1034)*ROW(A$1:A1033)))=0,C1034&amp;"",IF(C1034="",INDEX(I$1:I1033,SUMPRODUCT(MAX((A$1:A1033=A1034)*(B$1:B1033=B1034)*ROW(A$1:A1033)))),IF(INDEX(I$1:I1033,SUMPRODUCT(MAX((A$1:A1033=A1034)*(B$1:B1033=B1034)*ROW(A$1:A1033))))="",C1034&amp;"",INDEX(I$1:I1033,SUMPRODUCT(MAX((A$1:A1033=A1034)*(B$1:B1033=B1034)*ROW(A$1:A1033))))&amp;"; "&amp;C1034))))</f>
        <v/>
      </c>
      <c r="J1034" s="18" t="str">
        <f aca="false">IF(A1034="","",A1034&amp;"|"&amp;COUNTIF(A$2:A1034,A1034))</f>
        <v/>
      </c>
      <c r="K1034" s="18" t="n">
        <f aca="false">IF(OR(A1034="",B1034=""),0,IF(COUNTIFS(A$2:A1034,A1034,B$2:B1034,B1034)=1,1,0))</f>
        <v>0</v>
      </c>
    </row>
    <row r="1035" customFormat="false" ht="15" hidden="false" customHeight="false" outlineLevel="0" collapsed="false">
      <c r="A1035" s="15"/>
      <c r="B1035" s="15"/>
      <c r="C1035" s="15"/>
      <c r="D1035" s="15"/>
      <c r="F1035" s="18" t="str">
        <f aca="false">IF(B1035="","",IFERROR(INDEX(Materials!$B$2:$B$201,MATCH(B1035,Materials!$A$2:$A$201,0)),""))</f>
        <v/>
      </c>
      <c r="G1035" s="18" t="str">
        <f aca="true">IF(AND(A1035="",B1035=""),"",IF(A1035="","Missing product",IF(B1035="","Missing material",IF(COUNTIF(ProductList,A1035)=0,"Product not in Products list",IF(COUNTIF(MaterialList,B1035)=0,"Material not in Materials list","OK")))))</f>
        <v/>
      </c>
      <c r="H1035" s="18" t="str">
        <f aca="false">IF(F1035="Active",A1035&amp;"|"&amp;COUNTIFS(A$2:A1035,A1035,F$2:F1035,"Active"),"")</f>
        <v/>
      </c>
      <c r="I1035" s="18" t="str">
        <f aca="false">IF(B1035="","",IF(SUMPRODUCT(MAX((A$1:A1034=A1035)*(B$1:B1034=B1035)*ROW(A$1:A1034)))=0,C1035&amp;"",IF(C1035="",INDEX(I$1:I1034,SUMPRODUCT(MAX((A$1:A1034=A1035)*(B$1:B1034=B1035)*ROW(A$1:A1034)))),IF(INDEX(I$1:I1034,SUMPRODUCT(MAX((A$1:A1034=A1035)*(B$1:B1034=B1035)*ROW(A$1:A1034))))="",C1035&amp;"",INDEX(I$1:I1034,SUMPRODUCT(MAX((A$1:A1034=A1035)*(B$1:B1034=B1035)*ROW(A$1:A1034))))&amp;"; "&amp;C1035))))</f>
        <v/>
      </c>
      <c r="J1035" s="18" t="str">
        <f aca="false">IF(A1035="","",A1035&amp;"|"&amp;COUNTIF(A$2:A1035,A1035))</f>
        <v/>
      </c>
      <c r="K1035" s="18" t="n">
        <f aca="false">IF(OR(A1035="",B1035=""),0,IF(COUNTIFS(A$2:A1035,A1035,B$2:B1035,B1035)=1,1,0))</f>
        <v>0</v>
      </c>
    </row>
    <row r="1036" customFormat="false" ht="15" hidden="false" customHeight="false" outlineLevel="0" collapsed="false">
      <c r="A1036" s="15"/>
      <c r="B1036" s="15"/>
      <c r="C1036" s="15"/>
      <c r="D1036" s="15"/>
      <c r="F1036" s="18" t="str">
        <f aca="false">IF(B1036="","",IFERROR(INDEX(Materials!$B$2:$B$201,MATCH(B1036,Materials!$A$2:$A$201,0)),""))</f>
        <v/>
      </c>
      <c r="G1036" s="18" t="str">
        <f aca="true">IF(AND(A1036="",B1036=""),"",IF(A1036="","Missing product",IF(B1036="","Missing material",IF(COUNTIF(ProductList,A1036)=0,"Product not in Products list",IF(COUNTIF(MaterialList,B1036)=0,"Material not in Materials list","OK")))))</f>
        <v/>
      </c>
      <c r="H1036" s="18" t="str">
        <f aca="false">IF(F1036="Active",A1036&amp;"|"&amp;COUNTIFS(A$2:A1036,A1036,F$2:F1036,"Active"),"")</f>
        <v/>
      </c>
      <c r="I1036" s="18" t="str">
        <f aca="false">IF(B1036="","",IF(SUMPRODUCT(MAX((A$1:A1035=A1036)*(B$1:B1035=B1036)*ROW(A$1:A1035)))=0,C1036&amp;"",IF(C1036="",INDEX(I$1:I1035,SUMPRODUCT(MAX((A$1:A1035=A1036)*(B$1:B1035=B1036)*ROW(A$1:A1035)))),IF(INDEX(I$1:I1035,SUMPRODUCT(MAX((A$1:A1035=A1036)*(B$1:B1035=B1036)*ROW(A$1:A1035))))="",C1036&amp;"",INDEX(I$1:I1035,SUMPRODUCT(MAX((A$1:A1035=A1036)*(B$1:B1035=B1036)*ROW(A$1:A1035))))&amp;"; "&amp;C1036))))</f>
        <v/>
      </c>
      <c r="J1036" s="18" t="str">
        <f aca="false">IF(A1036="","",A1036&amp;"|"&amp;COUNTIF(A$2:A1036,A1036))</f>
        <v/>
      </c>
      <c r="K1036" s="18" t="n">
        <f aca="false">IF(OR(A1036="",B1036=""),0,IF(COUNTIFS(A$2:A1036,A1036,B$2:B1036,B1036)=1,1,0))</f>
        <v>0</v>
      </c>
    </row>
    <row r="1037" customFormat="false" ht="15" hidden="false" customHeight="false" outlineLevel="0" collapsed="false">
      <c r="A1037" s="15"/>
      <c r="B1037" s="15"/>
      <c r="C1037" s="15"/>
      <c r="D1037" s="15"/>
      <c r="F1037" s="18" t="str">
        <f aca="false">IF(B1037="","",IFERROR(INDEX(Materials!$B$2:$B$201,MATCH(B1037,Materials!$A$2:$A$201,0)),""))</f>
        <v/>
      </c>
      <c r="G1037" s="18" t="str">
        <f aca="true">IF(AND(A1037="",B1037=""),"",IF(A1037="","Missing product",IF(B1037="","Missing material",IF(COUNTIF(ProductList,A1037)=0,"Product not in Products list",IF(COUNTIF(MaterialList,B1037)=0,"Material not in Materials list","OK")))))</f>
        <v/>
      </c>
      <c r="H1037" s="18" t="str">
        <f aca="false">IF(F1037="Active",A1037&amp;"|"&amp;COUNTIFS(A$2:A1037,A1037,F$2:F1037,"Active"),"")</f>
        <v/>
      </c>
      <c r="I1037" s="18" t="str">
        <f aca="false">IF(B1037="","",IF(SUMPRODUCT(MAX((A$1:A1036=A1037)*(B$1:B1036=B1037)*ROW(A$1:A1036)))=0,C1037&amp;"",IF(C1037="",INDEX(I$1:I1036,SUMPRODUCT(MAX((A$1:A1036=A1037)*(B$1:B1036=B1037)*ROW(A$1:A1036)))),IF(INDEX(I$1:I1036,SUMPRODUCT(MAX((A$1:A1036=A1037)*(B$1:B1036=B1037)*ROW(A$1:A1036))))="",C1037&amp;"",INDEX(I$1:I1036,SUMPRODUCT(MAX((A$1:A1036=A1037)*(B$1:B1036=B1037)*ROW(A$1:A1036))))&amp;"; "&amp;C1037))))</f>
        <v/>
      </c>
      <c r="J1037" s="18" t="str">
        <f aca="false">IF(A1037="","",A1037&amp;"|"&amp;COUNTIF(A$2:A1037,A1037))</f>
        <v/>
      </c>
      <c r="K1037" s="18" t="n">
        <f aca="false">IF(OR(A1037="",B1037=""),0,IF(COUNTIFS(A$2:A1037,A1037,B$2:B1037,B1037)=1,1,0))</f>
        <v>0</v>
      </c>
    </row>
    <row r="1038" customFormat="false" ht="15" hidden="false" customHeight="false" outlineLevel="0" collapsed="false">
      <c r="A1038" s="15"/>
      <c r="B1038" s="15"/>
      <c r="C1038" s="15"/>
      <c r="D1038" s="15"/>
      <c r="F1038" s="18" t="str">
        <f aca="false">IF(B1038="","",IFERROR(INDEX(Materials!$B$2:$B$201,MATCH(B1038,Materials!$A$2:$A$201,0)),""))</f>
        <v/>
      </c>
      <c r="G1038" s="18" t="str">
        <f aca="true">IF(AND(A1038="",B1038=""),"",IF(A1038="","Missing product",IF(B1038="","Missing material",IF(COUNTIF(ProductList,A1038)=0,"Product not in Products list",IF(COUNTIF(MaterialList,B1038)=0,"Material not in Materials list","OK")))))</f>
        <v/>
      </c>
      <c r="H1038" s="18" t="str">
        <f aca="false">IF(F1038="Active",A1038&amp;"|"&amp;COUNTIFS(A$2:A1038,A1038,F$2:F1038,"Active"),"")</f>
        <v/>
      </c>
      <c r="I1038" s="18" t="str">
        <f aca="false">IF(B1038="","",IF(SUMPRODUCT(MAX((A$1:A1037=A1038)*(B$1:B1037=B1038)*ROW(A$1:A1037)))=0,C1038&amp;"",IF(C1038="",INDEX(I$1:I1037,SUMPRODUCT(MAX((A$1:A1037=A1038)*(B$1:B1037=B1038)*ROW(A$1:A1037)))),IF(INDEX(I$1:I1037,SUMPRODUCT(MAX((A$1:A1037=A1038)*(B$1:B1037=B1038)*ROW(A$1:A1037))))="",C1038&amp;"",INDEX(I$1:I1037,SUMPRODUCT(MAX((A$1:A1037=A1038)*(B$1:B1037=B1038)*ROW(A$1:A1037))))&amp;"; "&amp;C1038))))</f>
        <v/>
      </c>
      <c r="J1038" s="18" t="str">
        <f aca="false">IF(A1038="","",A1038&amp;"|"&amp;COUNTIF(A$2:A1038,A1038))</f>
        <v/>
      </c>
      <c r="K1038" s="18" t="n">
        <f aca="false">IF(OR(A1038="",B1038=""),0,IF(COUNTIFS(A$2:A1038,A1038,B$2:B1038,B1038)=1,1,0))</f>
        <v>0</v>
      </c>
    </row>
    <row r="1039" customFormat="false" ht="15" hidden="false" customHeight="false" outlineLevel="0" collapsed="false">
      <c r="A1039" s="15"/>
      <c r="B1039" s="15"/>
      <c r="C1039" s="15"/>
      <c r="D1039" s="15"/>
      <c r="F1039" s="18" t="str">
        <f aca="false">IF(B1039="","",IFERROR(INDEX(Materials!$B$2:$B$201,MATCH(B1039,Materials!$A$2:$A$201,0)),""))</f>
        <v/>
      </c>
      <c r="G1039" s="18" t="str">
        <f aca="true">IF(AND(A1039="",B1039=""),"",IF(A1039="","Missing product",IF(B1039="","Missing material",IF(COUNTIF(ProductList,A1039)=0,"Product not in Products list",IF(COUNTIF(MaterialList,B1039)=0,"Material not in Materials list","OK")))))</f>
        <v/>
      </c>
      <c r="H1039" s="18" t="str">
        <f aca="false">IF(F1039="Active",A1039&amp;"|"&amp;COUNTIFS(A$2:A1039,A1039,F$2:F1039,"Active"),"")</f>
        <v/>
      </c>
      <c r="I1039" s="18" t="str">
        <f aca="false">IF(B1039="","",IF(SUMPRODUCT(MAX((A$1:A1038=A1039)*(B$1:B1038=B1039)*ROW(A$1:A1038)))=0,C1039&amp;"",IF(C1039="",INDEX(I$1:I1038,SUMPRODUCT(MAX((A$1:A1038=A1039)*(B$1:B1038=B1039)*ROW(A$1:A1038)))),IF(INDEX(I$1:I1038,SUMPRODUCT(MAX((A$1:A1038=A1039)*(B$1:B1038=B1039)*ROW(A$1:A1038))))="",C1039&amp;"",INDEX(I$1:I1038,SUMPRODUCT(MAX((A$1:A1038=A1039)*(B$1:B1038=B1039)*ROW(A$1:A1038))))&amp;"; "&amp;C1039))))</f>
        <v/>
      </c>
      <c r="J1039" s="18" t="str">
        <f aca="false">IF(A1039="","",A1039&amp;"|"&amp;COUNTIF(A$2:A1039,A1039))</f>
        <v/>
      </c>
      <c r="K1039" s="18" t="n">
        <f aca="false">IF(OR(A1039="",B1039=""),0,IF(COUNTIFS(A$2:A1039,A1039,B$2:B1039,B1039)=1,1,0))</f>
        <v>0</v>
      </c>
    </row>
    <row r="1040" customFormat="false" ht="15" hidden="false" customHeight="false" outlineLevel="0" collapsed="false">
      <c r="A1040" s="15"/>
      <c r="B1040" s="15"/>
      <c r="C1040" s="15"/>
      <c r="D1040" s="15"/>
      <c r="F1040" s="18" t="str">
        <f aca="false">IF(B1040="","",IFERROR(INDEX(Materials!$B$2:$B$201,MATCH(B1040,Materials!$A$2:$A$201,0)),""))</f>
        <v/>
      </c>
      <c r="G1040" s="18" t="str">
        <f aca="true">IF(AND(A1040="",B1040=""),"",IF(A1040="","Missing product",IF(B1040="","Missing material",IF(COUNTIF(ProductList,A1040)=0,"Product not in Products list",IF(COUNTIF(MaterialList,B1040)=0,"Material not in Materials list","OK")))))</f>
        <v/>
      </c>
      <c r="H1040" s="18" t="str">
        <f aca="false">IF(F1040="Active",A1040&amp;"|"&amp;COUNTIFS(A$2:A1040,A1040,F$2:F1040,"Active"),"")</f>
        <v/>
      </c>
      <c r="I1040" s="18" t="str">
        <f aca="false">IF(B1040="","",IF(SUMPRODUCT(MAX((A$1:A1039=A1040)*(B$1:B1039=B1040)*ROW(A$1:A1039)))=0,C1040&amp;"",IF(C1040="",INDEX(I$1:I1039,SUMPRODUCT(MAX((A$1:A1039=A1040)*(B$1:B1039=B1040)*ROW(A$1:A1039)))),IF(INDEX(I$1:I1039,SUMPRODUCT(MAX((A$1:A1039=A1040)*(B$1:B1039=B1040)*ROW(A$1:A1039))))="",C1040&amp;"",INDEX(I$1:I1039,SUMPRODUCT(MAX((A$1:A1039=A1040)*(B$1:B1039=B1040)*ROW(A$1:A1039))))&amp;"; "&amp;C1040))))</f>
        <v/>
      </c>
      <c r="J1040" s="18" t="str">
        <f aca="false">IF(A1040="","",A1040&amp;"|"&amp;COUNTIF(A$2:A1040,A1040))</f>
        <v/>
      </c>
      <c r="K1040" s="18" t="n">
        <f aca="false">IF(OR(A1040="",B1040=""),0,IF(COUNTIFS(A$2:A1040,A1040,B$2:B1040,B1040)=1,1,0))</f>
        <v>0</v>
      </c>
    </row>
    <row r="1041" customFormat="false" ht="15" hidden="false" customHeight="false" outlineLevel="0" collapsed="false">
      <c r="A1041" s="15"/>
      <c r="B1041" s="15"/>
      <c r="C1041" s="15"/>
      <c r="D1041" s="15"/>
      <c r="F1041" s="18" t="str">
        <f aca="false">IF(B1041="","",IFERROR(INDEX(Materials!$B$2:$B$201,MATCH(B1041,Materials!$A$2:$A$201,0)),""))</f>
        <v/>
      </c>
      <c r="G1041" s="18" t="str">
        <f aca="true">IF(AND(A1041="",B1041=""),"",IF(A1041="","Missing product",IF(B1041="","Missing material",IF(COUNTIF(ProductList,A1041)=0,"Product not in Products list",IF(COUNTIF(MaterialList,B1041)=0,"Material not in Materials list","OK")))))</f>
        <v/>
      </c>
      <c r="H1041" s="18" t="str">
        <f aca="false">IF(F1041="Active",A1041&amp;"|"&amp;COUNTIFS(A$2:A1041,A1041,F$2:F1041,"Active"),"")</f>
        <v/>
      </c>
      <c r="I1041" s="18" t="str">
        <f aca="false">IF(B1041="","",IF(SUMPRODUCT(MAX((A$1:A1040=A1041)*(B$1:B1040=B1041)*ROW(A$1:A1040)))=0,C1041&amp;"",IF(C1041="",INDEX(I$1:I1040,SUMPRODUCT(MAX((A$1:A1040=A1041)*(B$1:B1040=B1041)*ROW(A$1:A1040)))),IF(INDEX(I$1:I1040,SUMPRODUCT(MAX((A$1:A1040=A1041)*(B$1:B1040=B1041)*ROW(A$1:A1040))))="",C1041&amp;"",INDEX(I$1:I1040,SUMPRODUCT(MAX((A$1:A1040=A1041)*(B$1:B1040=B1041)*ROW(A$1:A1040))))&amp;"; "&amp;C1041))))</f>
        <v/>
      </c>
      <c r="J1041" s="18" t="str">
        <f aca="false">IF(A1041="","",A1041&amp;"|"&amp;COUNTIF(A$2:A1041,A1041))</f>
        <v/>
      </c>
      <c r="K1041" s="18" t="n">
        <f aca="false">IF(OR(A1041="",B1041=""),0,IF(COUNTIFS(A$2:A1041,A1041,B$2:B1041,B1041)=1,1,0))</f>
        <v>0</v>
      </c>
    </row>
    <row r="1042" customFormat="false" ht="15" hidden="false" customHeight="false" outlineLevel="0" collapsed="false">
      <c r="A1042" s="15"/>
      <c r="B1042" s="15"/>
      <c r="C1042" s="15"/>
      <c r="D1042" s="15"/>
      <c r="F1042" s="18" t="str">
        <f aca="false">IF(B1042="","",IFERROR(INDEX(Materials!$B$2:$B$201,MATCH(B1042,Materials!$A$2:$A$201,0)),""))</f>
        <v/>
      </c>
      <c r="G1042" s="18" t="str">
        <f aca="true">IF(AND(A1042="",B1042=""),"",IF(A1042="","Missing product",IF(B1042="","Missing material",IF(COUNTIF(ProductList,A1042)=0,"Product not in Products list",IF(COUNTIF(MaterialList,B1042)=0,"Material not in Materials list","OK")))))</f>
        <v/>
      </c>
      <c r="H1042" s="18" t="str">
        <f aca="false">IF(F1042="Active",A1042&amp;"|"&amp;COUNTIFS(A$2:A1042,A1042,F$2:F1042,"Active"),"")</f>
        <v/>
      </c>
      <c r="I1042" s="18" t="str">
        <f aca="false">IF(B1042="","",IF(SUMPRODUCT(MAX((A$1:A1041=A1042)*(B$1:B1041=B1042)*ROW(A$1:A1041)))=0,C1042&amp;"",IF(C1042="",INDEX(I$1:I1041,SUMPRODUCT(MAX((A$1:A1041=A1042)*(B$1:B1041=B1042)*ROW(A$1:A1041)))),IF(INDEX(I$1:I1041,SUMPRODUCT(MAX((A$1:A1041=A1042)*(B$1:B1041=B1042)*ROW(A$1:A1041))))="",C1042&amp;"",INDEX(I$1:I1041,SUMPRODUCT(MAX((A$1:A1041=A1042)*(B$1:B1041=B1042)*ROW(A$1:A1041))))&amp;"; "&amp;C1042))))</f>
        <v/>
      </c>
      <c r="J1042" s="18" t="str">
        <f aca="false">IF(A1042="","",A1042&amp;"|"&amp;COUNTIF(A$2:A1042,A1042))</f>
        <v/>
      </c>
      <c r="K1042" s="18" t="n">
        <f aca="false">IF(OR(A1042="",B1042=""),0,IF(COUNTIFS(A$2:A1042,A1042,B$2:B1042,B1042)=1,1,0))</f>
        <v>0</v>
      </c>
    </row>
    <row r="1043" customFormat="false" ht="15" hidden="false" customHeight="false" outlineLevel="0" collapsed="false">
      <c r="A1043" s="15"/>
      <c r="B1043" s="15"/>
      <c r="C1043" s="15"/>
      <c r="D1043" s="15"/>
      <c r="F1043" s="18" t="str">
        <f aca="false">IF(B1043="","",IFERROR(INDEX(Materials!$B$2:$B$201,MATCH(B1043,Materials!$A$2:$A$201,0)),""))</f>
        <v/>
      </c>
      <c r="G1043" s="18" t="str">
        <f aca="true">IF(AND(A1043="",B1043=""),"",IF(A1043="","Missing product",IF(B1043="","Missing material",IF(COUNTIF(ProductList,A1043)=0,"Product not in Products list",IF(COUNTIF(MaterialList,B1043)=0,"Material not in Materials list","OK")))))</f>
        <v/>
      </c>
      <c r="H1043" s="18" t="str">
        <f aca="false">IF(F1043="Active",A1043&amp;"|"&amp;COUNTIFS(A$2:A1043,A1043,F$2:F1043,"Active"),"")</f>
        <v/>
      </c>
      <c r="I1043" s="18" t="str">
        <f aca="false">IF(B1043="","",IF(SUMPRODUCT(MAX((A$1:A1042=A1043)*(B$1:B1042=B1043)*ROW(A$1:A1042)))=0,C1043&amp;"",IF(C1043="",INDEX(I$1:I1042,SUMPRODUCT(MAX((A$1:A1042=A1043)*(B$1:B1042=B1043)*ROW(A$1:A1042)))),IF(INDEX(I$1:I1042,SUMPRODUCT(MAX((A$1:A1042=A1043)*(B$1:B1042=B1043)*ROW(A$1:A1042))))="",C1043&amp;"",INDEX(I$1:I1042,SUMPRODUCT(MAX((A$1:A1042=A1043)*(B$1:B1042=B1043)*ROW(A$1:A1042))))&amp;"; "&amp;C1043))))</f>
        <v/>
      </c>
      <c r="J1043" s="18" t="str">
        <f aca="false">IF(A1043="","",A1043&amp;"|"&amp;COUNTIF(A$2:A1043,A1043))</f>
        <v/>
      </c>
      <c r="K1043" s="18" t="n">
        <f aca="false">IF(OR(A1043="",B1043=""),0,IF(COUNTIFS(A$2:A1043,A1043,B$2:B1043,B1043)=1,1,0))</f>
        <v>0</v>
      </c>
    </row>
    <row r="1044" customFormat="false" ht="15" hidden="false" customHeight="false" outlineLevel="0" collapsed="false">
      <c r="A1044" s="15"/>
      <c r="B1044" s="15"/>
      <c r="C1044" s="15"/>
      <c r="D1044" s="15"/>
      <c r="F1044" s="18" t="str">
        <f aca="false">IF(B1044="","",IFERROR(INDEX(Materials!$B$2:$B$201,MATCH(B1044,Materials!$A$2:$A$201,0)),""))</f>
        <v/>
      </c>
      <c r="G1044" s="18" t="str">
        <f aca="true">IF(AND(A1044="",B1044=""),"",IF(A1044="","Missing product",IF(B1044="","Missing material",IF(COUNTIF(ProductList,A1044)=0,"Product not in Products list",IF(COUNTIF(MaterialList,B1044)=0,"Material not in Materials list","OK")))))</f>
        <v/>
      </c>
      <c r="H1044" s="18" t="str">
        <f aca="false">IF(F1044="Active",A1044&amp;"|"&amp;COUNTIFS(A$2:A1044,A1044,F$2:F1044,"Active"),"")</f>
        <v/>
      </c>
      <c r="I1044" s="18" t="str">
        <f aca="false">IF(B1044="","",IF(SUMPRODUCT(MAX((A$1:A1043=A1044)*(B$1:B1043=B1044)*ROW(A$1:A1043)))=0,C1044&amp;"",IF(C1044="",INDEX(I$1:I1043,SUMPRODUCT(MAX((A$1:A1043=A1044)*(B$1:B1043=B1044)*ROW(A$1:A1043)))),IF(INDEX(I$1:I1043,SUMPRODUCT(MAX((A$1:A1043=A1044)*(B$1:B1043=B1044)*ROW(A$1:A1043))))="",C1044&amp;"",INDEX(I$1:I1043,SUMPRODUCT(MAX((A$1:A1043=A1044)*(B$1:B1043=B1044)*ROW(A$1:A1043))))&amp;"; "&amp;C1044))))</f>
        <v/>
      </c>
      <c r="J1044" s="18" t="str">
        <f aca="false">IF(A1044="","",A1044&amp;"|"&amp;COUNTIF(A$2:A1044,A1044))</f>
        <v/>
      </c>
      <c r="K1044" s="18" t="n">
        <f aca="false">IF(OR(A1044="",B1044=""),0,IF(COUNTIFS(A$2:A1044,A1044,B$2:B1044,B1044)=1,1,0))</f>
        <v>0</v>
      </c>
    </row>
    <row r="1045" customFormat="false" ht="15" hidden="false" customHeight="false" outlineLevel="0" collapsed="false">
      <c r="A1045" s="15"/>
      <c r="B1045" s="15"/>
      <c r="C1045" s="15"/>
      <c r="D1045" s="15"/>
      <c r="F1045" s="18" t="str">
        <f aca="false">IF(B1045="","",IFERROR(INDEX(Materials!$B$2:$B$201,MATCH(B1045,Materials!$A$2:$A$201,0)),""))</f>
        <v/>
      </c>
      <c r="G1045" s="18" t="str">
        <f aca="true">IF(AND(A1045="",B1045=""),"",IF(A1045="","Missing product",IF(B1045="","Missing material",IF(COUNTIF(ProductList,A1045)=0,"Product not in Products list",IF(COUNTIF(MaterialList,B1045)=0,"Material not in Materials list","OK")))))</f>
        <v/>
      </c>
      <c r="H1045" s="18" t="str">
        <f aca="false">IF(F1045="Active",A1045&amp;"|"&amp;COUNTIFS(A$2:A1045,A1045,F$2:F1045,"Active"),"")</f>
        <v/>
      </c>
      <c r="I1045" s="18" t="str">
        <f aca="false">IF(B1045="","",IF(SUMPRODUCT(MAX((A$1:A1044=A1045)*(B$1:B1044=B1045)*ROW(A$1:A1044)))=0,C1045&amp;"",IF(C1045="",INDEX(I$1:I1044,SUMPRODUCT(MAX((A$1:A1044=A1045)*(B$1:B1044=B1045)*ROW(A$1:A1044)))),IF(INDEX(I$1:I1044,SUMPRODUCT(MAX((A$1:A1044=A1045)*(B$1:B1044=B1045)*ROW(A$1:A1044))))="",C1045&amp;"",INDEX(I$1:I1044,SUMPRODUCT(MAX((A$1:A1044=A1045)*(B$1:B1044=B1045)*ROW(A$1:A1044))))&amp;"; "&amp;C1045))))</f>
        <v/>
      </c>
      <c r="J1045" s="18" t="str">
        <f aca="false">IF(A1045="","",A1045&amp;"|"&amp;COUNTIF(A$2:A1045,A1045))</f>
        <v/>
      </c>
      <c r="K1045" s="18" t="n">
        <f aca="false">IF(OR(A1045="",B1045=""),0,IF(COUNTIFS(A$2:A1045,A1045,B$2:B1045,B1045)=1,1,0))</f>
        <v>0</v>
      </c>
    </row>
    <row r="1046" customFormat="false" ht="15" hidden="false" customHeight="false" outlineLevel="0" collapsed="false">
      <c r="A1046" s="15"/>
      <c r="B1046" s="15"/>
      <c r="C1046" s="15"/>
      <c r="D1046" s="15"/>
      <c r="F1046" s="18" t="str">
        <f aca="false">IF(B1046="","",IFERROR(INDEX(Materials!$B$2:$B$201,MATCH(B1046,Materials!$A$2:$A$201,0)),""))</f>
        <v/>
      </c>
      <c r="G1046" s="18" t="str">
        <f aca="true">IF(AND(A1046="",B1046=""),"",IF(A1046="","Missing product",IF(B1046="","Missing material",IF(COUNTIF(ProductList,A1046)=0,"Product not in Products list",IF(COUNTIF(MaterialList,B1046)=0,"Material not in Materials list","OK")))))</f>
        <v/>
      </c>
      <c r="H1046" s="18" t="str">
        <f aca="false">IF(F1046="Active",A1046&amp;"|"&amp;COUNTIFS(A$2:A1046,A1046,F$2:F1046,"Active"),"")</f>
        <v/>
      </c>
      <c r="I1046" s="18" t="str">
        <f aca="false">IF(B1046="","",IF(SUMPRODUCT(MAX((A$1:A1045=A1046)*(B$1:B1045=B1046)*ROW(A$1:A1045)))=0,C1046&amp;"",IF(C1046="",INDEX(I$1:I1045,SUMPRODUCT(MAX((A$1:A1045=A1046)*(B$1:B1045=B1046)*ROW(A$1:A1045)))),IF(INDEX(I$1:I1045,SUMPRODUCT(MAX((A$1:A1045=A1046)*(B$1:B1045=B1046)*ROW(A$1:A1045))))="",C1046&amp;"",INDEX(I$1:I1045,SUMPRODUCT(MAX((A$1:A1045=A1046)*(B$1:B1045=B1046)*ROW(A$1:A1045))))&amp;"; "&amp;C1046))))</f>
        <v/>
      </c>
      <c r="J1046" s="18" t="str">
        <f aca="false">IF(A1046="","",A1046&amp;"|"&amp;COUNTIF(A$2:A1046,A1046))</f>
        <v/>
      </c>
      <c r="K1046" s="18" t="n">
        <f aca="false">IF(OR(A1046="",B1046=""),0,IF(COUNTIFS(A$2:A1046,A1046,B$2:B1046,B1046)=1,1,0))</f>
        <v>0</v>
      </c>
    </row>
    <row r="1047" customFormat="false" ht="15" hidden="false" customHeight="false" outlineLevel="0" collapsed="false">
      <c r="A1047" s="15"/>
      <c r="B1047" s="15"/>
      <c r="C1047" s="15"/>
      <c r="D1047" s="15"/>
      <c r="F1047" s="18" t="str">
        <f aca="false">IF(B1047="","",IFERROR(INDEX(Materials!$B$2:$B$201,MATCH(B1047,Materials!$A$2:$A$201,0)),""))</f>
        <v/>
      </c>
      <c r="G1047" s="18" t="str">
        <f aca="true">IF(AND(A1047="",B1047=""),"",IF(A1047="","Missing product",IF(B1047="","Missing material",IF(COUNTIF(ProductList,A1047)=0,"Product not in Products list",IF(COUNTIF(MaterialList,B1047)=0,"Material not in Materials list","OK")))))</f>
        <v/>
      </c>
      <c r="H1047" s="18" t="str">
        <f aca="false">IF(F1047="Active",A1047&amp;"|"&amp;COUNTIFS(A$2:A1047,A1047,F$2:F1047,"Active"),"")</f>
        <v/>
      </c>
      <c r="I1047" s="18" t="str">
        <f aca="false">IF(B1047="","",IF(SUMPRODUCT(MAX((A$1:A1046=A1047)*(B$1:B1046=B1047)*ROW(A$1:A1046)))=0,C1047&amp;"",IF(C1047="",INDEX(I$1:I1046,SUMPRODUCT(MAX((A$1:A1046=A1047)*(B$1:B1046=B1047)*ROW(A$1:A1046)))),IF(INDEX(I$1:I1046,SUMPRODUCT(MAX((A$1:A1046=A1047)*(B$1:B1046=B1047)*ROW(A$1:A1046))))="",C1047&amp;"",INDEX(I$1:I1046,SUMPRODUCT(MAX((A$1:A1046=A1047)*(B$1:B1046=B1047)*ROW(A$1:A1046))))&amp;"; "&amp;C1047))))</f>
        <v/>
      </c>
      <c r="J1047" s="18" t="str">
        <f aca="false">IF(A1047="","",A1047&amp;"|"&amp;COUNTIF(A$2:A1047,A1047))</f>
        <v/>
      </c>
      <c r="K1047" s="18" t="n">
        <f aca="false">IF(OR(A1047="",B1047=""),0,IF(COUNTIFS(A$2:A1047,A1047,B$2:B1047,B1047)=1,1,0))</f>
        <v>0</v>
      </c>
    </row>
    <row r="1048" customFormat="false" ht="15" hidden="false" customHeight="false" outlineLevel="0" collapsed="false">
      <c r="A1048" s="15"/>
      <c r="B1048" s="15"/>
      <c r="C1048" s="15"/>
      <c r="D1048" s="15"/>
      <c r="F1048" s="18" t="str">
        <f aca="false">IF(B1048="","",IFERROR(INDEX(Materials!$B$2:$B$201,MATCH(B1048,Materials!$A$2:$A$201,0)),""))</f>
        <v/>
      </c>
      <c r="G1048" s="18" t="str">
        <f aca="true">IF(AND(A1048="",B1048=""),"",IF(A1048="","Missing product",IF(B1048="","Missing material",IF(COUNTIF(ProductList,A1048)=0,"Product not in Products list",IF(COUNTIF(MaterialList,B1048)=0,"Material not in Materials list","OK")))))</f>
        <v/>
      </c>
      <c r="H1048" s="18" t="str">
        <f aca="false">IF(F1048="Active",A1048&amp;"|"&amp;COUNTIFS(A$2:A1048,A1048,F$2:F1048,"Active"),"")</f>
        <v/>
      </c>
      <c r="I1048" s="18" t="str">
        <f aca="false">IF(B1048="","",IF(SUMPRODUCT(MAX((A$1:A1047=A1048)*(B$1:B1047=B1048)*ROW(A$1:A1047)))=0,C1048&amp;"",IF(C1048="",INDEX(I$1:I1047,SUMPRODUCT(MAX((A$1:A1047=A1048)*(B$1:B1047=B1048)*ROW(A$1:A1047)))),IF(INDEX(I$1:I1047,SUMPRODUCT(MAX((A$1:A1047=A1048)*(B$1:B1047=B1048)*ROW(A$1:A1047))))="",C1048&amp;"",INDEX(I$1:I1047,SUMPRODUCT(MAX((A$1:A1047=A1048)*(B$1:B1047=B1048)*ROW(A$1:A1047))))&amp;"; "&amp;C1048))))</f>
        <v/>
      </c>
      <c r="J1048" s="18" t="str">
        <f aca="false">IF(A1048="","",A1048&amp;"|"&amp;COUNTIF(A$2:A1048,A1048))</f>
        <v/>
      </c>
      <c r="K1048" s="18" t="n">
        <f aca="false">IF(OR(A1048="",B1048=""),0,IF(COUNTIFS(A$2:A1048,A1048,B$2:B1048,B1048)=1,1,0))</f>
        <v>0</v>
      </c>
    </row>
    <row r="1049" customFormat="false" ht="15" hidden="false" customHeight="false" outlineLevel="0" collapsed="false">
      <c r="A1049" s="15"/>
      <c r="B1049" s="15"/>
      <c r="C1049" s="15"/>
      <c r="D1049" s="15"/>
      <c r="F1049" s="18" t="str">
        <f aca="false">IF(B1049="","",IFERROR(INDEX(Materials!$B$2:$B$201,MATCH(B1049,Materials!$A$2:$A$201,0)),""))</f>
        <v/>
      </c>
      <c r="G1049" s="18" t="str">
        <f aca="true">IF(AND(A1049="",B1049=""),"",IF(A1049="","Missing product",IF(B1049="","Missing material",IF(COUNTIF(ProductList,A1049)=0,"Product not in Products list",IF(COUNTIF(MaterialList,B1049)=0,"Material not in Materials list","OK")))))</f>
        <v/>
      </c>
      <c r="H1049" s="18" t="str">
        <f aca="false">IF(F1049="Active",A1049&amp;"|"&amp;COUNTIFS(A$2:A1049,A1049,F$2:F1049,"Active"),"")</f>
        <v/>
      </c>
      <c r="I1049" s="18" t="str">
        <f aca="false">IF(B1049="","",IF(SUMPRODUCT(MAX((A$1:A1048=A1049)*(B$1:B1048=B1049)*ROW(A$1:A1048)))=0,C1049&amp;"",IF(C1049="",INDEX(I$1:I1048,SUMPRODUCT(MAX((A$1:A1048=A1049)*(B$1:B1048=B1049)*ROW(A$1:A1048)))),IF(INDEX(I$1:I1048,SUMPRODUCT(MAX((A$1:A1048=A1049)*(B$1:B1048=B1049)*ROW(A$1:A1048))))="",C1049&amp;"",INDEX(I$1:I1048,SUMPRODUCT(MAX((A$1:A1048=A1049)*(B$1:B1048=B1049)*ROW(A$1:A1048))))&amp;"; "&amp;C1049))))</f>
        <v/>
      </c>
      <c r="J1049" s="18" t="str">
        <f aca="false">IF(A1049="","",A1049&amp;"|"&amp;COUNTIF(A$2:A1049,A1049))</f>
        <v/>
      </c>
      <c r="K1049" s="18" t="n">
        <f aca="false">IF(OR(A1049="",B1049=""),0,IF(COUNTIFS(A$2:A1049,A1049,B$2:B1049,B1049)=1,1,0))</f>
        <v>0</v>
      </c>
    </row>
    <row r="1050" customFormat="false" ht="15" hidden="false" customHeight="false" outlineLevel="0" collapsed="false">
      <c r="A1050" s="15"/>
      <c r="B1050" s="15"/>
      <c r="C1050" s="15"/>
      <c r="D1050" s="15"/>
      <c r="F1050" s="18" t="str">
        <f aca="false">IF(B1050="","",IFERROR(INDEX(Materials!$B$2:$B$201,MATCH(B1050,Materials!$A$2:$A$201,0)),""))</f>
        <v/>
      </c>
      <c r="G1050" s="18" t="str">
        <f aca="true">IF(AND(A1050="",B1050=""),"",IF(A1050="","Missing product",IF(B1050="","Missing material",IF(COUNTIF(ProductList,A1050)=0,"Product not in Products list",IF(COUNTIF(MaterialList,B1050)=0,"Material not in Materials list","OK")))))</f>
        <v/>
      </c>
      <c r="H1050" s="18" t="str">
        <f aca="false">IF(F1050="Active",A1050&amp;"|"&amp;COUNTIFS(A$2:A1050,A1050,F$2:F1050,"Active"),"")</f>
        <v/>
      </c>
      <c r="I1050" s="18" t="str">
        <f aca="false">IF(B1050="","",IF(SUMPRODUCT(MAX((A$1:A1049=A1050)*(B$1:B1049=B1050)*ROW(A$1:A1049)))=0,C1050&amp;"",IF(C1050="",INDEX(I$1:I1049,SUMPRODUCT(MAX((A$1:A1049=A1050)*(B$1:B1049=B1050)*ROW(A$1:A1049)))),IF(INDEX(I$1:I1049,SUMPRODUCT(MAX((A$1:A1049=A1050)*(B$1:B1049=B1050)*ROW(A$1:A1049))))="",C1050&amp;"",INDEX(I$1:I1049,SUMPRODUCT(MAX((A$1:A1049=A1050)*(B$1:B1049=B1050)*ROW(A$1:A1049))))&amp;"; "&amp;C1050))))</f>
        <v/>
      </c>
      <c r="J1050" s="18" t="str">
        <f aca="false">IF(A1050="","",A1050&amp;"|"&amp;COUNTIF(A$2:A1050,A1050))</f>
        <v/>
      </c>
      <c r="K1050" s="18" t="n">
        <f aca="false">IF(OR(A1050="",B1050=""),0,IF(COUNTIFS(A$2:A1050,A1050,B$2:B1050,B1050)=1,1,0))</f>
        <v>0</v>
      </c>
    </row>
    <row r="1051" customFormat="false" ht="15" hidden="false" customHeight="false" outlineLevel="0" collapsed="false">
      <c r="A1051" s="15"/>
      <c r="B1051" s="15"/>
      <c r="C1051" s="15"/>
      <c r="D1051" s="15"/>
      <c r="F1051" s="18" t="str">
        <f aca="false">IF(B1051="","",IFERROR(INDEX(Materials!$B$2:$B$201,MATCH(B1051,Materials!$A$2:$A$201,0)),""))</f>
        <v/>
      </c>
      <c r="G1051" s="18" t="str">
        <f aca="true">IF(AND(A1051="",B1051=""),"",IF(A1051="","Missing product",IF(B1051="","Missing material",IF(COUNTIF(ProductList,A1051)=0,"Product not in Products list",IF(COUNTIF(MaterialList,B1051)=0,"Material not in Materials list","OK")))))</f>
        <v/>
      </c>
      <c r="H1051" s="18" t="str">
        <f aca="false">IF(F1051="Active",A1051&amp;"|"&amp;COUNTIFS(A$2:A1051,A1051,F$2:F1051,"Active"),"")</f>
        <v/>
      </c>
      <c r="I1051" s="18" t="str">
        <f aca="false">IF(B1051="","",IF(SUMPRODUCT(MAX((A$1:A1050=A1051)*(B$1:B1050=B1051)*ROW(A$1:A1050)))=0,C1051&amp;"",IF(C1051="",INDEX(I$1:I1050,SUMPRODUCT(MAX((A$1:A1050=A1051)*(B$1:B1050=B1051)*ROW(A$1:A1050)))),IF(INDEX(I$1:I1050,SUMPRODUCT(MAX((A$1:A1050=A1051)*(B$1:B1050=B1051)*ROW(A$1:A1050))))="",C1051&amp;"",INDEX(I$1:I1050,SUMPRODUCT(MAX((A$1:A1050=A1051)*(B$1:B1050=B1051)*ROW(A$1:A1050))))&amp;"; "&amp;C1051))))</f>
        <v/>
      </c>
      <c r="J1051" s="18" t="str">
        <f aca="false">IF(A1051="","",A1051&amp;"|"&amp;COUNTIF(A$2:A1051,A1051))</f>
        <v/>
      </c>
      <c r="K1051" s="18" t="n">
        <f aca="false">IF(OR(A1051="",B1051=""),0,IF(COUNTIFS(A$2:A1051,A1051,B$2:B1051,B1051)=1,1,0))</f>
        <v>0</v>
      </c>
    </row>
    <row r="1052" customFormat="false" ht="15" hidden="false" customHeight="false" outlineLevel="0" collapsed="false">
      <c r="A1052" s="15"/>
      <c r="B1052" s="15"/>
      <c r="C1052" s="15"/>
      <c r="D1052" s="15"/>
      <c r="F1052" s="18" t="str">
        <f aca="false">IF(B1052="","",IFERROR(INDEX(Materials!$B$2:$B$201,MATCH(B1052,Materials!$A$2:$A$201,0)),""))</f>
        <v/>
      </c>
      <c r="G1052" s="18" t="str">
        <f aca="true">IF(AND(A1052="",B1052=""),"",IF(A1052="","Missing product",IF(B1052="","Missing material",IF(COUNTIF(ProductList,A1052)=0,"Product not in Products list",IF(COUNTIF(MaterialList,B1052)=0,"Material not in Materials list","OK")))))</f>
        <v/>
      </c>
      <c r="H1052" s="18" t="str">
        <f aca="false">IF(F1052="Active",A1052&amp;"|"&amp;COUNTIFS(A$2:A1052,A1052,F$2:F1052,"Active"),"")</f>
        <v/>
      </c>
      <c r="I1052" s="18" t="str">
        <f aca="false">IF(B1052="","",IF(SUMPRODUCT(MAX((A$1:A1051=A1052)*(B$1:B1051=B1052)*ROW(A$1:A1051)))=0,C1052&amp;"",IF(C1052="",INDEX(I$1:I1051,SUMPRODUCT(MAX((A$1:A1051=A1052)*(B$1:B1051=B1052)*ROW(A$1:A1051)))),IF(INDEX(I$1:I1051,SUMPRODUCT(MAX((A$1:A1051=A1052)*(B$1:B1051=B1052)*ROW(A$1:A1051))))="",C1052&amp;"",INDEX(I$1:I1051,SUMPRODUCT(MAX((A$1:A1051=A1052)*(B$1:B1051=B1052)*ROW(A$1:A1051))))&amp;"; "&amp;C1052))))</f>
        <v/>
      </c>
      <c r="J1052" s="18" t="str">
        <f aca="false">IF(A1052="","",A1052&amp;"|"&amp;COUNTIF(A$2:A1052,A1052))</f>
        <v/>
      </c>
      <c r="K1052" s="18" t="n">
        <f aca="false">IF(OR(A1052="",B1052=""),0,IF(COUNTIFS(A$2:A1052,A1052,B$2:B1052,B1052)=1,1,0))</f>
        <v>0</v>
      </c>
    </row>
    <row r="1053" customFormat="false" ht="15" hidden="false" customHeight="false" outlineLevel="0" collapsed="false">
      <c r="A1053" s="15"/>
      <c r="B1053" s="15"/>
      <c r="C1053" s="15"/>
      <c r="D1053" s="15"/>
      <c r="F1053" s="18" t="str">
        <f aca="false">IF(B1053="","",IFERROR(INDEX(Materials!$B$2:$B$201,MATCH(B1053,Materials!$A$2:$A$201,0)),""))</f>
        <v/>
      </c>
      <c r="G1053" s="18" t="str">
        <f aca="true">IF(AND(A1053="",B1053=""),"",IF(A1053="","Missing product",IF(B1053="","Missing material",IF(COUNTIF(ProductList,A1053)=0,"Product not in Products list",IF(COUNTIF(MaterialList,B1053)=0,"Material not in Materials list","OK")))))</f>
        <v/>
      </c>
      <c r="H1053" s="18" t="str">
        <f aca="false">IF(F1053="Active",A1053&amp;"|"&amp;COUNTIFS(A$2:A1053,A1053,F$2:F1053,"Active"),"")</f>
        <v/>
      </c>
      <c r="I1053" s="18" t="str">
        <f aca="false">IF(B1053="","",IF(SUMPRODUCT(MAX((A$1:A1052=A1053)*(B$1:B1052=B1053)*ROW(A$1:A1052)))=0,C1053&amp;"",IF(C1053="",INDEX(I$1:I1052,SUMPRODUCT(MAX((A$1:A1052=A1053)*(B$1:B1052=B1053)*ROW(A$1:A1052)))),IF(INDEX(I$1:I1052,SUMPRODUCT(MAX((A$1:A1052=A1053)*(B$1:B1052=B1053)*ROW(A$1:A1052))))="",C1053&amp;"",INDEX(I$1:I1052,SUMPRODUCT(MAX((A$1:A1052=A1053)*(B$1:B1052=B1053)*ROW(A$1:A1052))))&amp;"; "&amp;C1053))))</f>
        <v/>
      </c>
      <c r="J1053" s="18" t="str">
        <f aca="false">IF(A1053="","",A1053&amp;"|"&amp;COUNTIF(A$2:A1053,A1053))</f>
        <v/>
      </c>
      <c r="K1053" s="18" t="n">
        <f aca="false">IF(OR(A1053="",B1053=""),0,IF(COUNTIFS(A$2:A1053,A1053,B$2:B1053,B1053)=1,1,0))</f>
        <v>0</v>
      </c>
    </row>
    <row r="1054" customFormat="false" ht="15" hidden="false" customHeight="false" outlineLevel="0" collapsed="false">
      <c r="A1054" s="15"/>
      <c r="B1054" s="15"/>
      <c r="C1054" s="15"/>
      <c r="D1054" s="15"/>
      <c r="F1054" s="18" t="str">
        <f aca="false">IF(B1054="","",IFERROR(INDEX(Materials!$B$2:$B$201,MATCH(B1054,Materials!$A$2:$A$201,0)),""))</f>
        <v/>
      </c>
      <c r="G1054" s="18" t="str">
        <f aca="true">IF(AND(A1054="",B1054=""),"",IF(A1054="","Missing product",IF(B1054="","Missing material",IF(COUNTIF(ProductList,A1054)=0,"Product not in Products list",IF(COUNTIF(MaterialList,B1054)=0,"Material not in Materials list","OK")))))</f>
        <v/>
      </c>
      <c r="H1054" s="18" t="str">
        <f aca="false">IF(F1054="Active",A1054&amp;"|"&amp;COUNTIFS(A$2:A1054,A1054,F$2:F1054,"Active"),"")</f>
        <v/>
      </c>
      <c r="I1054" s="18" t="str">
        <f aca="false">IF(B1054="","",IF(SUMPRODUCT(MAX((A$1:A1053=A1054)*(B$1:B1053=B1054)*ROW(A$1:A1053)))=0,C1054&amp;"",IF(C1054="",INDEX(I$1:I1053,SUMPRODUCT(MAX((A$1:A1053=A1054)*(B$1:B1053=B1054)*ROW(A$1:A1053)))),IF(INDEX(I$1:I1053,SUMPRODUCT(MAX((A$1:A1053=A1054)*(B$1:B1053=B1054)*ROW(A$1:A1053))))="",C1054&amp;"",INDEX(I$1:I1053,SUMPRODUCT(MAX((A$1:A1053=A1054)*(B$1:B1053=B1054)*ROW(A$1:A1053))))&amp;"; "&amp;C1054))))</f>
        <v/>
      </c>
      <c r="J1054" s="18" t="str">
        <f aca="false">IF(A1054="","",A1054&amp;"|"&amp;COUNTIF(A$2:A1054,A1054))</f>
        <v/>
      </c>
      <c r="K1054" s="18" t="n">
        <f aca="false">IF(OR(A1054="",B1054=""),0,IF(COUNTIFS(A$2:A1054,A1054,B$2:B1054,B1054)=1,1,0))</f>
        <v>0</v>
      </c>
    </row>
    <row r="1055" customFormat="false" ht="15" hidden="false" customHeight="false" outlineLevel="0" collapsed="false">
      <c r="A1055" s="15"/>
      <c r="B1055" s="15"/>
      <c r="C1055" s="15"/>
      <c r="D1055" s="15"/>
      <c r="F1055" s="18" t="str">
        <f aca="false">IF(B1055="","",IFERROR(INDEX(Materials!$B$2:$B$201,MATCH(B1055,Materials!$A$2:$A$201,0)),""))</f>
        <v/>
      </c>
      <c r="G1055" s="18" t="str">
        <f aca="true">IF(AND(A1055="",B1055=""),"",IF(A1055="","Missing product",IF(B1055="","Missing material",IF(COUNTIF(ProductList,A1055)=0,"Product not in Products list",IF(COUNTIF(MaterialList,B1055)=0,"Material not in Materials list","OK")))))</f>
        <v/>
      </c>
      <c r="H1055" s="18" t="str">
        <f aca="false">IF(F1055="Active",A1055&amp;"|"&amp;COUNTIFS(A$2:A1055,A1055,F$2:F1055,"Active"),"")</f>
        <v/>
      </c>
      <c r="I1055" s="18" t="str">
        <f aca="false">IF(B1055="","",IF(SUMPRODUCT(MAX((A$1:A1054=A1055)*(B$1:B1054=B1055)*ROW(A$1:A1054)))=0,C1055&amp;"",IF(C1055="",INDEX(I$1:I1054,SUMPRODUCT(MAX((A$1:A1054=A1055)*(B$1:B1054=B1055)*ROW(A$1:A1054)))),IF(INDEX(I$1:I1054,SUMPRODUCT(MAX((A$1:A1054=A1055)*(B$1:B1054=B1055)*ROW(A$1:A1054))))="",C1055&amp;"",INDEX(I$1:I1054,SUMPRODUCT(MAX((A$1:A1054=A1055)*(B$1:B1054=B1055)*ROW(A$1:A1054))))&amp;"; "&amp;C1055))))</f>
        <v/>
      </c>
      <c r="J1055" s="18" t="str">
        <f aca="false">IF(A1055="","",A1055&amp;"|"&amp;COUNTIF(A$2:A1055,A1055))</f>
        <v/>
      </c>
      <c r="K1055" s="18" t="n">
        <f aca="false">IF(OR(A1055="",B1055=""),0,IF(COUNTIFS(A$2:A1055,A1055,B$2:B1055,B1055)=1,1,0))</f>
        <v>0</v>
      </c>
    </row>
    <row r="1056" customFormat="false" ht="15" hidden="false" customHeight="false" outlineLevel="0" collapsed="false">
      <c r="A1056" s="15"/>
      <c r="B1056" s="15"/>
      <c r="C1056" s="15"/>
      <c r="D1056" s="15"/>
      <c r="F1056" s="18" t="str">
        <f aca="false">IF(B1056="","",IFERROR(INDEX(Materials!$B$2:$B$201,MATCH(B1056,Materials!$A$2:$A$201,0)),""))</f>
        <v/>
      </c>
      <c r="G1056" s="18" t="str">
        <f aca="true">IF(AND(A1056="",B1056=""),"",IF(A1056="","Missing product",IF(B1056="","Missing material",IF(COUNTIF(ProductList,A1056)=0,"Product not in Products list",IF(COUNTIF(MaterialList,B1056)=0,"Material not in Materials list","OK")))))</f>
        <v/>
      </c>
      <c r="H1056" s="18" t="str">
        <f aca="false">IF(F1056="Active",A1056&amp;"|"&amp;COUNTIFS(A$2:A1056,A1056,F$2:F1056,"Active"),"")</f>
        <v/>
      </c>
      <c r="I1056" s="18" t="str">
        <f aca="false">IF(B1056="","",IF(SUMPRODUCT(MAX((A$1:A1055=A1056)*(B$1:B1055=B1056)*ROW(A$1:A1055)))=0,C1056&amp;"",IF(C1056="",INDEX(I$1:I1055,SUMPRODUCT(MAX((A$1:A1055=A1056)*(B$1:B1055=B1056)*ROW(A$1:A1055)))),IF(INDEX(I$1:I1055,SUMPRODUCT(MAX((A$1:A1055=A1056)*(B$1:B1055=B1056)*ROW(A$1:A1055))))="",C1056&amp;"",INDEX(I$1:I1055,SUMPRODUCT(MAX((A$1:A1055=A1056)*(B$1:B1055=B1056)*ROW(A$1:A1055))))&amp;"; "&amp;C1056))))</f>
        <v/>
      </c>
      <c r="J1056" s="18" t="str">
        <f aca="false">IF(A1056="","",A1056&amp;"|"&amp;COUNTIF(A$2:A1056,A1056))</f>
        <v/>
      </c>
      <c r="K1056" s="18" t="n">
        <f aca="false">IF(OR(A1056="",B1056=""),0,IF(COUNTIFS(A$2:A1056,A1056,B$2:B1056,B1056)=1,1,0))</f>
        <v>0</v>
      </c>
    </row>
    <row r="1057" customFormat="false" ht="15" hidden="false" customHeight="false" outlineLevel="0" collapsed="false">
      <c r="A1057" s="15"/>
      <c r="B1057" s="15"/>
      <c r="C1057" s="15"/>
      <c r="D1057" s="15"/>
      <c r="F1057" s="18" t="str">
        <f aca="false">IF(B1057="","",IFERROR(INDEX(Materials!$B$2:$B$201,MATCH(B1057,Materials!$A$2:$A$201,0)),""))</f>
        <v/>
      </c>
      <c r="G1057" s="18" t="str">
        <f aca="true">IF(AND(A1057="",B1057=""),"",IF(A1057="","Missing product",IF(B1057="","Missing material",IF(COUNTIF(ProductList,A1057)=0,"Product not in Products list",IF(COUNTIF(MaterialList,B1057)=0,"Material not in Materials list","OK")))))</f>
        <v/>
      </c>
      <c r="H1057" s="18" t="str">
        <f aca="false">IF(F1057="Active",A1057&amp;"|"&amp;COUNTIFS(A$2:A1057,A1057,F$2:F1057,"Active"),"")</f>
        <v/>
      </c>
      <c r="I1057" s="18" t="str">
        <f aca="false">IF(B1057="","",IF(SUMPRODUCT(MAX((A$1:A1056=A1057)*(B$1:B1056=B1057)*ROW(A$1:A1056)))=0,C1057&amp;"",IF(C1057="",INDEX(I$1:I1056,SUMPRODUCT(MAX((A$1:A1056=A1057)*(B$1:B1056=B1057)*ROW(A$1:A1056)))),IF(INDEX(I$1:I1056,SUMPRODUCT(MAX((A$1:A1056=A1057)*(B$1:B1056=B1057)*ROW(A$1:A1056))))="",C1057&amp;"",INDEX(I$1:I1056,SUMPRODUCT(MAX((A$1:A1056=A1057)*(B$1:B1056=B1057)*ROW(A$1:A1056))))&amp;"; "&amp;C1057))))</f>
        <v/>
      </c>
      <c r="J1057" s="18" t="str">
        <f aca="false">IF(A1057="","",A1057&amp;"|"&amp;COUNTIF(A$2:A1057,A1057))</f>
        <v/>
      </c>
      <c r="K1057" s="18" t="n">
        <f aca="false">IF(OR(A1057="",B1057=""),0,IF(COUNTIFS(A$2:A1057,A1057,B$2:B1057,B1057)=1,1,0))</f>
        <v>0</v>
      </c>
    </row>
    <row r="1058" customFormat="false" ht="15" hidden="false" customHeight="false" outlineLevel="0" collapsed="false">
      <c r="A1058" s="15"/>
      <c r="B1058" s="15"/>
      <c r="C1058" s="15"/>
      <c r="D1058" s="15"/>
      <c r="F1058" s="18" t="str">
        <f aca="false">IF(B1058="","",IFERROR(INDEX(Materials!$B$2:$B$201,MATCH(B1058,Materials!$A$2:$A$201,0)),""))</f>
        <v/>
      </c>
      <c r="G1058" s="18" t="str">
        <f aca="true">IF(AND(A1058="",B1058=""),"",IF(A1058="","Missing product",IF(B1058="","Missing material",IF(COUNTIF(ProductList,A1058)=0,"Product not in Products list",IF(COUNTIF(MaterialList,B1058)=0,"Material not in Materials list","OK")))))</f>
        <v/>
      </c>
      <c r="H1058" s="18" t="str">
        <f aca="false">IF(F1058="Active",A1058&amp;"|"&amp;COUNTIFS(A$2:A1058,A1058,F$2:F1058,"Active"),"")</f>
        <v/>
      </c>
      <c r="I1058" s="18" t="str">
        <f aca="false">IF(B1058="","",IF(SUMPRODUCT(MAX((A$1:A1057=A1058)*(B$1:B1057=B1058)*ROW(A$1:A1057)))=0,C1058&amp;"",IF(C1058="",INDEX(I$1:I1057,SUMPRODUCT(MAX((A$1:A1057=A1058)*(B$1:B1057=B1058)*ROW(A$1:A1057)))),IF(INDEX(I$1:I1057,SUMPRODUCT(MAX((A$1:A1057=A1058)*(B$1:B1057=B1058)*ROW(A$1:A1057))))="",C1058&amp;"",INDEX(I$1:I1057,SUMPRODUCT(MAX((A$1:A1057=A1058)*(B$1:B1057=B1058)*ROW(A$1:A1057))))&amp;"; "&amp;C1058))))</f>
        <v/>
      </c>
      <c r="J1058" s="18" t="str">
        <f aca="false">IF(A1058="","",A1058&amp;"|"&amp;COUNTIF(A$2:A1058,A1058))</f>
        <v/>
      </c>
      <c r="K1058" s="18" t="n">
        <f aca="false">IF(OR(A1058="",B1058=""),0,IF(COUNTIFS(A$2:A1058,A1058,B$2:B1058,B1058)=1,1,0))</f>
        <v>0</v>
      </c>
    </row>
    <row r="1059" customFormat="false" ht="15" hidden="false" customHeight="false" outlineLevel="0" collapsed="false">
      <c r="A1059" s="15"/>
      <c r="B1059" s="15"/>
      <c r="C1059" s="15"/>
      <c r="D1059" s="15"/>
      <c r="F1059" s="18" t="str">
        <f aca="false">IF(B1059="","",IFERROR(INDEX(Materials!$B$2:$B$201,MATCH(B1059,Materials!$A$2:$A$201,0)),""))</f>
        <v/>
      </c>
      <c r="G1059" s="18" t="str">
        <f aca="true">IF(AND(A1059="",B1059=""),"",IF(A1059="","Missing product",IF(B1059="","Missing material",IF(COUNTIF(ProductList,A1059)=0,"Product not in Products list",IF(COUNTIF(MaterialList,B1059)=0,"Material not in Materials list","OK")))))</f>
        <v/>
      </c>
      <c r="H1059" s="18" t="str">
        <f aca="false">IF(F1059="Active",A1059&amp;"|"&amp;COUNTIFS(A$2:A1059,A1059,F$2:F1059,"Active"),"")</f>
        <v/>
      </c>
      <c r="I1059" s="18" t="str">
        <f aca="false">IF(B1059="","",IF(SUMPRODUCT(MAX((A$1:A1058=A1059)*(B$1:B1058=B1059)*ROW(A$1:A1058)))=0,C1059&amp;"",IF(C1059="",INDEX(I$1:I1058,SUMPRODUCT(MAX((A$1:A1058=A1059)*(B$1:B1058=B1059)*ROW(A$1:A1058)))),IF(INDEX(I$1:I1058,SUMPRODUCT(MAX((A$1:A1058=A1059)*(B$1:B1058=B1059)*ROW(A$1:A1058))))="",C1059&amp;"",INDEX(I$1:I1058,SUMPRODUCT(MAX((A$1:A1058=A1059)*(B$1:B1058=B1059)*ROW(A$1:A1058))))&amp;"; "&amp;C1059))))</f>
        <v/>
      </c>
      <c r="J1059" s="18" t="str">
        <f aca="false">IF(A1059="","",A1059&amp;"|"&amp;COUNTIF(A$2:A1059,A1059))</f>
        <v/>
      </c>
      <c r="K1059" s="18" t="n">
        <f aca="false">IF(OR(A1059="",B1059=""),0,IF(COUNTIFS(A$2:A1059,A1059,B$2:B1059,B1059)=1,1,0))</f>
        <v>0</v>
      </c>
    </row>
    <row r="1060" customFormat="false" ht="15" hidden="false" customHeight="false" outlineLevel="0" collapsed="false">
      <c r="A1060" s="15"/>
      <c r="B1060" s="15"/>
      <c r="C1060" s="15"/>
      <c r="D1060" s="15"/>
      <c r="F1060" s="18" t="str">
        <f aca="false">IF(B1060="","",IFERROR(INDEX(Materials!$B$2:$B$201,MATCH(B1060,Materials!$A$2:$A$201,0)),""))</f>
        <v/>
      </c>
      <c r="G1060" s="18" t="str">
        <f aca="true">IF(AND(A1060="",B1060=""),"",IF(A1060="","Missing product",IF(B1060="","Missing material",IF(COUNTIF(ProductList,A1060)=0,"Product not in Products list",IF(COUNTIF(MaterialList,B1060)=0,"Material not in Materials list","OK")))))</f>
        <v/>
      </c>
      <c r="H1060" s="18" t="str">
        <f aca="false">IF(F1060="Active",A1060&amp;"|"&amp;COUNTIFS(A$2:A1060,A1060,F$2:F1060,"Active"),"")</f>
        <v/>
      </c>
      <c r="I1060" s="18" t="str">
        <f aca="false">IF(B1060="","",IF(SUMPRODUCT(MAX((A$1:A1059=A1060)*(B$1:B1059=B1060)*ROW(A$1:A1059)))=0,C1060&amp;"",IF(C1060="",INDEX(I$1:I1059,SUMPRODUCT(MAX((A$1:A1059=A1060)*(B$1:B1059=B1060)*ROW(A$1:A1059)))),IF(INDEX(I$1:I1059,SUMPRODUCT(MAX((A$1:A1059=A1060)*(B$1:B1059=B1060)*ROW(A$1:A1059))))="",C1060&amp;"",INDEX(I$1:I1059,SUMPRODUCT(MAX((A$1:A1059=A1060)*(B$1:B1059=B1060)*ROW(A$1:A1059))))&amp;"; "&amp;C1060))))</f>
        <v/>
      </c>
      <c r="J1060" s="18" t="str">
        <f aca="false">IF(A1060="","",A1060&amp;"|"&amp;COUNTIF(A$2:A1060,A1060))</f>
        <v/>
      </c>
      <c r="K1060" s="18" t="n">
        <f aca="false">IF(OR(A1060="",B1060=""),0,IF(COUNTIFS(A$2:A1060,A1060,B$2:B1060,B1060)=1,1,0))</f>
        <v>0</v>
      </c>
    </row>
    <row r="1061" customFormat="false" ht="15" hidden="false" customHeight="false" outlineLevel="0" collapsed="false">
      <c r="A1061" s="15"/>
      <c r="B1061" s="15"/>
      <c r="C1061" s="15"/>
      <c r="D1061" s="15"/>
      <c r="F1061" s="18" t="str">
        <f aca="false">IF(B1061="","",IFERROR(INDEX(Materials!$B$2:$B$201,MATCH(B1061,Materials!$A$2:$A$201,0)),""))</f>
        <v/>
      </c>
      <c r="G1061" s="18" t="str">
        <f aca="true">IF(AND(A1061="",B1061=""),"",IF(A1061="","Missing product",IF(B1061="","Missing material",IF(COUNTIF(ProductList,A1061)=0,"Product not in Products list",IF(COUNTIF(MaterialList,B1061)=0,"Material not in Materials list","OK")))))</f>
        <v/>
      </c>
      <c r="H1061" s="18" t="str">
        <f aca="false">IF(F1061="Active",A1061&amp;"|"&amp;COUNTIFS(A$2:A1061,A1061,F$2:F1061,"Active"),"")</f>
        <v/>
      </c>
      <c r="I1061" s="18" t="str">
        <f aca="false">IF(B1061="","",IF(SUMPRODUCT(MAX((A$1:A1060=A1061)*(B$1:B1060=B1061)*ROW(A$1:A1060)))=0,C1061&amp;"",IF(C1061="",INDEX(I$1:I1060,SUMPRODUCT(MAX((A$1:A1060=A1061)*(B$1:B1060=B1061)*ROW(A$1:A1060)))),IF(INDEX(I$1:I1060,SUMPRODUCT(MAX((A$1:A1060=A1061)*(B$1:B1060=B1061)*ROW(A$1:A1060))))="",C1061&amp;"",INDEX(I$1:I1060,SUMPRODUCT(MAX((A$1:A1060=A1061)*(B$1:B1060=B1061)*ROW(A$1:A1060))))&amp;"; "&amp;C1061))))</f>
        <v/>
      </c>
      <c r="J1061" s="18" t="str">
        <f aca="false">IF(A1061="","",A1061&amp;"|"&amp;COUNTIF(A$2:A1061,A1061))</f>
        <v/>
      </c>
      <c r="K1061" s="18" t="n">
        <f aca="false">IF(OR(A1061="",B1061=""),0,IF(COUNTIFS(A$2:A1061,A1061,B$2:B1061,B1061)=1,1,0))</f>
        <v>0</v>
      </c>
    </row>
    <row r="1062" customFormat="false" ht="15" hidden="false" customHeight="false" outlineLevel="0" collapsed="false">
      <c r="A1062" s="15"/>
      <c r="B1062" s="15"/>
      <c r="C1062" s="15"/>
      <c r="D1062" s="15"/>
      <c r="F1062" s="18" t="str">
        <f aca="false">IF(B1062="","",IFERROR(INDEX(Materials!$B$2:$B$201,MATCH(B1062,Materials!$A$2:$A$201,0)),""))</f>
        <v/>
      </c>
      <c r="G1062" s="18" t="str">
        <f aca="true">IF(AND(A1062="",B1062=""),"",IF(A1062="","Missing product",IF(B1062="","Missing material",IF(COUNTIF(ProductList,A1062)=0,"Product not in Products list",IF(COUNTIF(MaterialList,B1062)=0,"Material not in Materials list","OK")))))</f>
        <v/>
      </c>
      <c r="H1062" s="18" t="str">
        <f aca="false">IF(F1062="Active",A1062&amp;"|"&amp;COUNTIFS(A$2:A1062,A1062,F$2:F1062,"Active"),"")</f>
        <v/>
      </c>
      <c r="I1062" s="18" t="str">
        <f aca="false">IF(B1062="","",IF(SUMPRODUCT(MAX((A$1:A1061=A1062)*(B$1:B1061=B1062)*ROW(A$1:A1061)))=0,C1062&amp;"",IF(C1062="",INDEX(I$1:I1061,SUMPRODUCT(MAX((A$1:A1061=A1062)*(B$1:B1061=B1062)*ROW(A$1:A1061)))),IF(INDEX(I$1:I1061,SUMPRODUCT(MAX((A$1:A1061=A1062)*(B$1:B1061=B1062)*ROW(A$1:A1061))))="",C1062&amp;"",INDEX(I$1:I1061,SUMPRODUCT(MAX((A$1:A1061=A1062)*(B$1:B1061=B1062)*ROW(A$1:A1061))))&amp;"; "&amp;C1062))))</f>
        <v/>
      </c>
      <c r="J1062" s="18" t="str">
        <f aca="false">IF(A1062="","",A1062&amp;"|"&amp;COUNTIF(A$2:A1062,A1062))</f>
        <v/>
      </c>
      <c r="K1062" s="18" t="n">
        <f aca="false">IF(OR(A1062="",B1062=""),0,IF(COUNTIFS(A$2:A1062,A1062,B$2:B1062,B1062)=1,1,0))</f>
        <v>0</v>
      </c>
    </row>
    <row r="1063" customFormat="false" ht="15" hidden="false" customHeight="false" outlineLevel="0" collapsed="false">
      <c r="A1063" s="15"/>
      <c r="B1063" s="15"/>
      <c r="C1063" s="15"/>
      <c r="D1063" s="15"/>
      <c r="F1063" s="18" t="str">
        <f aca="false">IF(B1063="","",IFERROR(INDEX(Materials!$B$2:$B$201,MATCH(B1063,Materials!$A$2:$A$201,0)),""))</f>
        <v/>
      </c>
      <c r="G1063" s="18" t="str">
        <f aca="true">IF(AND(A1063="",B1063=""),"",IF(A1063="","Missing product",IF(B1063="","Missing material",IF(COUNTIF(ProductList,A1063)=0,"Product not in Products list",IF(COUNTIF(MaterialList,B1063)=0,"Material not in Materials list","OK")))))</f>
        <v/>
      </c>
      <c r="H1063" s="18" t="str">
        <f aca="false">IF(F1063="Active",A1063&amp;"|"&amp;COUNTIFS(A$2:A1063,A1063,F$2:F1063,"Active"),"")</f>
        <v/>
      </c>
      <c r="I1063" s="18" t="str">
        <f aca="false">IF(B1063="","",IF(SUMPRODUCT(MAX((A$1:A1062=A1063)*(B$1:B1062=B1063)*ROW(A$1:A1062)))=0,C1063&amp;"",IF(C1063="",INDEX(I$1:I1062,SUMPRODUCT(MAX((A$1:A1062=A1063)*(B$1:B1062=B1063)*ROW(A$1:A1062)))),IF(INDEX(I$1:I1062,SUMPRODUCT(MAX((A$1:A1062=A1063)*(B$1:B1062=B1063)*ROW(A$1:A1062))))="",C1063&amp;"",INDEX(I$1:I1062,SUMPRODUCT(MAX((A$1:A1062=A1063)*(B$1:B1062=B1063)*ROW(A$1:A1062))))&amp;"; "&amp;C1063))))</f>
        <v/>
      </c>
      <c r="J1063" s="18" t="str">
        <f aca="false">IF(A1063="","",A1063&amp;"|"&amp;COUNTIF(A$2:A1063,A1063))</f>
        <v/>
      </c>
      <c r="K1063" s="18" t="n">
        <f aca="false">IF(OR(A1063="",B1063=""),0,IF(COUNTIFS(A$2:A1063,A1063,B$2:B1063,B1063)=1,1,0))</f>
        <v>0</v>
      </c>
    </row>
    <row r="1064" customFormat="false" ht="15" hidden="false" customHeight="false" outlineLevel="0" collapsed="false">
      <c r="A1064" s="15"/>
      <c r="B1064" s="15"/>
      <c r="C1064" s="15"/>
      <c r="D1064" s="15"/>
      <c r="F1064" s="18" t="str">
        <f aca="false">IF(B1064="","",IFERROR(INDEX(Materials!$B$2:$B$201,MATCH(B1064,Materials!$A$2:$A$201,0)),""))</f>
        <v/>
      </c>
      <c r="G1064" s="18" t="str">
        <f aca="true">IF(AND(A1064="",B1064=""),"",IF(A1064="","Missing product",IF(B1064="","Missing material",IF(COUNTIF(ProductList,A1064)=0,"Product not in Products list",IF(COUNTIF(MaterialList,B1064)=0,"Material not in Materials list","OK")))))</f>
        <v/>
      </c>
      <c r="H1064" s="18" t="str">
        <f aca="false">IF(F1064="Active",A1064&amp;"|"&amp;COUNTIFS(A$2:A1064,A1064,F$2:F1064,"Active"),"")</f>
        <v/>
      </c>
      <c r="I1064" s="18" t="str">
        <f aca="false">IF(B1064="","",IF(SUMPRODUCT(MAX((A$1:A1063=A1064)*(B$1:B1063=B1064)*ROW(A$1:A1063)))=0,C1064&amp;"",IF(C1064="",INDEX(I$1:I1063,SUMPRODUCT(MAX((A$1:A1063=A1064)*(B$1:B1063=B1064)*ROW(A$1:A1063)))),IF(INDEX(I$1:I1063,SUMPRODUCT(MAX((A$1:A1063=A1064)*(B$1:B1063=B1064)*ROW(A$1:A1063))))="",C1064&amp;"",INDEX(I$1:I1063,SUMPRODUCT(MAX((A$1:A1063=A1064)*(B$1:B1063=B1064)*ROW(A$1:A1063))))&amp;"; "&amp;C1064))))</f>
        <v/>
      </c>
      <c r="J1064" s="18" t="str">
        <f aca="false">IF(A1064="","",A1064&amp;"|"&amp;COUNTIF(A$2:A1064,A1064))</f>
        <v/>
      </c>
      <c r="K1064" s="18" t="n">
        <f aca="false">IF(OR(A1064="",B1064=""),0,IF(COUNTIFS(A$2:A1064,A1064,B$2:B1064,B1064)=1,1,0))</f>
        <v>0</v>
      </c>
    </row>
    <row r="1065" customFormat="false" ht="15" hidden="false" customHeight="false" outlineLevel="0" collapsed="false">
      <c r="A1065" s="15"/>
      <c r="B1065" s="15"/>
      <c r="C1065" s="15"/>
      <c r="D1065" s="15"/>
      <c r="F1065" s="18" t="str">
        <f aca="false">IF(B1065="","",IFERROR(INDEX(Materials!$B$2:$B$201,MATCH(B1065,Materials!$A$2:$A$201,0)),""))</f>
        <v/>
      </c>
      <c r="G1065" s="18" t="str">
        <f aca="true">IF(AND(A1065="",B1065=""),"",IF(A1065="","Missing product",IF(B1065="","Missing material",IF(COUNTIF(ProductList,A1065)=0,"Product not in Products list",IF(COUNTIF(MaterialList,B1065)=0,"Material not in Materials list","OK")))))</f>
        <v/>
      </c>
      <c r="H1065" s="18" t="str">
        <f aca="false">IF(F1065="Active",A1065&amp;"|"&amp;COUNTIFS(A$2:A1065,A1065,F$2:F1065,"Active"),"")</f>
        <v/>
      </c>
      <c r="I1065" s="18" t="str">
        <f aca="false">IF(B1065="","",IF(SUMPRODUCT(MAX((A$1:A1064=A1065)*(B$1:B1064=B1065)*ROW(A$1:A1064)))=0,C1065&amp;"",IF(C1065="",INDEX(I$1:I1064,SUMPRODUCT(MAX((A$1:A1064=A1065)*(B$1:B1064=B1065)*ROW(A$1:A1064)))),IF(INDEX(I$1:I1064,SUMPRODUCT(MAX((A$1:A1064=A1065)*(B$1:B1064=B1065)*ROW(A$1:A1064))))="",C1065&amp;"",INDEX(I$1:I1064,SUMPRODUCT(MAX((A$1:A1064=A1065)*(B$1:B1064=B1065)*ROW(A$1:A1064))))&amp;"; "&amp;C1065))))</f>
        <v/>
      </c>
      <c r="J1065" s="18" t="str">
        <f aca="false">IF(A1065="","",A1065&amp;"|"&amp;COUNTIF(A$2:A1065,A1065))</f>
        <v/>
      </c>
      <c r="K1065" s="18" t="n">
        <f aca="false">IF(OR(A1065="",B1065=""),0,IF(COUNTIFS(A$2:A1065,A1065,B$2:B1065,B1065)=1,1,0))</f>
        <v>0</v>
      </c>
    </row>
    <row r="1066" customFormat="false" ht="15" hidden="false" customHeight="false" outlineLevel="0" collapsed="false">
      <c r="A1066" s="15"/>
      <c r="B1066" s="15"/>
      <c r="C1066" s="15"/>
      <c r="D1066" s="15"/>
      <c r="F1066" s="18" t="str">
        <f aca="false">IF(B1066="","",IFERROR(INDEX(Materials!$B$2:$B$201,MATCH(B1066,Materials!$A$2:$A$201,0)),""))</f>
        <v/>
      </c>
      <c r="G1066" s="18" t="str">
        <f aca="true">IF(AND(A1066="",B1066=""),"",IF(A1066="","Missing product",IF(B1066="","Missing material",IF(COUNTIF(ProductList,A1066)=0,"Product not in Products list",IF(COUNTIF(MaterialList,B1066)=0,"Material not in Materials list","OK")))))</f>
        <v/>
      </c>
      <c r="H1066" s="18" t="str">
        <f aca="false">IF(F1066="Active",A1066&amp;"|"&amp;COUNTIFS(A$2:A1066,A1066,F$2:F1066,"Active"),"")</f>
        <v/>
      </c>
      <c r="I1066" s="18" t="str">
        <f aca="false">IF(B1066="","",IF(SUMPRODUCT(MAX((A$1:A1065=A1066)*(B$1:B1065=B1066)*ROW(A$1:A1065)))=0,C1066&amp;"",IF(C1066="",INDEX(I$1:I1065,SUMPRODUCT(MAX((A$1:A1065=A1066)*(B$1:B1065=B1066)*ROW(A$1:A1065)))),IF(INDEX(I$1:I1065,SUMPRODUCT(MAX((A$1:A1065=A1066)*(B$1:B1065=B1066)*ROW(A$1:A1065))))="",C1066&amp;"",INDEX(I$1:I1065,SUMPRODUCT(MAX((A$1:A1065=A1066)*(B$1:B1065=B1066)*ROW(A$1:A1065))))&amp;"; "&amp;C1066))))</f>
        <v/>
      </c>
      <c r="J1066" s="18" t="str">
        <f aca="false">IF(A1066="","",A1066&amp;"|"&amp;COUNTIF(A$2:A1066,A1066))</f>
        <v/>
      </c>
      <c r="K1066" s="18" t="n">
        <f aca="false">IF(OR(A1066="",B1066=""),0,IF(COUNTIFS(A$2:A1066,A1066,B$2:B1066,B1066)=1,1,0))</f>
        <v>0</v>
      </c>
    </row>
    <row r="1067" customFormat="false" ht="15" hidden="false" customHeight="false" outlineLevel="0" collapsed="false">
      <c r="A1067" s="15"/>
      <c r="B1067" s="15"/>
      <c r="C1067" s="15"/>
      <c r="D1067" s="15"/>
      <c r="F1067" s="18" t="str">
        <f aca="false">IF(B1067="","",IFERROR(INDEX(Materials!$B$2:$B$201,MATCH(B1067,Materials!$A$2:$A$201,0)),""))</f>
        <v/>
      </c>
      <c r="G1067" s="18" t="str">
        <f aca="true">IF(AND(A1067="",B1067=""),"",IF(A1067="","Missing product",IF(B1067="","Missing material",IF(COUNTIF(ProductList,A1067)=0,"Product not in Products list",IF(COUNTIF(MaterialList,B1067)=0,"Material not in Materials list","OK")))))</f>
        <v/>
      </c>
      <c r="H1067" s="18" t="str">
        <f aca="false">IF(F1067="Active",A1067&amp;"|"&amp;COUNTIFS(A$2:A1067,A1067,F$2:F1067,"Active"),"")</f>
        <v/>
      </c>
      <c r="I1067" s="18" t="str">
        <f aca="false">IF(B1067="","",IF(SUMPRODUCT(MAX((A$1:A1066=A1067)*(B$1:B1066=B1067)*ROW(A$1:A1066)))=0,C1067&amp;"",IF(C1067="",INDEX(I$1:I1066,SUMPRODUCT(MAX((A$1:A1066=A1067)*(B$1:B1066=B1067)*ROW(A$1:A1066)))),IF(INDEX(I$1:I1066,SUMPRODUCT(MAX((A$1:A1066=A1067)*(B$1:B1066=B1067)*ROW(A$1:A1066))))="",C1067&amp;"",INDEX(I$1:I1066,SUMPRODUCT(MAX((A$1:A1066=A1067)*(B$1:B1066=B1067)*ROW(A$1:A1066))))&amp;"; "&amp;C1067))))</f>
        <v/>
      </c>
      <c r="J1067" s="18" t="str">
        <f aca="false">IF(A1067="","",A1067&amp;"|"&amp;COUNTIF(A$2:A1067,A1067))</f>
        <v/>
      </c>
      <c r="K1067" s="18" t="n">
        <f aca="false">IF(OR(A1067="",B1067=""),0,IF(COUNTIFS(A$2:A1067,A1067,B$2:B1067,B1067)=1,1,0))</f>
        <v>0</v>
      </c>
    </row>
    <row r="1068" customFormat="false" ht="15" hidden="false" customHeight="false" outlineLevel="0" collapsed="false">
      <c r="A1068" s="15"/>
      <c r="B1068" s="15"/>
      <c r="C1068" s="15"/>
      <c r="D1068" s="15"/>
      <c r="F1068" s="18" t="str">
        <f aca="false">IF(B1068="","",IFERROR(INDEX(Materials!$B$2:$B$201,MATCH(B1068,Materials!$A$2:$A$201,0)),""))</f>
        <v/>
      </c>
      <c r="G1068" s="18" t="str">
        <f aca="true">IF(AND(A1068="",B1068=""),"",IF(A1068="","Missing product",IF(B1068="","Missing material",IF(COUNTIF(ProductList,A1068)=0,"Product not in Products list",IF(COUNTIF(MaterialList,B1068)=0,"Material not in Materials list","OK")))))</f>
        <v/>
      </c>
      <c r="H1068" s="18" t="str">
        <f aca="false">IF(F1068="Active",A1068&amp;"|"&amp;COUNTIFS(A$2:A1068,A1068,F$2:F1068,"Active"),"")</f>
        <v/>
      </c>
      <c r="I1068" s="18" t="str">
        <f aca="false">IF(B1068="","",IF(SUMPRODUCT(MAX((A$1:A1067=A1068)*(B$1:B1067=B1068)*ROW(A$1:A1067)))=0,C1068&amp;"",IF(C1068="",INDEX(I$1:I1067,SUMPRODUCT(MAX((A$1:A1067=A1068)*(B$1:B1067=B1068)*ROW(A$1:A1067)))),IF(INDEX(I$1:I1067,SUMPRODUCT(MAX((A$1:A1067=A1068)*(B$1:B1067=B1068)*ROW(A$1:A1067))))="",C1068&amp;"",INDEX(I$1:I1067,SUMPRODUCT(MAX((A$1:A1067=A1068)*(B$1:B1067=B1068)*ROW(A$1:A1067))))&amp;"; "&amp;C1068))))</f>
        <v/>
      </c>
      <c r="J1068" s="18" t="str">
        <f aca="false">IF(A1068="","",A1068&amp;"|"&amp;COUNTIF(A$2:A1068,A1068))</f>
        <v/>
      </c>
      <c r="K1068" s="18" t="n">
        <f aca="false">IF(OR(A1068="",B1068=""),0,IF(COUNTIFS(A$2:A1068,A1068,B$2:B1068,B1068)=1,1,0))</f>
        <v>0</v>
      </c>
    </row>
    <row r="1069" customFormat="false" ht="15" hidden="false" customHeight="false" outlineLevel="0" collapsed="false">
      <c r="A1069" s="15"/>
      <c r="B1069" s="15"/>
      <c r="C1069" s="15"/>
      <c r="D1069" s="15"/>
      <c r="F1069" s="18" t="str">
        <f aca="false">IF(B1069="","",IFERROR(INDEX(Materials!$B$2:$B$201,MATCH(B1069,Materials!$A$2:$A$201,0)),""))</f>
        <v/>
      </c>
      <c r="G1069" s="18" t="str">
        <f aca="true">IF(AND(A1069="",B1069=""),"",IF(A1069="","Missing product",IF(B1069="","Missing material",IF(COUNTIF(ProductList,A1069)=0,"Product not in Products list",IF(COUNTIF(MaterialList,B1069)=0,"Material not in Materials list","OK")))))</f>
        <v/>
      </c>
      <c r="H1069" s="18" t="str">
        <f aca="false">IF(F1069="Active",A1069&amp;"|"&amp;COUNTIFS(A$2:A1069,A1069,F$2:F1069,"Active"),"")</f>
        <v/>
      </c>
      <c r="I1069" s="18" t="str">
        <f aca="false">IF(B1069="","",IF(SUMPRODUCT(MAX((A$1:A1068=A1069)*(B$1:B1068=B1069)*ROW(A$1:A1068)))=0,C1069&amp;"",IF(C1069="",INDEX(I$1:I1068,SUMPRODUCT(MAX((A$1:A1068=A1069)*(B$1:B1068=B1069)*ROW(A$1:A1068)))),IF(INDEX(I$1:I1068,SUMPRODUCT(MAX((A$1:A1068=A1069)*(B$1:B1068=B1069)*ROW(A$1:A1068))))="",C1069&amp;"",INDEX(I$1:I1068,SUMPRODUCT(MAX((A$1:A1068=A1069)*(B$1:B1068=B1069)*ROW(A$1:A1068))))&amp;"; "&amp;C1069))))</f>
        <v/>
      </c>
      <c r="J1069" s="18" t="str">
        <f aca="false">IF(A1069="","",A1069&amp;"|"&amp;COUNTIF(A$2:A1069,A1069))</f>
        <v/>
      </c>
      <c r="K1069" s="18" t="n">
        <f aca="false">IF(OR(A1069="",B1069=""),0,IF(COUNTIFS(A$2:A1069,A1069,B$2:B1069,B1069)=1,1,0))</f>
        <v>0</v>
      </c>
    </row>
    <row r="1070" customFormat="false" ht="15" hidden="false" customHeight="false" outlineLevel="0" collapsed="false">
      <c r="A1070" s="15"/>
      <c r="B1070" s="15"/>
      <c r="C1070" s="15"/>
      <c r="D1070" s="15"/>
      <c r="F1070" s="18" t="str">
        <f aca="false">IF(B1070="","",IFERROR(INDEX(Materials!$B$2:$B$201,MATCH(B1070,Materials!$A$2:$A$201,0)),""))</f>
        <v/>
      </c>
      <c r="G1070" s="18" t="str">
        <f aca="true">IF(AND(A1070="",B1070=""),"",IF(A1070="","Missing product",IF(B1070="","Missing material",IF(COUNTIF(ProductList,A1070)=0,"Product not in Products list",IF(COUNTIF(MaterialList,B1070)=0,"Material not in Materials list","OK")))))</f>
        <v/>
      </c>
      <c r="H1070" s="18" t="str">
        <f aca="false">IF(F1070="Active",A1070&amp;"|"&amp;COUNTIFS(A$2:A1070,A1070,F$2:F1070,"Active"),"")</f>
        <v/>
      </c>
      <c r="I1070" s="18" t="str">
        <f aca="false">IF(B1070="","",IF(SUMPRODUCT(MAX((A$1:A1069=A1070)*(B$1:B1069=B1070)*ROW(A$1:A1069)))=0,C1070&amp;"",IF(C1070="",INDEX(I$1:I1069,SUMPRODUCT(MAX((A$1:A1069=A1070)*(B$1:B1069=B1070)*ROW(A$1:A1069)))),IF(INDEX(I$1:I1069,SUMPRODUCT(MAX((A$1:A1069=A1070)*(B$1:B1069=B1070)*ROW(A$1:A1069))))="",C1070&amp;"",INDEX(I$1:I1069,SUMPRODUCT(MAX((A$1:A1069=A1070)*(B$1:B1069=B1070)*ROW(A$1:A1069))))&amp;"; "&amp;C1070))))</f>
        <v/>
      </c>
      <c r="J1070" s="18" t="str">
        <f aca="false">IF(A1070="","",A1070&amp;"|"&amp;COUNTIF(A$2:A1070,A1070))</f>
        <v/>
      </c>
      <c r="K1070" s="18" t="n">
        <f aca="false">IF(OR(A1070="",B1070=""),0,IF(COUNTIFS(A$2:A1070,A1070,B$2:B1070,B1070)=1,1,0))</f>
        <v>0</v>
      </c>
    </row>
    <row r="1071" customFormat="false" ht="15" hidden="false" customHeight="false" outlineLevel="0" collapsed="false">
      <c r="A1071" s="15"/>
      <c r="B1071" s="15"/>
      <c r="C1071" s="15"/>
      <c r="D1071" s="15"/>
      <c r="F1071" s="18" t="str">
        <f aca="false">IF(B1071="","",IFERROR(INDEX(Materials!$B$2:$B$201,MATCH(B1071,Materials!$A$2:$A$201,0)),""))</f>
        <v/>
      </c>
      <c r="G1071" s="18" t="str">
        <f aca="true">IF(AND(A1071="",B1071=""),"",IF(A1071="","Missing product",IF(B1071="","Missing material",IF(COUNTIF(ProductList,A1071)=0,"Product not in Products list",IF(COUNTIF(MaterialList,B1071)=0,"Material not in Materials list","OK")))))</f>
        <v/>
      </c>
      <c r="H1071" s="18" t="str">
        <f aca="false">IF(F1071="Active",A1071&amp;"|"&amp;COUNTIFS(A$2:A1071,A1071,F$2:F1071,"Active"),"")</f>
        <v/>
      </c>
      <c r="I1071" s="18" t="str">
        <f aca="false">IF(B1071="","",IF(SUMPRODUCT(MAX((A$1:A1070=A1071)*(B$1:B1070=B1071)*ROW(A$1:A1070)))=0,C1071&amp;"",IF(C1071="",INDEX(I$1:I1070,SUMPRODUCT(MAX((A$1:A1070=A1071)*(B$1:B1070=B1071)*ROW(A$1:A1070)))),IF(INDEX(I$1:I1070,SUMPRODUCT(MAX((A$1:A1070=A1071)*(B$1:B1070=B1071)*ROW(A$1:A1070))))="",C1071&amp;"",INDEX(I$1:I1070,SUMPRODUCT(MAX((A$1:A1070=A1071)*(B$1:B1070=B1071)*ROW(A$1:A1070))))&amp;"; "&amp;C1071))))</f>
        <v/>
      </c>
      <c r="J1071" s="18" t="str">
        <f aca="false">IF(A1071="","",A1071&amp;"|"&amp;COUNTIF(A$2:A1071,A1071))</f>
        <v/>
      </c>
      <c r="K1071" s="18" t="n">
        <f aca="false">IF(OR(A1071="",B1071=""),0,IF(COUNTIFS(A$2:A1071,A1071,B$2:B1071,B1071)=1,1,0))</f>
        <v>0</v>
      </c>
    </row>
    <row r="1072" customFormat="false" ht="15" hidden="false" customHeight="false" outlineLevel="0" collapsed="false">
      <c r="A1072" s="15"/>
      <c r="B1072" s="15"/>
      <c r="C1072" s="15"/>
      <c r="D1072" s="15"/>
      <c r="F1072" s="18" t="str">
        <f aca="false">IF(B1072="","",IFERROR(INDEX(Materials!$B$2:$B$201,MATCH(B1072,Materials!$A$2:$A$201,0)),""))</f>
        <v/>
      </c>
      <c r="G1072" s="18" t="str">
        <f aca="true">IF(AND(A1072="",B1072=""),"",IF(A1072="","Missing product",IF(B1072="","Missing material",IF(COUNTIF(ProductList,A1072)=0,"Product not in Products list",IF(COUNTIF(MaterialList,B1072)=0,"Material not in Materials list","OK")))))</f>
        <v/>
      </c>
      <c r="H1072" s="18" t="str">
        <f aca="false">IF(F1072="Active",A1072&amp;"|"&amp;COUNTIFS(A$2:A1072,A1072,F$2:F1072,"Active"),"")</f>
        <v/>
      </c>
      <c r="I1072" s="18" t="str">
        <f aca="false">IF(B1072="","",IF(SUMPRODUCT(MAX((A$1:A1071=A1072)*(B$1:B1071=B1072)*ROW(A$1:A1071)))=0,C1072&amp;"",IF(C1072="",INDEX(I$1:I1071,SUMPRODUCT(MAX((A$1:A1071=A1072)*(B$1:B1071=B1072)*ROW(A$1:A1071)))),IF(INDEX(I$1:I1071,SUMPRODUCT(MAX((A$1:A1071=A1072)*(B$1:B1071=B1072)*ROW(A$1:A1071))))="",C1072&amp;"",INDEX(I$1:I1071,SUMPRODUCT(MAX((A$1:A1071=A1072)*(B$1:B1071=B1072)*ROW(A$1:A1071))))&amp;"; "&amp;C1072))))</f>
        <v/>
      </c>
      <c r="J1072" s="18" t="str">
        <f aca="false">IF(A1072="","",A1072&amp;"|"&amp;COUNTIF(A$2:A1072,A1072))</f>
        <v/>
      </c>
      <c r="K1072" s="18" t="n">
        <f aca="false">IF(OR(A1072="",B1072=""),0,IF(COUNTIFS(A$2:A1072,A1072,B$2:B1072,B1072)=1,1,0))</f>
        <v>0</v>
      </c>
    </row>
    <row r="1073" customFormat="false" ht="15" hidden="false" customHeight="false" outlineLevel="0" collapsed="false">
      <c r="A1073" s="15"/>
      <c r="B1073" s="15"/>
      <c r="C1073" s="15"/>
      <c r="D1073" s="15"/>
      <c r="F1073" s="18" t="str">
        <f aca="false">IF(B1073="","",IFERROR(INDEX(Materials!$B$2:$B$201,MATCH(B1073,Materials!$A$2:$A$201,0)),""))</f>
        <v/>
      </c>
      <c r="G1073" s="18" t="str">
        <f aca="true">IF(AND(A1073="",B1073=""),"",IF(A1073="","Missing product",IF(B1073="","Missing material",IF(COUNTIF(ProductList,A1073)=0,"Product not in Products list",IF(COUNTIF(MaterialList,B1073)=0,"Material not in Materials list","OK")))))</f>
        <v/>
      </c>
      <c r="H1073" s="18" t="str">
        <f aca="false">IF(F1073="Active",A1073&amp;"|"&amp;COUNTIFS(A$2:A1073,A1073,F$2:F1073,"Active"),"")</f>
        <v/>
      </c>
      <c r="I1073" s="18" t="str">
        <f aca="false">IF(B1073="","",IF(SUMPRODUCT(MAX((A$1:A1072=A1073)*(B$1:B1072=B1073)*ROW(A$1:A1072)))=0,C1073&amp;"",IF(C1073="",INDEX(I$1:I1072,SUMPRODUCT(MAX((A$1:A1072=A1073)*(B$1:B1072=B1073)*ROW(A$1:A1072)))),IF(INDEX(I$1:I1072,SUMPRODUCT(MAX((A$1:A1072=A1073)*(B$1:B1072=B1073)*ROW(A$1:A1072))))="",C1073&amp;"",INDEX(I$1:I1072,SUMPRODUCT(MAX((A$1:A1072=A1073)*(B$1:B1072=B1073)*ROW(A$1:A1072))))&amp;"; "&amp;C1073))))</f>
        <v/>
      </c>
      <c r="J1073" s="18" t="str">
        <f aca="false">IF(A1073="","",A1073&amp;"|"&amp;COUNTIF(A$2:A1073,A1073))</f>
        <v/>
      </c>
      <c r="K1073" s="18" t="n">
        <f aca="false">IF(OR(A1073="",B1073=""),0,IF(COUNTIFS(A$2:A1073,A1073,B$2:B1073,B1073)=1,1,0))</f>
        <v>0</v>
      </c>
    </row>
    <row r="1074" customFormat="false" ht="15" hidden="false" customHeight="false" outlineLevel="0" collapsed="false">
      <c r="A1074" s="15"/>
      <c r="B1074" s="15"/>
      <c r="C1074" s="15"/>
      <c r="D1074" s="15"/>
      <c r="F1074" s="18" t="str">
        <f aca="false">IF(B1074="","",IFERROR(INDEX(Materials!$B$2:$B$201,MATCH(B1074,Materials!$A$2:$A$201,0)),""))</f>
        <v/>
      </c>
      <c r="G1074" s="18" t="str">
        <f aca="true">IF(AND(A1074="",B1074=""),"",IF(A1074="","Missing product",IF(B1074="","Missing material",IF(COUNTIF(ProductList,A1074)=0,"Product not in Products list",IF(COUNTIF(MaterialList,B1074)=0,"Material not in Materials list","OK")))))</f>
        <v/>
      </c>
      <c r="H1074" s="18" t="str">
        <f aca="false">IF(F1074="Active",A1074&amp;"|"&amp;COUNTIFS(A$2:A1074,A1074,F$2:F1074,"Active"),"")</f>
        <v/>
      </c>
      <c r="I1074" s="18" t="str">
        <f aca="false">IF(B1074="","",IF(SUMPRODUCT(MAX((A$1:A1073=A1074)*(B$1:B1073=B1074)*ROW(A$1:A1073)))=0,C1074&amp;"",IF(C1074="",INDEX(I$1:I1073,SUMPRODUCT(MAX((A$1:A1073=A1074)*(B$1:B1073=B1074)*ROW(A$1:A1073)))),IF(INDEX(I$1:I1073,SUMPRODUCT(MAX((A$1:A1073=A1074)*(B$1:B1073=B1074)*ROW(A$1:A1073))))="",C1074&amp;"",INDEX(I$1:I1073,SUMPRODUCT(MAX((A$1:A1073=A1074)*(B$1:B1073=B1074)*ROW(A$1:A1073))))&amp;"; "&amp;C1074))))</f>
        <v/>
      </c>
      <c r="J1074" s="18" t="str">
        <f aca="false">IF(A1074="","",A1074&amp;"|"&amp;COUNTIF(A$2:A1074,A1074))</f>
        <v/>
      </c>
      <c r="K1074" s="18" t="n">
        <f aca="false">IF(OR(A1074="",B1074=""),0,IF(COUNTIFS(A$2:A1074,A1074,B$2:B1074,B1074)=1,1,0))</f>
        <v>0</v>
      </c>
    </row>
    <row r="1075" customFormat="false" ht="15" hidden="false" customHeight="false" outlineLevel="0" collapsed="false">
      <c r="A1075" s="15"/>
      <c r="B1075" s="15"/>
      <c r="C1075" s="15"/>
      <c r="D1075" s="15"/>
      <c r="F1075" s="18" t="str">
        <f aca="false">IF(B1075="","",IFERROR(INDEX(Materials!$B$2:$B$201,MATCH(B1075,Materials!$A$2:$A$201,0)),""))</f>
        <v/>
      </c>
      <c r="G1075" s="18" t="str">
        <f aca="true">IF(AND(A1075="",B1075=""),"",IF(A1075="","Missing product",IF(B1075="","Missing material",IF(COUNTIF(ProductList,A1075)=0,"Product not in Products list",IF(COUNTIF(MaterialList,B1075)=0,"Material not in Materials list","OK")))))</f>
        <v/>
      </c>
      <c r="H1075" s="18" t="str">
        <f aca="false">IF(F1075="Active",A1075&amp;"|"&amp;COUNTIFS(A$2:A1075,A1075,F$2:F1075,"Active"),"")</f>
        <v/>
      </c>
      <c r="I1075" s="18" t="str">
        <f aca="false">IF(B1075="","",IF(SUMPRODUCT(MAX((A$1:A1074=A1075)*(B$1:B1074=B1075)*ROW(A$1:A1074)))=0,C1075&amp;"",IF(C1075="",INDEX(I$1:I1074,SUMPRODUCT(MAX((A$1:A1074=A1075)*(B$1:B1074=B1075)*ROW(A$1:A1074)))),IF(INDEX(I$1:I1074,SUMPRODUCT(MAX((A$1:A1074=A1075)*(B$1:B1074=B1075)*ROW(A$1:A1074))))="",C1075&amp;"",INDEX(I$1:I1074,SUMPRODUCT(MAX((A$1:A1074=A1075)*(B$1:B1074=B1075)*ROW(A$1:A1074))))&amp;"; "&amp;C1075))))</f>
        <v/>
      </c>
      <c r="J1075" s="18" t="str">
        <f aca="false">IF(A1075="","",A1075&amp;"|"&amp;COUNTIF(A$2:A1075,A1075))</f>
        <v/>
      </c>
      <c r="K1075" s="18" t="n">
        <f aca="false">IF(OR(A1075="",B1075=""),0,IF(COUNTIFS(A$2:A1075,A1075,B$2:B1075,B1075)=1,1,0))</f>
        <v>0</v>
      </c>
    </row>
    <row r="1076" customFormat="false" ht="15" hidden="false" customHeight="false" outlineLevel="0" collapsed="false">
      <c r="A1076" s="15"/>
      <c r="B1076" s="15"/>
      <c r="C1076" s="15"/>
      <c r="D1076" s="15"/>
      <c r="F1076" s="18" t="str">
        <f aca="false">IF(B1076="","",IFERROR(INDEX(Materials!$B$2:$B$201,MATCH(B1076,Materials!$A$2:$A$201,0)),""))</f>
        <v/>
      </c>
      <c r="G1076" s="18" t="str">
        <f aca="true">IF(AND(A1076="",B1076=""),"",IF(A1076="","Missing product",IF(B1076="","Missing material",IF(COUNTIF(ProductList,A1076)=0,"Product not in Products list",IF(COUNTIF(MaterialList,B1076)=0,"Material not in Materials list","OK")))))</f>
        <v/>
      </c>
      <c r="H1076" s="18" t="str">
        <f aca="false">IF(F1076="Active",A1076&amp;"|"&amp;COUNTIFS(A$2:A1076,A1076,F$2:F1076,"Active"),"")</f>
        <v/>
      </c>
      <c r="I1076" s="18" t="str">
        <f aca="false">IF(B1076="","",IF(SUMPRODUCT(MAX((A$1:A1075=A1076)*(B$1:B1075=B1076)*ROW(A$1:A1075)))=0,C1076&amp;"",IF(C1076="",INDEX(I$1:I1075,SUMPRODUCT(MAX((A$1:A1075=A1076)*(B$1:B1075=B1076)*ROW(A$1:A1075)))),IF(INDEX(I$1:I1075,SUMPRODUCT(MAX((A$1:A1075=A1076)*(B$1:B1075=B1076)*ROW(A$1:A1075))))="",C1076&amp;"",INDEX(I$1:I1075,SUMPRODUCT(MAX((A$1:A1075=A1076)*(B$1:B1075=B1076)*ROW(A$1:A1075))))&amp;"; "&amp;C1076))))</f>
        <v/>
      </c>
      <c r="J1076" s="18" t="str">
        <f aca="false">IF(A1076="","",A1076&amp;"|"&amp;COUNTIF(A$2:A1076,A1076))</f>
        <v/>
      </c>
      <c r="K1076" s="18" t="n">
        <f aca="false">IF(OR(A1076="",B1076=""),0,IF(COUNTIFS(A$2:A1076,A1076,B$2:B1076,B1076)=1,1,0))</f>
        <v>0</v>
      </c>
    </row>
    <row r="1077" customFormat="false" ht="15" hidden="false" customHeight="false" outlineLevel="0" collapsed="false">
      <c r="A1077" s="15"/>
      <c r="B1077" s="15"/>
      <c r="C1077" s="15"/>
      <c r="D1077" s="15"/>
      <c r="F1077" s="18" t="str">
        <f aca="false">IF(B1077="","",IFERROR(INDEX(Materials!$B$2:$B$201,MATCH(B1077,Materials!$A$2:$A$201,0)),""))</f>
        <v/>
      </c>
      <c r="G1077" s="18" t="str">
        <f aca="true">IF(AND(A1077="",B1077=""),"",IF(A1077="","Missing product",IF(B1077="","Missing material",IF(COUNTIF(ProductList,A1077)=0,"Product not in Products list",IF(COUNTIF(MaterialList,B1077)=0,"Material not in Materials list","OK")))))</f>
        <v/>
      </c>
      <c r="H1077" s="18" t="str">
        <f aca="false">IF(F1077="Active",A1077&amp;"|"&amp;COUNTIFS(A$2:A1077,A1077,F$2:F1077,"Active"),"")</f>
        <v/>
      </c>
      <c r="I1077" s="18" t="str">
        <f aca="false">IF(B1077="","",IF(SUMPRODUCT(MAX((A$1:A1076=A1077)*(B$1:B1076=B1077)*ROW(A$1:A1076)))=0,C1077&amp;"",IF(C1077="",INDEX(I$1:I1076,SUMPRODUCT(MAX((A$1:A1076=A1077)*(B$1:B1076=B1077)*ROW(A$1:A1076)))),IF(INDEX(I$1:I1076,SUMPRODUCT(MAX((A$1:A1076=A1077)*(B$1:B1076=B1077)*ROW(A$1:A1076))))="",C1077&amp;"",INDEX(I$1:I1076,SUMPRODUCT(MAX((A$1:A1076=A1077)*(B$1:B1076=B1077)*ROW(A$1:A1076))))&amp;"; "&amp;C1077))))</f>
        <v/>
      </c>
      <c r="J1077" s="18" t="str">
        <f aca="false">IF(A1077="","",A1077&amp;"|"&amp;COUNTIF(A$2:A1077,A1077))</f>
        <v/>
      </c>
      <c r="K1077" s="18" t="n">
        <f aca="false">IF(OR(A1077="",B1077=""),0,IF(COUNTIFS(A$2:A1077,A1077,B$2:B1077,B1077)=1,1,0))</f>
        <v>0</v>
      </c>
    </row>
    <row r="1078" customFormat="false" ht="15" hidden="false" customHeight="false" outlineLevel="0" collapsed="false">
      <c r="A1078" s="15"/>
      <c r="B1078" s="15"/>
      <c r="C1078" s="15"/>
      <c r="D1078" s="15"/>
      <c r="F1078" s="18" t="str">
        <f aca="false">IF(B1078="","",IFERROR(INDEX(Materials!$B$2:$B$201,MATCH(B1078,Materials!$A$2:$A$201,0)),""))</f>
        <v/>
      </c>
      <c r="G1078" s="18" t="str">
        <f aca="true">IF(AND(A1078="",B1078=""),"",IF(A1078="","Missing product",IF(B1078="","Missing material",IF(COUNTIF(ProductList,A1078)=0,"Product not in Products list",IF(COUNTIF(MaterialList,B1078)=0,"Material not in Materials list","OK")))))</f>
        <v/>
      </c>
      <c r="H1078" s="18" t="str">
        <f aca="false">IF(F1078="Active",A1078&amp;"|"&amp;COUNTIFS(A$2:A1078,A1078,F$2:F1078,"Active"),"")</f>
        <v/>
      </c>
      <c r="I1078" s="18" t="str">
        <f aca="false">IF(B1078="","",IF(SUMPRODUCT(MAX((A$1:A1077=A1078)*(B$1:B1077=B1078)*ROW(A$1:A1077)))=0,C1078&amp;"",IF(C1078="",INDEX(I$1:I1077,SUMPRODUCT(MAX((A$1:A1077=A1078)*(B$1:B1077=B1078)*ROW(A$1:A1077)))),IF(INDEX(I$1:I1077,SUMPRODUCT(MAX((A$1:A1077=A1078)*(B$1:B1077=B1078)*ROW(A$1:A1077))))="",C1078&amp;"",INDEX(I$1:I1077,SUMPRODUCT(MAX((A$1:A1077=A1078)*(B$1:B1077=B1078)*ROW(A$1:A1077))))&amp;"; "&amp;C1078))))</f>
        <v/>
      </c>
      <c r="J1078" s="18" t="str">
        <f aca="false">IF(A1078="","",A1078&amp;"|"&amp;COUNTIF(A$2:A1078,A1078))</f>
        <v/>
      </c>
      <c r="K1078" s="18" t="n">
        <f aca="false">IF(OR(A1078="",B1078=""),0,IF(COUNTIFS(A$2:A1078,A1078,B$2:B1078,B1078)=1,1,0))</f>
        <v>0</v>
      </c>
    </row>
    <row r="1079" customFormat="false" ht="15" hidden="false" customHeight="false" outlineLevel="0" collapsed="false">
      <c r="A1079" s="15"/>
      <c r="B1079" s="15"/>
      <c r="C1079" s="15"/>
      <c r="D1079" s="15"/>
      <c r="F1079" s="18" t="str">
        <f aca="false">IF(B1079="","",IFERROR(INDEX(Materials!$B$2:$B$201,MATCH(B1079,Materials!$A$2:$A$201,0)),""))</f>
        <v/>
      </c>
      <c r="G1079" s="18" t="str">
        <f aca="true">IF(AND(A1079="",B1079=""),"",IF(A1079="","Missing product",IF(B1079="","Missing material",IF(COUNTIF(ProductList,A1079)=0,"Product not in Products list",IF(COUNTIF(MaterialList,B1079)=0,"Material not in Materials list","OK")))))</f>
        <v/>
      </c>
      <c r="H1079" s="18" t="str">
        <f aca="false">IF(F1079="Active",A1079&amp;"|"&amp;COUNTIFS(A$2:A1079,A1079,F$2:F1079,"Active"),"")</f>
        <v/>
      </c>
      <c r="I1079" s="18" t="str">
        <f aca="false">IF(B1079="","",IF(SUMPRODUCT(MAX((A$1:A1078=A1079)*(B$1:B1078=B1079)*ROW(A$1:A1078)))=0,C1079&amp;"",IF(C1079="",INDEX(I$1:I1078,SUMPRODUCT(MAX((A$1:A1078=A1079)*(B$1:B1078=B1079)*ROW(A$1:A1078)))),IF(INDEX(I$1:I1078,SUMPRODUCT(MAX((A$1:A1078=A1079)*(B$1:B1078=B1079)*ROW(A$1:A1078))))="",C1079&amp;"",INDEX(I$1:I1078,SUMPRODUCT(MAX((A$1:A1078=A1079)*(B$1:B1078=B1079)*ROW(A$1:A1078))))&amp;"; "&amp;C1079))))</f>
        <v/>
      </c>
      <c r="J1079" s="18" t="str">
        <f aca="false">IF(A1079="","",A1079&amp;"|"&amp;COUNTIF(A$2:A1079,A1079))</f>
        <v/>
      </c>
      <c r="K1079" s="18" t="n">
        <f aca="false">IF(OR(A1079="",B1079=""),0,IF(COUNTIFS(A$2:A1079,A1079,B$2:B1079,B1079)=1,1,0))</f>
        <v>0</v>
      </c>
    </row>
    <row r="1080" customFormat="false" ht="15" hidden="false" customHeight="false" outlineLevel="0" collapsed="false">
      <c r="A1080" s="15"/>
      <c r="B1080" s="15"/>
      <c r="C1080" s="15"/>
      <c r="D1080" s="15"/>
      <c r="F1080" s="18" t="str">
        <f aca="false">IF(B1080="","",IFERROR(INDEX(Materials!$B$2:$B$201,MATCH(B1080,Materials!$A$2:$A$201,0)),""))</f>
        <v/>
      </c>
      <c r="G1080" s="18" t="str">
        <f aca="true">IF(AND(A1080="",B1080=""),"",IF(A1080="","Missing product",IF(B1080="","Missing material",IF(COUNTIF(ProductList,A1080)=0,"Product not in Products list",IF(COUNTIF(MaterialList,B1080)=0,"Material not in Materials list","OK")))))</f>
        <v/>
      </c>
      <c r="H1080" s="18" t="str">
        <f aca="false">IF(F1080="Active",A1080&amp;"|"&amp;COUNTIFS(A$2:A1080,A1080,F$2:F1080,"Active"),"")</f>
        <v/>
      </c>
      <c r="I1080" s="18" t="str">
        <f aca="false">IF(B1080="","",IF(SUMPRODUCT(MAX((A$1:A1079=A1080)*(B$1:B1079=B1080)*ROW(A$1:A1079)))=0,C1080&amp;"",IF(C1080="",INDEX(I$1:I1079,SUMPRODUCT(MAX((A$1:A1079=A1080)*(B$1:B1079=B1080)*ROW(A$1:A1079)))),IF(INDEX(I$1:I1079,SUMPRODUCT(MAX((A$1:A1079=A1080)*(B$1:B1079=B1080)*ROW(A$1:A1079))))="",C1080&amp;"",INDEX(I$1:I1079,SUMPRODUCT(MAX((A$1:A1079=A1080)*(B$1:B1079=B1080)*ROW(A$1:A1079))))&amp;"; "&amp;C1080))))</f>
        <v/>
      </c>
      <c r="J1080" s="18" t="str">
        <f aca="false">IF(A1080="","",A1080&amp;"|"&amp;COUNTIF(A$2:A1080,A1080))</f>
        <v/>
      </c>
      <c r="K1080" s="18" t="n">
        <f aca="false">IF(OR(A1080="",B1080=""),0,IF(COUNTIFS(A$2:A1080,A1080,B$2:B1080,B1080)=1,1,0))</f>
        <v>0</v>
      </c>
    </row>
    <row r="1081" customFormat="false" ht="15" hidden="false" customHeight="false" outlineLevel="0" collapsed="false">
      <c r="A1081" s="15"/>
      <c r="B1081" s="15"/>
      <c r="C1081" s="15"/>
      <c r="D1081" s="15"/>
      <c r="F1081" s="18" t="str">
        <f aca="false">IF(B1081="","",IFERROR(INDEX(Materials!$B$2:$B$201,MATCH(B1081,Materials!$A$2:$A$201,0)),""))</f>
        <v/>
      </c>
      <c r="G1081" s="18" t="str">
        <f aca="true">IF(AND(A1081="",B1081=""),"",IF(A1081="","Missing product",IF(B1081="","Missing material",IF(COUNTIF(ProductList,A1081)=0,"Product not in Products list",IF(COUNTIF(MaterialList,B1081)=0,"Material not in Materials list","OK")))))</f>
        <v/>
      </c>
      <c r="H1081" s="18" t="str">
        <f aca="false">IF(F1081="Active",A1081&amp;"|"&amp;COUNTIFS(A$2:A1081,A1081,F$2:F1081,"Active"),"")</f>
        <v/>
      </c>
      <c r="I1081" s="18" t="str">
        <f aca="false">IF(B1081="","",IF(SUMPRODUCT(MAX((A$1:A1080=A1081)*(B$1:B1080=B1081)*ROW(A$1:A1080)))=0,C1081&amp;"",IF(C1081="",INDEX(I$1:I1080,SUMPRODUCT(MAX((A$1:A1080=A1081)*(B$1:B1080=B1081)*ROW(A$1:A1080)))),IF(INDEX(I$1:I1080,SUMPRODUCT(MAX((A$1:A1080=A1081)*(B$1:B1080=B1081)*ROW(A$1:A1080))))="",C1081&amp;"",INDEX(I$1:I1080,SUMPRODUCT(MAX((A$1:A1080=A1081)*(B$1:B1080=B1081)*ROW(A$1:A1080))))&amp;"; "&amp;C1081))))</f>
        <v/>
      </c>
      <c r="J1081" s="18" t="str">
        <f aca="false">IF(A1081="","",A1081&amp;"|"&amp;COUNTIF(A$2:A1081,A1081))</f>
        <v/>
      </c>
      <c r="K1081" s="18" t="n">
        <f aca="false">IF(OR(A1081="",B1081=""),0,IF(COUNTIFS(A$2:A1081,A1081,B$2:B1081,B1081)=1,1,0))</f>
        <v>0</v>
      </c>
    </row>
    <row r="1082" customFormat="false" ht="15" hidden="false" customHeight="false" outlineLevel="0" collapsed="false">
      <c r="A1082" s="15"/>
      <c r="B1082" s="15"/>
      <c r="C1082" s="15"/>
      <c r="D1082" s="15"/>
      <c r="F1082" s="18" t="str">
        <f aca="false">IF(B1082="","",IFERROR(INDEX(Materials!$B$2:$B$201,MATCH(B1082,Materials!$A$2:$A$201,0)),""))</f>
        <v/>
      </c>
      <c r="G1082" s="18" t="str">
        <f aca="true">IF(AND(A1082="",B1082=""),"",IF(A1082="","Missing product",IF(B1082="","Missing material",IF(COUNTIF(ProductList,A1082)=0,"Product not in Products list",IF(COUNTIF(MaterialList,B1082)=0,"Material not in Materials list","OK")))))</f>
        <v/>
      </c>
      <c r="H1082" s="18" t="str">
        <f aca="false">IF(F1082="Active",A1082&amp;"|"&amp;COUNTIFS(A$2:A1082,A1082,F$2:F1082,"Active"),"")</f>
        <v/>
      </c>
      <c r="I1082" s="18" t="str">
        <f aca="false">IF(B1082="","",IF(SUMPRODUCT(MAX((A$1:A1081=A1082)*(B$1:B1081=B1082)*ROW(A$1:A1081)))=0,C1082&amp;"",IF(C1082="",INDEX(I$1:I1081,SUMPRODUCT(MAX((A$1:A1081=A1082)*(B$1:B1081=B1082)*ROW(A$1:A1081)))),IF(INDEX(I$1:I1081,SUMPRODUCT(MAX((A$1:A1081=A1082)*(B$1:B1081=B1082)*ROW(A$1:A1081))))="",C1082&amp;"",INDEX(I$1:I1081,SUMPRODUCT(MAX((A$1:A1081=A1082)*(B$1:B1081=B1082)*ROW(A$1:A1081))))&amp;"; "&amp;C1082))))</f>
        <v/>
      </c>
      <c r="J1082" s="18" t="str">
        <f aca="false">IF(A1082="","",A1082&amp;"|"&amp;COUNTIF(A$2:A1082,A1082))</f>
        <v/>
      </c>
      <c r="K1082" s="18" t="n">
        <f aca="false">IF(OR(A1082="",B1082=""),0,IF(COUNTIFS(A$2:A1082,A1082,B$2:B1082,B1082)=1,1,0))</f>
        <v>0</v>
      </c>
    </row>
    <row r="1083" customFormat="false" ht="15" hidden="false" customHeight="false" outlineLevel="0" collapsed="false">
      <c r="A1083" s="15"/>
      <c r="B1083" s="15"/>
      <c r="C1083" s="15"/>
      <c r="D1083" s="15"/>
      <c r="F1083" s="18" t="str">
        <f aca="false">IF(B1083="","",IFERROR(INDEX(Materials!$B$2:$B$201,MATCH(B1083,Materials!$A$2:$A$201,0)),""))</f>
        <v/>
      </c>
      <c r="G1083" s="18" t="str">
        <f aca="true">IF(AND(A1083="",B1083=""),"",IF(A1083="","Missing product",IF(B1083="","Missing material",IF(COUNTIF(ProductList,A1083)=0,"Product not in Products list",IF(COUNTIF(MaterialList,B1083)=0,"Material not in Materials list","OK")))))</f>
        <v/>
      </c>
      <c r="H1083" s="18" t="str">
        <f aca="false">IF(F1083="Active",A1083&amp;"|"&amp;COUNTIFS(A$2:A1083,A1083,F$2:F1083,"Active"),"")</f>
        <v/>
      </c>
      <c r="I1083" s="18" t="str">
        <f aca="false">IF(B1083="","",IF(SUMPRODUCT(MAX((A$1:A1082=A1083)*(B$1:B1082=B1083)*ROW(A$1:A1082)))=0,C1083&amp;"",IF(C1083="",INDEX(I$1:I1082,SUMPRODUCT(MAX((A$1:A1082=A1083)*(B$1:B1082=B1083)*ROW(A$1:A1082)))),IF(INDEX(I$1:I1082,SUMPRODUCT(MAX((A$1:A1082=A1083)*(B$1:B1082=B1083)*ROW(A$1:A1082))))="",C1083&amp;"",INDEX(I$1:I1082,SUMPRODUCT(MAX((A$1:A1082=A1083)*(B$1:B1082=B1083)*ROW(A$1:A1082))))&amp;"; "&amp;C1083))))</f>
        <v/>
      </c>
      <c r="J1083" s="18" t="str">
        <f aca="false">IF(A1083="","",A1083&amp;"|"&amp;COUNTIF(A$2:A1083,A1083))</f>
        <v/>
      </c>
      <c r="K1083" s="18" t="n">
        <f aca="false">IF(OR(A1083="",B1083=""),0,IF(COUNTIFS(A$2:A1083,A1083,B$2:B1083,B1083)=1,1,0))</f>
        <v>0</v>
      </c>
    </row>
    <row r="1084" customFormat="false" ht="15" hidden="false" customHeight="false" outlineLevel="0" collapsed="false">
      <c r="A1084" s="15"/>
      <c r="B1084" s="15"/>
      <c r="C1084" s="15"/>
      <c r="D1084" s="15"/>
      <c r="F1084" s="18" t="str">
        <f aca="false">IF(B1084="","",IFERROR(INDEX(Materials!$B$2:$B$201,MATCH(B1084,Materials!$A$2:$A$201,0)),""))</f>
        <v/>
      </c>
      <c r="G1084" s="18" t="str">
        <f aca="true">IF(AND(A1084="",B1084=""),"",IF(A1084="","Missing product",IF(B1084="","Missing material",IF(COUNTIF(ProductList,A1084)=0,"Product not in Products list",IF(COUNTIF(MaterialList,B1084)=0,"Material not in Materials list","OK")))))</f>
        <v/>
      </c>
      <c r="H1084" s="18" t="str">
        <f aca="false">IF(F1084="Active",A1084&amp;"|"&amp;COUNTIFS(A$2:A1084,A1084,F$2:F1084,"Active"),"")</f>
        <v/>
      </c>
      <c r="I1084" s="18" t="str">
        <f aca="false">IF(B1084="","",IF(SUMPRODUCT(MAX((A$1:A1083=A1084)*(B$1:B1083=B1084)*ROW(A$1:A1083)))=0,C1084&amp;"",IF(C1084="",INDEX(I$1:I1083,SUMPRODUCT(MAX((A$1:A1083=A1084)*(B$1:B1083=B1084)*ROW(A$1:A1083)))),IF(INDEX(I$1:I1083,SUMPRODUCT(MAX((A$1:A1083=A1084)*(B$1:B1083=B1084)*ROW(A$1:A1083))))="",C1084&amp;"",INDEX(I$1:I1083,SUMPRODUCT(MAX((A$1:A1083=A1084)*(B$1:B1083=B1084)*ROW(A$1:A1083))))&amp;"; "&amp;C1084))))</f>
        <v/>
      </c>
      <c r="J1084" s="18" t="str">
        <f aca="false">IF(A1084="","",A1084&amp;"|"&amp;COUNTIF(A$2:A1084,A1084))</f>
        <v/>
      </c>
      <c r="K1084" s="18" t="n">
        <f aca="false">IF(OR(A1084="",B1084=""),0,IF(COUNTIFS(A$2:A1084,A1084,B$2:B1084,B1084)=1,1,0))</f>
        <v>0</v>
      </c>
    </row>
    <row r="1085" customFormat="false" ht="15" hidden="false" customHeight="false" outlineLevel="0" collapsed="false">
      <c r="A1085" s="15"/>
      <c r="B1085" s="15"/>
      <c r="C1085" s="15"/>
      <c r="D1085" s="15"/>
      <c r="F1085" s="18" t="str">
        <f aca="false">IF(B1085="","",IFERROR(INDEX(Materials!$B$2:$B$201,MATCH(B1085,Materials!$A$2:$A$201,0)),""))</f>
        <v/>
      </c>
      <c r="G1085" s="18" t="str">
        <f aca="true">IF(AND(A1085="",B1085=""),"",IF(A1085="","Missing product",IF(B1085="","Missing material",IF(COUNTIF(ProductList,A1085)=0,"Product not in Products list",IF(COUNTIF(MaterialList,B1085)=0,"Material not in Materials list","OK")))))</f>
        <v/>
      </c>
      <c r="H1085" s="18" t="str">
        <f aca="false">IF(F1085="Active",A1085&amp;"|"&amp;COUNTIFS(A$2:A1085,A1085,F$2:F1085,"Active"),"")</f>
        <v/>
      </c>
      <c r="I1085" s="18" t="str">
        <f aca="false">IF(B1085="","",IF(SUMPRODUCT(MAX((A$1:A1084=A1085)*(B$1:B1084=B1085)*ROW(A$1:A1084)))=0,C1085&amp;"",IF(C1085="",INDEX(I$1:I1084,SUMPRODUCT(MAX((A$1:A1084=A1085)*(B$1:B1084=B1085)*ROW(A$1:A1084)))),IF(INDEX(I$1:I1084,SUMPRODUCT(MAX((A$1:A1084=A1085)*(B$1:B1084=B1085)*ROW(A$1:A1084))))="",C1085&amp;"",INDEX(I$1:I1084,SUMPRODUCT(MAX((A$1:A1084=A1085)*(B$1:B1084=B1085)*ROW(A$1:A1084))))&amp;"; "&amp;C1085))))</f>
        <v/>
      </c>
      <c r="J1085" s="18" t="str">
        <f aca="false">IF(A1085="","",A1085&amp;"|"&amp;COUNTIF(A$2:A1085,A1085))</f>
        <v/>
      </c>
      <c r="K1085" s="18" t="n">
        <f aca="false">IF(OR(A1085="",B1085=""),0,IF(COUNTIFS(A$2:A1085,A1085,B$2:B1085,B1085)=1,1,0))</f>
        <v>0</v>
      </c>
    </row>
    <row r="1086" customFormat="false" ht="15" hidden="false" customHeight="false" outlineLevel="0" collapsed="false">
      <c r="A1086" s="15"/>
      <c r="B1086" s="15"/>
      <c r="C1086" s="15"/>
      <c r="D1086" s="15"/>
      <c r="F1086" s="18" t="str">
        <f aca="false">IF(B1086="","",IFERROR(INDEX(Materials!$B$2:$B$201,MATCH(B1086,Materials!$A$2:$A$201,0)),""))</f>
        <v/>
      </c>
      <c r="G1086" s="18" t="str">
        <f aca="true">IF(AND(A1086="",B1086=""),"",IF(A1086="","Missing product",IF(B1086="","Missing material",IF(COUNTIF(ProductList,A1086)=0,"Product not in Products list",IF(COUNTIF(MaterialList,B1086)=0,"Material not in Materials list","OK")))))</f>
        <v/>
      </c>
      <c r="H1086" s="18" t="str">
        <f aca="false">IF(F1086="Active",A1086&amp;"|"&amp;COUNTIFS(A$2:A1086,A1086,F$2:F1086,"Active"),"")</f>
        <v/>
      </c>
      <c r="I1086" s="18" t="str">
        <f aca="false">IF(B1086="","",IF(SUMPRODUCT(MAX((A$1:A1085=A1086)*(B$1:B1085=B1086)*ROW(A$1:A1085)))=0,C1086&amp;"",IF(C1086="",INDEX(I$1:I1085,SUMPRODUCT(MAX((A$1:A1085=A1086)*(B$1:B1085=B1086)*ROW(A$1:A1085)))),IF(INDEX(I$1:I1085,SUMPRODUCT(MAX((A$1:A1085=A1086)*(B$1:B1085=B1086)*ROW(A$1:A1085))))="",C1086&amp;"",INDEX(I$1:I1085,SUMPRODUCT(MAX((A$1:A1085=A1086)*(B$1:B1085=B1086)*ROW(A$1:A1085))))&amp;"; "&amp;C1086))))</f>
        <v/>
      </c>
      <c r="J1086" s="18" t="str">
        <f aca="false">IF(A1086="","",A1086&amp;"|"&amp;COUNTIF(A$2:A1086,A1086))</f>
        <v/>
      </c>
      <c r="K1086" s="18" t="n">
        <f aca="false">IF(OR(A1086="",B1086=""),0,IF(COUNTIFS(A$2:A1086,A1086,B$2:B1086,B1086)=1,1,0))</f>
        <v>0</v>
      </c>
    </row>
    <row r="1087" customFormat="false" ht="15" hidden="false" customHeight="false" outlineLevel="0" collapsed="false">
      <c r="A1087" s="15"/>
      <c r="B1087" s="15"/>
      <c r="C1087" s="15"/>
      <c r="D1087" s="15"/>
      <c r="F1087" s="18" t="str">
        <f aca="false">IF(B1087="","",IFERROR(INDEX(Materials!$B$2:$B$201,MATCH(B1087,Materials!$A$2:$A$201,0)),""))</f>
        <v/>
      </c>
      <c r="G1087" s="18" t="str">
        <f aca="true">IF(AND(A1087="",B1087=""),"",IF(A1087="","Missing product",IF(B1087="","Missing material",IF(COUNTIF(ProductList,A1087)=0,"Product not in Products list",IF(COUNTIF(MaterialList,B1087)=0,"Material not in Materials list","OK")))))</f>
        <v/>
      </c>
      <c r="H1087" s="18" t="str">
        <f aca="false">IF(F1087="Active",A1087&amp;"|"&amp;COUNTIFS(A$2:A1087,A1087,F$2:F1087,"Active"),"")</f>
        <v/>
      </c>
      <c r="I1087" s="18" t="str">
        <f aca="false">IF(B1087="","",IF(SUMPRODUCT(MAX((A$1:A1086=A1087)*(B$1:B1086=B1087)*ROW(A$1:A1086)))=0,C1087&amp;"",IF(C1087="",INDEX(I$1:I1086,SUMPRODUCT(MAX((A$1:A1086=A1087)*(B$1:B1086=B1087)*ROW(A$1:A1086)))),IF(INDEX(I$1:I1086,SUMPRODUCT(MAX((A$1:A1086=A1087)*(B$1:B1086=B1087)*ROW(A$1:A1086))))="",C1087&amp;"",INDEX(I$1:I1086,SUMPRODUCT(MAX((A$1:A1086=A1087)*(B$1:B1086=B1087)*ROW(A$1:A1086))))&amp;"; "&amp;C1087))))</f>
        <v/>
      </c>
      <c r="J1087" s="18" t="str">
        <f aca="false">IF(A1087="","",A1087&amp;"|"&amp;COUNTIF(A$2:A1087,A1087))</f>
        <v/>
      </c>
      <c r="K1087" s="18" t="n">
        <f aca="false">IF(OR(A1087="",B1087=""),0,IF(COUNTIFS(A$2:A1087,A1087,B$2:B1087,B1087)=1,1,0))</f>
        <v>0</v>
      </c>
    </row>
    <row r="1088" customFormat="false" ht="15" hidden="false" customHeight="false" outlineLevel="0" collapsed="false">
      <c r="A1088" s="15"/>
      <c r="B1088" s="15"/>
      <c r="C1088" s="15"/>
      <c r="D1088" s="15"/>
      <c r="F1088" s="18" t="str">
        <f aca="false">IF(B1088="","",IFERROR(INDEX(Materials!$B$2:$B$201,MATCH(B1088,Materials!$A$2:$A$201,0)),""))</f>
        <v/>
      </c>
      <c r="G1088" s="18" t="str">
        <f aca="true">IF(AND(A1088="",B1088=""),"",IF(A1088="","Missing product",IF(B1088="","Missing material",IF(COUNTIF(ProductList,A1088)=0,"Product not in Products list",IF(COUNTIF(MaterialList,B1088)=0,"Material not in Materials list","OK")))))</f>
        <v/>
      </c>
      <c r="H1088" s="18" t="str">
        <f aca="false">IF(F1088="Active",A1088&amp;"|"&amp;COUNTIFS(A$2:A1088,A1088,F$2:F1088,"Active"),"")</f>
        <v/>
      </c>
      <c r="I1088" s="18" t="str">
        <f aca="false">IF(B1088="","",IF(SUMPRODUCT(MAX((A$1:A1087=A1088)*(B$1:B1087=B1088)*ROW(A$1:A1087)))=0,C1088&amp;"",IF(C1088="",INDEX(I$1:I1087,SUMPRODUCT(MAX((A$1:A1087=A1088)*(B$1:B1087=B1088)*ROW(A$1:A1087)))),IF(INDEX(I$1:I1087,SUMPRODUCT(MAX((A$1:A1087=A1088)*(B$1:B1087=B1088)*ROW(A$1:A1087))))="",C1088&amp;"",INDEX(I$1:I1087,SUMPRODUCT(MAX((A$1:A1087=A1088)*(B$1:B1087=B1088)*ROW(A$1:A1087))))&amp;"; "&amp;C1088))))</f>
        <v/>
      </c>
      <c r="J1088" s="18" t="str">
        <f aca="false">IF(A1088="","",A1088&amp;"|"&amp;COUNTIF(A$2:A1088,A1088))</f>
        <v/>
      </c>
      <c r="K1088" s="18" t="n">
        <f aca="false">IF(OR(A1088="",B1088=""),0,IF(COUNTIFS(A$2:A1088,A1088,B$2:B1088,B1088)=1,1,0))</f>
        <v>0</v>
      </c>
    </row>
    <row r="1089" customFormat="false" ht="15" hidden="false" customHeight="false" outlineLevel="0" collapsed="false">
      <c r="A1089" s="15"/>
      <c r="B1089" s="15"/>
      <c r="C1089" s="15"/>
      <c r="D1089" s="15"/>
      <c r="F1089" s="18" t="str">
        <f aca="false">IF(B1089="","",IFERROR(INDEX(Materials!$B$2:$B$201,MATCH(B1089,Materials!$A$2:$A$201,0)),""))</f>
        <v/>
      </c>
      <c r="G1089" s="18" t="str">
        <f aca="true">IF(AND(A1089="",B1089=""),"",IF(A1089="","Missing product",IF(B1089="","Missing material",IF(COUNTIF(ProductList,A1089)=0,"Product not in Products list",IF(COUNTIF(MaterialList,B1089)=0,"Material not in Materials list","OK")))))</f>
        <v/>
      </c>
      <c r="H1089" s="18" t="str">
        <f aca="false">IF(F1089="Active",A1089&amp;"|"&amp;COUNTIFS(A$2:A1089,A1089,F$2:F1089,"Active"),"")</f>
        <v/>
      </c>
      <c r="I1089" s="18" t="str">
        <f aca="false">IF(B1089="","",IF(SUMPRODUCT(MAX((A$1:A1088=A1089)*(B$1:B1088=B1089)*ROW(A$1:A1088)))=0,C1089&amp;"",IF(C1089="",INDEX(I$1:I1088,SUMPRODUCT(MAX((A$1:A1088=A1089)*(B$1:B1088=B1089)*ROW(A$1:A1088)))),IF(INDEX(I$1:I1088,SUMPRODUCT(MAX((A$1:A1088=A1089)*(B$1:B1088=B1089)*ROW(A$1:A1088))))="",C1089&amp;"",INDEX(I$1:I1088,SUMPRODUCT(MAX((A$1:A1088=A1089)*(B$1:B1088=B1089)*ROW(A$1:A1088))))&amp;"; "&amp;C1089))))</f>
        <v/>
      </c>
      <c r="J1089" s="18" t="str">
        <f aca="false">IF(A1089="","",A1089&amp;"|"&amp;COUNTIF(A$2:A1089,A1089))</f>
        <v/>
      </c>
      <c r="K1089" s="18" t="n">
        <f aca="false">IF(OR(A1089="",B1089=""),0,IF(COUNTIFS(A$2:A1089,A1089,B$2:B1089,B1089)=1,1,0))</f>
        <v>0</v>
      </c>
    </row>
    <row r="1090" customFormat="false" ht="15" hidden="false" customHeight="false" outlineLevel="0" collapsed="false">
      <c r="A1090" s="15"/>
      <c r="B1090" s="15"/>
      <c r="C1090" s="15"/>
      <c r="D1090" s="15"/>
      <c r="F1090" s="18" t="str">
        <f aca="false">IF(B1090="","",IFERROR(INDEX(Materials!$B$2:$B$201,MATCH(B1090,Materials!$A$2:$A$201,0)),""))</f>
        <v/>
      </c>
      <c r="G1090" s="18" t="str">
        <f aca="true">IF(AND(A1090="",B1090=""),"",IF(A1090="","Missing product",IF(B1090="","Missing material",IF(COUNTIF(ProductList,A1090)=0,"Product not in Products list",IF(COUNTIF(MaterialList,B1090)=0,"Material not in Materials list","OK")))))</f>
        <v/>
      </c>
      <c r="H1090" s="18" t="str">
        <f aca="false">IF(F1090="Active",A1090&amp;"|"&amp;COUNTIFS(A$2:A1090,A1090,F$2:F1090,"Active"),"")</f>
        <v/>
      </c>
      <c r="I1090" s="18" t="str">
        <f aca="false">IF(B1090="","",IF(SUMPRODUCT(MAX((A$1:A1089=A1090)*(B$1:B1089=B1090)*ROW(A$1:A1089)))=0,C1090&amp;"",IF(C1090="",INDEX(I$1:I1089,SUMPRODUCT(MAX((A$1:A1089=A1090)*(B$1:B1089=B1090)*ROW(A$1:A1089)))),IF(INDEX(I$1:I1089,SUMPRODUCT(MAX((A$1:A1089=A1090)*(B$1:B1089=B1090)*ROW(A$1:A1089))))="",C1090&amp;"",INDEX(I$1:I1089,SUMPRODUCT(MAX((A$1:A1089=A1090)*(B$1:B1089=B1090)*ROW(A$1:A1089))))&amp;"; "&amp;C1090))))</f>
        <v/>
      </c>
      <c r="J1090" s="18" t="str">
        <f aca="false">IF(A1090="","",A1090&amp;"|"&amp;COUNTIF(A$2:A1090,A1090))</f>
        <v/>
      </c>
      <c r="K1090" s="18" t="n">
        <f aca="false">IF(OR(A1090="",B1090=""),0,IF(COUNTIFS(A$2:A1090,A1090,B$2:B1090,B1090)=1,1,0))</f>
        <v>0</v>
      </c>
    </row>
    <row r="1091" customFormat="false" ht="15" hidden="false" customHeight="false" outlineLevel="0" collapsed="false">
      <c r="A1091" s="15"/>
      <c r="B1091" s="15"/>
      <c r="C1091" s="15"/>
      <c r="D1091" s="15"/>
      <c r="F1091" s="18" t="str">
        <f aca="false">IF(B1091="","",IFERROR(INDEX(Materials!$B$2:$B$201,MATCH(B1091,Materials!$A$2:$A$201,0)),""))</f>
        <v/>
      </c>
      <c r="G1091" s="18" t="str">
        <f aca="true">IF(AND(A1091="",B1091=""),"",IF(A1091="","Missing product",IF(B1091="","Missing material",IF(COUNTIF(ProductList,A1091)=0,"Product not in Products list",IF(COUNTIF(MaterialList,B1091)=0,"Material not in Materials list","OK")))))</f>
        <v/>
      </c>
      <c r="H1091" s="18" t="str">
        <f aca="false">IF(F1091="Active",A1091&amp;"|"&amp;COUNTIFS(A$2:A1091,A1091,F$2:F1091,"Active"),"")</f>
        <v/>
      </c>
      <c r="I1091" s="18" t="str">
        <f aca="false">IF(B1091="","",IF(SUMPRODUCT(MAX((A$1:A1090=A1091)*(B$1:B1090=B1091)*ROW(A$1:A1090)))=0,C1091&amp;"",IF(C1091="",INDEX(I$1:I1090,SUMPRODUCT(MAX((A$1:A1090=A1091)*(B$1:B1090=B1091)*ROW(A$1:A1090)))),IF(INDEX(I$1:I1090,SUMPRODUCT(MAX((A$1:A1090=A1091)*(B$1:B1090=B1091)*ROW(A$1:A1090))))="",C1091&amp;"",INDEX(I$1:I1090,SUMPRODUCT(MAX((A$1:A1090=A1091)*(B$1:B1090=B1091)*ROW(A$1:A1090))))&amp;"; "&amp;C1091))))</f>
        <v/>
      </c>
      <c r="J1091" s="18" t="str">
        <f aca="false">IF(A1091="","",A1091&amp;"|"&amp;COUNTIF(A$2:A1091,A1091))</f>
        <v/>
      </c>
      <c r="K1091" s="18" t="n">
        <f aca="false">IF(OR(A1091="",B1091=""),0,IF(COUNTIFS(A$2:A1091,A1091,B$2:B1091,B1091)=1,1,0))</f>
        <v>0</v>
      </c>
    </row>
    <row r="1092" customFormat="false" ht="15" hidden="false" customHeight="false" outlineLevel="0" collapsed="false">
      <c r="A1092" s="15"/>
      <c r="B1092" s="15"/>
      <c r="C1092" s="15"/>
      <c r="D1092" s="15"/>
      <c r="F1092" s="18" t="str">
        <f aca="false">IF(B1092="","",IFERROR(INDEX(Materials!$B$2:$B$201,MATCH(B1092,Materials!$A$2:$A$201,0)),""))</f>
        <v/>
      </c>
      <c r="G1092" s="18" t="str">
        <f aca="true">IF(AND(A1092="",B1092=""),"",IF(A1092="","Missing product",IF(B1092="","Missing material",IF(COUNTIF(ProductList,A1092)=0,"Product not in Products list",IF(COUNTIF(MaterialList,B1092)=0,"Material not in Materials list","OK")))))</f>
        <v/>
      </c>
      <c r="H1092" s="18" t="str">
        <f aca="false">IF(F1092="Active",A1092&amp;"|"&amp;COUNTIFS(A$2:A1092,A1092,F$2:F1092,"Active"),"")</f>
        <v/>
      </c>
      <c r="I1092" s="18" t="str">
        <f aca="false">IF(B1092="","",IF(SUMPRODUCT(MAX((A$1:A1091=A1092)*(B$1:B1091=B1092)*ROW(A$1:A1091)))=0,C1092&amp;"",IF(C1092="",INDEX(I$1:I1091,SUMPRODUCT(MAX((A$1:A1091=A1092)*(B$1:B1091=B1092)*ROW(A$1:A1091)))),IF(INDEX(I$1:I1091,SUMPRODUCT(MAX((A$1:A1091=A1092)*(B$1:B1091=B1092)*ROW(A$1:A1091))))="",C1092&amp;"",INDEX(I$1:I1091,SUMPRODUCT(MAX((A$1:A1091=A1092)*(B$1:B1091=B1092)*ROW(A$1:A1091))))&amp;"; "&amp;C1092))))</f>
        <v/>
      </c>
      <c r="J1092" s="18" t="str">
        <f aca="false">IF(A1092="","",A1092&amp;"|"&amp;COUNTIF(A$2:A1092,A1092))</f>
        <v/>
      </c>
      <c r="K1092" s="18" t="n">
        <f aca="false">IF(OR(A1092="",B1092=""),0,IF(COUNTIFS(A$2:A1092,A1092,B$2:B1092,B1092)=1,1,0))</f>
        <v>0</v>
      </c>
    </row>
    <row r="1093" customFormat="false" ht="15" hidden="false" customHeight="false" outlineLevel="0" collapsed="false">
      <c r="A1093" s="15"/>
      <c r="B1093" s="15"/>
      <c r="C1093" s="15"/>
      <c r="D1093" s="15"/>
      <c r="F1093" s="18" t="str">
        <f aca="false">IF(B1093="","",IFERROR(INDEX(Materials!$B$2:$B$201,MATCH(B1093,Materials!$A$2:$A$201,0)),""))</f>
        <v/>
      </c>
      <c r="G1093" s="18" t="str">
        <f aca="true">IF(AND(A1093="",B1093=""),"",IF(A1093="","Missing product",IF(B1093="","Missing material",IF(COUNTIF(ProductList,A1093)=0,"Product not in Products list",IF(COUNTIF(MaterialList,B1093)=0,"Material not in Materials list","OK")))))</f>
        <v/>
      </c>
      <c r="H1093" s="18" t="str">
        <f aca="false">IF(F1093="Active",A1093&amp;"|"&amp;COUNTIFS(A$2:A1093,A1093,F$2:F1093,"Active"),"")</f>
        <v/>
      </c>
      <c r="I1093" s="18" t="str">
        <f aca="false">IF(B1093="","",IF(SUMPRODUCT(MAX((A$1:A1092=A1093)*(B$1:B1092=B1093)*ROW(A$1:A1092)))=0,C1093&amp;"",IF(C1093="",INDEX(I$1:I1092,SUMPRODUCT(MAX((A$1:A1092=A1093)*(B$1:B1092=B1093)*ROW(A$1:A1092)))),IF(INDEX(I$1:I1092,SUMPRODUCT(MAX((A$1:A1092=A1093)*(B$1:B1092=B1093)*ROW(A$1:A1092))))="",C1093&amp;"",INDEX(I$1:I1092,SUMPRODUCT(MAX((A$1:A1092=A1093)*(B$1:B1092=B1093)*ROW(A$1:A1092))))&amp;"; "&amp;C1093))))</f>
        <v/>
      </c>
      <c r="J1093" s="18" t="str">
        <f aca="false">IF(A1093="","",A1093&amp;"|"&amp;COUNTIF(A$2:A1093,A1093))</f>
        <v/>
      </c>
      <c r="K1093" s="18" t="n">
        <f aca="false">IF(OR(A1093="",B1093=""),0,IF(COUNTIFS(A$2:A1093,A1093,B$2:B1093,B1093)=1,1,0))</f>
        <v>0</v>
      </c>
    </row>
    <row r="1094" customFormat="false" ht="15" hidden="false" customHeight="false" outlineLevel="0" collapsed="false">
      <c r="A1094" s="15"/>
      <c r="B1094" s="15"/>
      <c r="C1094" s="15"/>
      <c r="D1094" s="15"/>
      <c r="F1094" s="18" t="str">
        <f aca="false">IF(B1094="","",IFERROR(INDEX(Materials!$B$2:$B$201,MATCH(B1094,Materials!$A$2:$A$201,0)),""))</f>
        <v/>
      </c>
      <c r="G1094" s="18" t="str">
        <f aca="true">IF(AND(A1094="",B1094=""),"",IF(A1094="","Missing product",IF(B1094="","Missing material",IF(COUNTIF(ProductList,A1094)=0,"Product not in Products list",IF(COUNTIF(MaterialList,B1094)=0,"Material not in Materials list","OK")))))</f>
        <v/>
      </c>
      <c r="H1094" s="18" t="str">
        <f aca="false">IF(F1094="Active",A1094&amp;"|"&amp;COUNTIFS(A$2:A1094,A1094,F$2:F1094,"Active"),"")</f>
        <v/>
      </c>
      <c r="I1094" s="18" t="str">
        <f aca="false">IF(B1094="","",IF(SUMPRODUCT(MAX((A$1:A1093=A1094)*(B$1:B1093=B1094)*ROW(A$1:A1093)))=0,C1094&amp;"",IF(C1094="",INDEX(I$1:I1093,SUMPRODUCT(MAX((A$1:A1093=A1094)*(B$1:B1093=B1094)*ROW(A$1:A1093)))),IF(INDEX(I$1:I1093,SUMPRODUCT(MAX((A$1:A1093=A1094)*(B$1:B1093=B1094)*ROW(A$1:A1093))))="",C1094&amp;"",INDEX(I$1:I1093,SUMPRODUCT(MAX((A$1:A1093=A1094)*(B$1:B1093=B1094)*ROW(A$1:A1093))))&amp;"; "&amp;C1094))))</f>
        <v/>
      </c>
      <c r="J1094" s="18" t="str">
        <f aca="false">IF(A1094="","",A1094&amp;"|"&amp;COUNTIF(A$2:A1094,A1094))</f>
        <v/>
      </c>
      <c r="K1094" s="18" t="n">
        <f aca="false">IF(OR(A1094="",B1094=""),0,IF(COUNTIFS(A$2:A1094,A1094,B$2:B1094,B1094)=1,1,0))</f>
        <v>0</v>
      </c>
    </row>
    <row r="1095" customFormat="false" ht="15" hidden="false" customHeight="false" outlineLevel="0" collapsed="false">
      <c r="A1095" s="15"/>
      <c r="B1095" s="15"/>
      <c r="C1095" s="15"/>
      <c r="D1095" s="15"/>
      <c r="F1095" s="18" t="str">
        <f aca="false">IF(B1095="","",IFERROR(INDEX(Materials!$B$2:$B$201,MATCH(B1095,Materials!$A$2:$A$201,0)),""))</f>
        <v/>
      </c>
      <c r="G1095" s="18" t="str">
        <f aca="true">IF(AND(A1095="",B1095=""),"",IF(A1095="","Missing product",IF(B1095="","Missing material",IF(COUNTIF(ProductList,A1095)=0,"Product not in Products list",IF(COUNTIF(MaterialList,B1095)=0,"Material not in Materials list","OK")))))</f>
        <v/>
      </c>
      <c r="H1095" s="18" t="str">
        <f aca="false">IF(F1095="Active",A1095&amp;"|"&amp;COUNTIFS(A$2:A1095,A1095,F$2:F1095,"Active"),"")</f>
        <v/>
      </c>
      <c r="I1095" s="18" t="str">
        <f aca="false">IF(B1095="","",IF(SUMPRODUCT(MAX((A$1:A1094=A1095)*(B$1:B1094=B1095)*ROW(A$1:A1094)))=0,C1095&amp;"",IF(C1095="",INDEX(I$1:I1094,SUMPRODUCT(MAX((A$1:A1094=A1095)*(B$1:B1094=B1095)*ROW(A$1:A1094)))),IF(INDEX(I$1:I1094,SUMPRODUCT(MAX((A$1:A1094=A1095)*(B$1:B1094=B1095)*ROW(A$1:A1094))))="",C1095&amp;"",INDEX(I$1:I1094,SUMPRODUCT(MAX((A$1:A1094=A1095)*(B$1:B1094=B1095)*ROW(A$1:A1094))))&amp;"; "&amp;C1095))))</f>
        <v/>
      </c>
      <c r="J1095" s="18" t="str">
        <f aca="false">IF(A1095="","",A1095&amp;"|"&amp;COUNTIF(A$2:A1095,A1095))</f>
        <v/>
      </c>
      <c r="K1095" s="18" t="n">
        <f aca="false">IF(OR(A1095="",B1095=""),0,IF(COUNTIFS(A$2:A1095,A1095,B$2:B1095,B1095)=1,1,0))</f>
        <v>0</v>
      </c>
    </row>
    <row r="1096" customFormat="false" ht="15" hidden="false" customHeight="false" outlineLevel="0" collapsed="false">
      <c r="A1096" s="15"/>
      <c r="B1096" s="15"/>
      <c r="C1096" s="15"/>
      <c r="D1096" s="15"/>
      <c r="F1096" s="18" t="str">
        <f aca="false">IF(B1096="","",IFERROR(INDEX(Materials!$B$2:$B$201,MATCH(B1096,Materials!$A$2:$A$201,0)),""))</f>
        <v/>
      </c>
      <c r="G1096" s="18" t="str">
        <f aca="true">IF(AND(A1096="",B1096=""),"",IF(A1096="","Missing product",IF(B1096="","Missing material",IF(COUNTIF(ProductList,A1096)=0,"Product not in Products list",IF(COUNTIF(MaterialList,B1096)=0,"Material not in Materials list","OK")))))</f>
        <v/>
      </c>
      <c r="H1096" s="18" t="str">
        <f aca="false">IF(F1096="Active",A1096&amp;"|"&amp;COUNTIFS(A$2:A1096,A1096,F$2:F1096,"Active"),"")</f>
        <v/>
      </c>
      <c r="I1096" s="18" t="str">
        <f aca="false">IF(B1096="","",IF(SUMPRODUCT(MAX((A$1:A1095=A1096)*(B$1:B1095=B1096)*ROW(A$1:A1095)))=0,C1096&amp;"",IF(C1096="",INDEX(I$1:I1095,SUMPRODUCT(MAX((A$1:A1095=A1096)*(B$1:B1095=B1096)*ROW(A$1:A1095)))),IF(INDEX(I$1:I1095,SUMPRODUCT(MAX((A$1:A1095=A1096)*(B$1:B1095=B1096)*ROW(A$1:A1095))))="",C1096&amp;"",INDEX(I$1:I1095,SUMPRODUCT(MAX((A$1:A1095=A1096)*(B$1:B1095=B1096)*ROW(A$1:A1095))))&amp;"; "&amp;C1096))))</f>
        <v/>
      </c>
      <c r="J1096" s="18" t="str">
        <f aca="false">IF(A1096="","",A1096&amp;"|"&amp;COUNTIF(A$2:A1096,A1096))</f>
        <v/>
      </c>
      <c r="K1096" s="18" t="n">
        <f aca="false">IF(OR(A1096="",B1096=""),0,IF(COUNTIFS(A$2:A1096,A1096,B$2:B1096,B1096)=1,1,0))</f>
        <v>0</v>
      </c>
    </row>
    <row r="1097" customFormat="false" ht="15" hidden="false" customHeight="false" outlineLevel="0" collapsed="false">
      <c r="A1097" s="15"/>
      <c r="B1097" s="15"/>
      <c r="C1097" s="15"/>
      <c r="D1097" s="15"/>
      <c r="F1097" s="18" t="str">
        <f aca="false">IF(B1097="","",IFERROR(INDEX(Materials!$B$2:$B$201,MATCH(B1097,Materials!$A$2:$A$201,0)),""))</f>
        <v/>
      </c>
      <c r="G1097" s="18" t="str">
        <f aca="true">IF(AND(A1097="",B1097=""),"",IF(A1097="","Missing product",IF(B1097="","Missing material",IF(COUNTIF(ProductList,A1097)=0,"Product not in Products list",IF(COUNTIF(MaterialList,B1097)=0,"Material not in Materials list","OK")))))</f>
        <v/>
      </c>
      <c r="H1097" s="18" t="str">
        <f aca="false">IF(F1097="Active",A1097&amp;"|"&amp;COUNTIFS(A$2:A1097,A1097,F$2:F1097,"Active"),"")</f>
        <v/>
      </c>
      <c r="I1097" s="18" t="str">
        <f aca="false">IF(B1097="","",IF(SUMPRODUCT(MAX((A$1:A1096=A1097)*(B$1:B1096=B1097)*ROW(A$1:A1096)))=0,C1097&amp;"",IF(C1097="",INDEX(I$1:I1096,SUMPRODUCT(MAX((A$1:A1096=A1097)*(B$1:B1096=B1097)*ROW(A$1:A1096)))),IF(INDEX(I$1:I1096,SUMPRODUCT(MAX((A$1:A1096=A1097)*(B$1:B1096=B1097)*ROW(A$1:A1096))))="",C1097&amp;"",INDEX(I$1:I1096,SUMPRODUCT(MAX((A$1:A1096=A1097)*(B$1:B1096=B1097)*ROW(A$1:A1096))))&amp;"; "&amp;C1097))))</f>
        <v/>
      </c>
      <c r="J1097" s="18" t="str">
        <f aca="false">IF(A1097="","",A1097&amp;"|"&amp;COUNTIF(A$2:A1097,A1097))</f>
        <v/>
      </c>
      <c r="K1097" s="18" t="n">
        <f aca="false">IF(OR(A1097="",B1097=""),0,IF(COUNTIFS(A$2:A1097,A1097,B$2:B1097,B1097)=1,1,0))</f>
        <v>0</v>
      </c>
    </row>
    <row r="1098" customFormat="false" ht="15" hidden="false" customHeight="false" outlineLevel="0" collapsed="false">
      <c r="A1098" s="15"/>
      <c r="B1098" s="15"/>
      <c r="C1098" s="15"/>
      <c r="D1098" s="15"/>
      <c r="F1098" s="18" t="str">
        <f aca="false">IF(B1098="","",IFERROR(INDEX(Materials!$B$2:$B$201,MATCH(B1098,Materials!$A$2:$A$201,0)),""))</f>
        <v/>
      </c>
      <c r="G1098" s="18" t="str">
        <f aca="true">IF(AND(A1098="",B1098=""),"",IF(A1098="","Missing product",IF(B1098="","Missing material",IF(COUNTIF(ProductList,A1098)=0,"Product not in Products list",IF(COUNTIF(MaterialList,B1098)=0,"Material not in Materials list","OK")))))</f>
        <v/>
      </c>
      <c r="H1098" s="18" t="str">
        <f aca="false">IF(F1098="Active",A1098&amp;"|"&amp;COUNTIFS(A$2:A1098,A1098,F$2:F1098,"Active"),"")</f>
        <v/>
      </c>
      <c r="I1098" s="18" t="str">
        <f aca="false">IF(B1098="","",IF(SUMPRODUCT(MAX((A$1:A1097=A1098)*(B$1:B1097=B1098)*ROW(A$1:A1097)))=0,C1098&amp;"",IF(C1098="",INDEX(I$1:I1097,SUMPRODUCT(MAX((A$1:A1097=A1098)*(B$1:B1097=B1098)*ROW(A$1:A1097)))),IF(INDEX(I$1:I1097,SUMPRODUCT(MAX((A$1:A1097=A1098)*(B$1:B1097=B1098)*ROW(A$1:A1097))))="",C1098&amp;"",INDEX(I$1:I1097,SUMPRODUCT(MAX((A$1:A1097=A1098)*(B$1:B1097=B1098)*ROW(A$1:A1097))))&amp;"; "&amp;C1098))))</f>
        <v/>
      </c>
      <c r="J1098" s="18" t="str">
        <f aca="false">IF(A1098="","",A1098&amp;"|"&amp;COUNTIF(A$2:A1098,A1098))</f>
        <v/>
      </c>
      <c r="K1098" s="18" t="n">
        <f aca="false">IF(OR(A1098="",B1098=""),0,IF(COUNTIFS(A$2:A1098,A1098,B$2:B1098,B1098)=1,1,0))</f>
        <v>0</v>
      </c>
    </row>
    <row r="1099" customFormat="false" ht="15" hidden="false" customHeight="false" outlineLevel="0" collapsed="false">
      <c r="A1099" s="15"/>
      <c r="B1099" s="15"/>
      <c r="C1099" s="15"/>
      <c r="D1099" s="15"/>
      <c r="F1099" s="18" t="str">
        <f aca="false">IF(B1099="","",IFERROR(INDEX(Materials!$B$2:$B$201,MATCH(B1099,Materials!$A$2:$A$201,0)),""))</f>
        <v/>
      </c>
      <c r="G1099" s="18" t="str">
        <f aca="true">IF(AND(A1099="",B1099=""),"",IF(A1099="","Missing product",IF(B1099="","Missing material",IF(COUNTIF(ProductList,A1099)=0,"Product not in Products list",IF(COUNTIF(MaterialList,B1099)=0,"Material not in Materials list","OK")))))</f>
        <v/>
      </c>
      <c r="H1099" s="18" t="str">
        <f aca="false">IF(F1099="Active",A1099&amp;"|"&amp;COUNTIFS(A$2:A1099,A1099,F$2:F1099,"Active"),"")</f>
        <v/>
      </c>
      <c r="I1099" s="18" t="str">
        <f aca="false">IF(B1099="","",IF(SUMPRODUCT(MAX((A$1:A1098=A1099)*(B$1:B1098=B1099)*ROW(A$1:A1098)))=0,C1099&amp;"",IF(C1099="",INDEX(I$1:I1098,SUMPRODUCT(MAX((A$1:A1098=A1099)*(B$1:B1098=B1099)*ROW(A$1:A1098)))),IF(INDEX(I$1:I1098,SUMPRODUCT(MAX((A$1:A1098=A1099)*(B$1:B1098=B1099)*ROW(A$1:A1098))))="",C1099&amp;"",INDEX(I$1:I1098,SUMPRODUCT(MAX((A$1:A1098=A1099)*(B$1:B1098=B1099)*ROW(A$1:A1098))))&amp;"; "&amp;C1099))))</f>
        <v/>
      </c>
      <c r="J1099" s="18" t="str">
        <f aca="false">IF(A1099="","",A1099&amp;"|"&amp;COUNTIF(A$2:A1099,A1099))</f>
        <v/>
      </c>
      <c r="K1099" s="18" t="n">
        <f aca="false">IF(OR(A1099="",B1099=""),0,IF(COUNTIFS(A$2:A1099,A1099,B$2:B1099,B1099)=1,1,0))</f>
        <v>0</v>
      </c>
    </row>
    <row r="1100" customFormat="false" ht="15" hidden="false" customHeight="false" outlineLevel="0" collapsed="false">
      <c r="A1100" s="15"/>
      <c r="B1100" s="15"/>
      <c r="C1100" s="15"/>
      <c r="D1100" s="15"/>
      <c r="F1100" s="18" t="str">
        <f aca="false">IF(B1100="","",IFERROR(INDEX(Materials!$B$2:$B$201,MATCH(B1100,Materials!$A$2:$A$201,0)),""))</f>
        <v/>
      </c>
      <c r="G1100" s="18" t="str">
        <f aca="true">IF(AND(A1100="",B1100=""),"",IF(A1100="","Missing product",IF(B1100="","Missing material",IF(COUNTIF(ProductList,A1100)=0,"Product not in Products list",IF(COUNTIF(MaterialList,B1100)=0,"Material not in Materials list","OK")))))</f>
        <v/>
      </c>
      <c r="H1100" s="18" t="str">
        <f aca="false">IF(F1100="Active",A1100&amp;"|"&amp;COUNTIFS(A$2:A1100,A1100,F$2:F1100,"Active"),"")</f>
        <v/>
      </c>
      <c r="I1100" s="18" t="str">
        <f aca="false">IF(B1100="","",IF(SUMPRODUCT(MAX((A$1:A1099=A1100)*(B$1:B1099=B1100)*ROW(A$1:A1099)))=0,C1100&amp;"",IF(C1100="",INDEX(I$1:I1099,SUMPRODUCT(MAX((A$1:A1099=A1100)*(B$1:B1099=B1100)*ROW(A$1:A1099)))),IF(INDEX(I$1:I1099,SUMPRODUCT(MAX((A$1:A1099=A1100)*(B$1:B1099=B1100)*ROW(A$1:A1099))))="",C1100&amp;"",INDEX(I$1:I1099,SUMPRODUCT(MAX((A$1:A1099=A1100)*(B$1:B1099=B1100)*ROW(A$1:A1099))))&amp;"; "&amp;C1100))))</f>
        <v/>
      </c>
      <c r="J1100" s="18" t="str">
        <f aca="false">IF(A1100="","",A1100&amp;"|"&amp;COUNTIF(A$2:A1100,A1100))</f>
        <v/>
      </c>
      <c r="K1100" s="18" t="n">
        <f aca="false">IF(OR(A1100="",B1100=""),0,IF(COUNTIFS(A$2:A1100,A1100,B$2:B1100,B1100)=1,1,0))</f>
        <v>0</v>
      </c>
    </row>
    <row r="1101" customFormat="false" ht="15" hidden="false" customHeight="false" outlineLevel="0" collapsed="false">
      <c r="A1101" s="15"/>
      <c r="B1101" s="15"/>
      <c r="C1101" s="15"/>
      <c r="D1101" s="15"/>
      <c r="F1101" s="18" t="str">
        <f aca="false">IF(B1101="","",IFERROR(INDEX(Materials!$B$2:$B$201,MATCH(B1101,Materials!$A$2:$A$201,0)),""))</f>
        <v/>
      </c>
      <c r="G1101" s="18" t="str">
        <f aca="true">IF(AND(A1101="",B1101=""),"",IF(A1101="","Missing product",IF(B1101="","Missing material",IF(COUNTIF(ProductList,A1101)=0,"Product not in Products list",IF(COUNTIF(MaterialList,B1101)=0,"Material not in Materials list","OK")))))</f>
        <v/>
      </c>
      <c r="H1101" s="18" t="str">
        <f aca="false">IF(F1101="Active",A1101&amp;"|"&amp;COUNTIFS(A$2:A1101,A1101,F$2:F1101,"Active"),"")</f>
        <v/>
      </c>
      <c r="I1101" s="18" t="str">
        <f aca="false">IF(B1101="","",IF(SUMPRODUCT(MAX((A$1:A1100=A1101)*(B$1:B1100=B1101)*ROW(A$1:A1100)))=0,C1101&amp;"",IF(C1101="",INDEX(I$1:I1100,SUMPRODUCT(MAX((A$1:A1100=A1101)*(B$1:B1100=B1101)*ROW(A$1:A1100)))),IF(INDEX(I$1:I1100,SUMPRODUCT(MAX((A$1:A1100=A1101)*(B$1:B1100=B1101)*ROW(A$1:A1100))))="",C1101&amp;"",INDEX(I$1:I1100,SUMPRODUCT(MAX((A$1:A1100=A1101)*(B$1:B1100=B1101)*ROW(A$1:A1100))))&amp;"; "&amp;C1101))))</f>
        <v/>
      </c>
      <c r="J1101" s="18" t="str">
        <f aca="false">IF(A1101="","",A1101&amp;"|"&amp;COUNTIF(A$2:A1101,A1101))</f>
        <v/>
      </c>
      <c r="K1101" s="18" t="n">
        <f aca="false">IF(OR(A1101="",B1101=""),0,IF(COUNTIFS(A$2:A1101,A1101,B$2:B1101,B1101)=1,1,0))</f>
        <v>0</v>
      </c>
    </row>
    <row r="1102" customFormat="false" ht="15" hidden="false" customHeight="false" outlineLevel="0" collapsed="false">
      <c r="A1102" s="15"/>
      <c r="B1102" s="15"/>
      <c r="C1102" s="15"/>
      <c r="D1102" s="15"/>
      <c r="F1102" s="18" t="str">
        <f aca="false">IF(B1102="","",IFERROR(INDEX(Materials!$B$2:$B$201,MATCH(B1102,Materials!$A$2:$A$201,0)),""))</f>
        <v/>
      </c>
      <c r="G1102" s="18" t="str">
        <f aca="true">IF(AND(A1102="",B1102=""),"",IF(A1102="","Missing product",IF(B1102="","Missing material",IF(COUNTIF(ProductList,A1102)=0,"Product not in Products list",IF(COUNTIF(MaterialList,B1102)=0,"Material not in Materials list","OK")))))</f>
        <v/>
      </c>
      <c r="H1102" s="18" t="str">
        <f aca="false">IF(F1102="Active",A1102&amp;"|"&amp;COUNTIFS(A$2:A1102,A1102,F$2:F1102,"Active"),"")</f>
        <v/>
      </c>
      <c r="I1102" s="18" t="str">
        <f aca="false">IF(B1102="","",IF(SUMPRODUCT(MAX((A$1:A1101=A1102)*(B$1:B1101=B1102)*ROW(A$1:A1101)))=0,C1102&amp;"",IF(C1102="",INDEX(I$1:I1101,SUMPRODUCT(MAX((A$1:A1101=A1102)*(B$1:B1101=B1102)*ROW(A$1:A1101)))),IF(INDEX(I$1:I1101,SUMPRODUCT(MAX((A$1:A1101=A1102)*(B$1:B1101=B1102)*ROW(A$1:A1101))))="",C1102&amp;"",INDEX(I$1:I1101,SUMPRODUCT(MAX((A$1:A1101=A1102)*(B$1:B1101=B1102)*ROW(A$1:A1101))))&amp;"; "&amp;C1102))))</f>
        <v/>
      </c>
      <c r="J1102" s="18" t="str">
        <f aca="false">IF(A1102="","",A1102&amp;"|"&amp;COUNTIF(A$2:A1102,A1102))</f>
        <v/>
      </c>
      <c r="K1102" s="18" t="n">
        <f aca="false">IF(OR(A1102="",B1102=""),0,IF(COUNTIFS(A$2:A1102,A1102,B$2:B1102,B1102)=1,1,0))</f>
        <v>0</v>
      </c>
    </row>
    <row r="1103" customFormat="false" ht="15" hidden="false" customHeight="false" outlineLevel="0" collapsed="false">
      <c r="A1103" s="15"/>
      <c r="B1103" s="15"/>
      <c r="C1103" s="15"/>
      <c r="D1103" s="15"/>
      <c r="F1103" s="18" t="str">
        <f aca="false">IF(B1103="","",IFERROR(INDEX(Materials!$B$2:$B$201,MATCH(B1103,Materials!$A$2:$A$201,0)),""))</f>
        <v/>
      </c>
      <c r="G1103" s="18" t="str">
        <f aca="true">IF(AND(A1103="",B1103=""),"",IF(A1103="","Missing product",IF(B1103="","Missing material",IF(COUNTIF(ProductList,A1103)=0,"Product not in Products list",IF(COUNTIF(MaterialList,B1103)=0,"Material not in Materials list","OK")))))</f>
        <v/>
      </c>
      <c r="H1103" s="18" t="str">
        <f aca="false">IF(F1103="Active",A1103&amp;"|"&amp;COUNTIFS(A$2:A1103,A1103,F$2:F1103,"Active"),"")</f>
        <v/>
      </c>
      <c r="I1103" s="18" t="str">
        <f aca="false">IF(B1103="","",IF(SUMPRODUCT(MAX((A$1:A1102=A1103)*(B$1:B1102=B1103)*ROW(A$1:A1102)))=0,C1103&amp;"",IF(C1103="",INDEX(I$1:I1102,SUMPRODUCT(MAX((A$1:A1102=A1103)*(B$1:B1102=B1103)*ROW(A$1:A1102)))),IF(INDEX(I$1:I1102,SUMPRODUCT(MAX((A$1:A1102=A1103)*(B$1:B1102=B1103)*ROW(A$1:A1102))))="",C1103&amp;"",INDEX(I$1:I1102,SUMPRODUCT(MAX((A$1:A1102=A1103)*(B$1:B1102=B1103)*ROW(A$1:A1102))))&amp;"; "&amp;C1103))))</f>
        <v/>
      </c>
      <c r="J1103" s="18" t="str">
        <f aca="false">IF(A1103="","",A1103&amp;"|"&amp;COUNTIF(A$2:A1103,A1103))</f>
        <v/>
      </c>
      <c r="K1103" s="18" t="n">
        <f aca="false">IF(OR(A1103="",B1103=""),0,IF(COUNTIFS(A$2:A1103,A1103,B$2:B1103,B1103)=1,1,0))</f>
        <v>0</v>
      </c>
    </row>
    <row r="1104" customFormat="false" ht="15" hidden="false" customHeight="false" outlineLevel="0" collapsed="false">
      <c r="A1104" s="15"/>
      <c r="B1104" s="15"/>
      <c r="C1104" s="15"/>
      <c r="D1104" s="15"/>
      <c r="F1104" s="18" t="str">
        <f aca="false">IF(B1104="","",IFERROR(INDEX(Materials!$B$2:$B$201,MATCH(B1104,Materials!$A$2:$A$201,0)),""))</f>
        <v/>
      </c>
      <c r="G1104" s="18" t="str">
        <f aca="true">IF(AND(A1104="",B1104=""),"",IF(A1104="","Missing product",IF(B1104="","Missing material",IF(COUNTIF(ProductList,A1104)=0,"Product not in Products list",IF(COUNTIF(MaterialList,B1104)=0,"Material not in Materials list","OK")))))</f>
        <v/>
      </c>
      <c r="H1104" s="18" t="str">
        <f aca="false">IF(F1104="Active",A1104&amp;"|"&amp;COUNTIFS(A$2:A1104,A1104,F$2:F1104,"Active"),"")</f>
        <v/>
      </c>
      <c r="I1104" s="18" t="str">
        <f aca="false">IF(B1104="","",IF(SUMPRODUCT(MAX((A$1:A1103=A1104)*(B$1:B1103=B1104)*ROW(A$1:A1103)))=0,C1104&amp;"",IF(C1104="",INDEX(I$1:I1103,SUMPRODUCT(MAX((A$1:A1103=A1104)*(B$1:B1103=B1104)*ROW(A$1:A1103)))),IF(INDEX(I$1:I1103,SUMPRODUCT(MAX((A$1:A1103=A1104)*(B$1:B1103=B1104)*ROW(A$1:A1103))))="",C1104&amp;"",INDEX(I$1:I1103,SUMPRODUCT(MAX((A$1:A1103=A1104)*(B$1:B1103=B1104)*ROW(A$1:A1103))))&amp;"; "&amp;C1104))))</f>
        <v/>
      </c>
      <c r="J1104" s="18" t="str">
        <f aca="false">IF(A1104="","",A1104&amp;"|"&amp;COUNTIF(A$2:A1104,A1104))</f>
        <v/>
      </c>
      <c r="K1104" s="18" t="n">
        <f aca="false">IF(OR(A1104="",B1104=""),0,IF(COUNTIFS(A$2:A1104,A1104,B$2:B1104,B1104)=1,1,0))</f>
        <v>0</v>
      </c>
    </row>
    <row r="1105" customFormat="false" ht="15" hidden="false" customHeight="false" outlineLevel="0" collapsed="false">
      <c r="A1105" s="15"/>
      <c r="B1105" s="15"/>
      <c r="C1105" s="15"/>
      <c r="D1105" s="15"/>
      <c r="F1105" s="18" t="str">
        <f aca="false">IF(B1105="","",IFERROR(INDEX(Materials!$B$2:$B$201,MATCH(B1105,Materials!$A$2:$A$201,0)),""))</f>
        <v/>
      </c>
      <c r="G1105" s="18" t="str">
        <f aca="true">IF(AND(A1105="",B1105=""),"",IF(A1105="","Missing product",IF(B1105="","Missing material",IF(COUNTIF(ProductList,A1105)=0,"Product not in Products list",IF(COUNTIF(MaterialList,B1105)=0,"Material not in Materials list","OK")))))</f>
        <v/>
      </c>
      <c r="H1105" s="18" t="str">
        <f aca="false">IF(F1105="Active",A1105&amp;"|"&amp;COUNTIFS(A$2:A1105,A1105,F$2:F1105,"Active"),"")</f>
        <v/>
      </c>
      <c r="I1105" s="18" t="str">
        <f aca="false">IF(B1105="","",IF(SUMPRODUCT(MAX((A$1:A1104=A1105)*(B$1:B1104=B1105)*ROW(A$1:A1104)))=0,C1105&amp;"",IF(C1105="",INDEX(I$1:I1104,SUMPRODUCT(MAX((A$1:A1104=A1105)*(B$1:B1104=B1105)*ROW(A$1:A1104)))),IF(INDEX(I$1:I1104,SUMPRODUCT(MAX((A$1:A1104=A1105)*(B$1:B1104=B1105)*ROW(A$1:A1104))))="",C1105&amp;"",INDEX(I$1:I1104,SUMPRODUCT(MAX((A$1:A1104=A1105)*(B$1:B1104=B1105)*ROW(A$1:A1104))))&amp;"; "&amp;C1105))))</f>
        <v/>
      </c>
      <c r="J1105" s="18" t="str">
        <f aca="false">IF(A1105="","",A1105&amp;"|"&amp;COUNTIF(A$2:A1105,A1105))</f>
        <v/>
      </c>
      <c r="K1105" s="18" t="n">
        <f aca="false">IF(OR(A1105="",B1105=""),0,IF(COUNTIFS(A$2:A1105,A1105,B$2:B1105,B1105)=1,1,0))</f>
        <v>0</v>
      </c>
    </row>
    <row r="1106" customFormat="false" ht="15" hidden="false" customHeight="false" outlineLevel="0" collapsed="false">
      <c r="A1106" s="15"/>
      <c r="B1106" s="15"/>
      <c r="C1106" s="15"/>
      <c r="D1106" s="15"/>
      <c r="F1106" s="18" t="str">
        <f aca="false">IF(B1106="","",IFERROR(INDEX(Materials!$B$2:$B$201,MATCH(B1106,Materials!$A$2:$A$201,0)),""))</f>
        <v/>
      </c>
      <c r="G1106" s="18" t="str">
        <f aca="true">IF(AND(A1106="",B1106=""),"",IF(A1106="","Missing product",IF(B1106="","Missing material",IF(COUNTIF(ProductList,A1106)=0,"Product not in Products list",IF(COUNTIF(MaterialList,B1106)=0,"Material not in Materials list","OK")))))</f>
        <v/>
      </c>
      <c r="H1106" s="18" t="str">
        <f aca="false">IF(F1106="Active",A1106&amp;"|"&amp;COUNTIFS(A$2:A1106,A1106,F$2:F1106,"Active"),"")</f>
        <v/>
      </c>
      <c r="I1106" s="18" t="str">
        <f aca="false">IF(B1106="","",IF(SUMPRODUCT(MAX((A$1:A1105=A1106)*(B$1:B1105=B1106)*ROW(A$1:A1105)))=0,C1106&amp;"",IF(C1106="",INDEX(I$1:I1105,SUMPRODUCT(MAX((A$1:A1105=A1106)*(B$1:B1105=B1106)*ROW(A$1:A1105)))),IF(INDEX(I$1:I1105,SUMPRODUCT(MAX((A$1:A1105=A1106)*(B$1:B1105=B1106)*ROW(A$1:A1105))))="",C1106&amp;"",INDEX(I$1:I1105,SUMPRODUCT(MAX((A$1:A1105=A1106)*(B$1:B1105=B1106)*ROW(A$1:A1105))))&amp;"; "&amp;C1106))))</f>
        <v/>
      </c>
      <c r="J1106" s="18" t="str">
        <f aca="false">IF(A1106="","",A1106&amp;"|"&amp;COUNTIF(A$2:A1106,A1106))</f>
        <v/>
      </c>
      <c r="K1106" s="18" t="n">
        <f aca="false">IF(OR(A1106="",B1106=""),0,IF(COUNTIFS(A$2:A1106,A1106,B$2:B1106,B1106)=1,1,0))</f>
        <v>0</v>
      </c>
    </row>
    <row r="1107" customFormat="false" ht="15" hidden="false" customHeight="false" outlineLevel="0" collapsed="false">
      <c r="A1107" s="15"/>
      <c r="B1107" s="15"/>
      <c r="C1107" s="15"/>
      <c r="D1107" s="15"/>
      <c r="F1107" s="18" t="str">
        <f aca="false">IF(B1107="","",IFERROR(INDEX(Materials!$B$2:$B$201,MATCH(B1107,Materials!$A$2:$A$201,0)),""))</f>
        <v/>
      </c>
      <c r="G1107" s="18" t="str">
        <f aca="true">IF(AND(A1107="",B1107=""),"",IF(A1107="","Missing product",IF(B1107="","Missing material",IF(COUNTIF(ProductList,A1107)=0,"Product not in Products list",IF(COUNTIF(MaterialList,B1107)=0,"Material not in Materials list","OK")))))</f>
        <v/>
      </c>
      <c r="H1107" s="18" t="str">
        <f aca="false">IF(F1107="Active",A1107&amp;"|"&amp;COUNTIFS(A$2:A1107,A1107,F$2:F1107,"Active"),"")</f>
        <v/>
      </c>
      <c r="I1107" s="18" t="str">
        <f aca="false">IF(B1107="","",IF(SUMPRODUCT(MAX((A$1:A1106=A1107)*(B$1:B1106=B1107)*ROW(A$1:A1106)))=0,C1107&amp;"",IF(C1107="",INDEX(I$1:I1106,SUMPRODUCT(MAX((A$1:A1106=A1107)*(B$1:B1106=B1107)*ROW(A$1:A1106)))),IF(INDEX(I$1:I1106,SUMPRODUCT(MAX((A$1:A1106=A1107)*(B$1:B1106=B1107)*ROW(A$1:A1106))))="",C1107&amp;"",INDEX(I$1:I1106,SUMPRODUCT(MAX((A$1:A1106=A1107)*(B$1:B1106=B1107)*ROW(A$1:A1106))))&amp;"; "&amp;C1107))))</f>
        <v/>
      </c>
      <c r="J1107" s="18" t="str">
        <f aca="false">IF(A1107="","",A1107&amp;"|"&amp;COUNTIF(A$2:A1107,A1107))</f>
        <v/>
      </c>
      <c r="K1107" s="18" t="n">
        <f aca="false">IF(OR(A1107="",B1107=""),0,IF(COUNTIFS(A$2:A1107,A1107,B$2:B1107,B1107)=1,1,0))</f>
        <v>0</v>
      </c>
    </row>
    <row r="1108" customFormat="false" ht="15" hidden="false" customHeight="false" outlineLevel="0" collapsed="false">
      <c r="A1108" s="15"/>
      <c r="B1108" s="15"/>
      <c r="C1108" s="15"/>
      <c r="D1108" s="15"/>
      <c r="F1108" s="18" t="str">
        <f aca="false">IF(B1108="","",IFERROR(INDEX(Materials!$B$2:$B$201,MATCH(B1108,Materials!$A$2:$A$201,0)),""))</f>
        <v/>
      </c>
      <c r="G1108" s="18" t="str">
        <f aca="true">IF(AND(A1108="",B1108=""),"",IF(A1108="","Missing product",IF(B1108="","Missing material",IF(COUNTIF(ProductList,A1108)=0,"Product not in Products list",IF(COUNTIF(MaterialList,B1108)=0,"Material not in Materials list","OK")))))</f>
        <v/>
      </c>
      <c r="H1108" s="18" t="str">
        <f aca="false">IF(F1108="Active",A1108&amp;"|"&amp;COUNTIFS(A$2:A1108,A1108,F$2:F1108,"Active"),"")</f>
        <v/>
      </c>
      <c r="I1108" s="18" t="str">
        <f aca="false">IF(B1108="","",IF(SUMPRODUCT(MAX((A$1:A1107=A1108)*(B$1:B1107=B1108)*ROW(A$1:A1107)))=0,C1108&amp;"",IF(C1108="",INDEX(I$1:I1107,SUMPRODUCT(MAX((A$1:A1107=A1108)*(B$1:B1107=B1108)*ROW(A$1:A1107)))),IF(INDEX(I$1:I1107,SUMPRODUCT(MAX((A$1:A1107=A1108)*(B$1:B1107=B1108)*ROW(A$1:A1107))))="",C1108&amp;"",INDEX(I$1:I1107,SUMPRODUCT(MAX((A$1:A1107=A1108)*(B$1:B1107=B1108)*ROW(A$1:A1107))))&amp;"; "&amp;C1108))))</f>
        <v/>
      </c>
      <c r="J1108" s="18" t="str">
        <f aca="false">IF(A1108="","",A1108&amp;"|"&amp;COUNTIF(A$2:A1108,A1108))</f>
        <v/>
      </c>
      <c r="K1108" s="18" t="n">
        <f aca="false">IF(OR(A1108="",B1108=""),0,IF(COUNTIFS(A$2:A1108,A1108,B$2:B1108,B1108)=1,1,0))</f>
        <v>0</v>
      </c>
    </row>
    <row r="1109" customFormat="false" ht="15" hidden="false" customHeight="false" outlineLevel="0" collapsed="false">
      <c r="A1109" s="15"/>
      <c r="B1109" s="15"/>
      <c r="C1109" s="15"/>
      <c r="D1109" s="15"/>
      <c r="F1109" s="18" t="str">
        <f aca="false">IF(B1109="","",IFERROR(INDEX(Materials!$B$2:$B$201,MATCH(B1109,Materials!$A$2:$A$201,0)),""))</f>
        <v/>
      </c>
      <c r="G1109" s="18" t="str">
        <f aca="true">IF(AND(A1109="",B1109=""),"",IF(A1109="","Missing product",IF(B1109="","Missing material",IF(COUNTIF(ProductList,A1109)=0,"Product not in Products list",IF(COUNTIF(MaterialList,B1109)=0,"Material not in Materials list","OK")))))</f>
        <v/>
      </c>
      <c r="H1109" s="18" t="str">
        <f aca="false">IF(F1109="Active",A1109&amp;"|"&amp;COUNTIFS(A$2:A1109,A1109,F$2:F1109,"Active"),"")</f>
        <v/>
      </c>
      <c r="I1109" s="18" t="str">
        <f aca="false">IF(B1109="","",IF(SUMPRODUCT(MAX((A$1:A1108=A1109)*(B$1:B1108=B1109)*ROW(A$1:A1108)))=0,C1109&amp;"",IF(C1109="",INDEX(I$1:I1108,SUMPRODUCT(MAX((A$1:A1108=A1109)*(B$1:B1108=B1109)*ROW(A$1:A1108)))),IF(INDEX(I$1:I1108,SUMPRODUCT(MAX((A$1:A1108=A1109)*(B$1:B1108=B1109)*ROW(A$1:A1108))))="",C1109&amp;"",INDEX(I$1:I1108,SUMPRODUCT(MAX((A$1:A1108=A1109)*(B$1:B1108=B1109)*ROW(A$1:A1108))))&amp;"; "&amp;C1109))))</f>
        <v/>
      </c>
      <c r="J1109" s="18" t="str">
        <f aca="false">IF(A1109="","",A1109&amp;"|"&amp;COUNTIF(A$2:A1109,A1109))</f>
        <v/>
      </c>
      <c r="K1109" s="18" t="n">
        <f aca="false">IF(OR(A1109="",B1109=""),0,IF(COUNTIFS(A$2:A1109,A1109,B$2:B1109,B1109)=1,1,0))</f>
        <v>0</v>
      </c>
    </row>
    <row r="1110" customFormat="false" ht="15" hidden="false" customHeight="false" outlineLevel="0" collapsed="false">
      <c r="A1110" s="15"/>
      <c r="B1110" s="15"/>
      <c r="C1110" s="15"/>
      <c r="D1110" s="15"/>
      <c r="F1110" s="18" t="str">
        <f aca="false">IF(B1110="","",IFERROR(INDEX(Materials!$B$2:$B$201,MATCH(B1110,Materials!$A$2:$A$201,0)),""))</f>
        <v/>
      </c>
      <c r="G1110" s="18" t="str">
        <f aca="true">IF(AND(A1110="",B1110=""),"",IF(A1110="","Missing product",IF(B1110="","Missing material",IF(COUNTIF(ProductList,A1110)=0,"Product not in Products list",IF(COUNTIF(MaterialList,B1110)=0,"Material not in Materials list","OK")))))</f>
        <v/>
      </c>
      <c r="H1110" s="18" t="str">
        <f aca="false">IF(F1110="Active",A1110&amp;"|"&amp;COUNTIFS(A$2:A1110,A1110,F$2:F1110,"Active"),"")</f>
        <v/>
      </c>
      <c r="I1110" s="18" t="str">
        <f aca="false">IF(B1110="","",IF(SUMPRODUCT(MAX((A$1:A1109=A1110)*(B$1:B1109=B1110)*ROW(A$1:A1109)))=0,C1110&amp;"",IF(C1110="",INDEX(I$1:I1109,SUMPRODUCT(MAX((A$1:A1109=A1110)*(B$1:B1109=B1110)*ROW(A$1:A1109)))),IF(INDEX(I$1:I1109,SUMPRODUCT(MAX((A$1:A1109=A1110)*(B$1:B1109=B1110)*ROW(A$1:A1109))))="",C1110&amp;"",INDEX(I$1:I1109,SUMPRODUCT(MAX((A$1:A1109=A1110)*(B$1:B1109=B1110)*ROW(A$1:A1109))))&amp;"; "&amp;C1110))))</f>
        <v/>
      </c>
      <c r="J1110" s="18" t="str">
        <f aca="false">IF(A1110="","",A1110&amp;"|"&amp;COUNTIF(A$2:A1110,A1110))</f>
        <v/>
      </c>
      <c r="K1110" s="18" t="n">
        <f aca="false">IF(OR(A1110="",B1110=""),0,IF(COUNTIFS(A$2:A1110,A1110,B$2:B1110,B1110)=1,1,0))</f>
        <v>0</v>
      </c>
    </row>
    <row r="1111" customFormat="false" ht="15" hidden="false" customHeight="false" outlineLevel="0" collapsed="false">
      <c r="A1111" s="15"/>
      <c r="B1111" s="15"/>
      <c r="C1111" s="15"/>
      <c r="D1111" s="15"/>
      <c r="F1111" s="18" t="str">
        <f aca="false">IF(B1111="","",IFERROR(INDEX(Materials!$B$2:$B$201,MATCH(B1111,Materials!$A$2:$A$201,0)),""))</f>
        <v/>
      </c>
      <c r="G1111" s="18" t="str">
        <f aca="true">IF(AND(A1111="",B1111=""),"",IF(A1111="","Missing product",IF(B1111="","Missing material",IF(COUNTIF(ProductList,A1111)=0,"Product not in Products list",IF(COUNTIF(MaterialList,B1111)=0,"Material not in Materials list","OK")))))</f>
        <v/>
      </c>
      <c r="H1111" s="18" t="str">
        <f aca="false">IF(F1111="Active",A1111&amp;"|"&amp;COUNTIFS(A$2:A1111,A1111,F$2:F1111,"Active"),"")</f>
        <v/>
      </c>
      <c r="I1111" s="18" t="str">
        <f aca="false">IF(B1111="","",IF(SUMPRODUCT(MAX((A$1:A1110=A1111)*(B$1:B1110=B1111)*ROW(A$1:A1110)))=0,C1111&amp;"",IF(C1111="",INDEX(I$1:I1110,SUMPRODUCT(MAX((A$1:A1110=A1111)*(B$1:B1110=B1111)*ROW(A$1:A1110)))),IF(INDEX(I$1:I1110,SUMPRODUCT(MAX((A$1:A1110=A1111)*(B$1:B1110=B1111)*ROW(A$1:A1110))))="",C1111&amp;"",INDEX(I$1:I1110,SUMPRODUCT(MAX((A$1:A1110=A1111)*(B$1:B1110=B1111)*ROW(A$1:A1110))))&amp;"; "&amp;C1111))))</f>
        <v/>
      </c>
      <c r="J1111" s="18" t="str">
        <f aca="false">IF(A1111="","",A1111&amp;"|"&amp;COUNTIF(A$2:A1111,A1111))</f>
        <v/>
      </c>
      <c r="K1111" s="18" t="n">
        <f aca="false">IF(OR(A1111="",B1111=""),0,IF(COUNTIFS(A$2:A1111,A1111,B$2:B1111,B1111)=1,1,0))</f>
        <v>0</v>
      </c>
    </row>
    <row r="1112" customFormat="false" ht="15" hidden="false" customHeight="false" outlineLevel="0" collapsed="false">
      <c r="A1112" s="15"/>
      <c r="B1112" s="15"/>
      <c r="C1112" s="15"/>
      <c r="D1112" s="15"/>
      <c r="F1112" s="18" t="str">
        <f aca="false">IF(B1112="","",IFERROR(INDEX(Materials!$B$2:$B$201,MATCH(B1112,Materials!$A$2:$A$201,0)),""))</f>
        <v/>
      </c>
      <c r="G1112" s="18" t="str">
        <f aca="true">IF(AND(A1112="",B1112=""),"",IF(A1112="","Missing product",IF(B1112="","Missing material",IF(COUNTIF(ProductList,A1112)=0,"Product not in Products list",IF(COUNTIF(MaterialList,B1112)=0,"Material not in Materials list","OK")))))</f>
        <v/>
      </c>
      <c r="H1112" s="18" t="str">
        <f aca="false">IF(F1112="Active",A1112&amp;"|"&amp;COUNTIFS(A$2:A1112,A1112,F$2:F1112,"Active"),"")</f>
        <v/>
      </c>
      <c r="I1112" s="18" t="str">
        <f aca="false">IF(B1112="","",IF(SUMPRODUCT(MAX((A$1:A1111=A1112)*(B$1:B1111=B1112)*ROW(A$1:A1111)))=0,C1112&amp;"",IF(C1112="",INDEX(I$1:I1111,SUMPRODUCT(MAX((A$1:A1111=A1112)*(B$1:B1111=B1112)*ROW(A$1:A1111)))),IF(INDEX(I$1:I1111,SUMPRODUCT(MAX((A$1:A1111=A1112)*(B$1:B1111=B1112)*ROW(A$1:A1111))))="",C1112&amp;"",INDEX(I$1:I1111,SUMPRODUCT(MAX((A$1:A1111=A1112)*(B$1:B1111=B1112)*ROW(A$1:A1111))))&amp;"; "&amp;C1112))))</f>
        <v/>
      </c>
      <c r="J1112" s="18" t="str">
        <f aca="false">IF(A1112="","",A1112&amp;"|"&amp;COUNTIF(A$2:A1112,A1112))</f>
        <v/>
      </c>
      <c r="K1112" s="18" t="n">
        <f aca="false">IF(OR(A1112="",B1112=""),0,IF(COUNTIFS(A$2:A1112,A1112,B$2:B1112,B1112)=1,1,0))</f>
        <v>0</v>
      </c>
    </row>
    <row r="1113" customFormat="false" ht="15" hidden="false" customHeight="false" outlineLevel="0" collapsed="false">
      <c r="A1113" s="15"/>
      <c r="B1113" s="15"/>
      <c r="C1113" s="15"/>
      <c r="D1113" s="15"/>
      <c r="F1113" s="18" t="str">
        <f aca="false">IF(B1113="","",IFERROR(INDEX(Materials!$B$2:$B$201,MATCH(B1113,Materials!$A$2:$A$201,0)),""))</f>
        <v/>
      </c>
      <c r="G1113" s="18" t="str">
        <f aca="true">IF(AND(A1113="",B1113=""),"",IF(A1113="","Missing product",IF(B1113="","Missing material",IF(COUNTIF(ProductList,A1113)=0,"Product not in Products list",IF(COUNTIF(MaterialList,B1113)=0,"Material not in Materials list","OK")))))</f>
        <v/>
      </c>
      <c r="H1113" s="18" t="str">
        <f aca="false">IF(F1113="Active",A1113&amp;"|"&amp;COUNTIFS(A$2:A1113,A1113,F$2:F1113,"Active"),"")</f>
        <v/>
      </c>
      <c r="I1113" s="18" t="str">
        <f aca="false">IF(B1113="","",IF(SUMPRODUCT(MAX((A$1:A1112=A1113)*(B$1:B1112=B1113)*ROW(A$1:A1112)))=0,C1113&amp;"",IF(C1113="",INDEX(I$1:I1112,SUMPRODUCT(MAX((A$1:A1112=A1113)*(B$1:B1112=B1113)*ROW(A$1:A1112)))),IF(INDEX(I$1:I1112,SUMPRODUCT(MAX((A$1:A1112=A1113)*(B$1:B1112=B1113)*ROW(A$1:A1112))))="",C1113&amp;"",INDEX(I$1:I1112,SUMPRODUCT(MAX((A$1:A1112=A1113)*(B$1:B1112=B1113)*ROW(A$1:A1112))))&amp;"; "&amp;C1113))))</f>
        <v/>
      </c>
      <c r="J1113" s="18" t="str">
        <f aca="false">IF(A1113="","",A1113&amp;"|"&amp;COUNTIF(A$2:A1113,A1113))</f>
        <v/>
      </c>
      <c r="K1113" s="18" t="n">
        <f aca="false">IF(OR(A1113="",B1113=""),0,IF(COUNTIFS(A$2:A1113,A1113,B$2:B1113,B1113)=1,1,0))</f>
        <v>0</v>
      </c>
    </row>
    <row r="1114" customFormat="false" ht="15" hidden="false" customHeight="false" outlineLevel="0" collapsed="false">
      <c r="A1114" s="15"/>
      <c r="B1114" s="15"/>
      <c r="C1114" s="15"/>
      <c r="D1114" s="15"/>
      <c r="F1114" s="18" t="str">
        <f aca="false">IF(B1114="","",IFERROR(INDEX(Materials!$B$2:$B$201,MATCH(B1114,Materials!$A$2:$A$201,0)),""))</f>
        <v/>
      </c>
      <c r="G1114" s="18" t="str">
        <f aca="true">IF(AND(A1114="",B1114=""),"",IF(A1114="","Missing product",IF(B1114="","Missing material",IF(COUNTIF(ProductList,A1114)=0,"Product not in Products list",IF(COUNTIF(MaterialList,B1114)=0,"Material not in Materials list","OK")))))</f>
        <v/>
      </c>
      <c r="H1114" s="18" t="str">
        <f aca="false">IF(F1114="Active",A1114&amp;"|"&amp;COUNTIFS(A$2:A1114,A1114,F$2:F1114,"Active"),"")</f>
        <v/>
      </c>
      <c r="I1114" s="18" t="str">
        <f aca="false">IF(B1114="","",IF(SUMPRODUCT(MAX((A$1:A1113=A1114)*(B$1:B1113=B1114)*ROW(A$1:A1113)))=0,C1114&amp;"",IF(C1114="",INDEX(I$1:I1113,SUMPRODUCT(MAX((A$1:A1113=A1114)*(B$1:B1113=B1114)*ROW(A$1:A1113)))),IF(INDEX(I$1:I1113,SUMPRODUCT(MAX((A$1:A1113=A1114)*(B$1:B1113=B1114)*ROW(A$1:A1113))))="",C1114&amp;"",INDEX(I$1:I1113,SUMPRODUCT(MAX((A$1:A1113=A1114)*(B$1:B1113=B1114)*ROW(A$1:A1113))))&amp;"; "&amp;C1114))))</f>
        <v/>
      </c>
      <c r="J1114" s="18" t="str">
        <f aca="false">IF(A1114="","",A1114&amp;"|"&amp;COUNTIF(A$2:A1114,A1114))</f>
        <v/>
      </c>
      <c r="K1114" s="18" t="n">
        <f aca="false">IF(OR(A1114="",B1114=""),0,IF(COUNTIFS(A$2:A1114,A1114,B$2:B1114,B1114)=1,1,0))</f>
        <v>0</v>
      </c>
    </row>
    <row r="1115" customFormat="false" ht="15" hidden="false" customHeight="false" outlineLevel="0" collapsed="false">
      <c r="A1115" s="15"/>
      <c r="B1115" s="15"/>
      <c r="C1115" s="15"/>
      <c r="D1115" s="15"/>
      <c r="F1115" s="18" t="str">
        <f aca="false">IF(B1115="","",IFERROR(INDEX(Materials!$B$2:$B$201,MATCH(B1115,Materials!$A$2:$A$201,0)),""))</f>
        <v/>
      </c>
      <c r="G1115" s="18" t="str">
        <f aca="true">IF(AND(A1115="",B1115=""),"",IF(A1115="","Missing product",IF(B1115="","Missing material",IF(COUNTIF(ProductList,A1115)=0,"Product not in Products list",IF(COUNTIF(MaterialList,B1115)=0,"Material not in Materials list","OK")))))</f>
        <v/>
      </c>
      <c r="H1115" s="18" t="str">
        <f aca="false">IF(F1115="Active",A1115&amp;"|"&amp;COUNTIFS(A$2:A1115,A1115,F$2:F1115,"Active"),"")</f>
        <v/>
      </c>
      <c r="I1115" s="18" t="str">
        <f aca="false">IF(B1115="","",IF(SUMPRODUCT(MAX((A$1:A1114=A1115)*(B$1:B1114=B1115)*ROW(A$1:A1114)))=0,C1115&amp;"",IF(C1115="",INDEX(I$1:I1114,SUMPRODUCT(MAX((A$1:A1114=A1115)*(B$1:B1114=B1115)*ROW(A$1:A1114)))),IF(INDEX(I$1:I1114,SUMPRODUCT(MAX((A$1:A1114=A1115)*(B$1:B1114=B1115)*ROW(A$1:A1114))))="",C1115&amp;"",INDEX(I$1:I1114,SUMPRODUCT(MAX((A$1:A1114=A1115)*(B$1:B1114=B1115)*ROW(A$1:A1114))))&amp;"; "&amp;C1115))))</f>
        <v/>
      </c>
      <c r="J1115" s="18" t="str">
        <f aca="false">IF(A1115="","",A1115&amp;"|"&amp;COUNTIF(A$2:A1115,A1115))</f>
        <v/>
      </c>
      <c r="K1115" s="18" t="n">
        <f aca="false">IF(OR(A1115="",B1115=""),0,IF(COUNTIFS(A$2:A1115,A1115,B$2:B1115,B1115)=1,1,0))</f>
        <v>0</v>
      </c>
    </row>
    <row r="1116" customFormat="false" ht="15" hidden="false" customHeight="false" outlineLevel="0" collapsed="false">
      <c r="A1116" s="15"/>
      <c r="B1116" s="15"/>
      <c r="C1116" s="15"/>
      <c r="D1116" s="15"/>
      <c r="F1116" s="18" t="str">
        <f aca="false">IF(B1116="","",IFERROR(INDEX(Materials!$B$2:$B$201,MATCH(B1116,Materials!$A$2:$A$201,0)),""))</f>
        <v/>
      </c>
      <c r="G1116" s="18" t="str">
        <f aca="true">IF(AND(A1116="",B1116=""),"",IF(A1116="","Missing product",IF(B1116="","Missing material",IF(COUNTIF(ProductList,A1116)=0,"Product not in Products list",IF(COUNTIF(MaterialList,B1116)=0,"Material not in Materials list","OK")))))</f>
        <v/>
      </c>
      <c r="H1116" s="18" t="str">
        <f aca="false">IF(F1116="Active",A1116&amp;"|"&amp;COUNTIFS(A$2:A1116,A1116,F$2:F1116,"Active"),"")</f>
        <v/>
      </c>
      <c r="I1116" s="18" t="str">
        <f aca="false">IF(B1116="","",IF(SUMPRODUCT(MAX((A$1:A1115=A1116)*(B$1:B1115=B1116)*ROW(A$1:A1115)))=0,C1116&amp;"",IF(C1116="",INDEX(I$1:I1115,SUMPRODUCT(MAX((A$1:A1115=A1116)*(B$1:B1115=B1116)*ROW(A$1:A1115)))),IF(INDEX(I$1:I1115,SUMPRODUCT(MAX((A$1:A1115=A1116)*(B$1:B1115=B1116)*ROW(A$1:A1115))))="",C1116&amp;"",INDEX(I$1:I1115,SUMPRODUCT(MAX((A$1:A1115=A1116)*(B$1:B1115=B1116)*ROW(A$1:A1115))))&amp;"; "&amp;C1116))))</f>
        <v/>
      </c>
      <c r="J1116" s="18" t="str">
        <f aca="false">IF(A1116="","",A1116&amp;"|"&amp;COUNTIF(A$2:A1116,A1116))</f>
        <v/>
      </c>
      <c r="K1116" s="18" t="n">
        <f aca="false">IF(OR(A1116="",B1116=""),0,IF(COUNTIFS(A$2:A1116,A1116,B$2:B1116,B1116)=1,1,0))</f>
        <v>0</v>
      </c>
    </row>
    <row r="1117" customFormat="false" ht="15" hidden="false" customHeight="false" outlineLevel="0" collapsed="false">
      <c r="A1117" s="15"/>
      <c r="B1117" s="15"/>
      <c r="C1117" s="15"/>
      <c r="D1117" s="15"/>
      <c r="F1117" s="18" t="str">
        <f aca="false">IF(B1117="","",IFERROR(INDEX(Materials!$B$2:$B$201,MATCH(B1117,Materials!$A$2:$A$201,0)),""))</f>
        <v/>
      </c>
      <c r="G1117" s="18" t="str">
        <f aca="true">IF(AND(A1117="",B1117=""),"",IF(A1117="","Missing product",IF(B1117="","Missing material",IF(COUNTIF(ProductList,A1117)=0,"Product not in Products list",IF(COUNTIF(MaterialList,B1117)=0,"Material not in Materials list","OK")))))</f>
        <v/>
      </c>
      <c r="H1117" s="18" t="str">
        <f aca="false">IF(F1117="Active",A1117&amp;"|"&amp;COUNTIFS(A$2:A1117,A1117,F$2:F1117,"Active"),"")</f>
        <v/>
      </c>
      <c r="I1117" s="18" t="str">
        <f aca="false">IF(B1117="","",IF(SUMPRODUCT(MAX((A$1:A1116=A1117)*(B$1:B1116=B1117)*ROW(A$1:A1116)))=0,C1117&amp;"",IF(C1117="",INDEX(I$1:I1116,SUMPRODUCT(MAX((A$1:A1116=A1117)*(B$1:B1116=B1117)*ROW(A$1:A1116)))),IF(INDEX(I$1:I1116,SUMPRODUCT(MAX((A$1:A1116=A1117)*(B$1:B1116=B1117)*ROW(A$1:A1116))))="",C1117&amp;"",INDEX(I$1:I1116,SUMPRODUCT(MAX((A$1:A1116=A1117)*(B$1:B1116=B1117)*ROW(A$1:A1116))))&amp;"; "&amp;C1117))))</f>
        <v/>
      </c>
      <c r="J1117" s="18" t="str">
        <f aca="false">IF(A1117="","",A1117&amp;"|"&amp;COUNTIF(A$2:A1117,A1117))</f>
        <v/>
      </c>
      <c r="K1117" s="18" t="n">
        <f aca="false">IF(OR(A1117="",B1117=""),0,IF(COUNTIFS(A$2:A1117,A1117,B$2:B1117,B1117)=1,1,0))</f>
        <v>0</v>
      </c>
    </row>
    <row r="1118" customFormat="false" ht="15" hidden="false" customHeight="false" outlineLevel="0" collapsed="false">
      <c r="A1118" s="15"/>
      <c r="B1118" s="15"/>
      <c r="C1118" s="15"/>
      <c r="D1118" s="15"/>
      <c r="F1118" s="18" t="str">
        <f aca="false">IF(B1118="","",IFERROR(INDEX(Materials!$B$2:$B$201,MATCH(B1118,Materials!$A$2:$A$201,0)),""))</f>
        <v/>
      </c>
      <c r="G1118" s="18" t="str">
        <f aca="true">IF(AND(A1118="",B1118=""),"",IF(A1118="","Missing product",IF(B1118="","Missing material",IF(COUNTIF(ProductList,A1118)=0,"Product not in Products list",IF(COUNTIF(MaterialList,B1118)=0,"Material not in Materials list","OK")))))</f>
        <v/>
      </c>
      <c r="H1118" s="18" t="str">
        <f aca="false">IF(F1118="Active",A1118&amp;"|"&amp;COUNTIFS(A$2:A1118,A1118,F$2:F1118,"Active"),"")</f>
        <v/>
      </c>
      <c r="I1118" s="18" t="str">
        <f aca="false">IF(B1118="","",IF(SUMPRODUCT(MAX((A$1:A1117=A1118)*(B$1:B1117=B1118)*ROW(A$1:A1117)))=0,C1118&amp;"",IF(C1118="",INDEX(I$1:I1117,SUMPRODUCT(MAX((A$1:A1117=A1118)*(B$1:B1117=B1118)*ROW(A$1:A1117)))),IF(INDEX(I$1:I1117,SUMPRODUCT(MAX((A$1:A1117=A1118)*(B$1:B1117=B1118)*ROW(A$1:A1117))))="",C1118&amp;"",INDEX(I$1:I1117,SUMPRODUCT(MAX((A$1:A1117=A1118)*(B$1:B1117=B1118)*ROW(A$1:A1117))))&amp;"; "&amp;C1118))))</f>
        <v/>
      </c>
      <c r="J1118" s="18" t="str">
        <f aca="false">IF(A1118="","",A1118&amp;"|"&amp;COUNTIF(A$2:A1118,A1118))</f>
        <v/>
      </c>
      <c r="K1118" s="18" t="n">
        <f aca="false">IF(OR(A1118="",B1118=""),0,IF(COUNTIFS(A$2:A1118,A1118,B$2:B1118,B1118)=1,1,0))</f>
        <v>0</v>
      </c>
    </row>
    <row r="1119" customFormat="false" ht="15" hidden="false" customHeight="false" outlineLevel="0" collapsed="false">
      <c r="A1119" s="15"/>
      <c r="B1119" s="15"/>
      <c r="C1119" s="15"/>
      <c r="D1119" s="15"/>
      <c r="F1119" s="18" t="str">
        <f aca="false">IF(B1119="","",IFERROR(INDEX(Materials!$B$2:$B$201,MATCH(B1119,Materials!$A$2:$A$201,0)),""))</f>
        <v/>
      </c>
      <c r="G1119" s="18" t="str">
        <f aca="true">IF(AND(A1119="",B1119=""),"",IF(A1119="","Missing product",IF(B1119="","Missing material",IF(COUNTIF(ProductList,A1119)=0,"Product not in Products list",IF(COUNTIF(MaterialList,B1119)=0,"Material not in Materials list","OK")))))</f>
        <v/>
      </c>
      <c r="H1119" s="18" t="str">
        <f aca="false">IF(F1119="Active",A1119&amp;"|"&amp;COUNTIFS(A$2:A1119,A1119,F$2:F1119,"Active"),"")</f>
        <v/>
      </c>
      <c r="I1119" s="18" t="str">
        <f aca="false">IF(B1119="","",IF(SUMPRODUCT(MAX((A$1:A1118=A1119)*(B$1:B1118=B1119)*ROW(A$1:A1118)))=0,C1119&amp;"",IF(C1119="",INDEX(I$1:I1118,SUMPRODUCT(MAX((A$1:A1118=A1119)*(B$1:B1118=B1119)*ROW(A$1:A1118)))),IF(INDEX(I$1:I1118,SUMPRODUCT(MAX((A$1:A1118=A1119)*(B$1:B1118=B1119)*ROW(A$1:A1118))))="",C1119&amp;"",INDEX(I$1:I1118,SUMPRODUCT(MAX((A$1:A1118=A1119)*(B$1:B1118=B1119)*ROW(A$1:A1118))))&amp;"; "&amp;C1119))))</f>
        <v/>
      </c>
      <c r="J1119" s="18" t="str">
        <f aca="false">IF(A1119="","",A1119&amp;"|"&amp;COUNTIF(A$2:A1119,A1119))</f>
        <v/>
      </c>
      <c r="K1119" s="18" t="n">
        <f aca="false">IF(OR(A1119="",B1119=""),0,IF(COUNTIFS(A$2:A1119,A1119,B$2:B1119,B1119)=1,1,0))</f>
        <v>0</v>
      </c>
    </row>
    <row r="1120" customFormat="false" ht="15" hidden="false" customHeight="false" outlineLevel="0" collapsed="false">
      <c r="A1120" s="15"/>
      <c r="B1120" s="15"/>
      <c r="C1120" s="15"/>
      <c r="D1120" s="15"/>
      <c r="F1120" s="18" t="str">
        <f aca="false">IF(B1120="","",IFERROR(INDEX(Materials!$B$2:$B$201,MATCH(B1120,Materials!$A$2:$A$201,0)),""))</f>
        <v/>
      </c>
      <c r="G1120" s="18" t="str">
        <f aca="true">IF(AND(A1120="",B1120=""),"",IF(A1120="","Missing product",IF(B1120="","Missing material",IF(COUNTIF(ProductList,A1120)=0,"Product not in Products list",IF(COUNTIF(MaterialList,B1120)=0,"Material not in Materials list","OK")))))</f>
        <v/>
      </c>
      <c r="H1120" s="18" t="str">
        <f aca="false">IF(F1120="Active",A1120&amp;"|"&amp;COUNTIFS(A$2:A1120,A1120,F$2:F1120,"Active"),"")</f>
        <v/>
      </c>
      <c r="I1120" s="18" t="str">
        <f aca="false">IF(B1120="","",IF(SUMPRODUCT(MAX((A$1:A1119=A1120)*(B$1:B1119=B1120)*ROW(A$1:A1119)))=0,C1120&amp;"",IF(C1120="",INDEX(I$1:I1119,SUMPRODUCT(MAX((A$1:A1119=A1120)*(B$1:B1119=B1120)*ROW(A$1:A1119)))),IF(INDEX(I$1:I1119,SUMPRODUCT(MAX((A$1:A1119=A1120)*(B$1:B1119=B1120)*ROW(A$1:A1119))))="",C1120&amp;"",INDEX(I$1:I1119,SUMPRODUCT(MAX((A$1:A1119=A1120)*(B$1:B1119=B1120)*ROW(A$1:A1119))))&amp;"; "&amp;C1120))))</f>
        <v/>
      </c>
      <c r="J1120" s="18" t="str">
        <f aca="false">IF(A1120="","",A1120&amp;"|"&amp;COUNTIF(A$2:A1120,A1120))</f>
        <v/>
      </c>
      <c r="K1120" s="18" t="n">
        <f aca="false">IF(OR(A1120="",B1120=""),0,IF(COUNTIFS(A$2:A1120,A1120,B$2:B1120,B1120)=1,1,0))</f>
        <v>0</v>
      </c>
    </row>
    <row r="1121" customFormat="false" ht="15" hidden="false" customHeight="false" outlineLevel="0" collapsed="false">
      <c r="A1121" s="15"/>
      <c r="B1121" s="15"/>
      <c r="C1121" s="15"/>
      <c r="D1121" s="15"/>
      <c r="F1121" s="18" t="str">
        <f aca="false">IF(B1121="","",IFERROR(INDEX(Materials!$B$2:$B$201,MATCH(B1121,Materials!$A$2:$A$201,0)),""))</f>
        <v/>
      </c>
      <c r="G1121" s="18" t="str">
        <f aca="true">IF(AND(A1121="",B1121=""),"",IF(A1121="","Missing product",IF(B1121="","Missing material",IF(COUNTIF(ProductList,A1121)=0,"Product not in Products list",IF(COUNTIF(MaterialList,B1121)=0,"Material not in Materials list","OK")))))</f>
        <v/>
      </c>
      <c r="H1121" s="18" t="str">
        <f aca="false">IF(F1121="Active",A1121&amp;"|"&amp;COUNTIFS(A$2:A1121,A1121,F$2:F1121,"Active"),"")</f>
        <v/>
      </c>
      <c r="I1121" s="18" t="str">
        <f aca="false">IF(B1121="","",IF(SUMPRODUCT(MAX((A$1:A1120=A1121)*(B$1:B1120=B1121)*ROW(A$1:A1120)))=0,C1121&amp;"",IF(C1121="",INDEX(I$1:I1120,SUMPRODUCT(MAX((A$1:A1120=A1121)*(B$1:B1120=B1121)*ROW(A$1:A1120)))),IF(INDEX(I$1:I1120,SUMPRODUCT(MAX((A$1:A1120=A1121)*(B$1:B1120=B1121)*ROW(A$1:A1120))))="",C1121&amp;"",INDEX(I$1:I1120,SUMPRODUCT(MAX((A$1:A1120=A1121)*(B$1:B1120=B1121)*ROW(A$1:A1120))))&amp;"; "&amp;C1121))))</f>
        <v/>
      </c>
      <c r="J1121" s="18" t="str">
        <f aca="false">IF(A1121="","",A1121&amp;"|"&amp;COUNTIF(A$2:A1121,A1121))</f>
        <v/>
      </c>
      <c r="K1121" s="18" t="n">
        <f aca="false">IF(OR(A1121="",B1121=""),0,IF(COUNTIFS(A$2:A1121,A1121,B$2:B1121,B1121)=1,1,0))</f>
        <v>0</v>
      </c>
    </row>
    <row r="1122" customFormat="false" ht="15" hidden="false" customHeight="false" outlineLevel="0" collapsed="false">
      <c r="A1122" s="15"/>
      <c r="B1122" s="15"/>
      <c r="C1122" s="15"/>
      <c r="D1122" s="15"/>
      <c r="F1122" s="18" t="str">
        <f aca="false">IF(B1122="","",IFERROR(INDEX(Materials!$B$2:$B$201,MATCH(B1122,Materials!$A$2:$A$201,0)),""))</f>
        <v/>
      </c>
      <c r="G1122" s="18" t="str">
        <f aca="true">IF(AND(A1122="",B1122=""),"",IF(A1122="","Missing product",IF(B1122="","Missing material",IF(COUNTIF(ProductList,A1122)=0,"Product not in Products list",IF(COUNTIF(MaterialList,B1122)=0,"Material not in Materials list","OK")))))</f>
        <v/>
      </c>
      <c r="H1122" s="18" t="str">
        <f aca="false">IF(F1122="Active",A1122&amp;"|"&amp;COUNTIFS(A$2:A1122,A1122,F$2:F1122,"Active"),"")</f>
        <v/>
      </c>
      <c r="I1122" s="18" t="str">
        <f aca="false">IF(B1122="","",IF(SUMPRODUCT(MAX((A$1:A1121=A1122)*(B$1:B1121=B1122)*ROW(A$1:A1121)))=0,C1122&amp;"",IF(C1122="",INDEX(I$1:I1121,SUMPRODUCT(MAX((A$1:A1121=A1122)*(B$1:B1121=B1122)*ROW(A$1:A1121)))),IF(INDEX(I$1:I1121,SUMPRODUCT(MAX((A$1:A1121=A1122)*(B$1:B1121=B1122)*ROW(A$1:A1121))))="",C1122&amp;"",INDEX(I$1:I1121,SUMPRODUCT(MAX((A$1:A1121=A1122)*(B$1:B1121=B1122)*ROW(A$1:A1121))))&amp;"; "&amp;C1122))))</f>
        <v/>
      </c>
      <c r="J1122" s="18" t="str">
        <f aca="false">IF(A1122="","",A1122&amp;"|"&amp;COUNTIF(A$2:A1122,A1122))</f>
        <v/>
      </c>
      <c r="K1122" s="18" t="n">
        <f aca="false">IF(OR(A1122="",B1122=""),0,IF(COUNTIFS(A$2:A1122,A1122,B$2:B1122,B1122)=1,1,0))</f>
        <v>0</v>
      </c>
    </row>
    <row r="1123" customFormat="false" ht="15" hidden="false" customHeight="false" outlineLevel="0" collapsed="false">
      <c r="A1123" s="15"/>
      <c r="B1123" s="15"/>
      <c r="C1123" s="15"/>
      <c r="D1123" s="15"/>
      <c r="F1123" s="18" t="str">
        <f aca="false">IF(B1123="","",IFERROR(INDEX(Materials!$B$2:$B$201,MATCH(B1123,Materials!$A$2:$A$201,0)),""))</f>
        <v/>
      </c>
      <c r="G1123" s="18" t="str">
        <f aca="true">IF(AND(A1123="",B1123=""),"",IF(A1123="","Missing product",IF(B1123="","Missing material",IF(COUNTIF(ProductList,A1123)=0,"Product not in Products list",IF(COUNTIF(MaterialList,B1123)=0,"Material not in Materials list","OK")))))</f>
        <v/>
      </c>
      <c r="H1123" s="18" t="str">
        <f aca="false">IF(F1123="Active",A1123&amp;"|"&amp;COUNTIFS(A$2:A1123,A1123,F$2:F1123,"Active"),"")</f>
        <v/>
      </c>
      <c r="I1123" s="18" t="str">
        <f aca="false">IF(B1123="","",IF(SUMPRODUCT(MAX((A$1:A1122=A1123)*(B$1:B1122=B1123)*ROW(A$1:A1122)))=0,C1123&amp;"",IF(C1123="",INDEX(I$1:I1122,SUMPRODUCT(MAX((A$1:A1122=A1123)*(B$1:B1122=B1123)*ROW(A$1:A1122)))),IF(INDEX(I$1:I1122,SUMPRODUCT(MAX((A$1:A1122=A1123)*(B$1:B1122=B1123)*ROW(A$1:A1122))))="",C1123&amp;"",INDEX(I$1:I1122,SUMPRODUCT(MAX((A$1:A1122=A1123)*(B$1:B1122=B1123)*ROW(A$1:A1122))))&amp;"; "&amp;C1123))))</f>
        <v/>
      </c>
      <c r="J1123" s="18" t="str">
        <f aca="false">IF(A1123="","",A1123&amp;"|"&amp;COUNTIF(A$2:A1123,A1123))</f>
        <v/>
      </c>
      <c r="K1123" s="18" t="n">
        <f aca="false">IF(OR(A1123="",B1123=""),0,IF(COUNTIFS(A$2:A1123,A1123,B$2:B1123,B1123)=1,1,0))</f>
        <v>0</v>
      </c>
    </row>
    <row r="1124" customFormat="false" ht="15" hidden="false" customHeight="false" outlineLevel="0" collapsed="false">
      <c r="A1124" s="15"/>
      <c r="B1124" s="15"/>
      <c r="C1124" s="15"/>
      <c r="D1124" s="15"/>
      <c r="F1124" s="18" t="str">
        <f aca="false">IF(B1124="","",IFERROR(INDEX(Materials!$B$2:$B$201,MATCH(B1124,Materials!$A$2:$A$201,0)),""))</f>
        <v/>
      </c>
      <c r="G1124" s="18" t="str">
        <f aca="true">IF(AND(A1124="",B1124=""),"",IF(A1124="","Missing product",IF(B1124="","Missing material",IF(COUNTIF(ProductList,A1124)=0,"Product not in Products list",IF(COUNTIF(MaterialList,B1124)=0,"Material not in Materials list","OK")))))</f>
        <v/>
      </c>
      <c r="H1124" s="18" t="str">
        <f aca="false">IF(F1124="Active",A1124&amp;"|"&amp;COUNTIFS(A$2:A1124,A1124,F$2:F1124,"Active"),"")</f>
        <v/>
      </c>
      <c r="I1124" s="18" t="str">
        <f aca="false">IF(B1124="","",IF(SUMPRODUCT(MAX((A$1:A1123=A1124)*(B$1:B1123=B1124)*ROW(A$1:A1123)))=0,C1124&amp;"",IF(C1124="",INDEX(I$1:I1123,SUMPRODUCT(MAX((A$1:A1123=A1124)*(B$1:B1123=B1124)*ROW(A$1:A1123)))),IF(INDEX(I$1:I1123,SUMPRODUCT(MAX((A$1:A1123=A1124)*(B$1:B1123=B1124)*ROW(A$1:A1123))))="",C1124&amp;"",INDEX(I$1:I1123,SUMPRODUCT(MAX((A$1:A1123=A1124)*(B$1:B1123=B1124)*ROW(A$1:A1123))))&amp;"; "&amp;C1124))))</f>
        <v/>
      </c>
      <c r="J1124" s="18" t="str">
        <f aca="false">IF(A1124="","",A1124&amp;"|"&amp;COUNTIF(A$2:A1124,A1124))</f>
        <v/>
      </c>
      <c r="K1124" s="18" t="n">
        <f aca="false">IF(OR(A1124="",B1124=""),0,IF(COUNTIFS(A$2:A1124,A1124,B$2:B1124,B1124)=1,1,0))</f>
        <v>0</v>
      </c>
    </row>
    <row r="1125" customFormat="false" ht="15" hidden="false" customHeight="false" outlineLevel="0" collapsed="false">
      <c r="A1125" s="15"/>
      <c r="B1125" s="15"/>
      <c r="C1125" s="15"/>
      <c r="D1125" s="15"/>
      <c r="F1125" s="18" t="str">
        <f aca="false">IF(B1125="","",IFERROR(INDEX(Materials!$B$2:$B$201,MATCH(B1125,Materials!$A$2:$A$201,0)),""))</f>
        <v/>
      </c>
      <c r="G1125" s="18" t="str">
        <f aca="true">IF(AND(A1125="",B1125=""),"",IF(A1125="","Missing product",IF(B1125="","Missing material",IF(COUNTIF(ProductList,A1125)=0,"Product not in Products list",IF(COUNTIF(MaterialList,B1125)=0,"Material not in Materials list","OK")))))</f>
        <v/>
      </c>
      <c r="H1125" s="18" t="str">
        <f aca="false">IF(F1125="Active",A1125&amp;"|"&amp;COUNTIFS(A$2:A1125,A1125,F$2:F1125,"Active"),"")</f>
        <v/>
      </c>
      <c r="I1125" s="18" t="str">
        <f aca="false">IF(B1125="","",IF(SUMPRODUCT(MAX((A$1:A1124=A1125)*(B$1:B1124=B1125)*ROW(A$1:A1124)))=0,C1125&amp;"",IF(C1125="",INDEX(I$1:I1124,SUMPRODUCT(MAX((A$1:A1124=A1125)*(B$1:B1124=B1125)*ROW(A$1:A1124)))),IF(INDEX(I$1:I1124,SUMPRODUCT(MAX((A$1:A1124=A1125)*(B$1:B1124=B1125)*ROW(A$1:A1124))))="",C1125&amp;"",INDEX(I$1:I1124,SUMPRODUCT(MAX((A$1:A1124=A1125)*(B$1:B1124=B1125)*ROW(A$1:A1124))))&amp;"; "&amp;C1125))))</f>
        <v/>
      </c>
      <c r="J1125" s="18" t="str">
        <f aca="false">IF(A1125="","",A1125&amp;"|"&amp;COUNTIF(A$2:A1125,A1125))</f>
        <v/>
      </c>
      <c r="K1125" s="18" t="n">
        <f aca="false">IF(OR(A1125="",B1125=""),0,IF(COUNTIFS(A$2:A1125,A1125,B$2:B1125,B1125)=1,1,0))</f>
        <v>0</v>
      </c>
    </row>
    <row r="1126" customFormat="false" ht="15" hidden="false" customHeight="false" outlineLevel="0" collapsed="false">
      <c r="A1126" s="15"/>
      <c r="B1126" s="15"/>
      <c r="C1126" s="15"/>
      <c r="D1126" s="15"/>
      <c r="F1126" s="18" t="str">
        <f aca="false">IF(B1126="","",IFERROR(INDEX(Materials!$B$2:$B$201,MATCH(B1126,Materials!$A$2:$A$201,0)),""))</f>
        <v/>
      </c>
      <c r="G1126" s="18" t="str">
        <f aca="true">IF(AND(A1126="",B1126=""),"",IF(A1126="","Missing product",IF(B1126="","Missing material",IF(COUNTIF(ProductList,A1126)=0,"Product not in Products list",IF(COUNTIF(MaterialList,B1126)=0,"Material not in Materials list","OK")))))</f>
        <v/>
      </c>
      <c r="H1126" s="18" t="str">
        <f aca="false">IF(F1126="Active",A1126&amp;"|"&amp;COUNTIFS(A$2:A1126,A1126,F$2:F1126,"Active"),"")</f>
        <v/>
      </c>
      <c r="I1126" s="18" t="str">
        <f aca="false">IF(B1126="","",IF(SUMPRODUCT(MAX((A$1:A1125=A1126)*(B$1:B1125=B1126)*ROW(A$1:A1125)))=0,C1126&amp;"",IF(C1126="",INDEX(I$1:I1125,SUMPRODUCT(MAX((A$1:A1125=A1126)*(B$1:B1125=B1126)*ROW(A$1:A1125)))),IF(INDEX(I$1:I1125,SUMPRODUCT(MAX((A$1:A1125=A1126)*(B$1:B1125=B1126)*ROW(A$1:A1125))))="",C1126&amp;"",INDEX(I$1:I1125,SUMPRODUCT(MAX((A$1:A1125=A1126)*(B$1:B1125=B1126)*ROW(A$1:A1125))))&amp;"; "&amp;C1126))))</f>
        <v/>
      </c>
      <c r="J1126" s="18" t="str">
        <f aca="false">IF(A1126="","",A1126&amp;"|"&amp;COUNTIF(A$2:A1126,A1126))</f>
        <v/>
      </c>
      <c r="K1126" s="18" t="n">
        <f aca="false">IF(OR(A1126="",B1126=""),0,IF(COUNTIFS(A$2:A1126,A1126,B$2:B1126,B1126)=1,1,0))</f>
        <v>0</v>
      </c>
    </row>
    <row r="1127" customFormat="false" ht="15" hidden="false" customHeight="false" outlineLevel="0" collapsed="false">
      <c r="A1127" s="15"/>
      <c r="B1127" s="15"/>
      <c r="C1127" s="15"/>
      <c r="D1127" s="15"/>
      <c r="F1127" s="18" t="str">
        <f aca="false">IF(B1127="","",IFERROR(INDEX(Materials!$B$2:$B$201,MATCH(B1127,Materials!$A$2:$A$201,0)),""))</f>
        <v/>
      </c>
      <c r="G1127" s="18" t="str">
        <f aca="true">IF(AND(A1127="",B1127=""),"",IF(A1127="","Missing product",IF(B1127="","Missing material",IF(COUNTIF(ProductList,A1127)=0,"Product not in Products list",IF(COUNTIF(MaterialList,B1127)=0,"Material not in Materials list","OK")))))</f>
        <v/>
      </c>
      <c r="H1127" s="18" t="str">
        <f aca="false">IF(F1127="Active",A1127&amp;"|"&amp;COUNTIFS(A$2:A1127,A1127,F$2:F1127,"Active"),"")</f>
        <v/>
      </c>
      <c r="I1127" s="18" t="str">
        <f aca="false">IF(B1127="","",IF(SUMPRODUCT(MAX((A$1:A1126=A1127)*(B$1:B1126=B1127)*ROW(A$1:A1126)))=0,C1127&amp;"",IF(C1127="",INDEX(I$1:I1126,SUMPRODUCT(MAX((A$1:A1126=A1127)*(B$1:B1126=B1127)*ROW(A$1:A1126)))),IF(INDEX(I$1:I1126,SUMPRODUCT(MAX((A$1:A1126=A1127)*(B$1:B1126=B1127)*ROW(A$1:A1126))))="",C1127&amp;"",INDEX(I$1:I1126,SUMPRODUCT(MAX((A$1:A1126=A1127)*(B$1:B1126=B1127)*ROW(A$1:A1126))))&amp;"; "&amp;C1127))))</f>
        <v/>
      </c>
      <c r="J1127" s="18" t="str">
        <f aca="false">IF(A1127="","",A1127&amp;"|"&amp;COUNTIF(A$2:A1127,A1127))</f>
        <v/>
      </c>
      <c r="K1127" s="18" t="n">
        <f aca="false">IF(OR(A1127="",B1127=""),0,IF(COUNTIFS(A$2:A1127,A1127,B$2:B1127,B1127)=1,1,0))</f>
        <v>0</v>
      </c>
    </row>
    <row r="1128" customFormat="false" ht="15" hidden="false" customHeight="false" outlineLevel="0" collapsed="false">
      <c r="A1128" s="15"/>
      <c r="B1128" s="15"/>
      <c r="C1128" s="15"/>
      <c r="D1128" s="15"/>
      <c r="F1128" s="18" t="str">
        <f aca="false">IF(B1128="","",IFERROR(INDEX(Materials!$B$2:$B$201,MATCH(B1128,Materials!$A$2:$A$201,0)),""))</f>
        <v/>
      </c>
      <c r="G1128" s="18" t="str">
        <f aca="true">IF(AND(A1128="",B1128=""),"",IF(A1128="","Missing product",IF(B1128="","Missing material",IF(COUNTIF(ProductList,A1128)=0,"Product not in Products list",IF(COUNTIF(MaterialList,B1128)=0,"Material not in Materials list","OK")))))</f>
        <v/>
      </c>
      <c r="H1128" s="18" t="str">
        <f aca="false">IF(F1128="Active",A1128&amp;"|"&amp;COUNTIFS(A$2:A1128,A1128,F$2:F1128,"Active"),"")</f>
        <v/>
      </c>
      <c r="I1128" s="18" t="str">
        <f aca="false">IF(B1128="","",IF(SUMPRODUCT(MAX((A$1:A1127=A1128)*(B$1:B1127=B1128)*ROW(A$1:A1127)))=0,C1128&amp;"",IF(C1128="",INDEX(I$1:I1127,SUMPRODUCT(MAX((A$1:A1127=A1128)*(B$1:B1127=B1128)*ROW(A$1:A1127)))),IF(INDEX(I$1:I1127,SUMPRODUCT(MAX((A$1:A1127=A1128)*(B$1:B1127=B1128)*ROW(A$1:A1127))))="",C1128&amp;"",INDEX(I$1:I1127,SUMPRODUCT(MAX((A$1:A1127=A1128)*(B$1:B1127=B1128)*ROW(A$1:A1127))))&amp;"; "&amp;C1128))))</f>
        <v/>
      </c>
      <c r="J1128" s="18" t="str">
        <f aca="false">IF(A1128="","",A1128&amp;"|"&amp;COUNTIF(A$2:A1128,A1128))</f>
        <v/>
      </c>
      <c r="K1128" s="18" t="n">
        <f aca="false">IF(OR(A1128="",B1128=""),0,IF(COUNTIFS(A$2:A1128,A1128,B$2:B1128,B1128)=1,1,0))</f>
        <v>0</v>
      </c>
    </row>
    <row r="1129" customFormat="false" ht="15" hidden="false" customHeight="false" outlineLevel="0" collapsed="false">
      <c r="A1129" s="15"/>
      <c r="B1129" s="15"/>
      <c r="C1129" s="15"/>
      <c r="D1129" s="15"/>
      <c r="F1129" s="18" t="str">
        <f aca="false">IF(B1129="","",IFERROR(INDEX(Materials!$B$2:$B$201,MATCH(B1129,Materials!$A$2:$A$201,0)),""))</f>
        <v/>
      </c>
      <c r="G1129" s="18" t="str">
        <f aca="true">IF(AND(A1129="",B1129=""),"",IF(A1129="","Missing product",IF(B1129="","Missing material",IF(COUNTIF(ProductList,A1129)=0,"Product not in Products list",IF(COUNTIF(MaterialList,B1129)=0,"Material not in Materials list","OK")))))</f>
        <v/>
      </c>
      <c r="H1129" s="18" t="str">
        <f aca="false">IF(F1129="Active",A1129&amp;"|"&amp;COUNTIFS(A$2:A1129,A1129,F$2:F1129,"Active"),"")</f>
        <v/>
      </c>
      <c r="I1129" s="18" t="str">
        <f aca="false">IF(B1129="","",IF(SUMPRODUCT(MAX((A$1:A1128=A1129)*(B$1:B1128=B1129)*ROW(A$1:A1128)))=0,C1129&amp;"",IF(C1129="",INDEX(I$1:I1128,SUMPRODUCT(MAX((A$1:A1128=A1129)*(B$1:B1128=B1129)*ROW(A$1:A1128)))),IF(INDEX(I$1:I1128,SUMPRODUCT(MAX((A$1:A1128=A1129)*(B$1:B1128=B1129)*ROW(A$1:A1128))))="",C1129&amp;"",INDEX(I$1:I1128,SUMPRODUCT(MAX((A$1:A1128=A1129)*(B$1:B1128=B1129)*ROW(A$1:A1128))))&amp;"; "&amp;C1129))))</f>
        <v/>
      </c>
      <c r="J1129" s="18" t="str">
        <f aca="false">IF(A1129="","",A1129&amp;"|"&amp;COUNTIF(A$2:A1129,A1129))</f>
        <v/>
      </c>
      <c r="K1129" s="18" t="n">
        <f aca="false">IF(OR(A1129="",B1129=""),0,IF(COUNTIFS(A$2:A1129,A1129,B$2:B1129,B1129)=1,1,0))</f>
        <v>0</v>
      </c>
    </row>
    <row r="1130" customFormat="false" ht="15" hidden="false" customHeight="false" outlineLevel="0" collapsed="false">
      <c r="A1130" s="15"/>
      <c r="B1130" s="15"/>
      <c r="C1130" s="15"/>
      <c r="D1130" s="15"/>
      <c r="F1130" s="18" t="str">
        <f aca="false">IF(B1130="","",IFERROR(INDEX(Materials!$B$2:$B$201,MATCH(B1130,Materials!$A$2:$A$201,0)),""))</f>
        <v/>
      </c>
      <c r="G1130" s="18" t="str">
        <f aca="true">IF(AND(A1130="",B1130=""),"",IF(A1130="","Missing product",IF(B1130="","Missing material",IF(COUNTIF(ProductList,A1130)=0,"Product not in Products list",IF(COUNTIF(MaterialList,B1130)=0,"Material not in Materials list","OK")))))</f>
        <v/>
      </c>
      <c r="H1130" s="18" t="str">
        <f aca="false">IF(F1130="Active",A1130&amp;"|"&amp;COUNTIFS(A$2:A1130,A1130,F$2:F1130,"Active"),"")</f>
        <v/>
      </c>
      <c r="I1130" s="18" t="str">
        <f aca="false">IF(B1130="","",IF(SUMPRODUCT(MAX((A$1:A1129=A1130)*(B$1:B1129=B1130)*ROW(A$1:A1129)))=0,C1130&amp;"",IF(C1130="",INDEX(I$1:I1129,SUMPRODUCT(MAX((A$1:A1129=A1130)*(B$1:B1129=B1130)*ROW(A$1:A1129)))),IF(INDEX(I$1:I1129,SUMPRODUCT(MAX((A$1:A1129=A1130)*(B$1:B1129=B1130)*ROW(A$1:A1129))))="",C1130&amp;"",INDEX(I$1:I1129,SUMPRODUCT(MAX((A$1:A1129=A1130)*(B$1:B1129=B1130)*ROW(A$1:A1129))))&amp;"; "&amp;C1130))))</f>
        <v/>
      </c>
      <c r="J1130" s="18" t="str">
        <f aca="false">IF(A1130="","",A1130&amp;"|"&amp;COUNTIF(A$2:A1130,A1130))</f>
        <v/>
      </c>
      <c r="K1130" s="18" t="n">
        <f aca="false">IF(OR(A1130="",B1130=""),0,IF(COUNTIFS(A$2:A1130,A1130,B$2:B1130,B1130)=1,1,0))</f>
        <v>0</v>
      </c>
    </row>
    <row r="1131" customFormat="false" ht="15" hidden="false" customHeight="false" outlineLevel="0" collapsed="false">
      <c r="A1131" s="15"/>
      <c r="B1131" s="15"/>
      <c r="C1131" s="15"/>
      <c r="D1131" s="15"/>
      <c r="F1131" s="18" t="str">
        <f aca="false">IF(B1131="","",IFERROR(INDEX(Materials!$B$2:$B$201,MATCH(B1131,Materials!$A$2:$A$201,0)),""))</f>
        <v/>
      </c>
      <c r="G1131" s="18" t="str">
        <f aca="true">IF(AND(A1131="",B1131=""),"",IF(A1131="","Missing product",IF(B1131="","Missing material",IF(COUNTIF(ProductList,A1131)=0,"Product not in Products list",IF(COUNTIF(MaterialList,B1131)=0,"Material not in Materials list","OK")))))</f>
        <v/>
      </c>
      <c r="H1131" s="18" t="str">
        <f aca="false">IF(F1131="Active",A1131&amp;"|"&amp;COUNTIFS(A$2:A1131,A1131,F$2:F1131,"Active"),"")</f>
        <v/>
      </c>
      <c r="I1131" s="18" t="str">
        <f aca="false">IF(B1131="","",IF(SUMPRODUCT(MAX((A$1:A1130=A1131)*(B$1:B1130=B1131)*ROW(A$1:A1130)))=0,C1131&amp;"",IF(C1131="",INDEX(I$1:I1130,SUMPRODUCT(MAX((A$1:A1130=A1131)*(B$1:B1130=B1131)*ROW(A$1:A1130)))),IF(INDEX(I$1:I1130,SUMPRODUCT(MAX((A$1:A1130=A1131)*(B$1:B1130=B1131)*ROW(A$1:A1130))))="",C1131&amp;"",INDEX(I$1:I1130,SUMPRODUCT(MAX((A$1:A1130=A1131)*(B$1:B1130=B1131)*ROW(A$1:A1130))))&amp;"; "&amp;C1131))))</f>
        <v/>
      </c>
      <c r="J1131" s="18" t="str">
        <f aca="false">IF(A1131="","",A1131&amp;"|"&amp;COUNTIF(A$2:A1131,A1131))</f>
        <v/>
      </c>
      <c r="K1131" s="18" t="n">
        <f aca="false">IF(OR(A1131="",B1131=""),0,IF(COUNTIFS(A$2:A1131,A1131,B$2:B1131,B1131)=1,1,0))</f>
        <v>0</v>
      </c>
    </row>
    <row r="1132" customFormat="false" ht="15" hidden="false" customHeight="false" outlineLevel="0" collapsed="false">
      <c r="A1132" s="15"/>
      <c r="B1132" s="15"/>
      <c r="C1132" s="15"/>
      <c r="D1132" s="15"/>
      <c r="F1132" s="18" t="str">
        <f aca="false">IF(B1132="","",IFERROR(INDEX(Materials!$B$2:$B$201,MATCH(B1132,Materials!$A$2:$A$201,0)),""))</f>
        <v/>
      </c>
      <c r="G1132" s="18" t="str">
        <f aca="true">IF(AND(A1132="",B1132=""),"",IF(A1132="","Missing product",IF(B1132="","Missing material",IF(COUNTIF(ProductList,A1132)=0,"Product not in Products list",IF(COUNTIF(MaterialList,B1132)=0,"Material not in Materials list","OK")))))</f>
        <v/>
      </c>
      <c r="H1132" s="18" t="str">
        <f aca="false">IF(F1132="Active",A1132&amp;"|"&amp;COUNTIFS(A$2:A1132,A1132,F$2:F1132,"Active"),"")</f>
        <v/>
      </c>
      <c r="I1132" s="18" t="str">
        <f aca="false">IF(B1132="","",IF(SUMPRODUCT(MAX((A$1:A1131=A1132)*(B$1:B1131=B1132)*ROW(A$1:A1131)))=0,C1132&amp;"",IF(C1132="",INDEX(I$1:I1131,SUMPRODUCT(MAX((A$1:A1131=A1132)*(B$1:B1131=B1132)*ROW(A$1:A1131)))),IF(INDEX(I$1:I1131,SUMPRODUCT(MAX((A$1:A1131=A1132)*(B$1:B1131=B1132)*ROW(A$1:A1131))))="",C1132&amp;"",INDEX(I$1:I1131,SUMPRODUCT(MAX((A$1:A1131=A1132)*(B$1:B1131=B1132)*ROW(A$1:A1131))))&amp;"; "&amp;C1132))))</f>
        <v/>
      </c>
      <c r="J1132" s="18" t="str">
        <f aca="false">IF(A1132="","",A1132&amp;"|"&amp;COUNTIF(A$2:A1132,A1132))</f>
        <v/>
      </c>
      <c r="K1132" s="18" t="n">
        <f aca="false">IF(OR(A1132="",B1132=""),0,IF(COUNTIFS(A$2:A1132,A1132,B$2:B1132,B1132)=1,1,0))</f>
        <v>0</v>
      </c>
    </row>
    <row r="1133" customFormat="false" ht="15" hidden="false" customHeight="false" outlineLevel="0" collapsed="false">
      <c r="A1133" s="15"/>
      <c r="B1133" s="15"/>
      <c r="C1133" s="15"/>
      <c r="D1133" s="15"/>
      <c r="F1133" s="18" t="str">
        <f aca="false">IF(B1133="","",IFERROR(INDEX(Materials!$B$2:$B$201,MATCH(B1133,Materials!$A$2:$A$201,0)),""))</f>
        <v/>
      </c>
      <c r="G1133" s="18" t="str">
        <f aca="true">IF(AND(A1133="",B1133=""),"",IF(A1133="","Missing product",IF(B1133="","Missing material",IF(COUNTIF(ProductList,A1133)=0,"Product not in Products list",IF(COUNTIF(MaterialList,B1133)=0,"Material not in Materials list","OK")))))</f>
        <v/>
      </c>
      <c r="H1133" s="18" t="str">
        <f aca="false">IF(F1133="Active",A1133&amp;"|"&amp;COUNTIFS(A$2:A1133,A1133,F$2:F1133,"Active"),"")</f>
        <v/>
      </c>
      <c r="I1133" s="18" t="str">
        <f aca="false">IF(B1133="","",IF(SUMPRODUCT(MAX((A$1:A1132=A1133)*(B$1:B1132=B1133)*ROW(A$1:A1132)))=0,C1133&amp;"",IF(C1133="",INDEX(I$1:I1132,SUMPRODUCT(MAX((A$1:A1132=A1133)*(B$1:B1132=B1133)*ROW(A$1:A1132)))),IF(INDEX(I$1:I1132,SUMPRODUCT(MAX((A$1:A1132=A1133)*(B$1:B1132=B1133)*ROW(A$1:A1132))))="",C1133&amp;"",INDEX(I$1:I1132,SUMPRODUCT(MAX((A$1:A1132=A1133)*(B$1:B1132=B1133)*ROW(A$1:A1132))))&amp;"; "&amp;C1133))))</f>
        <v/>
      </c>
      <c r="J1133" s="18" t="str">
        <f aca="false">IF(A1133="","",A1133&amp;"|"&amp;COUNTIF(A$2:A1133,A1133))</f>
        <v/>
      </c>
      <c r="K1133" s="18" t="n">
        <f aca="false">IF(OR(A1133="",B1133=""),0,IF(COUNTIFS(A$2:A1133,A1133,B$2:B1133,B1133)=1,1,0))</f>
        <v>0</v>
      </c>
    </row>
    <row r="1134" customFormat="false" ht="15" hidden="false" customHeight="false" outlineLevel="0" collapsed="false">
      <c r="A1134" s="15"/>
      <c r="B1134" s="15"/>
      <c r="C1134" s="15"/>
      <c r="D1134" s="15"/>
      <c r="F1134" s="18" t="str">
        <f aca="false">IF(B1134="","",IFERROR(INDEX(Materials!$B$2:$B$201,MATCH(B1134,Materials!$A$2:$A$201,0)),""))</f>
        <v/>
      </c>
      <c r="G1134" s="18" t="str">
        <f aca="true">IF(AND(A1134="",B1134=""),"",IF(A1134="","Missing product",IF(B1134="","Missing material",IF(COUNTIF(ProductList,A1134)=0,"Product not in Products list",IF(COUNTIF(MaterialList,B1134)=0,"Material not in Materials list","OK")))))</f>
        <v/>
      </c>
      <c r="H1134" s="18" t="str">
        <f aca="false">IF(F1134="Active",A1134&amp;"|"&amp;COUNTIFS(A$2:A1134,A1134,F$2:F1134,"Active"),"")</f>
        <v/>
      </c>
      <c r="I1134" s="18" t="str">
        <f aca="false">IF(B1134="","",IF(SUMPRODUCT(MAX((A$1:A1133=A1134)*(B$1:B1133=B1134)*ROW(A$1:A1133)))=0,C1134&amp;"",IF(C1134="",INDEX(I$1:I1133,SUMPRODUCT(MAX((A$1:A1133=A1134)*(B$1:B1133=B1134)*ROW(A$1:A1133)))),IF(INDEX(I$1:I1133,SUMPRODUCT(MAX((A$1:A1133=A1134)*(B$1:B1133=B1134)*ROW(A$1:A1133))))="",C1134&amp;"",INDEX(I$1:I1133,SUMPRODUCT(MAX((A$1:A1133=A1134)*(B$1:B1133=B1134)*ROW(A$1:A1133))))&amp;"; "&amp;C1134))))</f>
        <v/>
      </c>
      <c r="J1134" s="18" t="str">
        <f aca="false">IF(A1134="","",A1134&amp;"|"&amp;COUNTIF(A$2:A1134,A1134))</f>
        <v/>
      </c>
      <c r="K1134" s="18" t="n">
        <f aca="false">IF(OR(A1134="",B1134=""),0,IF(COUNTIFS(A$2:A1134,A1134,B$2:B1134,B1134)=1,1,0))</f>
        <v>0</v>
      </c>
    </row>
    <row r="1135" customFormat="false" ht="15" hidden="false" customHeight="false" outlineLevel="0" collapsed="false">
      <c r="A1135" s="15"/>
      <c r="B1135" s="15"/>
      <c r="C1135" s="15"/>
      <c r="D1135" s="15"/>
      <c r="F1135" s="18" t="str">
        <f aca="false">IF(B1135="","",IFERROR(INDEX(Materials!$B$2:$B$201,MATCH(B1135,Materials!$A$2:$A$201,0)),""))</f>
        <v/>
      </c>
      <c r="G1135" s="18" t="str">
        <f aca="true">IF(AND(A1135="",B1135=""),"",IF(A1135="","Missing product",IF(B1135="","Missing material",IF(COUNTIF(ProductList,A1135)=0,"Product not in Products list",IF(COUNTIF(MaterialList,B1135)=0,"Material not in Materials list","OK")))))</f>
        <v/>
      </c>
      <c r="H1135" s="18" t="str">
        <f aca="false">IF(F1135="Active",A1135&amp;"|"&amp;COUNTIFS(A$2:A1135,A1135,F$2:F1135,"Active"),"")</f>
        <v/>
      </c>
      <c r="I1135" s="18" t="str">
        <f aca="false">IF(B1135="","",IF(SUMPRODUCT(MAX((A$1:A1134=A1135)*(B$1:B1134=B1135)*ROW(A$1:A1134)))=0,C1135&amp;"",IF(C1135="",INDEX(I$1:I1134,SUMPRODUCT(MAX((A$1:A1134=A1135)*(B$1:B1134=B1135)*ROW(A$1:A1134)))),IF(INDEX(I$1:I1134,SUMPRODUCT(MAX((A$1:A1134=A1135)*(B$1:B1134=B1135)*ROW(A$1:A1134))))="",C1135&amp;"",INDEX(I$1:I1134,SUMPRODUCT(MAX((A$1:A1134=A1135)*(B$1:B1134=B1135)*ROW(A$1:A1134))))&amp;"; "&amp;C1135))))</f>
        <v/>
      </c>
      <c r="J1135" s="18" t="str">
        <f aca="false">IF(A1135="","",A1135&amp;"|"&amp;COUNTIF(A$2:A1135,A1135))</f>
        <v/>
      </c>
      <c r="K1135" s="18" t="n">
        <f aca="false">IF(OR(A1135="",B1135=""),0,IF(COUNTIFS(A$2:A1135,A1135,B$2:B1135,B1135)=1,1,0))</f>
        <v>0</v>
      </c>
    </row>
    <row r="1136" customFormat="false" ht="15" hidden="false" customHeight="false" outlineLevel="0" collapsed="false">
      <c r="A1136" s="15"/>
      <c r="B1136" s="15"/>
      <c r="C1136" s="15"/>
      <c r="D1136" s="15"/>
      <c r="F1136" s="18" t="str">
        <f aca="false">IF(B1136="","",IFERROR(INDEX(Materials!$B$2:$B$201,MATCH(B1136,Materials!$A$2:$A$201,0)),""))</f>
        <v/>
      </c>
      <c r="G1136" s="18" t="str">
        <f aca="true">IF(AND(A1136="",B1136=""),"",IF(A1136="","Missing product",IF(B1136="","Missing material",IF(COUNTIF(ProductList,A1136)=0,"Product not in Products list",IF(COUNTIF(MaterialList,B1136)=0,"Material not in Materials list","OK")))))</f>
        <v/>
      </c>
      <c r="H1136" s="18" t="str">
        <f aca="false">IF(F1136="Active",A1136&amp;"|"&amp;COUNTIFS(A$2:A1136,A1136,F$2:F1136,"Active"),"")</f>
        <v/>
      </c>
      <c r="I1136" s="18" t="str">
        <f aca="false">IF(B1136="","",IF(SUMPRODUCT(MAX((A$1:A1135=A1136)*(B$1:B1135=B1136)*ROW(A$1:A1135)))=0,C1136&amp;"",IF(C1136="",INDEX(I$1:I1135,SUMPRODUCT(MAX((A$1:A1135=A1136)*(B$1:B1135=B1136)*ROW(A$1:A1135)))),IF(INDEX(I$1:I1135,SUMPRODUCT(MAX((A$1:A1135=A1136)*(B$1:B1135=B1136)*ROW(A$1:A1135))))="",C1136&amp;"",INDEX(I$1:I1135,SUMPRODUCT(MAX((A$1:A1135=A1136)*(B$1:B1135=B1136)*ROW(A$1:A1135))))&amp;"; "&amp;C1136))))</f>
        <v/>
      </c>
      <c r="J1136" s="18" t="str">
        <f aca="false">IF(A1136="","",A1136&amp;"|"&amp;COUNTIF(A$2:A1136,A1136))</f>
        <v/>
      </c>
      <c r="K1136" s="18" t="n">
        <f aca="false">IF(OR(A1136="",B1136=""),0,IF(COUNTIFS(A$2:A1136,A1136,B$2:B1136,B1136)=1,1,0))</f>
        <v>0</v>
      </c>
    </row>
    <row r="1137" customFormat="false" ht="15" hidden="false" customHeight="false" outlineLevel="0" collapsed="false">
      <c r="A1137" s="15"/>
      <c r="B1137" s="15"/>
      <c r="C1137" s="15"/>
      <c r="D1137" s="15"/>
      <c r="F1137" s="18" t="str">
        <f aca="false">IF(B1137="","",IFERROR(INDEX(Materials!$B$2:$B$201,MATCH(B1137,Materials!$A$2:$A$201,0)),""))</f>
        <v/>
      </c>
      <c r="G1137" s="18" t="str">
        <f aca="true">IF(AND(A1137="",B1137=""),"",IF(A1137="","Missing product",IF(B1137="","Missing material",IF(COUNTIF(ProductList,A1137)=0,"Product not in Products list",IF(COUNTIF(MaterialList,B1137)=0,"Material not in Materials list","OK")))))</f>
        <v/>
      </c>
      <c r="H1137" s="18" t="str">
        <f aca="false">IF(F1137="Active",A1137&amp;"|"&amp;COUNTIFS(A$2:A1137,A1137,F$2:F1137,"Active"),"")</f>
        <v/>
      </c>
      <c r="I1137" s="18" t="str">
        <f aca="false">IF(B1137="","",IF(SUMPRODUCT(MAX((A$1:A1136=A1137)*(B$1:B1136=B1137)*ROW(A$1:A1136)))=0,C1137&amp;"",IF(C1137="",INDEX(I$1:I1136,SUMPRODUCT(MAX((A$1:A1136=A1137)*(B$1:B1136=B1137)*ROW(A$1:A1136)))),IF(INDEX(I$1:I1136,SUMPRODUCT(MAX((A$1:A1136=A1137)*(B$1:B1136=B1137)*ROW(A$1:A1136))))="",C1137&amp;"",INDEX(I$1:I1136,SUMPRODUCT(MAX((A$1:A1136=A1137)*(B$1:B1136=B1137)*ROW(A$1:A1136))))&amp;"; "&amp;C1137))))</f>
        <v/>
      </c>
      <c r="J1137" s="18" t="str">
        <f aca="false">IF(A1137="","",A1137&amp;"|"&amp;COUNTIF(A$2:A1137,A1137))</f>
        <v/>
      </c>
      <c r="K1137" s="18" t="n">
        <f aca="false">IF(OR(A1137="",B1137=""),0,IF(COUNTIFS(A$2:A1137,A1137,B$2:B1137,B1137)=1,1,0))</f>
        <v>0</v>
      </c>
    </row>
    <row r="1138" customFormat="false" ht="15" hidden="false" customHeight="false" outlineLevel="0" collapsed="false">
      <c r="A1138" s="15"/>
      <c r="B1138" s="15"/>
      <c r="C1138" s="15"/>
      <c r="D1138" s="15"/>
      <c r="F1138" s="18" t="str">
        <f aca="false">IF(B1138="","",IFERROR(INDEX(Materials!$B$2:$B$201,MATCH(B1138,Materials!$A$2:$A$201,0)),""))</f>
        <v/>
      </c>
      <c r="G1138" s="18" t="str">
        <f aca="true">IF(AND(A1138="",B1138=""),"",IF(A1138="","Missing product",IF(B1138="","Missing material",IF(COUNTIF(ProductList,A1138)=0,"Product not in Products list",IF(COUNTIF(MaterialList,B1138)=0,"Material not in Materials list","OK")))))</f>
        <v/>
      </c>
      <c r="H1138" s="18" t="str">
        <f aca="false">IF(F1138="Active",A1138&amp;"|"&amp;COUNTIFS(A$2:A1138,A1138,F$2:F1138,"Active"),"")</f>
        <v/>
      </c>
      <c r="I1138" s="18" t="str">
        <f aca="false">IF(B1138="","",IF(SUMPRODUCT(MAX((A$1:A1137=A1138)*(B$1:B1137=B1138)*ROW(A$1:A1137)))=0,C1138&amp;"",IF(C1138="",INDEX(I$1:I1137,SUMPRODUCT(MAX((A$1:A1137=A1138)*(B$1:B1137=B1138)*ROW(A$1:A1137)))),IF(INDEX(I$1:I1137,SUMPRODUCT(MAX((A$1:A1137=A1138)*(B$1:B1137=B1138)*ROW(A$1:A1137))))="",C1138&amp;"",INDEX(I$1:I1137,SUMPRODUCT(MAX((A$1:A1137=A1138)*(B$1:B1137=B1138)*ROW(A$1:A1137))))&amp;"; "&amp;C1138))))</f>
        <v/>
      </c>
      <c r="J1138" s="18" t="str">
        <f aca="false">IF(A1138="","",A1138&amp;"|"&amp;COUNTIF(A$2:A1138,A1138))</f>
        <v/>
      </c>
      <c r="K1138" s="18" t="n">
        <f aca="false">IF(OR(A1138="",B1138=""),0,IF(COUNTIFS(A$2:A1138,A1138,B$2:B1138,B1138)=1,1,0))</f>
        <v>0</v>
      </c>
    </row>
    <row r="1139" customFormat="false" ht="15" hidden="false" customHeight="false" outlineLevel="0" collapsed="false">
      <c r="A1139" s="15"/>
      <c r="B1139" s="15"/>
      <c r="C1139" s="15"/>
      <c r="D1139" s="15"/>
      <c r="F1139" s="18" t="str">
        <f aca="false">IF(B1139="","",IFERROR(INDEX(Materials!$B$2:$B$201,MATCH(B1139,Materials!$A$2:$A$201,0)),""))</f>
        <v/>
      </c>
      <c r="G1139" s="18" t="str">
        <f aca="true">IF(AND(A1139="",B1139=""),"",IF(A1139="","Missing product",IF(B1139="","Missing material",IF(COUNTIF(ProductList,A1139)=0,"Product not in Products list",IF(COUNTIF(MaterialList,B1139)=0,"Material not in Materials list","OK")))))</f>
        <v/>
      </c>
      <c r="H1139" s="18" t="str">
        <f aca="false">IF(F1139="Active",A1139&amp;"|"&amp;COUNTIFS(A$2:A1139,A1139,F$2:F1139,"Active"),"")</f>
        <v/>
      </c>
      <c r="I1139" s="18" t="str">
        <f aca="false">IF(B1139="","",IF(SUMPRODUCT(MAX((A$1:A1138=A1139)*(B$1:B1138=B1139)*ROW(A$1:A1138)))=0,C1139&amp;"",IF(C1139="",INDEX(I$1:I1138,SUMPRODUCT(MAX((A$1:A1138=A1139)*(B$1:B1138=B1139)*ROW(A$1:A1138)))),IF(INDEX(I$1:I1138,SUMPRODUCT(MAX((A$1:A1138=A1139)*(B$1:B1138=B1139)*ROW(A$1:A1138))))="",C1139&amp;"",INDEX(I$1:I1138,SUMPRODUCT(MAX((A$1:A1138=A1139)*(B$1:B1138=B1139)*ROW(A$1:A1138))))&amp;"; "&amp;C1139))))</f>
        <v/>
      </c>
      <c r="J1139" s="18" t="str">
        <f aca="false">IF(A1139="","",A1139&amp;"|"&amp;COUNTIF(A$2:A1139,A1139))</f>
        <v/>
      </c>
      <c r="K1139" s="18" t="n">
        <f aca="false">IF(OR(A1139="",B1139=""),0,IF(COUNTIFS(A$2:A1139,A1139,B$2:B1139,B1139)=1,1,0))</f>
        <v>0</v>
      </c>
    </row>
    <row r="1140" customFormat="false" ht="15" hidden="false" customHeight="false" outlineLevel="0" collapsed="false">
      <c r="A1140" s="15"/>
      <c r="B1140" s="15"/>
      <c r="C1140" s="15"/>
      <c r="D1140" s="15"/>
      <c r="F1140" s="18" t="str">
        <f aca="false">IF(B1140="","",IFERROR(INDEX(Materials!$B$2:$B$201,MATCH(B1140,Materials!$A$2:$A$201,0)),""))</f>
        <v/>
      </c>
      <c r="G1140" s="18" t="str">
        <f aca="true">IF(AND(A1140="",B1140=""),"",IF(A1140="","Missing product",IF(B1140="","Missing material",IF(COUNTIF(ProductList,A1140)=0,"Product not in Products list",IF(COUNTIF(MaterialList,B1140)=0,"Material not in Materials list","OK")))))</f>
        <v/>
      </c>
      <c r="H1140" s="18" t="str">
        <f aca="false">IF(F1140="Active",A1140&amp;"|"&amp;COUNTIFS(A$2:A1140,A1140,F$2:F1140,"Active"),"")</f>
        <v/>
      </c>
      <c r="I1140" s="18" t="str">
        <f aca="false">IF(B1140="","",IF(SUMPRODUCT(MAX((A$1:A1139=A1140)*(B$1:B1139=B1140)*ROW(A$1:A1139)))=0,C1140&amp;"",IF(C1140="",INDEX(I$1:I1139,SUMPRODUCT(MAX((A$1:A1139=A1140)*(B$1:B1139=B1140)*ROW(A$1:A1139)))),IF(INDEX(I$1:I1139,SUMPRODUCT(MAX((A$1:A1139=A1140)*(B$1:B1139=B1140)*ROW(A$1:A1139))))="",C1140&amp;"",INDEX(I$1:I1139,SUMPRODUCT(MAX((A$1:A1139=A1140)*(B$1:B1139=B1140)*ROW(A$1:A1139))))&amp;"; "&amp;C1140))))</f>
        <v/>
      </c>
      <c r="J1140" s="18" t="str">
        <f aca="false">IF(A1140="","",A1140&amp;"|"&amp;COUNTIF(A$2:A1140,A1140))</f>
        <v/>
      </c>
      <c r="K1140" s="18" t="n">
        <f aca="false">IF(OR(A1140="",B1140=""),0,IF(COUNTIFS(A$2:A1140,A1140,B$2:B1140,B1140)=1,1,0))</f>
        <v>0</v>
      </c>
    </row>
    <row r="1141" customFormat="false" ht="15" hidden="false" customHeight="false" outlineLevel="0" collapsed="false">
      <c r="A1141" s="15"/>
      <c r="B1141" s="15"/>
      <c r="C1141" s="15"/>
      <c r="D1141" s="15"/>
      <c r="F1141" s="18" t="str">
        <f aca="false">IF(B1141="","",IFERROR(INDEX(Materials!$B$2:$B$201,MATCH(B1141,Materials!$A$2:$A$201,0)),""))</f>
        <v/>
      </c>
      <c r="G1141" s="18" t="str">
        <f aca="true">IF(AND(A1141="",B1141=""),"",IF(A1141="","Missing product",IF(B1141="","Missing material",IF(COUNTIF(ProductList,A1141)=0,"Product not in Products list",IF(COUNTIF(MaterialList,B1141)=0,"Material not in Materials list","OK")))))</f>
        <v/>
      </c>
      <c r="H1141" s="18" t="str">
        <f aca="false">IF(F1141="Active",A1141&amp;"|"&amp;COUNTIFS(A$2:A1141,A1141,F$2:F1141,"Active"),"")</f>
        <v/>
      </c>
      <c r="I1141" s="18" t="str">
        <f aca="false">IF(B1141="","",IF(SUMPRODUCT(MAX((A$1:A1140=A1141)*(B$1:B1140=B1141)*ROW(A$1:A1140)))=0,C1141&amp;"",IF(C1141="",INDEX(I$1:I1140,SUMPRODUCT(MAX((A$1:A1140=A1141)*(B$1:B1140=B1141)*ROW(A$1:A1140)))),IF(INDEX(I$1:I1140,SUMPRODUCT(MAX((A$1:A1140=A1141)*(B$1:B1140=B1141)*ROW(A$1:A1140))))="",C1141&amp;"",INDEX(I$1:I1140,SUMPRODUCT(MAX((A$1:A1140=A1141)*(B$1:B1140=B1141)*ROW(A$1:A1140))))&amp;"; "&amp;C1141))))</f>
        <v/>
      </c>
      <c r="J1141" s="18" t="str">
        <f aca="false">IF(A1141="","",A1141&amp;"|"&amp;COUNTIF(A$2:A1141,A1141))</f>
        <v/>
      </c>
      <c r="K1141" s="18" t="n">
        <f aca="false">IF(OR(A1141="",B1141=""),0,IF(COUNTIFS(A$2:A1141,A1141,B$2:B1141,B1141)=1,1,0))</f>
        <v>0</v>
      </c>
    </row>
    <row r="1142" customFormat="false" ht="15" hidden="false" customHeight="false" outlineLevel="0" collapsed="false">
      <c r="A1142" s="15"/>
      <c r="B1142" s="15"/>
      <c r="C1142" s="15"/>
      <c r="D1142" s="15"/>
      <c r="F1142" s="18" t="str">
        <f aca="false">IF(B1142="","",IFERROR(INDEX(Materials!$B$2:$B$201,MATCH(B1142,Materials!$A$2:$A$201,0)),""))</f>
        <v/>
      </c>
      <c r="G1142" s="18" t="str">
        <f aca="true">IF(AND(A1142="",B1142=""),"",IF(A1142="","Missing product",IF(B1142="","Missing material",IF(COUNTIF(ProductList,A1142)=0,"Product not in Products list",IF(COUNTIF(MaterialList,B1142)=0,"Material not in Materials list","OK")))))</f>
        <v/>
      </c>
      <c r="H1142" s="18" t="str">
        <f aca="false">IF(F1142="Active",A1142&amp;"|"&amp;COUNTIFS(A$2:A1142,A1142,F$2:F1142,"Active"),"")</f>
        <v/>
      </c>
      <c r="I1142" s="18" t="str">
        <f aca="false">IF(B1142="","",IF(SUMPRODUCT(MAX((A$1:A1141=A1142)*(B$1:B1141=B1142)*ROW(A$1:A1141)))=0,C1142&amp;"",IF(C1142="",INDEX(I$1:I1141,SUMPRODUCT(MAX((A$1:A1141=A1142)*(B$1:B1141=B1142)*ROW(A$1:A1141)))),IF(INDEX(I$1:I1141,SUMPRODUCT(MAX((A$1:A1141=A1142)*(B$1:B1141=B1142)*ROW(A$1:A1141))))="",C1142&amp;"",INDEX(I$1:I1141,SUMPRODUCT(MAX((A$1:A1141=A1142)*(B$1:B1141=B1142)*ROW(A$1:A1141))))&amp;"; "&amp;C1142))))</f>
        <v/>
      </c>
      <c r="J1142" s="18" t="str">
        <f aca="false">IF(A1142="","",A1142&amp;"|"&amp;COUNTIF(A$2:A1142,A1142))</f>
        <v/>
      </c>
      <c r="K1142" s="18" t="n">
        <f aca="false">IF(OR(A1142="",B1142=""),0,IF(COUNTIFS(A$2:A1142,A1142,B$2:B1142,B1142)=1,1,0))</f>
        <v>0</v>
      </c>
    </row>
    <row r="1143" customFormat="false" ht="15" hidden="false" customHeight="false" outlineLevel="0" collapsed="false">
      <c r="A1143" s="15"/>
      <c r="B1143" s="15"/>
      <c r="C1143" s="15"/>
      <c r="D1143" s="15"/>
      <c r="F1143" s="18" t="str">
        <f aca="false">IF(B1143="","",IFERROR(INDEX(Materials!$B$2:$B$201,MATCH(B1143,Materials!$A$2:$A$201,0)),""))</f>
        <v/>
      </c>
      <c r="G1143" s="18" t="str">
        <f aca="true">IF(AND(A1143="",B1143=""),"",IF(A1143="","Missing product",IF(B1143="","Missing material",IF(COUNTIF(ProductList,A1143)=0,"Product not in Products list",IF(COUNTIF(MaterialList,B1143)=0,"Material not in Materials list","OK")))))</f>
        <v/>
      </c>
      <c r="H1143" s="18" t="str">
        <f aca="false">IF(F1143="Active",A1143&amp;"|"&amp;COUNTIFS(A$2:A1143,A1143,F$2:F1143,"Active"),"")</f>
        <v/>
      </c>
      <c r="I1143" s="18" t="str">
        <f aca="false">IF(B1143="","",IF(SUMPRODUCT(MAX((A$1:A1142=A1143)*(B$1:B1142=B1143)*ROW(A$1:A1142)))=0,C1143&amp;"",IF(C1143="",INDEX(I$1:I1142,SUMPRODUCT(MAX((A$1:A1142=A1143)*(B$1:B1142=B1143)*ROW(A$1:A1142)))),IF(INDEX(I$1:I1142,SUMPRODUCT(MAX((A$1:A1142=A1143)*(B$1:B1142=B1143)*ROW(A$1:A1142))))="",C1143&amp;"",INDEX(I$1:I1142,SUMPRODUCT(MAX((A$1:A1142=A1143)*(B$1:B1142=B1143)*ROW(A$1:A1142))))&amp;"; "&amp;C1143))))</f>
        <v/>
      </c>
      <c r="J1143" s="18" t="str">
        <f aca="false">IF(A1143="","",A1143&amp;"|"&amp;COUNTIF(A$2:A1143,A1143))</f>
        <v/>
      </c>
      <c r="K1143" s="18" t="n">
        <f aca="false">IF(OR(A1143="",B1143=""),0,IF(COUNTIFS(A$2:A1143,A1143,B$2:B1143,B1143)=1,1,0))</f>
        <v>0</v>
      </c>
    </row>
    <row r="1144" customFormat="false" ht="15" hidden="false" customHeight="false" outlineLevel="0" collapsed="false">
      <c r="A1144" s="15"/>
      <c r="B1144" s="15"/>
      <c r="C1144" s="15"/>
      <c r="D1144" s="15"/>
      <c r="F1144" s="18" t="str">
        <f aca="false">IF(B1144="","",IFERROR(INDEX(Materials!$B$2:$B$201,MATCH(B1144,Materials!$A$2:$A$201,0)),""))</f>
        <v/>
      </c>
      <c r="G1144" s="18" t="str">
        <f aca="true">IF(AND(A1144="",B1144=""),"",IF(A1144="","Missing product",IF(B1144="","Missing material",IF(COUNTIF(ProductList,A1144)=0,"Product not in Products list",IF(COUNTIF(MaterialList,B1144)=0,"Material not in Materials list","OK")))))</f>
        <v/>
      </c>
      <c r="H1144" s="18" t="str">
        <f aca="false">IF(F1144="Active",A1144&amp;"|"&amp;COUNTIFS(A$2:A1144,A1144,F$2:F1144,"Active"),"")</f>
        <v/>
      </c>
      <c r="I1144" s="18" t="str">
        <f aca="false">IF(B1144="","",IF(SUMPRODUCT(MAX((A$1:A1143=A1144)*(B$1:B1143=B1144)*ROW(A$1:A1143)))=0,C1144&amp;"",IF(C1144="",INDEX(I$1:I1143,SUMPRODUCT(MAX((A$1:A1143=A1144)*(B$1:B1143=B1144)*ROW(A$1:A1143)))),IF(INDEX(I$1:I1143,SUMPRODUCT(MAX((A$1:A1143=A1144)*(B$1:B1143=B1144)*ROW(A$1:A1143))))="",C1144&amp;"",INDEX(I$1:I1143,SUMPRODUCT(MAX((A$1:A1143=A1144)*(B$1:B1143=B1144)*ROW(A$1:A1143))))&amp;"; "&amp;C1144))))</f>
        <v/>
      </c>
      <c r="J1144" s="18" t="str">
        <f aca="false">IF(A1144="","",A1144&amp;"|"&amp;COUNTIF(A$2:A1144,A1144))</f>
        <v/>
      </c>
      <c r="K1144" s="18" t="n">
        <f aca="false">IF(OR(A1144="",B1144=""),0,IF(COUNTIFS(A$2:A1144,A1144,B$2:B1144,B1144)=1,1,0))</f>
        <v>0</v>
      </c>
    </row>
    <row r="1145" customFormat="false" ht="15" hidden="false" customHeight="false" outlineLevel="0" collapsed="false">
      <c r="A1145" s="15"/>
      <c r="B1145" s="15"/>
      <c r="C1145" s="15"/>
      <c r="D1145" s="15"/>
      <c r="F1145" s="18" t="str">
        <f aca="false">IF(B1145="","",IFERROR(INDEX(Materials!$B$2:$B$201,MATCH(B1145,Materials!$A$2:$A$201,0)),""))</f>
        <v/>
      </c>
      <c r="G1145" s="18" t="str">
        <f aca="true">IF(AND(A1145="",B1145=""),"",IF(A1145="","Missing product",IF(B1145="","Missing material",IF(COUNTIF(ProductList,A1145)=0,"Product not in Products list",IF(COUNTIF(MaterialList,B1145)=0,"Material not in Materials list","OK")))))</f>
        <v/>
      </c>
      <c r="H1145" s="18" t="str">
        <f aca="false">IF(F1145="Active",A1145&amp;"|"&amp;COUNTIFS(A$2:A1145,A1145,F$2:F1145,"Active"),"")</f>
        <v/>
      </c>
      <c r="I1145" s="18" t="str">
        <f aca="false">IF(B1145="","",IF(SUMPRODUCT(MAX((A$1:A1144=A1145)*(B$1:B1144=B1145)*ROW(A$1:A1144)))=0,C1145&amp;"",IF(C1145="",INDEX(I$1:I1144,SUMPRODUCT(MAX((A$1:A1144=A1145)*(B$1:B1144=B1145)*ROW(A$1:A1144)))),IF(INDEX(I$1:I1144,SUMPRODUCT(MAX((A$1:A1144=A1145)*(B$1:B1144=B1145)*ROW(A$1:A1144))))="",C1145&amp;"",INDEX(I$1:I1144,SUMPRODUCT(MAX((A$1:A1144=A1145)*(B$1:B1144=B1145)*ROW(A$1:A1144))))&amp;"; "&amp;C1145))))</f>
        <v/>
      </c>
      <c r="J1145" s="18" t="str">
        <f aca="false">IF(A1145="","",A1145&amp;"|"&amp;COUNTIF(A$2:A1145,A1145))</f>
        <v/>
      </c>
      <c r="K1145" s="18" t="n">
        <f aca="false">IF(OR(A1145="",B1145=""),0,IF(COUNTIFS(A$2:A1145,A1145,B$2:B1145,B1145)=1,1,0))</f>
        <v>0</v>
      </c>
    </row>
    <row r="1146" customFormat="false" ht="15" hidden="false" customHeight="false" outlineLevel="0" collapsed="false">
      <c r="A1146" s="15"/>
      <c r="B1146" s="15"/>
      <c r="C1146" s="15"/>
      <c r="D1146" s="15"/>
      <c r="F1146" s="18" t="str">
        <f aca="false">IF(B1146="","",IFERROR(INDEX(Materials!$B$2:$B$201,MATCH(B1146,Materials!$A$2:$A$201,0)),""))</f>
        <v/>
      </c>
      <c r="G1146" s="18" t="str">
        <f aca="true">IF(AND(A1146="",B1146=""),"",IF(A1146="","Missing product",IF(B1146="","Missing material",IF(COUNTIF(ProductList,A1146)=0,"Product not in Products list",IF(COUNTIF(MaterialList,B1146)=0,"Material not in Materials list","OK")))))</f>
        <v/>
      </c>
      <c r="H1146" s="18" t="str">
        <f aca="false">IF(F1146="Active",A1146&amp;"|"&amp;COUNTIFS(A$2:A1146,A1146,F$2:F1146,"Active"),"")</f>
        <v/>
      </c>
      <c r="I1146" s="18" t="str">
        <f aca="false">IF(B1146="","",IF(SUMPRODUCT(MAX((A$1:A1145=A1146)*(B$1:B1145=B1146)*ROW(A$1:A1145)))=0,C1146&amp;"",IF(C1146="",INDEX(I$1:I1145,SUMPRODUCT(MAX((A$1:A1145=A1146)*(B$1:B1145=B1146)*ROW(A$1:A1145)))),IF(INDEX(I$1:I1145,SUMPRODUCT(MAX((A$1:A1145=A1146)*(B$1:B1145=B1146)*ROW(A$1:A1145))))="",C1146&amp;"",INDEX(I$1:I1145,SUMPRODUCT(MAX((A$1:A1145=A1146)*(B$1:B1145=B1146)*ROW(A$1:A1145))))&amp;"; "&amp;C1146))))</f>
        <v/>
      </c>
      <c r="J1146" s="18" t="str">
        <f aca="false">IF(A1146="","",A1146&amp;"|"&amp;COUNTIF(A$2:A1146,A1146))</f>
        <v/>
      </c>
      <c r="K1146" s="18" t="n">
        <f aca="false">IF(OR(A1146="",B1146=""),0,IF(COUNTIFS(A$2:A1146,A1146,B$2:B1146,B1146)=1,1,0))</f>
        <v>0</v>
      </c>
    </row>
    <row r="1147" customFormat="false" ht="15" hidden="false" customHeight="false" outlineLevel="0" collapsed="false">
      <c r="A1147" s="15"/>
      <c r="B1147" s="15"/>
      <c r="C1147" s="15"/>
      <c r="D1147" s="15"/>
      <c r="F1147" s="18" t="str">
        <f aca="false">IF(B1147="","",IFERROR(INDEX(Materials!$B$2:$B$201,MATCH(B1147,Materials!$A$2:$A$201,0)),""))</f>
        <v/>
      </c>
      <c r="G1147" s="18" t="str">
        <f aca="true">IF(AND(A1147="",B1147=""),"",IF(A1147="","Missing product",IF(B1147="","Missing material",IF(COUNTIF(ProductList,A1147)=0,"Product not in Products list",IF(COUNTIF(MaterialList,B1147)=0,"Material not in Materials list","OK")))))</f>
        <v/>
      </c>
      <c r="H1147" s="18" t="str">
        <f aca="false">IF(F1147="Active",A1147&amp;"|"&amp;COUNTIFS(A$2:A1147,A1147,F$2:F1147,"Active"),"")</f>
        <v/>
      </c>
      <c r="I1147" s="18" t="str">
        <f aca="false">IF(B1147="","",IF(SUMPRODUCT(MAX((A$1:A1146=A1147)*(B$1:B1146=B1147)*ROW(A$1:A1146)))=0,C1147&amp;"",IF(C1147="",INDEX(I$1:I1146,SUMPRODUCT(MAX((A$1:A1146=A1147)*(B$1:B1146=B1147)*ROW(A$1:A1146)))),IF(INDEX(I$1:I1146,SUMPRODUCT(MAX((A$1:A1146=A1147)*(B$1:B1146=B1147)*ROW(A$1:A1146))))="",C1147&amp;"",INDEX(I$1:I1146,SUMPRODUCT(MAX((A$1:A1146=A1147)*(B$1:B1146=B1147)*ROW(A$1:A1146))))&amp;"; "&amp;C1147))))</f>
        <v/>
      </c>
      <c r="J1147" s="18" t="str">
        <f aca="false">IF(A1147="","",A1147&amp;"|"&amp;COUNTIF(A$2:A1147,A1147))</f>
        <v/>
      </c>
      <c r="K1147" s="18" t="n">
        <f aca="false">IF(OR(A1147="",B1147=""),0,IF(COUNTIFS(A$2:A1147,A1147,B$2:B1147,B1147)=1,1,0))</f>
        <v>0</v>
      </c>
    </row>
    <row r="1148" customFormat="false" ht="15" hidden="false" customHeight="false" outlineLevel="0" collapsed="false">
      <c r="A1148" s="15"/>
      <c r="B1148" s="15"/>
      <c r="C1148" s="15"/>
      <c r="D1148" s="15"/>
      <c r="F1148" s="18" t="str">
        <f aca="false">IF(B1148="","",IFERROR(INDEX(Materials!$B$2:$B$201,MATCH(B1148,Materials!$A$2:$A$201,0)),""))</f>
        <v/>
      </c>
      <c r="G1148" s="18" t="str">
        <f aca="true">IF(AND(A1148="",B1148=""),"",IF(A1148="","Missing product",IF(B1148="","Missing material",IF(COUNTIF(ProductList,A1148)=0,"Product not in Products list",IF(COUNTIF(MaterialList,B1148)=0,"Material not in Materials list","OK")))))</f>
        <v/>
      </c>
      <c r="H1148" s="18" t="str">
        <f aca="false">IF(F1148="Active",A1148&amp;"|"&amp;COUNTIFS(A$2:A1148,A1148,F$2:F1148,"Active"),"")</f>
        <v/>
      </c>
      <c r="I1148" s="18" t="str">
        <f aca="false">IF(B1148="","",IF(SUMPRODUCT(MAX((A$1:A1147=A1148)*(B$1:B1147=B1148)*ROW(A$1:A1147)))=0,C1148&amp;"",IF(C1148="",INDEX(I$1:I1147,SUMPRODUCT(MAX((A$1:A1147=A1148)*(B$1:B1147=B1148)*ROW(A$1:A1147)))),IF(INDEX(I$1:I1147,SUMPRODUCT(MAX((A$1:A1147=A1148)*(B$1:B1147=B1148)*ROW(A$1:A1147))))="",C1148&amp;"",INDEX(I$1:I1147,SUMPRODUCT(MAX((A$1:A1147=A1148)*(B$1:B1147=B1148)*ROW(A$1:A1147))))&amp;"; "&amp;C1148))))</f>
        <v/>
      </c>
      <c r="J1148" s="18" t="str">
        <f aca="false">IF(A1148="","",A1148&amp;"|"&amp;COUNTIF(A$2:A1148,A1148))</f>
        <v/>
      </c>
      <c r="K1148" s="18" t="n">
        <f aca="false">IF(OR(A1148="",B1148=""),0,IF(COUNTIFS(A$2:A1148,A1148,B$2:B1148,B1148)=1,1,0))</f>
        <v>0</v>
      </c>
    </row>
    <row r="1149" customFormat="false" ht="15" hidden="false" customHeight="false" outlineLevel="0" collapsed="false">
      <c r="A1149" s="15"/>
      <c r="B1149" s="15"/>
      <c r="C1149" s="15"/>
      <c r="D1149" s="15"/>
      <c r="F1149" s="18" t="str">
        <f aca="false">IF(B1149="","",IFERROR(INDEX(Materials!$B$2:$B$201,MATCH(B1149,Materials!$A$2:$A$201,0)),""))</f>
        <v/>
      </c>
      <c r="G1149" s="18" t="str">
        <f aca="true">IF(AND(A1149="",B1149=""),"",IF(A1149="","Missing product",IF(B1149="","Missing material",IF(COUNTIF(ProductList,A1149)=0,"Product not in Products list",IF(COUNTIF(MaterialList,B1149)=0,"Material not in Materials list","OK")))))</f>
        <v/>
      </c>
      <c r="H1149" s="18" t="str">
        <f aca="false">IF(F1149="Active",A1149&amp;"|"&amp;COUNTIFS(A$2:A1149,A1149,F$2:F1149,"Active"),"")</f>
        <v/>
      </c>
      <c r="I1149" s="18" t="str">
        <f aca="false">IF(B1149="","",IF(SUMPRODUCT(MAX((A$1:A1148=A1149)*(B$1:B1148=B1149)*ROW(A$1:A1148)))=0,C1149&amp;"",IF(C1149="",INDEX(I$1:I1148,SUMPRODUCT(MAX((A$1:A1148=A1149)*(B$1:B1148=B1149)*ROW(A$1:A1148)))),IF(INDEX(I$1:I1148,SUMPRODUCT(MAX((A$1:A1148=A1149)*(B$1:B1148=B1149)*ROW(A$1:A1148))))="",C1149&amp;"",INDEX(I$1:I1148,SUMPRODUCT(MAX((A$1:A1148=A1149)*(B$1:B1148=B1149)*ROW(A$1:A1148))))&amp;"; "&amp;C1149))))</f>
        <v/>
      </c>
      <c r="J1149" s="18" t="str">
        <f aca="false">IF(A1149="","",A1149&amp;"|"&amp;COUNTIF(A$2:A1149,A1149))</f>
        <v/>
      </c>
      <c r="K1149" s="18" t="n">
        <f aca="false">IF(OR(A1149="",B1149=""),0,IF(COUNTIFS(A$2:A1149,A1149,B$2:B1149,B1149)=1,1,0))</f>
        <v>0</v>
      </c>
    </row>
    <row r="1150" customFormat="false" ht="15" hidden="false" customHeight="false" outlineLevel="0" collapsed="false">
      <c r="A1150" s="15"/>
      <c r="B1150" s="15"/>
      <c r="C1150" s="15"/>
      <c r="D1150" s="15"/>
      <c r="F1150" s="18" t="str">
        <f aca="false">IF(B1150="","",IFERROR(INDEX(Materials!$B$2:$B$201,MATCH(B1150,Materials!$A$2:$A$201,0)),""))</f>
        <v/>
      </c>
      <c r="G1150" s="18" t="str">
        <f aca="true">IF(AND(A1150="",B1150=""),"",IF(A1150="","Missing product",IF(B1150="","Missing material",IF(COUNTIF(ProductList,A1150)=0,"Product not in Products list",IF(COUNTIF(MaterialList,B1150)=0,"Material not in Materials list","OK")))))</f>
        <v/>
      </c>
      <c r="H1150" s="18" t="str">
        <f aca="false">IF(F1150="Active",A1150&amp;"|"&amp;COUNTIFS(A$2:A1150,A1150,F$2:F1150,"Active"),"")</f>
        <v/>
      </c>
      <c r="I1150" s="18" t="str">
        <f aca="false">IF(B1150="","",IF(SUMPRODUCT(MAX((A$1:A1149=A1150)*(B$1:B1149=B1150)*ROW(A$1:A1149)))=0,C1150&amp;"",IF(C1150="",INDEX(I$1:I1149,SUMPRODUCT(MAX((A$1:A1149=A1150)*(B$1:B1149=B1150)*ROW(A$1:A1149)))),IF(INDEX(I$1:I1149,SUMPRODUCT(MAX((A$1:A1149=A1150)*(B$1:B1149=B1150)*ROW(A$1:A1149))))="",C1150&amp;"",INDEX(I$1:I1149,SUMPRODUCT(MAX((A$1:A1149=A1150)*(B$1:B1149=B1150)*ROW(A$1:A1149))))&amp;"; "&amp;C1150))))</f>
        <v/>
      </c>
      <c r="J1150" s="18" t="str">
        <f aca="false">IF(A1150="","",A1150&amp;"|"&amp;COUNTIF(A$2:A1150,A1150))</f>
        <v/>
      </c>
      <c r="K1150" s="18" t="n">
        <f aca="false">IF(OR(A1150="",B1150=""),0,IF(COUNTIFS(A$2:A1150,A1150,B$2:B1150,B1150)=1,1,0))</f>
        <v>0</v>
      </c>
    </row>
    <row r="1151" customFormat="false" ht="15" hidden="false" customHeight="false" outlineLevel="0" collapsed="false">
      <c r="A1151" s="15"/>
      <c r="B1151" s="15"/>
      <c r="C1151" s="15"/>
      <c r="D1151" s="15"/>
      <c r="F1151" s="18" t="str">
        <f aca="false">IF(B1151="","",IFERROR(INDEX(Materials!$B$2:$B$201,MATCH(B1151,Materials!$A$2:$A$201,0)),""))</f>
        <v/>
      </c>
      <c r="G1151" s="18" t="str">
        <f aca="true">IF(AND(A1151="",B1151=""),"",IF(A1151="","Missing product",IF(B1151="","Missing material",IF(COUNTIF(ProductList,A1151)=0,"Product not in Products list",IF(COUNTIF(MaterialList,B1151)=0,"Material not in Materials list","OK")))))</f>
        <v/>
      </c>
      <c r="H1151" s="18" t="str">
        <f aca="false">IF(F1151="Active",A1151&amp;"|"&amp;COUNTIFS(A$2:A1151,A1151,F$2:F1151,"Active"),"")</f>
        <v/>
      </c>
      <c r="I1151" s="18" t="str">
        <f aca="false">IF(B1151="","",IF(SUMPRODUCT(MAX((A$1:A1150=A1151)*(B$1:B1150=B1151)*ROW(A$1:A1150)))=0,C1151&amp;"",IF(C1151="",INDEX(I$1:I1150,SUMPRODUCT(MAX((A$1:A1150=A1151)*(B$1:B1150=B1151)*ROW(A$1:A1150)))),IF(INDEX(I$1:I1150,SUMPRODUCT(MAX((A$1:A1150=A1151)*(B$1:B1150=B1151)*ROW(A$1:A1150))))="",C1151&amp;"",INDEX(I$1:I1150,SUMPRODUCT(MAX((A$1:A1150=A1151)*(B$1:B1150=B1151)*ROW(A$1:A1150))))&amp;"; "&amp;C1151))))</f>
        <v/>
      </c>
      <c r="J1151" s="18" t="str">
        <f aca="false">IF(A1151="","",A1151&amp;"|"&amp;COUNTIF(A$2:A1151,A1151))</f>
        <v/>
      </c>
      <c r="K1151" s="18" t="n">
        <f aca="false">IF(OR(A1151="",B1151=""),0,IF(COUNTIFS(A$2:A1151,A1151,B$2:B1151,B1151)=1,1,0))</f>
        <v>0</v>
      </c>
    </row>
    <row r="1152" customFormat="false" ht="15" hidden="false" customHeight="false" outlineLevel="0" collapsed="false">
      <c r="A1152" s="15"/>
      <c r="B1152" s="15"/>
      <c r="C1152" s="15"/>
      <c r="D1152" s="15"/>
      <c r="F1152" s="18" t="str">
        <f aca="false">IF(B1152="","",IFERROR(INDEX(Materials!$B$2:$B$201,MATCH(B1152,Materials!$A$2:$A$201,0)),""))</f>
        <v/>
      </c>
      <c r="G1152" s="18" t="str">
        <f aca="true">IF(AND(A1152="",B1152=""),"",IF(A1152="","Missing product",IF(B1152="","Missing material",IF(COUNTIF(ProductList,A1152)=0,"Product not in Products list",IF(COUNTIF(MaterialList,B1152)=0,"Material not in Materials list","OK")))))</f>
        <v/>
      </c>
      <c r="H1152" s="18" t="str">
        <f aca="false">IF(F1152="Active",A1152&amp;"|"&amp;COUNTIFS(A$2:A1152,A1152,F$2:F1152,"Active"),"")</f>
        <v/>
      </c>
      <c r="I1152" s="18" t="str">
        <f aca="false">IF(B1152="","",IF(SUMPRODUCT(MAX((A$1:A1151=A1152)*(B$1:B1151=B1152)*ROW(A$1:A1151)))=0,C1152&amp;"",IF(C1152="",INDEX(I$1:I1151,SUMPRODUCT(MAX((A$1:A1151=A1152)*(B$1:B1151=B1152)*ROW(A$1:A1151)))),IF(INDEX(I$1:I1151,SUMPRODUCT(MAX((A$1:A1151=A1152)*(B$1:B1151=B1152)*ROW(A$1:A1151))))="",C1152&amp;"",INDEX(I$1:I1151,SUMPRODUCT(MAX((A$1:A1151=A1152)*(B$1:B1151=B1152)*ROW(A$1:A1151))))&amp;"; "&amp;C1152))))</f>
        <v/>
      </c>
      <c r="J1152" s="18" t="str">
        <f aca="false">IF(A1152="","",A1152&amp;"|"&amp;COUNTIF(A$2:A1152,A1152))</f>
        <v/>
      </c>
      <c r="K1152" s="18" t="n">
        <f aca="false">IF(OR(A1152="",B1152=""),0,IF(COUNTIFS(A$2:A1152,A1152,B$2:B1152,B1152)=1,1,0))</f>
        <v>0</v>
      </c>
    </row>
    <row r="1153" customFormat="false" ht="15" hidden="false" customHeight="false" outlineLevel="0" collapsed="false">
      <c r="A1153" s="15"/>
      <c r="B1153" s="15"/>
      <c r="C1153" s="15"/>
      <c r="D1153" s="15"/>
      <c r="F1153" s="18" t="str">
        <f aca="false">IF(B1153="","",IFERROR(INDEX(Materials!$B$2:$B$201,MATCH(B1153,Materials!$A$2:$A$201,0)),""))</f>
        <v/>
      </c>
      <c r="G1153" s="18" t="str">
        <f aca="true">IF(AND(A1153="",B1153=""),"",IF(A1153="","Missing product",IF(B1153="","Missing material",IF(COUNTIF(ProductList,A1153)=0,"Product not in Products list",IF(COUNTIF(MaterialList,B1153)=0,"Material not in Materials list","OK")))))</f>
        <v/>
      </c>
      <c r="H1153" s="18" t="str">
        <f aca="false">IF(F1153="Active",A1153&amp;"|"&amp;COUNTIFS(A$2:A1153,A1153,F$2:F1153,"Active"),"")</f>
        <v/>
      </c>
      <c r="I1153" s="18" t="str">
        <f aca="false">IF(B1153="","",IF(SUMPRODUCT(MAX((A$1:A1152=A1153)*(B$1:B1152=B1153)*ROW(A$1:A1152)))=0,C1153&amp;"",IF(C1153="",INDEX(I$1:I1152,SUMPRODUCT(MAX((A$1:A1152=A1153)*(B$1:B1152=B1153)*ROW(A$1:A1152)))),IF(INDEX(I$1:I1152,SUMPRODUCT(MAX((A$1:A1152=A1153)*(B$1:B1152=B1153)*ROW(A$1:A1152))))="",C1153&amp;"",INDEX(I$1:I1152,SUMPRODUCT(MAX((A$1:A1152=A1153)*(B$1:B1152=B1153)*ROW(A$1:A1152))))&amp;"; "&amp;C1153))))</f>
        <v/>
      </c>
      <c r="J1153" s="18" t="str">
        <f aca="false">IF(A1153="","",A1153&amp;"|"&amp;COUNTIF(A$2:A1153,A1153))</f>
        <v/>
      </c>
      <c r="K1153" s="18" t="n">
        <f aca="false">IF(OR(A1153="",B1153=""),0,IF(COUNTIFS(A$2:A1153,A1153,B$2:B1153,B1153)=1,1,0))</f>
        <v>0</v>
      </c>
    </row>
    <row r="1154" customFormat="false" ht="15" hidden="false" customHeight="false" outlineLevel="0" collapsed="false">
      <c r="A1154" s="15"/>
      <c r="B1154" s="15"/>
      <c r="C1154" s="15"/>
      <c r="D1154" s="15"/>
      <c r="F1154" s="18" t="str">
        <f aca="false">IF(B1154="","",IFERROR(INDEX(Materials!$B$2:$B$201,MATCH(B1154,Materials!$A$2:$A$201,0)),""))</f>
        <v/>
      </c>
      <c r="G1154" s="18" t="str">
        <f aca="true">IF(AND(A1154="",B1154=""),"",IF(A1154="","Missing product",IF(B1154="","Missing material",IF(COUNTIF(ProductList,A1154)=0,"Product not in Products list",IF(COUNTIF(MaterialList,B1154)=0,"Material not in Materials list","OK")))))</f>
        <v/>
      </c>
      <c r="H1154" s="18" t="str">
        <f aca="false">IF(F1154="Active",A1154&amp;"|"&amp;COUNTIFS(A$2:A1154,A1154,F$2:F1154,"Active"),"")</f>
        <v/>
      </c>
      <c r="I1154" s="18" t="str">
        <f aca="false">IF(B1154="","",IF(SUMPRODUCT(MAX((A$1:A1153=A1154)*(B$1:B1153=B1154)*ROW(A$1:A1153)))=0,C1154&amp;"",IF(C1154="",INDEX(I$1:I1153,SUMPRODUCT(MAX((A$1:A1153=A1154)*(B$1:B1153=B1154)*ROW(A$1:A1153)))),IF(INDEX(I$1:I1153,SUMPRODUCT(MAX((A$1:A1153=A1154)*(B$1:B1153=B1154)*ROW(A$1:A1153))))="",C1154&amp;"",INDEX(I$1:I1153,SUMPRODUCT(MAX((A$1:A1153=A1154)*(B$1:B1153=B1154)*ROW(A$1:A1153))))&amp;"; "&amp;C1154))))</f>
        <v/>
      </c>
      <c r="J1154" s="18" t="str">
        <f aca="false">IF(A1154="","",A1154&amp;"|"&amp;COUNTIF(A$2:A1154,A1154))</f>
        <v/>
      </c>
      <c r="K1154" s="18" t="n">
        <f aca="false">IF(OR(A1154="",B1154=""),0,IF(COUNTIFS(A$2:A1154,A1154,B$2:B1154,B1154)=1,1,0))</f>
        <v>0</v>
      </c>
    </row>
    <row r="1155" customFormat="false" ht="15" hidden="false" customHeight="false" outlineLevel="0" collapsed="false">
      <c r="A1155" s="15"/>
      <c r="B1155" s="15"/>
      <c r="C1155" s="15"/>
      <c r="D1155" s="15"/>
      <c r="F1155" s="18" t="str">
        <f aca="false">IF(B1155="","",IFERROR(INDEX(Materials!$B$2:$B$201,MATCH(B1155,Materials!$A$2:$A$201,0)),""))</f>
        <v/>
      </c>
      <c r="G1155" s="18" t="str">
        <f aca="true">IF(AND(A1155="",B1155=""),"",IF(A1155="","Missing product",IF(B1155="","Missing material",IF(COUNTIF(ProductList,A1155)=0,"Product not in Products list",IF(COUNTIF(MaterialList,B1155)=0,"Material not in Materials list","OK")))))</f>
        <v/>
      </c>
      <c r="H1155" s="18" t="str">
        <f aca="false">IF(F1155="Active",A1155&amp;"|"&amp;COUNTIFS(A$2:A1155,A1155,F$2:F1155,"Active"),"")</f>
        <v/>
      </c>
      <c r="I1155" s="18" t="str">
        <f aca="false">IF(B1155="","",IF(SUMPRODUCT(MAX((A$1:A1154=A1155)*(B$1:B1154=B1155)*ROW(A$1:A1154)))=0,C1155&amp;"",IF(C1155="",INDEX(I$1:I1154,SUMPRODUCT(MAX((A$1:A1154=A1155)*(B$1:B1154=B1155)*ROW(A$1:A1154)))),IF(INDEX(I$1:I1154,SUMPRODUCT(MAX((A$1:A1154=A1155)*(B$1:B1154=B1155)*ROW(A$1:A1154))))="",C1155&amp;"",INDEX(I$1:I1154,SUMPRODUCT(MAX((A$1:A1154=A1155)*(B$1:B1154=B1155)*ROW(A$1:A1154))))&amp;"; "&amp;C1155))))</f>
        <v/>
      </c>
      <c r="J1155" s="18" t="str">
        <f aca="false">IF(A1155="","",A1155&amp;"|"&amp;COUNTIF(A$2:A1155,A1155))</f>
        <v/>
      </c>
      <c r="K1155" s="18" t="n">
        <f aca="false">IF(OR(A1155="",B1155=""),0,IF(COUNTIFS(A$2:A1155,A1155,B$2:B1155,B1155)=1,1,0))</f>
        <v>0</v>
      </c>
    </row>
    <row r="1156" customFormat="false" ht="15" hidden="false" customHeight="false" outlineLevel="0" collapsed="false">
      <c r="A1156" s="15"/>
      <c r="B1156" s="15"/>
      <c r="C1156" s="15"/>
      <c r="D1156" s="15"/>
      <c r="F1156" s="18" t="str">
        <f aca="false">IF(B1156="","",IFERROR(INDEX(Materials!$B$2:$B$201,MATCH(B1156,Materials!$A$2:$A$201,0)),""))</f>
        <v/>
      </c>
      <c r="G1156" s="18" t="str">
        <f aca="true">IF(AND(A1156="",B1156=""),"",IF(A1156="","Missing product",IF(B1156="","Missing material",IF(COUNTIF(ProductList,A1156)=0,"Product not in Products list",IF(COUNTIF(MaterialList,B1156)=0,"Material not in Materials list","OK")))))</f>
        <v/>
      </c>
      <c r="H1156" s="18" t="str">
        <f aca="false">IF(F1156="Active",A1156&amp;"|"&amp;COUNTIFS(A$2:A1156,A1156,F$2:F1156,"Active"),"")</f>
        <v/>
      </c>
      <c r="I1156" s="18" t="str">
        <f aca="false">IF(B1156="","",IF(SUMPRODUCT(MAX((A$1:A1155=A1156)*(B$1:B1155=B1156)*ROW(A$1:A1155)))=0,C1156&amp;"",IF(C1156="",INDEX(I$1:I1155,SUMPRODUCT(MAX((A$1:A1155=A1156)*(B$1:B1155=B1156)*ROW(A$1:A1155)))),IF(INDEX(I$1:I1155,SUMPRODUCT(MAX((A$1:A1155=A1156)*(B$1:B1155=B1156)*ROW(A$1:A1155))))="",C1156&amp;"",INDEX(I$1:I1155,SUMPRODUCT(MAX((A$1:A1155=A1156)*(B$1:B1155=B1156)*ROW(A$1:A1155))))&amp;"; "&amp;C1156))))</f>
        <v/>
      </c>
      <c r="J1156" s="18" t="str">
        <f aca="false">IF(A1156="","",A1156&amp;"|"&amp;COUNTIF(A$2:A1156,A1156))</f>
        <v/>
      </c>
      <c r="K1156" s="18" t="n">
        <f aca="false">IF(OR(A1156="",B1156=""),0,IF(COUNTIFS(A$2:A1156,A1156,B$2:B1156,B1156)=1,1,0))</f>
        <v>0</v>
      </c>
    </row>
    <row r="1157" customFormat="false" ht="15" hidden="false" customHeight="false" outlineLevel="0" collapsed="false">
      <c r="A1157" s="15"/>
      <c r="B1157" s="15"/>
      <c r="C1157" s="15"/>
      <c r="D1157" s="15"/>
      <c r="F1157" s="18" t="str">
        <f aca="false">IF(B1157="","",IFERROR(INDEX(Materials!$B$2:$B$201,MATCH(B1157,Materials!$A$2:$A$201,0)),""))</f>
        <v/>
      </c>
      <c r="G1157" s="18" t="str">
        <f aca="true">IF(AND(A1157="",B1157=""),"",IF(A1157="","Missing product",IF(B1157="","Missing material",IF(COUNTIF(ProductList,A1157)=0,"Product not in Products list",IF(COUNTIF(MaterialList,B1157)=0,"Material not in Materials list","OK")))))</f>
        <v/>
      </c>
      <c r="H1157" s="18" t="str">
        <f aca="false">IF(F1157="Active",A1157&amp;"|"&amp;COUNTIFS(A$2:A1157,A1157,F$2:F1157,"Active"),"")</f>
        <v/>
      </c>
      <c r="I1157" s="18" t="str">
        <f aca="false">IF(B1157="","",IF(SUMPRODUCT(MAX((A$1:A1156=A1157)*(B$1:B1156=B1157)*ROW(A$1:A1156)))=0,C1157&amp;"",IF(C1157="",INDEX(I$1:I1156,SUMPRODUCT(MAX((A$1:A1156=A1157)*(B$1:B1156=B1157)*ROW(A$1:A1156)))),IF(INDEX(I$1:I1156,SUMPRODUCT(MAX((A$1:A1156=A1157)*(B$1:B1156=B1157)*ROW(A$1:A1156))))="",C1157&amp;"",INDEX(I$1:I1156,SUMPRODUCT(MAX((A$1:A1156=A1157)*(B$1:B1156=B1157)*ROW(A$1:A1156))))&amp;"; "&amp;C1157))))</f>
        <v/>
      </c>
      <c r="J1157" s="18" t="str">
        <f aca="false">IF(A1157="","",A1157&amp;"|"&amp;COUNTIF(A$2:A1157,A1157))</f>
        <v/>
      </c>
      <c r="K1157" s="18" t="n">
        <f aca="false">IF(OR(A1157="",B1157=""),0,IF(COUNTIFS(A$2:A1157,A1157,B$2:B1157,B1157)=1,1,0))</f>
        <v>0</v>
      </c>
    </row>
    <row r="1158" customFormat="false" ht="15" hidden="false" customHeight="false" outlineLevel="0" collapsed="false">
      <c r="A1158" s="15"/>
      <c r="B1158" s="15"/>
      <c r="C1158" s="15"/>
      <c r="D1158" s="15"/>
      <c r="F1158" s="18" t="str">
        <f aca="false">IF(B1158="","",IFERROR(INDEX(Materials!$B$2:$B$201,MATCH(B1158,Materials!$A$2:$A$201,0)),""))</f>
        <v/>
      </c>
      <c r="G1158" s="18" t="str">
        <f aca="true">IF(AND(A1158="",B1158=""),"",IF(A1158="","Missing product",IF(B1158="","Missing material",IF(COUNTIF(ProductList,A1158)=0,"Product not in Products list",IF(COUNTIF(MaterialList,B1158)=0,"Material not in Materials list","OK")))))</f>
        <v/>
      </c>
      <c r="H1158" s="18" t="str">
        <f aca="false">IF(F1158="Active",A1158&amp;"|"&amp;COUNTIFS(A$2:A1158,A1158,F$2:F1158,"Active"),"")</f>
        <v/>
      </c>
      <c r="I1158" s="18" t="str">
        <f aca="false">IF(B1158="","",IF(SUMPRODUCT(MAX((A$1:A1157=A1158)*(B$1:B1157=B1158)*ROW(A$1:A1157)))=0,C1158&amp;"",IF(C1158="",INDEX(I$1:I1157,SUMPRODUCT(MAX((A$1:A1157=A1158)*(B$1:B1157=B1158)*ROW(A$1:A1157)))),IF(INDEX(I$1:I1157,SUMPRODUCT(MAX((A$1:A1157=A1158)*(B$1:B1157=B1158)*ROW(A$1:A1157))))="",C1158&amp;"",INDEX(I$1:I1157,SUMPRODUCT(MAX((A$1:A1157=A1158)*(B$1:B1157=B1158)*ROW(A$1:A1157))))&amp;"; "&amp;C1158))))</f>
        <v/>
      </c>
      <c r="J1158" s="18" t="str">
        <f aca="false">IF(A1158="","",A1158&amp;"|"&amp;COUNTIF(A$2:A1158,A1158))</f>
        <v/>
      </c>
      <c r="K1158" s="18" t="n">
        <f aca="false">IF(OR(A1158="",B1158=""),0,IF(COUNTIFS(A$2:A1158,A1158,B$2:B1158,B1158)=1,1,0))</f>
        <v>0</v>
      </c>
    </row>
    <row r="1159" customFormat="false" ht="15" hidden="false" customHeight="false" outlineLevel="0" collapsed="false">
      <c r="A1159" s="15"/>
      <c r="B1159" s="15"/>
      <c r="C1159" s="15"/>
      <c r="D1159" s="15"/>
      <c r="F1159" s="18" t="str">
        <f aca="false">IF(B1159="","",IFERROR(INDEX(Materials!$B$2:$B$201,MATCH(B1159,Materials!$A$2:$A$201,0)),""))</f>
        <v/>
      </c>
      <c r="G1159" s="18" t="str">
        <f aca="true">IF(AND(A1159="",B1159=""),"",IF(A1159="","Missing product",IF(B1159="","Missing material",IF(COUNTIF(ProductList,A1159)=0,"Product not in Products list",IF(COUNTIF(MaterialList,B1159)=0,"Material not in Materials list","OK")))))</f>
        <v/>
      </c>
      <c r="H1159" s="18" t="str">
        <f aca="false">IF(F1159="Active",A1159&amp;"|"&amp;COUNTIFS(A$2:A1159,A1159,F$2:F1159,"Active"),"")</f>
        <v/>
      </c>
      <c r="I1159" s="18" t="str">
        <f aca="false">IF(B1159="","",IF(SUMPRODUCT(MAX((A$1:A1158=A1159)*(B$1:B1158=B1159)*ROW(A$1:A1158)))=0,C1159&amp;"",IF(C1159="",INDEX(I$1:I1158,SUMPRODUCT(MAX((A$1:A1158=A1159)*(B$1:B1158=B1159)*ROW(A$1:A1158)))),IF(INDEX(I$1:I1158,SUMPRODUCT(MAX((A$1:A1158=A1159)*(B$1:B1158=B1159)*ROW(A$1:A1158))))="",C1159&amp;"",INDEX(I$1:I1158,SUMPRODUCT(MAX((A$1:A1158=A1159)*(B$1:B1158=B1159)*ROW(A$1:A1158))))&amp;"; "&amp;C1159))))</f>
        <v/>
      </c>
      <c r="J1159" s="18" t="str">
        <f aca="false">IF(A1159="","",A1159&amp;"|"&amp;COUNTIF(A$2:A1159,A1159))</f>
        <v/>
      </c>
      <c r="K1159" s="18" t="n">
        <f aca="false">IF(OR(A1159="",B1159=""),0,IF(COUNTIFS(A$2:A1159,A1159,B$2:B1159,B1159)=1,1,0))</f>
        <v>0</v>
      </c>
    </row>
    <row r="1160" customFormat="false" ht="15" hidden="false" customHeight="false" outlineLevel="0" collapsed="false">
      <c r="A1160" s="15"/>
      <c r="B1160" s="15"/>
      <c r="C1160" s="15"/>
      <c r="D1160" s="15"/>
      <c r="F1160" s="18" t="str">
        <f aca="false">IF(B1160="","",IFERROR(INDEX(Materials!$B$2:$B$201,MATCH(B1160,Materials!$A$2:$A$201,0)),""))</f>
        <v/>
      </c>
      <c r="G1160" s="18" t="str">
        <f aca="true">IF(AND(A1160="",B1160=""),"",IF(A1160="","Missing product",IF(B1160="","Missing material",IF(COUNTIF(ProductList,A1160)=0,"Product not in Products list",IF(COUNTIF(MaterialList,B1160)=0,"Material not in Materials list","OK")))))</f>
        <v/>
      </c>
      <c r="H1160" s="18" t="str">
        <f aca="false">IF(F1160="Active",A1160&amp;"|"&amp;COUNTIFS(A$2:A1160,A1160,F$2:F1160,"Active"),"")</f>
        <v/>
      </c>
      <c r="I1160" s="18" t="str">
        <f aca="false">IF(B1160="","",IF(SUMPRODUCT(MAX((A$1:A1159=A1160)*(B$1:B1159=B1160)*ROW(A$1:A1159)))=0,C1160&amp;"",IF(C1160="",INDEX(I$1:I1159,SUMPRODUCT(MAX((A$1:A1159=A1160)*(B$1:B1159=B1160)*ROW(A$1:A1159)))),IF(INDEX(I$1:I1159,SUMPRODUCT(MAX((A$1:A1159=A1160)*(B$1:B1159=B1160)*ROW(A$1:A1159))))="",C1160&amp;"",INDEX(I$1:I1159,SUMPRODUCT(MAX((A$1:A1159=A1160)*(B$1:B1159=B1160)*ROW(A$1:A1159))))&amp;"; "&amp;C1160))))</f>
        <v/>
      </c>
      <c r="J1160" s="18" t="str">
        <f aca="false">IF(A1160="","",A1160&amp;"|"&amp;COUNTIF(A$2:A1160,A1160))</f>
        <v/>
      </c>
      <c r="K1160" s="18" t="n">
        <f aca="false">IF(OR(A1160="",B1160=""),0,IF(COUNTIFS(A$2:A1160,A1160,B$2:B1160,B1160)=1,1,0))</f>
        <v>0</v>
      </c>
    </row>
    <row r="1161" customFormat="false" ht="15" hidden="false" customHeight="false" outlineLevel="0" collapsed="false">
      <c r="A1161" s="15"/>
      <c r="B1161" s="15"/>
      <c r="C1161" s="15"/>
      <c r="D1161" s="15"/>
      <c r="F1161" s="18" t="str">
        <f aca="false">IF(B1161="","",IFERROR(INDEX(Materials!$B$2:$B$201,MATCH(B1161,Materials!$A$2:$A$201,0)),""))</f>
        <v/>
      </c>
      <c r="G1161" s="18" t="str">
        <f aca="true">IF(AND(A1161="",B1161=""),"",IF(A1161="","Missing product",IF(B1161="","Missing material",IF(COUNTIF(ProductList,A1161)=0,"Product not in Products list",IF(COUNTIF(MaterialList,B1161)=0,"Material not in Materials list","OK")))))</f>
        <v/>
      </c>
      <c r="H1161" s="18" t="str">
        <f aca="false">IF(F1161="Active",A1161&amp;"|"&amp;COUNTIFS(A$2:A1161,A1161,F$2:F1161,"Active"),"")</f>
        <v/>
      </c>
      <c r="I1161" s="18" t="str">
        <f aca="false">IF(B1161="","",IF(SUMPRODUCT(MAX((A$1:A1160=A1161)*(B$1:B1160=B1161)*ROW(A$1:A1160)))=0,C1161&amp;"",IF(C1161="",INDEX(I$1:I1160,SUMPRODUCT(MAX((A$1:A1160=A1161)*(B$1:B1160=B1161)*ROW(A$1:A1160)))),IF(INDEX(I$1:I1160,SUMPRODUCT(MAX((A$1:A1160=A1161)*(B$1:B1160=B1161)*ROW(A$1:A1160))))="",C1161&amp;"",INDEX(I$1:I1160,SUMPRODUCT(MAX((A$1:A1160=A1161)*(B$1:B1160=B1161)*ROW(A$1:A1160))))&amp;"; "&amp;C1161))))</f>
        <v/>
      </c>
      <c r="J1161" s="18" t="str">
        <f aca="false">IF(A1161="","",A1161&amp;"|"&amp;COUNTIF(A$2:A1161,A1161))</f>
        <v/>
      </c>
      <c r="K1161" s="18" t="n">
        <f aca="false">IF(OR(A1161="",B1161=""),0,IF(COUNTIFS(A$2:A1161,A1161,B$2:B1161,B1161)=1,1,0))</f>
        <v>0</v>
      </c>
    </row>
    <row r="1162" customFormat="false" ht="15" hidden="false" customHeight="false" outlineLevel="0" collapsed="false">
      <c r="A1162" s="15"/>
      <c r="B1162" s="15"/>
      <c r="C1162" s="15"/>
      <c r="D1162" s="15"/>
      <c r="F1162" s="18" t="str">
        <f aca="false">IF(B1162="","",IFERROR(INDEX(Materials!$B$2:$B$201,MATCH(B1162,Materials!$A$2:$A$201,0)),""))</f>
        <v/>
      </c>
      <c r="G1162" s="18" t="str">
        <f aca="true">IF(AND(A1162="",B1162=""),"",IF(A1162="","Missing product",IF(B1162="","Missing material",IF(COUNTIF(ProductList,A1162)=0,"Product not in Products list",IF(COUNTIF(MaterialList,B1162)=0,"Material not in Materials list","OK")))))</f>
        <v/>
      </c>
      <c r="H1162" s="18" t="str">
        <f aca="false">IF(F1162="Active",A1162&amp;"|"&amp;COUNTIFS(A$2:A1162,A1162,F$2:F1162,"Active"),"")</f>
        <v/>
      </c>
      <c r="I1162" s="18" t="str">
        <f aca="false">IF(B1162="","",IF(SUMPRODUCT(MAX((A$1:A1161=A1162)*(B$1:B1161=B1162)*ROW(A$1:A1161)))=0,C1162&amp;"",IF(C1162="",INDEX(I$1:I1161,SUMPRODUCT(MAX((A$1:A1161=A1162)*(B$1:B1161=B1162)*ROW(A$1:A1161)))),IF(INDEX(I$1:I1161,SUMPRODUCT(MAX((A$1:A1161=A1162)*(B$1:B1161=B1162)*ROW(A$1:A1161))))="",C1162&amp;"",INDEX(I$1:I1161,SUMPRODUCT(MAX((A$1:A1161=A1162)*(B$1:B1161=B1162)*ROW(A$1:A1161))))&amp;"; "&amp;C1162))))</f>
        <v/>
      </c>
      <c r="J1162" s="18" t="str">
        <f aca="false">IF(A1162="","",A1162&amp;"|"&amp;COUNTIF(A$2:A1162,A1162))</f>
        <v/>
      </c>
      <c r="K1162" s="18" t="n">
        <f aca="false">IF(OR(A1162="",B1162=""),0,IF(COUNTIFS(A$2:A1162,A1162,B$2:B1162,B1162)=1,1,0))</f>
        <v>0</v>
      </c>
    </row>
    <row r="1163" customFormat="false" ht="15" hidden="false" customHeight="false" outlineLevel="0" collapsed="false">
      <c r="A1163" s="15"/>
      <c r="B1163" s="15"/>
      <c r="C1163" s="15"/>
      <c r="D1163" s="15"/>
      <c r="F1163" s="18" t="str">
        <f aca="false">IF(B1163="","",IFERROR(INDEX(Materials!$B$2:$B$201,MATCH(B1163,Materials!$A$2:$A$201,0)),""))</f>
        <v/>
      </c>
      <c r="G1163" s="18" t="str">
        <f aca="true">IF(AND(A1163="",B1163=""),"",IF(A1163="","Missing product",IF(B1163="","Missing material",IF(COUNTIF(ProductList,A1163)=0,"Product not in Products list",IF(COUNTIF(MaterialList,B1163)=0,"Material not in Materials list","OK")))))</f>
        <v/>
      </c>
      <c r="H1163" s="18" t="str">
        <f aca="false">IF(F1163="Active",A1163&amp;"|"&amp;COUNTIFS(A$2:A1163,A1163,F$2:F1163,"Active"),"")</f>
        <v/>
      </c>
      <c r="I1163" s="18" t="str">
        <f aca="false">IF(B1163="","",IF(SUMPRODUCT(MAX((A$1:A1162=A1163)*(B$1:B1162=B1163)*ROW(A$1:A1162)))=0,C1163&amp;"",IF(C1163="",INDEX(I$1:I1162,SUMPRODUCT(MAX((A$1:A1162=A1163)*(B$1:B1162=B1163)*ROW(A$1:A1162)))),IF(INDEX(I$1:I1162,SUMPRODUCT(MAX((A$1:A1162=A1163)*(B$1:B1162=B1163)*ROW(A$1:A1162))))="",C1163&amp;"",INDEX(I$1:I1162,SUMPRODUCT(MAX((A$1:A1162=A1163)*(B$1:B1162=B1163)*ROW(A$1:A1162))))&amp;"; "&amp;C1163))))</f>
        <v/>
      </c>
      <c r="J1163" s="18" t="str">
        <f aca="false">IF(A1163="","",A1163&amp;"|"&amp;COUNTIF(A$2:A1163,A1163))</f>
        <v/>
      </c>
      <c r="K1163" s="18" t="n">
        <f aca="false">IF(OR(A1163="",B1163=""),0,IF(COUNTIFS(A$2:A1163,A1163,B$2:B1163,B1163)=1,1,0))</f>
        <v>0</v>
      </c>
    </row>
    <row r="1164" customFormat="false" ht="15" hidden="false" customHeight="false" outlineLevel="0" collapsed="false">
      <c r="A1164" s="15"/>
      <c r="B1164" s="15"/>
      <c r="C1164" s="15"/>
      <c r="D1164" s="15"/>
      <c r="F1164" s="18" t="str">
        <f aca="false">IF(B1164="","",IFERROR(INDEX(Materials!$B$2:$B$201,MATCH(B1164,Materials!$A$2:$A$201,0)),""))</f>
        <v/>
      </c>
      <c r="G1164" s="18" t="str">
        <f aca="true">IF(AND(A1164="",B1164=""),"",IF(A1164="","Missing product",IF(B1164="","Missing material",IF(COUNTIF(ProductList,A1164)=0,"Product not in Products list",IF(COUNTIF(MaterialList,B1164)=0,"Material not in Materials list","OK")))))</f>
        <v/>
      </c>
      <c r="H1164" s="18" t="str">
        <f aca="false">IF(F1164="Active",A1164&amp;"|"&amp;COUNTIFS(A$2:A1164,A1164,F$2:F1164,"Active"),"")</f>
        <v/>
      </c>
      <c r="I1164" s="18" t="str">
        <f aca="false">IF(B1164="","",IF(SUMPRODUCT(MAX((A$1:A1163=A1164)*(B$1:B1163=B1164)*ROW(A$1:A1163)))=0,C1164&amp;"",IF(C1164="",INDEX(I$1:I1163,SUMPRODUCT(MAX((A$1:A1163=A1164)*(B$1:B1163=B1164)*ROW(A$1:A1163)))),IF(INDEX(I$1:I1163,SUMPRODUCT(MAX((A$1:A1163=A1164)*(B$1:B1163=B1164)*ROW(A$1:A1163))))="",C1164&amp;"",INDEX(I$1:I1163,SUMPRODUCT(MAX((A$1:A1163=A1164)*(B$1:B1163=B1164)*ROW(A$1:A1163))))&amp;"; "&amp;C1164))))</f>
        <v/>
      </c>
      <c r="J1164" s="18" t="str">
        <f aca="false">IF(A1164="","",A1164&amp;"|"&amp;COUNTIF(A$2:A1164,A1164))</f>
        <v/>
      </c>
      <c r="K1164" s="18" t="n">
        <f aca="false">IF(OR(A1164="",B1164=""),0,IF(COUNTIFS(A$2:A1164,A1164,B$2:B1164,B1164)=1,1,0))</f>
        <v>0</v>
      </c>
    </row>
    <row r="1165" customFormat="false" ht="15" hidden="false" customHeight="false" outlineLevel="0" collapsed="false">
      <c r="A1165" s="15"/>
      <c r="B1165" s="15"/>
      <c r="C1165" s="15"/>
      <c r="D1165" s="15"/>
      <c r="F1165" s="18" t="str">
        <f aca="false">IF(B1165="","",IFERROR(INDEX(Materials!$B$2:$B$201,MATCH(B1165,Materials!$A$2:$A$201,0)),""))</f>
        <v/>
      </c>
      <c r="G1165" s="18" t="str">
        <f aca="true">IF(AND(A1165="",B1165=""),"",IF(A1165="","Missing product",IF(B1165="","Missing material",IF(COUNTIF(ProductList,A1165)=0,"Product not in Products list",IF(COUNTIF(MaterialList,B1165)=0,"Material not in Materials list","OK")))))</f>
        <v/>
      </c>
      <c r="H1165" s="18" t="str">
        <f aca="false">IF(F1165="Active",A1165&amp;"|"&amp;COUNTIFS(A$2:A1165,A1165,F$2:F1165,"Active"),"")</f>
        <v/>
      </c>
      <c r="I1165" s="18" t="str">
        <f aca="false">IF(B1165="","",IF(SUMPRODUCT(MAX((A$1:A1164=A1165)*(B$1:B1164=B1165)*ROW(A$1:A1164)))=0,C1165&amp;"",IF(C1165="",INDEX(I$1:I1164,SUMPRODUCT(MAX((A$1:A1164=A1165)*(B$1:B1164=B1165)*ROW(A$1:A1164)))),IF(INDEX(I$1:I1164,SUMPRODUCT(MAX((A$1:A1164=A1165)*(B$1:B1164=B1165)*ROW(A$1:A1164))))="",C1165&amp;"",INDEX(I$1:I1164,SUMPRODUCT(MAX((A$1:A1164=A1165)*(B$1:B1164=B1165)*ROW(A$1:A1164))))&amp;"; "&amp;C1165))))</f>
        <v/>
      </c>
      <c r="J1165" s="18" t="str">
        <f aca="false">IF(A1165="","",A1165&amp;"|"&amp;COUNTIF(A$2:A1165,A1165))</f>
        <v/>
      </c>
      <c r="K1165" s="18" t="n">
        <f aca="false">IF(OR(A1165="",B1165=""),0,IF(COUNTIFS(A$2:A1165,A1165,B$2:B1165,B1165)=1,1,0))</f>
        <v>0</v>
      </c>
    </row>
    <row r="1166" customFormat="false" ht="15" hidden="false" customHeight="false" outlineLevel="0" collapsed="false">
      <c r="A1166" s="15"/>
      <c r="B1166" s="15"/>
      <c r="C1166" s="15"/>
      <c r="D1166" s="15"/>
      <c r="F1166" s="18" t="str">
        <f aca="false">IF(B1166="","",IFERROR(INDEX(Materials!$B$2:$B$201,MATCH(B1166,Materials!$A$2:$A$201,0)),""))</f>
        <v/>
      </c>
      <c r="G1166" s="18" t="str">
        <f aca="true">IF(AND(A1166="",B1166=""),"",IF(A1166="","Missing product",IF(B1166="","Missing material",IF(COUNTIF(ProductList,A1166)=0,"Product not in Products list",IF(COUNTIF(MaterialList,B1166)=0,"Material not in Materials list","OK")))))</f>
        <v/>
      </c>
      <c r="H1166" s="18" t="str">
        <f aca="false">IF(F1166="Active",A1166&amp;"|"&amp;COUNTIFS(A$2:A1166,A1166,F$2:F1166,"Active"),"")</f>
        <v/>
      </c>
      <c r="I1166" s="18" t="str">
        <f aca="false">IF(B1166="","",IF(SUMPRODUCT(MAX((A$1:A1165=A1166)*(B$1:B1165=B1166)*ROW(A$1:A1165)))=0,C1166&amp;"",IF(C1166="",INDEX(I$1:I1165,SUMPRODUCT(MAX((A$1:A1165=A1166)*(B$1:B1165=B1166)*ROW(A$1:A1165)))),IF(INDEX(I$1:I1165,SUMPRODUCT(MAX((A$1:A1165=A1166)*(B$1:B1165=B1166)*ROW(A$1:A1165))))="",C1166&amp;"",INDEX(I$1:I1165,SUMPRODUCT(MAX((A$1:A1165=A1166)*(B$1:B1165=B1166)*ROW(A$1:A1165))))&amp;"; "&amp;C1166))))</f>
        <v/>
      </c>
      <c r="J1166" s="18" t="str">
        <f aca="false">IF(A1166="","",A1166&amp;"|"&amp;COUNTIF(A$2:A1166,A1166))</f>
        <v/>
      </c>
      <c r="K1166" s="18" t="n">
        <f aca="false">IF(OR(A1166="",B1166=""),0,IF(COUNTIFS(A$2:A1166,A1166,B$2:B1166,B1166)=1,1,0))</f>
        <v>0</v>
      </c>
    </row>
    <row r="1167" customFormat="false" ht="15" hidden="false" customHeight="false" outlineLevel="0" collapsed="false">
      <c r="A1167" s="15"/>
      <c r="B1167" s="15"/>
      <c r="C1167" s="15"/>
      <c r="D1167" s="15"/>
      <c r="F1167" s="18" t="str">
        <f aca="false">IF(B1167="","",IFERROR(INDEX(Materials!$B$2:$B$201,MATCH(B1167,Materials!$A$2:$A$201,0)),""))</f>
        <v/>
      </c>
      <c r="G1167" s="18" t="str">
        <f aca="true">IF(AND(A1167="",B1167=""),"",IF(A1167="","Missing product",IF(B1167="","Missing material",IF(COUNTIF(ProductList,A1167)=0,"Product not in Products list",IF(COUNTIF(MaterialList,B1167)=0,"Material not in Materials list","OK")))))</f>
        <v/>
      </c>
      <c r="H1167" s="18" t="str">
        <f aca="false">IF(F1167="Active",A1167&amp;"|"&amp;COUNTIFS(A$2:A1167,A1167,F$2:F1167,"Active"),"")</f>
        <v/>
      </c>
      <c r="I1167" s="18" t="str">
        <f aca="false">IF(B1167="","",IF(SUMPRODUCT(MAX((A$1:A1166=A1167)*(B$1:B1166=B1167)*ROW(A$1:A1166)))=0,C1167&amp;"",IF(C1167="",INDEX(I$1:I1166,SUMPRODUCT(MAX((A$1:A1166=A1167)*(B$1:B1166=B1167)*ROW(A$1:A1166)))),IF(INDEX(I$1:I1166,SUMPRODUCT(MAX((A$1:A1166=A1167)*(B$1:B1166=B1167)*ROW(A$1:A1166))))="",C1167&amp;"",INDEX(I$1:I1166,SUMPRODUCT(MAX((A$1:A1166=A1167)*(B$1:B1166=B1167)*ROW(A$1:A1166))))&amp;"; "&amp;C1167))))</f>
        <v/>
      </c>
      <c r="J1167" s="18" t="str">
        <f aca="false">IF(A1167="","",A1167&amp;"|"&amp;COUNTIF(A$2:A1167,A1167))</f>
        <v/>
      </c>
      <c r="K1167" s="18" t="n">
        <f aca="false">IF(OR(A1167="",B1167=""),0,IF(COUNTIFS(A$2:A1167,A1167,B$2:B1167,B1167)=1,1,0))</f>
        <v>0</v>
      </c>
    </row>
    <row r="1168" customFormat="false" ht="15" hidden="false" customHeight="false" outlineLevel="0" collapsed="false">
      <c r="A1168" s="15"/>
      <c r="B1168" s="15"/>
      <c r="C1168" s="15"/>
      <c r="D1168" s="15"/>
      <c r="F1168" s="18" t="str">
        <f aca="false">IF(B1168="","",IFERROR(INDEX(Materials!$B$2:$B$201,MATCH(B1168,Materials!$A$2:$A$201,0)),""))</f>
        <v/>
      </c>
      <c r="G1168" s="18" t="str">
        <f aca="true">IF(AND(A1168="",B1168=""),"",IF(A1168="","Missing product",IF(B1168="","Missing material",IF(COUNTIF(ProductList,A1168)=0,"Product not in Products list",IF(COUNTIF(MaterialList,B1168)=0,"Material not in Materials list","OK")))))</f>
        <v/>
      </c>
      <c r="H1168" s="18" t="str">
        <f aca="false">IF(F1168="Active",A1168&amp;"|"&amp;COUNTIFS(A$2:A1168,A1168,F$2:F1168,"Active"),"")</f>
        <v/>
      </c>
      <c r="I1168" s="18" t="str">
        <f aca="false">IF(B1168="","",IF(SUMPRODUCT(MAX((A$1:A1167=A1168)*(B$1:B1167=B1168)*ROW(A$1:A1167)))=0,C1168&amp;"",IF(C1168="",INDEX(I$1:I1167,SUMPRODUCT(MAX((A$1:A1167=A1168)*(B$1:B1167=B1168)*ROW(A$1:A1167)))),IF(INDEX(I$1:I1167,SUMPRODUCT(MAX((A$1:A1167=A1168)*(B$1:B1167=B1168)*ROW(A$1:A1167))))="",C1168&amp;"",INDEX(I$1:I1167,SUMPRODUCT(MAX((A$1:A1167=A1168)*(B$1:B1167=B1168)*ROW(A$1:A1167))))&amp;"; "&amp;C1168))))</f>
        <v/>
      </c>
      <c r="J1168" s="18" t="str">
        <f aca="false">IF(A1168="","",A1168&amp;"|"&amp;COUNTIF(A$2:A1168,A1168))</f>
        <v/>
      </c>
      <c r="K1168" s="18" t="n">
        <f aca="false">IF(OR(A1168="",B1168=""),0,IF(COUNTIFS(A$2:A1168,A1168,B$2:B1168,B1168)=1,1,0))</f>
        <v>0</v>
      </c>
    </row>
    <row r="1169" customFormat="false" ht="15" hidden="false" customHeight="false" outlineLevel="0" collapsed="false">
      <c r="A1169" s="15"/>
      <c r="B1169" s="15"/>
      <c r="C1169" s="15"/>
      <c r="D1169" s="15"/>
      <c r="F1169" s="18" t="str">
        <f aca="false">IF(B1169="","",IFERROR(INDEX(Materials!$B$2:$B$201,MATCH(B1169,Materials!$A$2:$A$201,0)),""))</f>
        <v/>
      </c>
      <c r="G1169" s="18" t="str">
        <f aca="true">IF(AND(A1169="",B1169=""),"",IF(A1169="","Missing product",IF(B1169="","Missing material",IF(COUNTIF(ProductList,A1169)=0,"Product not in Products list",IF(COUNTIF(MaterialList,B1169)=0,"Material not in Materials list","OK")))))</f>
        <v/>
      </c>
      <c r="H1169" s="18" t="str">
        <f aca="false">IF(F1169="Active",A1169&amp;"|"&amp;COUNTIFS(A$2:A1169,A1169,F$2:F1169,"Active"),"")</f>
        <v/>
      </c>
      <c r="I1169" s="18" t="str">
        <f aca="false">IF(B1169="","",IF(SUMPRODUCT(MAX((A$1:A1168=A1169)*(B$1:B1168=B1169)*ROW(A$1:A1168)))=0,C1169&amp;"",IF(C1169="",INDEX(I$1:I1168,SUMPRODUCT(MAX((A$1:A1168=A1169)*(B$1:B1168=B1169)*ROW(A$1:A1168)))),IF(INDEX(I$1:I1168,SUMPRODUCT(MAX((A$1:A1168=A1169)*(B$1:B1168=B1169)*ROW(A$1:A1168))))="",C1169&amp;"",INDEX(I$1:I1168,SUMPRODUCT(MAX((A$1:A1168=A1169)*(B$1:B1168=B1169)*ROW(A$1:A1168))))&amp;"; "&amp;C1169))))</f>
        <v/>
      </c>
      <c r="J1169" s="18" t="str">
        <f aca="false">IF(A1169="","",A1169&amp;"|"&amp;COUNTIF(A$2:A1169,A1169))</f>
        <v/>
      </c>
      <c r="K1169" s="18" t="n">
        <f aca="false">IF(OR(A1169="",B1169=""),0,IF(COUNTIFS(A$2:A1169,A1169,B$2:B1169,B1169)=1,1,0))</f>
        <v>0</v>
      </c>
    </row>
    <row r="1170" customFormat="false" ht="15" hidden="false" customHeight="false" outlineLevel="0" collapsed="false">
      <c r="A1170" s="15"/>
      <c r="B1170" s="15"/>
      <c r="C1170" s="15"/>
      <c r="D1170" s="15"/>
      <c r="F1170" s="18" t="str">
        <f aca="false">IF(B1170="","",IFERROR(INDEX(Materials!$B$2:$B$201,MATCH(B1170,Materials!$A$2:$A$201,0)),""))</f>
        <v/>
      </c>
      <c r="G1170" s="18" t="str">
        <f aca="true">IF(AND(A1170="",B1170=""),"",IF(A1170="","Missing product",IF(B1170="","Missing material",IF(COUNTIF(ProductList,A1170)=0,"Product not in Products list",IF(COUNTIF(MaterialList,B1170)=0,"Material not in Materials list","OK")))))</f>
        <v/>
      </c>
      <c r="H1170" s="18" t="str">
        <f aca="false">IF(F1170="Active",A1170&amp;"|"&amp;COUNTIFS(A$2:A1170,A1170,F$2:F1170,"Active"),"")</f>
        <v/>
      </c>
      <c r="I1170" s="18" t="str">
        <f aca="false">IF(B1170="","",IF(SUMPRODUCT(MAX((A$1:A1169=A1170)*(B$1:B1169=B1170)*ROW(A$1:A1169)))=0,C1170&amp;"",IF(C1170="",INDEX(I$1:I1169,SUMPRODUCT(MAX((A$1:A1169=A1170)*(B$1:B1169=B1170)*ROW(A$1:A1169)))),IF(INDEX(I$1:I1169,SUMPRODUCT(MAX((A$1:A1169=A1170)*(B$1:B1169=B1170)*ROW(A$1:A1169))))="",C1170&amp;"",INDEX(I$1:I1169,SUMPRODUCT(MAX((A$1:A1169=A1170)*(B$1:B1169=B1170)*ROW(A$1:A1169))))&amp;"; "&amp;C1170))))</f>
        <v/>
      </c>
      <c r="J1170" s="18" t="str">
        <f aca="false">IF(A1170="","",A1170&amp;"|"&amp;COUNTIF(A$2:A1170,A1170))</f>
        <v/>
      </c>
      <c r="K1170" s="18" t="n">
        <f aca="false">IF(OR(A1170="",B1170=""),0,IF(COUNTIFS(A$2:A1170,A1170,B$2:B1170,B1170)=1,1,0))</f>
        <v>0</v>
      </c>
    </row>
    <row r="1171" customFormat="false" ht="15" hidden="false" customHeight="false" outlineLevel="0" collapsed="false">
      <c r="A1171" s="15"/>
      <c r="B1171" s="15"/>
      <c r="C1171" s="15"/>
      <c r="D1171" s="15"/>
      <c r="F1171" s="18" t="str">
        <f aca="false">IF(B1171="","",IFERROR(INDEX(Materials!$B$2:$B$201,MATCH(B1171,Materials!$A$2:$A$201,0)),""))</f>
        <v/>
      </c>
      <c r="G1171" s="18" t="str">
        <f aca="true">IF(AND(A1171="",B1171=""),"",IF(A1171="","Missing product",IF(B1171="","Missing material",IF(COUNTIF(ProductList,A1171)=0,"Product not in Products list",IF(COUNTIF(MaterialList,B1171)=0,"Material not in Materials list","OK")))))</f>
        <v/>
      </c>
      <c r="H1171" s="18" t="str">
        <f aca="false">IF(F1171="Active",A1171&amp;"|"&amp;COUNTIFS(A$2:A1171,A1171,F$2:F1171,"Active"),"")</f>
        <v/>
      </c>
      <c r="I1171" s="18" t="str">
        <f aca="false">IF(B1171="","",IF(SUMPRODUCT(MAX((A$1:A1170=A1171)*(B$1:B1170=B1171)*ROW(A$1:A1170)))=0,C1171&amp;"",IF(C1171="",INDEX(I$1:I1170,SUMPRODUCT(MAX((A$1:A1170=A1171)*(B$1:B1170=B1171)*ROW(A$1:A1170)))),IF(INDEX(I$1:I1170,SUMPRODUCT(MAX((A$1:A1170=A1171)*(B$1:B1170=B1171)*ROW(A$1:A1170))))="",C1171&amp;"",INDEX(I$1:I1170,SUMPRODUCT(MAX((A$1:A1170=A1171)*(B$1:B1170=B1171)*ROW(A$1:A1170))))&amp;"; "&amp;C1171))))</f>
        <v/>
      </c>
      <c r="J1171" s="18" t="str">
        <f aca="false">IF(A1171="","",A1171&amp;"|"&amp;COUNTIF(A$2:A1171,A1171))</f>
        <v/>
      </c>
      <c r="K1171" s="18" t="n">
        <f aca="false">IF(OR(A1171="",B1171=""),0,IF(COUNTIFS(A$2:A1171,A1171,B$2:B1171,B1171)=1,1,0))</f>
        <v>0</v>
      </c>
    </row>
    <row r="1172" customFormat="false" ht="15" hidden="false" customHeight="false" outlineLevel="0" collapsed="false">
      <c r="A1172" s="15"/>
      <c r="B1172" s="15"/>
      <c r="C1172" s="15"/>
      <c r="D1172" s="15"/>
      <c r="F1172" s="18" t="str">
        <f aca="false">IF(B1172="","",IFERROR(INDEX(Materials!$B$2:$B$201,MATCH(B1172,Materials!$A$2:$A$201,0)),""))</f>
        <v/>
      </c>
      <c r="G1172" s="18" t="str">
        <f aca="true">IF(AND(A1172="",B1172=""),"",IF(A1172="","Missing product",IF(B1172="","Missing material",IF(COUNTIF(ProductList,A1172)=0,"Product not in Products list",IF(COUNTIF(MaterialList,B1172)=0,"Material not in Materials list","OK")))))</f>
        <v/>
      </c>
      <c r="H1172" s="18" t="str">
        <f aca="false">IF(F1172="Active",A1172&amp;"|"&amp;COUNTIFS(A$2:A1172,A1172,F$2:F1172,"Active"),"")</f>
        <v/>
      </c>
      <c r="I1172" s="18" t="str">
        <f aca="false">IF(B1172="","",IF(SUMPRODUCT(MAX((A$1:A1171=A1172)*(B$1:B1171=B1172)*ROW(A$1:A1171)))=0,C1172&amp;"",IF(C1172="",INDEX(I$1:I1171,SUMPRODUCT(MAX((A$1:A1171=A1172)*(B$1:B1171=B1172)*ROW(A$1:A1171)))),IF(INDEX(I$1:I1171,SUMPRODUCT(MAX((A$1:A1171=A1172)*(B$1:B1171=B1172)*ROW(A$1:A1171))))="",C1172&amp;"",INDEX(I$1:I1171,SUMPRODUCT(MAX((A$1:A1171=A1172)*(B$1:B1171=B1172)*ROW(A$1:A1171))))&amp;"; "&amp;C1172))))</f>
        <v/>
      </c>
      <c r="J1172" s="18" t="str">
        <f aca="false">IF(A1172="","",A1172&amp;"|"&amp;COUNTIF(A$2:A1172,A1172))</f>
        <v/>
      </c>
      <c r="K1172" s="18" t="n">
        <f aca="false">IF(OR(A1172="",B1172=""),0,IF(COUNTIFS(A$2:A1172,A1172,B$2:B1172,B1172)=1,1,0))</f>
        <v>0</v>
      </c>
    </row>
    <row r="1173" customFormat="false" ht="15" hidden="false" customHeight="false" outlineLevel="0" collapsed="false">
      <c r="A1173" s="15"/>
      <c r="B1173" s="15"/>
      <c r="C1173" s="15"/>
      <c r="D1173" s="15"/>
      <c r="F1173" s="18" t="str">
        <f aca="false">IF(B1173="","",IFERROR(INDEX(Materials!$B$2:$B$201,MATCH(B1173,Materials!$A$2:$A$201,0)),""))</f>
        <v/>
      </c>
      <c r="G1173" s="18" t="str">
        <f aca="true">IF(AND(A1173="",B1173=""),"",IF(A1173="","Missing product",IF(B1173="","Missing material",IF(COUNTIF(ProductList,A1173)=0,"Product not in Products list",IF(COUNTIF(MaterialList,B1173)=0,"Material not in Materials list","OK")))))</f>
        <v/>
      </c>
      <c r="H1173" s="18" t="str">
        <f aca="false">IF(F1173="Active",A1173&amp;"|"&amp;COUNTIFS(A$2:A1173,A1173,F$2:F1173,"Active"),"")</f>
        <v/>
      </c>
      <c r="I1173" s="18" t="str">
        <f aca="false">IF(B1173="","",IF(SUMPRODUCT(MAX((A$1:A1172=A1173)*(B$1:B1172=B1173)*ROW(A$1:A1172)))=0,C1173&amp;"",IF(C1173="",INDEX(I$1:I1172,SUMPRODUCT(MAX((A$1:A1172=A1173)*(B$1:B1172=B1173)*ROW(A$1:A1172)))),IF(INDEX(I$1:I1172,SUMPRODUCT(MAX((A$1:A1172=A1173)*(B$1:B1172=B1173)*ROW(A$1:A1172))))="",C1173&amp;"",INDEX(I$1:I1172,SUMPRODUCT(MAX((A$1:A1172=A1173)*(B$1:B1172=B1173)*ROW(A$1:A1172))))&amp;"; "&amp;C1173))))</f>
        <v/>
      </c>
      <c r="J1173" s="18" t="str">
        <f aca="false">IF(A1173="","",A1173&amp;"|"&amp;COUNTIF(A$2:A1173,A1173))</f>
        <v/>
      </c>
      <c r="K1173" s="18" t="n">
        <f aca="false">IF(OR(A1173="",B1173=""),0,IF(COUNTIFS(A$2:A1173,A1173,B$2:B1173,B1173)=1,1,0))</f>
        <v>0</v>
      </c>
    </row>
    <row r="1174" customFormat="false" ht="15" hidden="false" customHeight="false" outlineLevel="0" collapsed="false">
      <c r="A1174" s="15"/>
      <c r="B1174" s="15"/>
      <c r="C1174" s="15"/>
      <c r="D1174" s="15"/>
      <c r="F1174" s="18" t="str">
        <f aca="false">IF(B1174="","",IFERROR(INDEX(Materials!$B$2:$B$201,MATCH(B1174,Materials!$A$2:$A$201,0)),""))</f>
        <v/>
      </c>
      <c r="G1174" s="18" t="str">
        <f aca="true">IF(AND(A1174="",B1174=""),"",IF(A1174="","Missing product",IF(B1174="","Missing material",IF(COUNTIF(ProductList,A1174)=0,"Product not in Products list",IF(COUNTIF(MaterialList,B1174)=0,"Material not in Materials list","OK")))))</f>
        <v/>
      </c>
      <c r="H1174" s="18" t="str">
        <f aca="false">IF(F1174="Active",A1174&amp;"|"&amp;COUNTIFS(A$2:A1174,A1174,F$2:F1174,"Active"),"")</f>
        <v/>
      </c>
      <c r="I1174" s="18" t="str">
        <f aca="false">IF(B1174="","",IF(SUMPRODUCT(MAX((A$1:A1173=A1174)*(B$1:B1173=B1174)*ROW(A$1:A1173)))=0,C1174&amp;"",IF(C1174="",INDEX(I$1:I1173,SUMPRODUCT(MAX((A$1:A1173=A1174)*(B$1:B1173=B1174)*ROW(A$1:A1173)))),IF(INDEX(I$1:I1173,SUMPRODUCT(MAX((A$1:A1173=A1174)*(B$1:B1173=B1174)*ROW(A$1:A1173))))="",C1174&amp;"",INDEX(I$1:I1173,SUMPRODUCT(MAX((A$1:A1173=A1174)*(B$1:B1173=B1174)*ROW(A$1:A1173))))&amp;"; "&amp;C1174))))</f>
        <v/>
      </c>
      <c r="J1174" s="18" t="str">
        <f aca="false">IF(A1174="","",A1174&amp;"|"&amp;COUNTIF(A$2:A1174,A1174))</f>
        <v/>
      </c>
      <c r="K1174" s="18" t="n">
        <f aca="false">IF(OR(A1174="",B1174=""),0,IF(COUNTIFS(A$2:A1174,A1174,B$2:B1174,B1174)=1,1,0))</f>
        <v>0</v>
      </c>
    </row>
    <row r="1175" customFormat="false" ht="15" hidden="false" customHeight="false" outlineLevel="0" collapsed="false">
      <c r="A1175" s="15"/>
      <c r="B1175" s="15"/>
      <c r="C1175" s="15"/>
      <c r="D1175" s="15"/>
      <c r="F1175" s="18" t="str">
        <f aca="false">IF(B1175="","",IFERROR(INDEX(Materials!$B$2:$B$201,MATCH(B1175,Materials!$A$2:$A$201,0)),""))</f>
        <v/>
      </c>
      <c r="G1175" s="18" t="str">
        <f aca="true">IF(AND(A1175="",B1175=""),"",IF(A1175="","Missing product",IF(B1175="","Missing material",IF(COUNTIF(ProductList,A1175)=0,"Product not in Products list",IF(COUNTIF(MaterialList,B1175)=0,"Material not in Materials list","OK")))))</f>
        <v/>
      </c>
      <c r="H1175" s="18" t="str">
        <f aca="false">IF(F1175="Active",A1175&amp;"|"&amp;COUNTIFS(A$2:A1175,A1175,F$2:F1175,"Active"),"")</f>
        <v/>
      </c>
      <c r="I1175" s="18" t="str">
        <f aca="false">IF(B1175="","",IF(SUMPRODUCT(MAX((A$1:A1174=A1175)*(B$1:B1174=B1175)*ROW(A$1:A1174)))=0,C1175&amp;"",IF(C1175="",INDEX(I$1:I1174,SUMPRODUCT(MAX((A$1:A1174=A1175)*(B$1:B1174=B1175)*ROW(A$1:A1174)))),IF(INDEX(I$1:I1174,SUMPRODUCT(MAX((A$1:A1174=A1175)*(B$1:B1174=B1175)*ROW(A$1:A1174))))="",C1175&amp;"",INDEX(I$1:I1174,SUMPRODUCT(MAX((A$1:A1174=A1175)*(B$1:B1174=B1175)*ROW(A$1:A1174))))&amp;"; "&amp;C1175))))</f>
        <v/>
      </c>
      <c r="J1175" s="18" t="str">
        <f aca="false">IF(A1175="","",A1175&amp;"|"&amp;COUNTIF(A$2:A1175,A1175))</f>
        <v/>
      </c>
      <c r="K1175" s="18" t="n">
        <f aca="false">IF(OR(A1175="",B1175=""),0,IF(COUNTIFS(A$2:A1175,A1175,B$2:B1175,B1175)=1,1,0))</f>
        <v>0</v>
      </c>
    </row>
    <row r="1176" customFormat="false" ht="15" hidden="false" customHeight="false" outlineLevel="0" collapsed="false">
      <c r="A1176" s="15"/>
      <c r="B1176" s="15"/>
      <c r="C1176" s="15"/>
      <c r="D1176" s="15"/>
      <c r="F1176" s="18" t="str">
        <f aca="false">IF(B1176="","",IFERROR(INDEX(Materials!$B$2:$B$201,MATCH(B1176,Materials!$A$2:$A$201,0)),""))</f>
        <v/>
      </c>
      <c r="G1176" s="18" t="str">
        <f aca="true">IF(AND(A1176="",B1176=""),"",IF(A1176="","Missing product",IF(B1176="","Missing material",IF(COUNTIF(ProductList,A1176)=0,"Product not in Products list",IF(COUNTIF(MaterialList,B1176)=0,"Material not in Materials list","OK")))))</f>
        <v/>
      </c>
      <c r="H1176" s="18" t="str">
        <f aca="false">IF(F1176="Active",A1176&amp;"|"&amp;COUNTIFS(A$2:A1176,A1176,F$2:F1176,"Active"),"")</f>
        <v/>
      </c>
      <c r="I1176" s="18" t="str">
        <f aca="false">IF(B1176="","",IF(SUMPRODUCT(MAX((A$1:A1175=A1176)*(B$1:B1175=B1176)*ROW(A$1:A1175)))=0,C1176&amp;"",IF(C1176="",INDEX(I$1:I1175,SUMPRODUCT(MAX((A$1:A1175=A1176)*(B$1:B1175=B1176)*ROW(A$1:A1175)))),IF(INDEX(I$1:I1175,SUMPRODUCT(MAX((A$1:A1175=A1176)*(B$1:B1175=B1176)*ROW(A$1:A1175))))="",C1176&amp;"",INDEX(I$1:I1175,SUMPRODUCT(MAX((A$1:A1175=A1176)*(B$1:B1175=B1176)*ROW(A$1:A1175))))&amp;"; "&amp;C1176))))</f>
        <v/>
      </c>
      <c r="J1176" s="18" t="str">
        <f aca="false">IF(A1176="","",A1176&amp;"|"&amp;COUNTIF(A$2:A1176,A1176))</f>
        <v/>
      </c>
      <c r="K1176" s="18" t="n">
        <f aca="false">IF(OR(A1176="",B1176=""),0,IF(COUNTIFS(A$2:A1176,A1176,B$2:B1176,B1176)=1,1,0))</f>
        <v>0</v>
      </c>
    </row>
    <row r="1177" customFormat="false" ht="15" hidden="false" customHeight="false" outlineLevel="0" collapsed="false">
      <c r="A1177" s="15"/>
      <c r="B1177" s="15"/>
      <c r="C1177" s="15"/>
      <c r="D1177" s="15"/>
      <c r="F1177" s="18" t="str">
        <f aca="false">IF(B1177="","",IFERROR(INDEX(Materials!$B$2:$B$201,MATCH(B1177,Materials!$A$2:$A$201,0)),""))</f>
        <v/>
      </c>
      <c r="G1177" s="18" t="str">
        <f aca="true">IF(AND(A1177="",B1177=""),"",IF(A1177="","Missing product",IF(B1177="","Missing material",IF(COUNTIF(ProductList,A1177)=0,"Product not in Products list",IF(COUNTIF(MaterialList,B1177)=0,"Material not in Materials list","OK")))))</f>
        <v/>
      </c>
      <c r="H1177" s="18" t="str">
        <f aca="false">IF(F1177="Active",A1177&amp;"|"&amp;COUNTIFS(A$2:A1177,A1177,F$2:F1177,"Active"),"")</f>
        <v/>
      </c>
      <c r="I1177" s="18" t="str">
        <f aca="false">IF(B1177="","",IF(SUMPRODUCT(MAX((A$1:A1176=A1177)*(B$1:B1176=B1177)*ROW(A$1:A1176)))=0,C1177&amp;"",IF(C1177="",INDEX(I$1:I1176,SUMPRODUCT(MAX((A$1:A1176=A1177)*(B$1:B1176=B1177)*ROW(A$1:A1176)))),IF(INDEX(I$1:I1176,SUMPRODUCT(MAX((A$1:A1176=A1177)*(B$1:B1176=B1177)*ROW(A$1:A1176))))="",C1177&amp;"",INDEX(I$1:I1176,SUMPRODUCT(MAX((A$1:A1176=A1177)*(B$1:B1176=B1177)*ROW(A$1:A1176))))&amp;"; "&amp;C1177))))</f>
        <v/>
      </c>
      <c r="J1177" s="18" t="str">
        <f aca="false">IF(A1177="","",A1177&amp;"|"&amp;COUNTIF(A$2:A1177,A1177))</f>
        <v/>
      </c>
      <c r="K1177" s="18" t="n">
        <f aca="false">IF(OR(A1177="",B1177=""),0,IF(COUNTIFS(A$2:A1177,A1177,B$2:B1177,B1177)=1,1,0))</f>
        <v>0</v>
      </c>
    </row>
    <row r="1178" customFormat="false" ht="15" hidden="false" customHeight="false" outlineLevel="0" collapsed="false">
      <c r="A1178" s="15"/>
      <c r="B1178" s="15"/>
      <c r="C1178" s="15"/>
      <c r="D1178" s="15"/>
      <c r="F1178" s="18" t="str">
        <f aca="false">IF(B1178="","",IFERROR(INDEX(Materials!$B$2:$B$201,MATCH(B1178,Materials!$A$2:$A$201,0)),""))</f>
        <v/>
      </c>
      <c r="G1178" s="18" t="str">
        <f aca="true">IF(AND(A1178="",B1178=""),"",IF(A1178="","Missing product",IF(B1178="","Missing material",IF(COUNTIF(ProductList,A1178)=0,"Product not in Products list",IF(COUNTIF(MaterialList,B1178)=0,"Material not in Materials list","OK")))))</f>
        <v/>
      </c>
      <c r="H1178" s="18" t="str">
        <f aca="false">IF(F1178="Active",A1178&amp;"|"&amp;COUNTIFS(A$2:A1178,A1178,F$2:F1178,"Active"),"")</f>
        <v/>
      </c>
      <c r="I1178" s="18" t="str">
        <f aca="false">IF(B1178="","",IF(SUMPRODUCT(MAX((A$1:A1177=A1178)*(B$1:B1177=B1178)*ROW(A$1:A1177)))=0,C1178&amp;"",IF(C1178="",INDEX(I$1:I1177,SUMPRODUCT(MAX((A$1:A1177=A1178)*(B$1:B1177=B1178)*ROW(A$1:A1177)))),IF(INDEX(I$1:I1177,SUMPRODUCT(MAX((A$1:A1177=A1178)*(B$1:B1177=B1178)*ROW(A$1:A1177))))="",C1178&amp;"",INDEX(I$1:I1177,SUMPRODUCT(MAX((A$1:A1177=A1178)*(B$1:B1177=B1178)*ROW(A$1:A1177))))&amp;"; "&amp;C1178))))</f>
        <v/>
      </c>
      <c r="J1178" s="18" t="str">
        <f aca="false">IF(A1178="","",A1178&amp;"|"&amp;COUNTIF(A$2:A1178,A1178))</f>
        <v/>
      </c>
      <c r="K1178" s="18" t="n">
        <f aca="false">IF(OR(A1178="",B1178=""),0,IF(COUNTIFS(A$2:A1178,A1178,B$2:B1178,B1178)=1,1,0))</f>
        <v>0</v>
      </c>
    </row>
    <row r="1179" customFormat="false" ht="15" hidden="false" customHeight="false" outlineLevel="0" collapsed="false">
      <c r="A1179" s="15"/>
      <c r="B1179" s="15"/>
      <c r="C1179" s="15"/>
      <c r="D1179" s="15"/>
      <c r="F1179" s="18" t="str">
        <f aca="false">IF(B1179="","",IFERROR(INDEX(Materials!$B$2:$B$201,MATCH(B1179,Materials!$A$2:$A$201,0)),""))</f>
        <v/>
      </c>
      <c r="G1179" s="18" t="str">
        <f aca="true">IF(AND(A1179="",B1179=""),"",IF(A1179="","Missing product",IF(B1179="","Missing material",IF(COUNTIF(ProductList,A1179)=0,"Product not in Products list",IF(COUNTIF(MaterialList,B1179)=0,"Material not in Materials list","OK")))))</f>
        <v/>
      </c>
      <c r="H1179" s="18" t="str">
        <f aca="false">IF(F1179="Active",A1179&amp;"|"&amp;COUNTIFS(A$2:A1179,A1179,F$2:F1179,"Active"),"")</f>
        <v/>
      </c>
      <c r="I1179" s="18" t="str">
        <f aca="false">IF(B1179="","",IF(SUMPRODUCT(MAX((A$1:A1178=A1179)*(B$1:B1178=B1179)*ROW(A$1:A1178)))=0,C1179&amp;"",IF(C1179="",INDEX(I$1:I1178,SUMPRODUCT(MAX((A$1:A1178=A1179)*(B$1:B1178=B1179)*ROW(A$1:A1178)))),IF(INDEX(I$1:I1178,SUMPRODUCT(MAX((A$1:A1178=A1179)*(B$1:B1178=B1179)*ROW(A$1:A1178))))="",C1179&amp;"",INDEX(I$1:I1178,SUMPRODUCT(MAX((A$1:A1178=A1179)*(B$1:B1178=B1179)*ROW(A$1:A1178))))&amp;"; "&amp;C1179))))</f>
        <v/>
      </c>
      <c r="J1179" s="18" t="str">
        <f aca="false">IF(A1179="","",A1179&amp;"|"&amp;COUNTIF(A$2:A1179,A1179))</f>
        <v/>
      </c>
      <c r="K1179" s="18" t="n">
        <f aca="false">IF(OR(A1179="",B1179=""),0,IF(COUNTIFS(A$2:A1179,A1179,B$2:B1179,B1179)=1,1,0))</f>
        <v>0</v>
      </c>
    </row>
    <row r="1180" customFormat="false" ht="15" hidden="false" customHeight="false" outlineLevel="0" collapsed="false">
      <c r="A1180" s="15"/>
      <c r="B1180" s="15"/>
      <c r="C1180" s="15"/>
      <c r="D1180" s="15"/>
      <c r="F1180" s="18" t="str">
        <f aca="false">IF(B1180="","",IFERROR(INDEX(Materials!$B$2:$B$201,MATCH(B1180,Materials!$A$2:$A$201,0)),""))</f>
        <v/>
      </c>
      <c r="G1180" s="18" t="str">
        <f aca="true">IF(AND(A1180="",B1180=""),"",IF(A1180="","Missing product",IF(B1180="","Missing material",IF(COUNTIF(ProductList,A1180)=0,"Product not in Products list",IF(COUNTIF(MaterialList,B1180)=0,"Material not in Materials list","OK")))))</f>
        <v/>
      </c>
      <c r="H1180" s="18" t="str">
        <f aca="false">IF(F1180="Active",A1180&amp;"|"&amp;COUNTIFS(A$2:A1180,A1180,F$2:F1180,"Active"),"")</f>
        <v/>
      </c>
      <c r="I1180" s="18" t="str">
        <f aca="false">IF(B1180="","",IF(SUMPRODUCT(MAX((A$1:A1179=A1180)*(B$1:B1179=B1180)*ROW(A$1:A1179)))=0,C1180&amp;"",IF(C1180="",INDEX(I$1:I1179,SUMPRODUCT(MAX((A$1:A1179=A1180)*(B$1:B1179=B1180)*ROW(A$1:A1179)))),IF(INDEX(I$1:I1179,SUMPRODUCT(MAX((A$1:A1179=A1180)*(B$1:B1179=B1180)*ROW(A$1:A1179))))="",C1180&amp;"",INDEX(I$1:I1179,SUMPRODUCT(MAX((A$1:A1179=A1180)*(B$1:B1179=B1180)*ROW(A$1:A1179))))&amp;"; "&amp;C1180))))</f>
        <v/>
      </c>
      <c r="J1180" s="18" t="str">
        <f aca="false">IF(A1180="","",A1180&amp;"|"&amp;COUNTIF(A$2:A1180,A1180))</f>
        <v/>
      </c>
      <c r="K1180" s="18" t="n">
        <f aca="false">IF(OR(A1180="",B1180=""),0,IF(COUNTIFS(A$2:A1180,A1180,B$2:B1180,B1180)=1,1,0))</f>
        <v>0</v>
      </c>
    </row>
    <row r="1181" customFormat="false" ht="15" hidden="false" customHeight="false" outlineLevel="0" collapsed="false">
      <c r="A1181" s="15"/>
      <c r="B1181" s="15"/>
      <c r="C1181" s="15"/>
      <c r="D1181" s="15"/>
      <c r="F1181" s="18" t="str">
        <f aca="false">IF(B1181="","",IFERROR(INDEX(Materials!$B$2:$B$201,MATCH(B1181,Materials!$A$2:$A$201,0)),""))</f>
        <v/>
      </c>
      <c r="G1181" s="18" t="str">
        <f aca="true">IF(AND(A1181="",B1181=""),"",IF(A1181="","Missing product",IF(B1181="","Missing material",IF(COUNTIF(ProductList,A1181)=0,"Product not in Products list",IF(COUNTIF(MaterialList,B1181)=0,"Material not in Materials list","OK")))))</f>
        <v/>
      </c>
      <c r="H1181" s="18" t="str">
        <f aca="false">IF(F1181="Active",A1181&amp;"|"&amp;COUNTIFS(A$2:A1181,A1181,F$2:F1181,"Active"),"")</f>
        <v/>
      </c>
      <c r="I1181" s="18" t="str">
        <f aca="false">IF(B1181="","",IF(SUMPRODUCT(MAX((A$1:A1180=A1181)*(B$1:B1180=B1181)*ROW(A$1:A1180)))=0,C1181&amp;"",IF(C1181="",INDEX(I$1:I1180,SUMPRODUCT(MAX((A$1:A1180=A1181)*(B$1:B1180=B1181)*ROW(A$1:A1180)))),IF(INDEX(I$1:I1180,SUMPRODUCT(MAX((A$1:A1180=A1181)*(B$1:B1180=B1181)*ROW(A$1:A1180))))="",C1181&amp;"",INDEX(I$1:I1180,SUMPRODUCT(MAX((A$1:A1180=A1181)*(B$1:B1180=B1181)*ROW(A$1:A1180))))&amp;"; "&amp;C1181))))</f>
        <v/>
      </c>
      <c r="J1181" s="18" t="str">
        <f aca="false">IF(A1181="","",A1181&amp;"|"&amp;COUNTIF(A$2:A1181,A1181))</f>
        <v/>
      </c>
      <c r="K1181" s="18" t="n">
        <f aca="false">IF(OR(A1181="",B1181=""),0,IF(COUNTIFS(A$2:A1181,A1181,B$2:B1181,B1181)=1,1,0))</f>
        <v>0</v>
      </c>
    </row>
    <row r="1182" customFormat="false" ht="15" hidden="false" customHeight="false" outlineLevel="0" collapsed="false">
      <c r="A1182" s="15"/>
      <c r="B1182" s="15"/>
      <c r="C1182" s="15"/>
      <c r="D1182" s="15"/>
      <c r="F1182" s="18" t="str">
        <f aca="false">IF(B1182="","",IFERROR(INDEX(Materials!$B$2:$B$201,MATCH(B1182,Materials!$A$2:$A$201,0)),""))</f>
        <v/>
      </c>
      <c r="G1182" s="18" t="str">
        <f aca="true">IF(AND(A1182="",B1182=""),"",IF(A1182="","Missing product",IF(B1182="","Missing material",IF(COUNTIF(ProductList,A1182)=0,"Product not in Products list",IF(COUNTIF(MaterialList,B1182)=0,"Material not in Materials list","OK")))))</f>
        <v/>
      </c>
      <c r="H1182" s="18" t="str">
        <f aca="false">IF(F1182="Active",A1182&amp;"|"&amp;COUNTIFS(A$2:A1182,A1182,F$2:F1182,"Active"),"")</f>
        <v/>
      </c>
      <c r="I1182" s="18" t="str">
        <f aca="false">IF(B1182="","",IF(SUMPRODUCT(MAX((A$1:A1181=A1182)*(B$1:B1181=B1182)*ROW(A$1:A1181)))=0,C1182&amp;"",IF(C1182="",INDEX(I$1:I1181,SUMPRODUCT(MAX((A$1:A1181=A1182)*(B$1:B1181=B1182)*ROW(A$1:A1181)))),IF(INDEX(I$1:I1181,SUMPRODUCT(MAX((A$1:A1181=A1182)*(B$1:B1181=B1182)*ROW(A$1:A1181))))="",C1182&amp;"",INDEX(I$1:I1181,SUMPRODUCT(MAX((A$1:A1181=A1182)*(B$1:B1181=B1182)*ROW(A$1:A1181))))&amp;"; "&amp;C1182))))</f>
        <v/>
      </c>
      <c r="J1182" s="18" t="str">
        <f aca="false">IF(A1182="","",A1182&amp;"|"&amp;COUNTIF(A$2:A1182,A1182))</f>
        <v/>
      </c>
      <c r="K1182" s="18" t="n">
        <f aca="false">IF(OR(A1182="",B1182=""),0,IF(COUNTIFS(A$2:A1182,A1182,B$2:B1182,B1182)=1,1,0))</f>
        <v>0</v>
      </c>
    </row>
    <row r="1183" customFormat="false" ht="15" hidden="false" customHeight="false" outlineLevel="0" collapsed="false">
      <c r="A1183" s="15"/>
      <c r="B1183" s="15"/>
      <c r="C1183" s="15"/>
      <c r="D1183" s="15"/>
      <c r="F1183" s="18" t="str">
        <f aca="false">IF(B1183="","",IFERROR(INDEX(Materials!$B$2:$B$201,MATCH(B1183,Materials!$A$2:$A$201,0)),""))</f>
        <v/>
      </c>
      <c r="G1183" s="18" t="str">
        <f aca="true">IF(AND(A1183="",B1183=""),"",IF(A1183="","Missing product",IF(B1183="","Missing material",IF(COUNTIF(ProductList,A1183)=0,"Product not in Products list",IF(COUNTIF(MaterialList,B1183)=0,"Material not in Materials list","OK")))))</f>
        <v/>
      </c>
      <c r="H1183" s="18" t="str">
        <f aca="false">IF(F1183="Active",A1183&amp;"|"&amp;COUNTIFS(A$2:A1183,A1183,F$2:F1183,"Active"),"")</f>
        <v/>
      </c>
      <c r="I1183" s="18" t="str">
        <f aca="false">IF(B1183="","",IF(SUMPRODUCT(MAX((A$1:A1182=A1183)*(B$1:B1182=B1183)*ROW(A$1:A1182)))=0,C1183&amp;"",IF(C1183="",INDEX(I$1:I1182,SUMPRODUCT(MAX((A$1:A1182=A1183)*(B$1:B1182=B1183)*ROW(A$1:A1182)))),IF(INDEX(I$1:I1182,SUMPRODUCT(MAX((A$1:A1182=A1183)*(B$1:B1182=B1183)*ROW(A$1:A1182))))="",C1183&amp;"",INDEX(I$1:I1182,SUMPRODUCT(MAX((A$1:A1182=A1183)*(B$1:B1182=B1183)*ROW(A$1:A1182))))&amp;"; "&amp;C1183))))</f>
        <v/>
      </c>
      <c r="J1183" s="18" t="str">
        <f aca="false">IF(A1183="","",A1183&amp;"|"&amp;COUNTIF(A$2:A1183,A1183))</f>
        <v/>
      </c>
      <c r="K1183" s="18" t="n">
        <f aca="false">IF(OR(A1183="",B1183=""),0,IF(COUNTIFS(A$2:A1183,A1183,B$2:B1183,B1183)=1,1,0))</f>
        <v>0</v>
      </c>
    </row>
    <row r="1184" customFormat="false" ht="15" hidden="false" customHeight="false" outlineLevel="0" collapsed="false">
      <c r="A1184" s="15"/>
      <c r="B1184" s="15"/>
      <c r="C1184" s="15"/>
      <c r="D1184" s="15"/>
      <c r="F1184" s="18" t="str">
        <f aca="false">IF(B1184="","",IFERROR(INDEX(Materials!$B$2:$B$201,MATCH(B1184,Materials!$A$2:$A$201,0)),""))</f>
        <v/>
      </c>
      <c r="G1184" s="18" t="str">
        <f aca="true">IF(AND(A1184="",B1184=""),"",IF(A1184="","Missing product",IF(B1184="","Missing material",IF(COUNTIF(ProductList,A1184)=0,"Product not in Products list",IF(COUNTIF(MaterialList,B1184)=0,"Material not in Materials list","OK")))))</f>
        <v/>
      </c>
      <c r="H1184" s="18" t="str">
        <f aca="false">IF(F1184="Active",A1184&amp;"|"&amp;COUNTIFS(A$2:A1184,A1184,F$2:F1184,"Active"),"")</f>
        <v/>
      </c>
      <c r="I1184" s="18" t="str">
        <f aca="false">IF(B1184="","",IF(SUMPRODUCT(MAX((A$1:A1183=A1184)*(B$1:B1183=B1184)*ROW(A$1:A1183)))=0,C1184&amp;"",IF(C1184="",INDEX(I$1:I1183,SUMPRODUCT(MAX((A$1:A1183=A1184)*(B$1:B1183=B1184)*ROW(A$1:A1183)))),IF(INDEX(I$1:I1183,SUMPRODUCT(MAX((A$1:A1183=A1184)*(B$1:B1183=B1184)*ROW(A$1:A1183))))="",C1184&amp;"",INDEX(I$1:I1183,SUMPRODUCT(MAX((A$1:A1183=A1184)*(B$1:B1183=B1184)*ROW(A$1:A1183))))&amp;"; "&amp;C1184))))</f>
        <v/>
      </c>
      <c r="J1184" s="18" t="str">
        <f aca="false">IF(A1184="","",A1184&amp;"|"&amp;COUNTIF(A$2:A1184,A1184))</f>
        <v/>
      </c>
      <c r="K1184" s="18" t="n">
        <f aca="false">IF(OR(A1184="",B1184=""),0,IF(COUNTIFS(A$2:A1184,A1184,B$2:B1184,B1184)=1,1,0))</f>
        <v>0</v>
      </c>
    </row>
    <row r="1185" customFormat="false" ht="15" hidden="false" customHeight="false" outlineLevel="0" collapsed="false">
      <c r="A1185" s="15"/>
      <c r="B1185" s="15"/>
      <c r="C1185" s="15"/>
      <c r="D1185" s="15"/>
      <c r="F1185" s="18" t="str">
        <f aca="false">IF(B1185="","",IFERROR(INDEX(Materials!$B$2:$B$201,MATCH(B1185,Materials!$A$2:$A$201,0)),""))</f>
        <v/>
      </c>
      <c r="G1185" s="18" t="str">
        <f aca="true">IF(AND(A1185="",B1185=""),"",IF(A1185="","Missing product",IF(B1185="","Missing material",IF(COUNTIF(ProductList,A1185)=0,"Product not in Products list",IF(COUNTIF(MaterialList,B1185)=0,"Material not in Materials list","OK")))))</f>
        <v/>
      </c>
      <c r="H1185" s="18" t="str">
        <f aca="false">IF(F1185="Active",A1185&amp;"|"&amp;COUNTIFS(A$2:A1185,A1185,F$2:F1185,"Active"),"")</f>
        <v/>
      </c>
      <c r="I1185" s="18" t="str">
        <f aca="false">IF(B1185="","",IF(SUMPRODUCT(MAX((A$1:A1184=A1185)*(B$1:B1184=B1185)*ROW(A$1:A1184)))=0,C1185&amp;"",IF(C1185="",INDEX(I$1:I1184,SUMPRODUCT(MAX((A$1:A1184=A1185)*(B$1:B1184=B1185)*ROW(A$1:A1184)))),IF(INDEX(I$1:I1184,SUMPRODUCT(MAX((A$1:A1184=A1185)*(B$1:B1184=B1185)*ROW(A$1:A1184))))="",C1185&amp;"",INDEX(I$1:I1184,SUMPRODUCT(MAX((A$1:A1184=A1185)*(B$1:B1184=B1185)*ROW(A$1:A1184))))&amp;"; "&amp;C1185))))</f>
        <v/>
      </c>
      <c r="J1185" s="18" t="str">
        <f aca="false">IF(A1185="","",A1185&amp;"|"&amp;COUNTIF(A$2:A1185,A1185))</f>
        <v/>
      </c>
      <c r="K1185" s="18" t="n">
        <f aca="false">IF(OR(A1185="",B1185=""),0,IF(COUNTIFS(A$2:A1185,A1185,B$2:B1185,B1185)=1,1,0))</f>
        <v>0</v>
      </c>
    </row>
    <row r="1186" customFormat="false" ht="15" hidden="false" customHeight="false" outlineLevel="0" collapsed="false">
      <c r="A1186" s="15"/>
      <c r="B1186" s="15"/>
      <c r="C1186" s="15"/>
      <c r="D1186" s="15"/>
      <c r="F1186" s="18" t="str">
        <f aca="false">IF(B1186="","",IFERROR(INDEX(Materials!$B$2:$B$201,MATCH(B1186,Materials!$A$2:$A$201,0)),""))</f>
        <v/>
      </c>
      <c r="G1186" s="18" t="str">
        <f aca="true">IF(AND(A1186="",B1186=""),"",IF(A1186="","Missing product",IF(B1186="","Missing material",IF(COUNTIF(ProductList,A1186)=0,"Product not in Products list",IF(COUNTIF(MaterialList,B1186)=0,"Material not in Materials list","OK")))))</f>
        <v/>
      </c>
      <c r="H1186" s="18" t="str">
        <f aca="false">IF(F1186="Active",A1186&amp;"|"&amp;COUNTIFS(A$2:A1186,A1186,F$2:F1186,"Active"),"")</f>
        <v/>
      </c>
      <c r="I1186" s="18" t="str">
        <f aca="false">IF(B1186="","",IF(SUMPRODUCT(MAX((A$1:A1185=A1186)*(B$1:B1185=B1186)*ROW(A$1:A1185)))=0,C1186&amp;"",IF(C1186="",INDEX(I$1:I1185,SUMPRODUCT(MAX((A$1:A1185=A1186)*(B$1:B1185=B1186)*ROW(A$1:A1185)))),IF(INDEX(I$1:I1185,SUMPRODUCT(MAX((A$1:A1185=A1186)*(B$1:B1185=B1186)*ROW(A$1:A1185))))="",C1186&amp;"",INDEX(I$1:I1185,SUMPRODUCT(MAX((A$1:A1185=A1186)*(B$1:B1185=B1186)*ROW(A$1:A1185))))&amp;"; "&amp;C1186))))</f>
        <v/>
      </c>
      <c r="J1186" s="18" t="str">
        <f aca="false">IF(A1186="","",A1186&amp;"|"&amp;COUNTIF(A$2:A1186,A1186))</f>
        <v/>
      </c>
      <c r="K1186" s="18" t="n">
        <f aca="false">IF(OR(A1186="",B1186=""),0,IF(COUNTIFS(A$2:A1186,A1186,B$2:B1186,B1186)=1,1,0))</f>
        <v>0</v>
      </c>
    </row>
    <row r="1187" customFormat="false" ht="15" hidden="false" customHeight="false" outlineLevel="0" collapsed="false">
      <c r="A1187" s="15"/>
      <c r="B1187" s="15"/>
      <c r="C1187" s="15"/>
      <c r="D1187" s="15"/>
      <c r="F1187" s="18" t="str">
        <f aca="false">IF(B1187="","",IFERROR(INDEX(Materials!$B$2:$B$201,MATCH(B1187,Materials!$A$2:$A$201,0)),""))</f>
        <v/>
      </c>
      <c r="G1187" s="18" t="str">
        <f aca="true">IF(AND(A1187="",B1187=""),"",IF(A1187="","Missing product",IF(B1187="","Missing material",IF(COUNTIF(ProductList,A1187)=0,"Product not in Products list",IF(COUNTIF(MaterialList,B1187)=0,"Material not in Materials list","OK")))))</f>
        <v/>
      </c>
      <c r="H1187" s="18" t="str">
        <f aca="false">IF(F1187="Active",A1187&amp;"|"&amp;COUNTIFS(A$2:A1187,A1187,F$2:F1187,"Active"),"")</f>
        <v/>
      </c>
      <c r="I1187" s="18" t="str">
        <f aca="false">IF(B1187="","",IF(SUMPRODUCT(MAX((A$1:A1186=A1187)*(B$1:B1186=B1187)*ROW(A$1:A1186)))=0,C1187&amp;"",IF(C1187="",INDEX(I$1:I1186,SUMPRODUCT(MAX((A$1:A1186=A1187)*(B$1:B1186=B1187)*ROW(A$1:A1186)))),IF(INDEX(I$1:I1186,SUMPRODUCT(MAX((A$1:A1186=A1187)*(B$1:B1186=B1187)*ROW(A$1:A1186))))="",C1187&amp;"",INDEX(I$1:I1186,SUMPRODUCT(MAX((A$1:A1186=A1187)*(B$1:B1186=B1187)*ROW(A$1:A1186))))&amp;"; "&amp;C1187))))</f>
        <v/>
      </c>
      <c r="J1187" s="18" t="str">
        <f aca="false">IF(A1187="","",A1187&amp;"|"&amp;COUNTIF(A$2:A1187,A1187))</f>
        <v/>
      </c>
      <c r="K1187" s="18" t="n">
        <f aca="false">IF(OR(A1187="",B1187=""),0,IF(COUNTIFS(A$2:A1187,A1187,B$2:B1187,B1187)=1,1,0))</f>
        <v>0</v>
      </c>
    </row>
    <row r="1188" customFormat="false" ht="15" hidden="false" customHeight="false" outlineLevel="0" collapsed="false">
      <c r="A1188" s="15"/>
      <c r="B1188" s="15"/>
      <c r="C1188" s="15"/>
      <c r="D1188" s="15"/>
      <c r="F1188" s="18" t="str">
        <f aca="false">IF(B1188="","",IFERROR(INDEX(Materials!$B$2:$B$201,MATCH(B1188,Materials!$A$2:$A$201,0)),""))</f>
        <v/>
      </c>
      <c r="G1188" s="18" t="str">
        <f aca="true">IF(AND(A1188="",B1188=""),"",IF(A1188="","Missing product",IF(B1188="","Missing material",IF(COUNTIF(ProductList,A1188)=0,"Product not in Products list",IF(COUNTIF(MaterialList,B1188)=0,"Material not in Materials list","OK")))))</f>
        <v/>
      </c>
      <c r="H1188" s="18" t="str">
        <f aca="false">IF(F1188="Active",A1188&amp;"|"&amp;COUNTIFS(A$2:A1188,A1188,F$2:F1188,"Active"),"")</f>
        <v/>
      </c>
      <c r="I1188" s="18" t="str">
        <f aca="false">IF(B1188="","",IF(SUMPRODUCT(MAX((A$1:A1187=A1188)*(B$1:B1187=B1188)*ROW(A$1:A1187)))=0,C1188&amp;"",IF(C1188="",INDEX(I$1:I1187,SUMPRODUCT(MAX((A$1:A1187=A1188)*(B$1:B1187=B1188)*ROW(A$1:A1187)))),IF(INDEX(I$1:I1187,SUMPRODUCT(MAX((A$1:A1187=A1188)*(B$1:B1187=B1188)*ROW(A$1:A1187))))="",C1188&amp;"",INDEX(I$1:I1187,SUMPRODUCT(MAX((A$1:A1187=A1188)*(B$1:B1187=B1188)*ROW(A$1:A1187))))&amp;"; "&amp;C1188))))</f>
        <v/>
      </c>
      <c r="J1188" s="18" t="str">
        <f aca="false">IF(A1188="","",A1188&amp;"|"&amp;COUNTIF(A$2:A1188,A1188))</f>
        <v/>
      </c>
      <c r="K1188" s="18" t="n">
        <f aca="false">IF(OR(A1188="",B1188=""),0,IF(COUNTIFS(A$2:A1188,A1188,B$2:B1188,B1188)=1,1,0))</f>
        <v>0</v>
      </c>
    </row>
    <row r="1189" customFormat="false" ht="15" hidden="false" customHeight="false" outlineLevel="0" collapsed="false">
      <c r="A1189" s="15"/>
      <c r="B1189" s="15"/>
      <c r="C1189" s="15"/>
      <c r="D1189" s="15"/>
      <c r="F1189" s="18" t="str">
        <f aca="false">IF(B1189="","",IFERROR(INDEX(Materials!$B$2:$B$201,MATCH(B1189,Materials!$A$2:$A$201,0)),""))</f>
        <v/>
      </c>
      <c r="G1189" s="18" t="str">
        <f aca="true">IF(AND(A1189="",B1189=""),"",IF(A1189="","Missing product",IF(B1189="","Missing material",IF(COUNTIF(ProductList,A1189)=0,"Product not in Products list",IF(COUNTIF(MaterialList,B1189)=0,"Material not in Materials list","OK")))))</f>
        <v/>
      </c>
      <c r="H1189" s="18" t="str">
        <f aca="false">IF(F1189="Active",A1189&amp;"|"&amp;COUNTIFS(A$2:A1189,A1189,F$2:F1189,"Active"),"")</f>
        <v/>
      </c>
      <c r="I1189" s="18" t="str">
        <f aca="false">IF(B1189="","",IF(SUMPRODUCT(MAX((A$1:A1188=A1189)*(B$1:B1188=B1189)*ROW(A$1:A1188)))=0,C1189&amp;"",IF(C1189="",INDEX(I$1:I1188,SUMPRODUCT(MAX((A$1:A1188=A1189)*(B$1:B1188=B1189)*ROW(A$1:A1188)))),IF(INDEX(I$1:I1188,SUMPRODUCT(MAX((A$1:A1188=A1189)*(B$1:B1188=B1189)*ROW(A$1:A1188))))="",C1189&amp;"",INDEX(I$1:I1188,SUMPRODUCT(MAX((A$1:A1188=A1189)*(B$1:B1188=B1189)*ROW(A$1:A1188))))&amp;"; "&amp;C1189))))</f>
        <v/>
      </c>
      <c r="J1189" s="18" t="str">
        <f aca="false">IF(A1189="","",A1189&amp;"|"&amp;COUNTIF(A$2:A1189,A1189))</f>
        <v/>
      </c>
      <c r="K1189" s="18" t="n">
        <f aca="false">IF(OR(A1189="",B1189=""),0,IF(COUNTIFS(A$2:A1189,A1189,B$2:B1189,B1189)=1,1,0))</f>
        <v>0</v>
      </c>
    </row>
    <row r="1190" customFormat="false" ht="15" hidden="false" customHeight="false" outlineLevel="0" collapsed="false">
      <c r="A1190" s="15"/>
      <c r="B1190" s="15"/>
      <c r="C1190" s="15"/>
      <c r="D1190" s="15"/>
      <c r="F1190" s="18" t="str">
        <f aca="false">IF(B1190="","",IFERROR(INDEX(Materials!$B$2:$B$201,MATCH(B1190,Materials!$A$2:$A$201,0)),""))</f>
        <v/>
      </c>
      <c r="G1190" s="18" t="str">
        <f aca="true">IF(AND(A1190="",B1190=""),"",IF(A1190="","Missing product",IF(B1190="","Missing material",IF(COUNTIF(ProductList,A1190)=0,"Product not in Products list",IF(COUNTIF(MaterialList,B1190)=0,"Material not in Materials list","OK")))))</f>
        <v/>
      </c>
      <c r="H1190" s="18" t="str">
        <f aca="false">IF(F1190="Active",A1190&amp;"|"&amp;COUNTIFS(A$2:A1190,A1190,F$2:F1190,"Active"),"")</f>
        <v/>
      </c>
      <c r="I1190" s="18" t="str">
        <f aca="false">IF(B1190="","",IF(SUMPRODUCT(MAX((A$1:A1189=A1190)*(B$1:B1189=B1190)*ROW(A$1:A1189)))=0,C1190&amp;"",IF(C1190="",INDEX(I$1:I1189,SUMPRODUCT(MAX((A$1:A1189=A1190)*(B$1:B1189=B1190)*ROW(A$1:A1189)))),IF(INDEX(I$1:I1189,SUMPRODUCT(MAX((A$1:A1189=A1190)*(B$1:B1189=B1190)*ROW(A$1:A1189))))="",C1190&amp;"",INDEX(I$1:I1189,SUMPRODUCT(MAX((A$1:A1189=A1190)*(B$1:B1189=B1190)*ROW(A$1:A1189))))&amp;"; "&amp;C1190))))</f>
        <v/>
      </c>
      <c r="J1190" s="18" t="str">
        <f aca="false">IF(A1190="","",A1190&amp;"|"&amp;COUNTIF(A$2:A1190,A1190))</f>
        <v/>
      </c>
      <c r="K1190" s="18" t="n">
        <f aca="false">IF(OR(A1190="",B1190=""),0,IF(COUNTIFS(A$2:A1190,A1190,B$2:B1190,B1190)=1,1,0))</f>
        <v>0</v>
      </c>
    </row>
    <row r="1191" customFormat="false" ht="15" hidden="false" customHeight="false" outlineLevel="0" collapsed="false">
      <c r="A1191" s="15"/>
      <c r="B1191" s="15"/>
      <c r="C1191" s="15"/>
      <c r="D1191" s="15"/>
      <c r="F1191" s="18" t="str">
        <f aca="false">IF(B1191="","",IFERROR(INDEX(Materials!$B$2:$B$201,MATCH(B1191,Materials!$A$2:$A$201,0)),""))</f>
        <v/>
      </c>
      <c r="G1191" s="18" t="str">
        <f aca="true">IF(AND(A1191="",B1191=""),"",IF(A1191="","Missing product",IF(B1191="","Missing material",IF(COUNTIF(ProductList,A1191)=0,"Product not in Products list",IF(COUNTIF(MaterialList,B1191)=0,"Material not in Materials list","OK")))))</f>
        <v/>
      </c>
      <c r="H1191" s="18" t="str">
        <f aca="false">IF(F1191="Active",A1191&amp;"|"&amp;COUNTIFS(A$2:A1191,A1191,F$2:F1191,"Active"),"")</f>
        <v/>
      </c>
      <c r="I1191" s="18" t="str">
        <f aca="false">IF(B1191="","",IF(SUMPRODUCT(MAX((A$1:A1190=A1191)*(B$1:B1190=B1191)*ROW(A$1:A1190)))=0,C1191&amp;"",IF(C1191="",INDEX(I$1:I1190,SUMPRODUCT(MAX((A$1:A1190=A1191)*(B$1:B1190=B1191)*ROW(A$1:A1190)))),IF(INDEX(I$1:I1190,SUMPRODUCT(MAX((A$1:A1190=A1191)*(B$1:B1190=B1191)*ROW(A$1:A1190))))="",C1191&amp;"",INDEX(I$1:I1190,SUMPRODUCT(MAX((A$1:A1190=A1191)*(B$1:B1190=B1191)*ROW(A$1:A1190))))&amp;"; "&amp;C1191))))</f>
        <v/>
      </c>
      <c r="J1191" s="18" t="str">
        <f aca="false">IF(A1191="","",A1191&amp;"|"&amp;COUNTIF(A$2:A1191,A1191))</f>
        <v/>
      </c>
      <c r="K1191" s="18" t="n">
        <f aca="false">IF(OR(A1191="",B1191=""),0,IF(COUNTIFS(A$2:A1191,A1191,B$2:B1191,B1191)=1,1,0))</f>
        <v>0</v>
      </c>
    </row>
    <row r="1192" customFormat="false" ht="15" hidden="false" customHeight="false" outlineLevel="0" collapsed="false">
      <c r="A1192" s="15"/>
      <c r="B1192" s="15"/>
      <c r="C1192" s="15"/>
      <c r="D1192" s="15"/>
      <c r="F1192" s="18" t="str">
        <f aca="false">IF(B1192="","",IFERROR(INDEX(Materials!$B$2:$B$201,MATCH(B1192,Materials!$A$2:$A$201,0)),""))</f>
        <v/>
      </c>
      <c r="G1192" s="18" t="str">
        <f aca="true">IF(AND(A1192="",B1192=""),"",IF(A1192="","Missing product",IF(B1192="","Missing material",IF(COUNTIF(ProductList,A1192)=0,"Product not in Products list",IF(COUNTIF(MaterialList,B1192)=0,"Material not in Materials list","OK")))))</f>
        <v/>
      </c>
      <c r="H1192" s="18" t="str">
        <f aca="false">IF(F1192="Active",A1192&amp;"|"&amp;COUNTIFS(A$2:A1192,A1192,F$2:F1192,"Active"),"")</f>
        <v/>
      </c>
      <c r="I1192" s="18" t="str">
        <f aca="false">IF(B1192="","",IF(SUMPRODUCT(MAX((A$1:A1191=A1192)*(B$1:B1191=B1192)*ROW(A$1:A1191)))=0,C1192&amp;"",IF(C1192="",INDEX(I$1:I1191,SUMPRODUCT(MAX((A$1:A1191=A1192)*(B$1:B1191=B1192)*ROW(A$1:A1191)))),IF(INDEX(I$1:I1191,SUMPRODUCT(MAX((A$1:A1191=A1192)*(B$1:B1191=B1192)*ROW(A$1:A1191))))="",C1192&amp;"",INDEX(I$1:I1191,SUMPRODUCT(MAX((A$1:A1191=A1192)*(B$1:B1191=B1192)*ROW(A$1:A1191))))&amp;"; "&amp;C1192))))</f>
        <v/>
      </c>
      <c r="J1192" s="18" t="str">
        <f aca="false">IF(A1192="","",A1192&amp;"|"&amp;COUNTIF(A$2:A1192,A1192))</f>
        <v/>
      </c>
      <c r="K1192" s="18" t="n">
        <f aca="false">IF(OR(A1192="",B1192=""),0,IF(COUNTIFS(A$2:A1192,A1192,B$2:B1192,B1192)=1,1,0))</f>
        <v>0</v>
      </c>
    </row>
    <row r="1193" customFormat="false" ht="15" hidden="false" customHeight="false" outlineLevel="0" collapsed="false">
      <c r="A1193" s="15"/>
      <c r="B1193" s="15"/>
      <c r="C1193" s="15"/>
      <c r="D1193" s="15"/>
      <c r="F1193" s="18" t="str">
        <f aca="false">IF(B1193="","",IFERROR(INDEX(Materials!$B$2:$B$201,MATCH(B1193,Materials!$A$2:$A$201,0)),""))</f>
        <v/>
      </c>
      <c r="G1193" s="18" t="str">
        <f aca="true">IF(AND(A1193="",B1193=""),"",IF(A1193="","Missing product",IF(B1193="","Missing material",IF(COUNTIF(ProductList,A1193)=0,"Product not in Products list",IF(COUNTIF(MaterialList,B1193)=0,"Material not in Materials list","OK")))))</f>
        <v/>
      </c>
      <c r="H1193" s="18" t="str">
        <f aca="false">IF(F1193="Active",A1193&amp;"|"&amp;COUNTIFS(A$2:A1193,A1193,F$2:F1193,"Active"),"")</f>
        <v/>
      </c>
      <c r="I1193" s="18" t="str">
        <f aca="false">IF(B1193="","",IF(SUMPRODUCT(MAX((A$1:A1192=A1193)*(B$1:B1192=B1193)*ROW(A$1:A1192)))=0,C1193&amp;"",IF(C1193="",INDEX(I$1:I1192,SUMPRODUCT(MAX((A$1:A1192=A1193)*(B$1:B1192=B1193)*ROW(A$1:A1192)))),IF(INDEX(I$1:I1192,SUMPRODUCT(MAX((A$1:A1192=A1193)*(B$1:B1192=B1193)*ROW(A$1:A1192))))="",C1193&amp;"",INDEX(I$1:I1192,SUMPRODUCT(MAX((A$1:A1192=A1193)*(B$1:B1192=B1193)*ROW(A$1:A1192))))&amp;"; "&amp;C1193))))</f>
        <v/>
      </c>
      <c r="J1193" s="18" t="str">
        <f aca="false">IF(A1193="","",A1193&amp;"|"&amp;COUNTIF(A$2:A1193,A1193))</f>
        <v/>
      </c>
      <c r="K1193" s="18" t="n">
        <f aca="false">IF(OR(A1193="",B1193=""),0,IF(COUNTIFS(A$2:A1193,A1193,B$2:B1193,B1193)=1,1,0))</f>
        <v>0</v>
      </c>
    </row>
    <row r="1194" customFormat="false" ht="15" hidden="false" customHeight="false" outlineLevel="0" collapsed="false">
      <c r="A1194" s="15"/>
      <c r="B1194" s="15"/>
      <c r="C1194" s="15"/>
      <c r="D1194" s="15"/>
      <c r="F1194" s="18" t="str">
        <f aca="false">IF(B1194="","",IFERROR(INDEX(Materials!$B$2:$B$201,MATCH(B1194,Materials!$A$2:$A$201,0)),""))</f>
        <v/>
      </c>
      <c r="G1194" s="18" t="str">
        <f aca="true">IF(AND(A1194="",B1194=""),"",IF(A1194="","Missing product",IF(B1194="","Missing material",IF(COUNTIF(ProductList,A1194)=0,"Product not in Products list",IF(COUNTIF(MaterialList,B1194)=0,"Material not in Materials list","OK")))))</f>
        <v/>
      </c>
      <c r="H1194" s="18" t="str">
        <f aca="false">IF(F1194="Active",A1194&amp;"|"&amp;COUNTIFS(A$2:A1194,A1194,F$2:F1194,"Active"),"")</f>
        <v/>
      </c>
      <c r="I1194" s="18" t="str">
        <f aca="false">IF(B1194="","",IF(SUMPRODUCT(MAX((A$1:A1193=A1194)*(B$1:B1193=B1194)*ROW(A$1:A1193)))=0,C1194&amp;"",IF(C1194="",INDEX(I$1:I1193,SUMPRODUCT(MAX((A$1:A1193=A1194)*(B$1:B1193=B1194)*ROW(A$1:A1193)))),IF(INDEX(I$1:I1193,SUMPRODUCT(MAX((A$1:A1193=A1194)*(B$1:B1193=B1194)*ROW(A$1:A1193))))="",C1194&amp;"",INDEX(I$1:I1193,SUMPRODUCT(MAX((A$1:A1193=A1194)*(B$1:B1193=B1194)*ROW(A$1:A1193))))&amp;"; "&amp;C1194))))</f>
        <v/>
      </c>
      <c r="J1194" s="18" t="str">
        <f aca="false">IF(A1194="","",A1194&amp;"|"&amp;COUNTIF(A$2:A1194,A1194))</f>
        <v/>
      </c>
      <c r="K1194" s="18" t="n">
        <f aca="false">IF(OR(A1194="",B1194=""),0,IF(COUNTIFS(A$2:A1194,A1194,B$2:B1194,B1194)=1,1,0))</f>
        <v>0</v>
      </c>
    </row>
    <row r="1195" customFormat="false" ht="15" hidden="false" customHeight="false" outlineLevel="0" collapsed="false">
      <c r="A1195" s="15"/>
      <c r="B1195" s="15"/>
      <c r="C1195" s="15"/>
      <c r="D1195" s="15"/>
      <c r="F1195" s="18" t="str">
        <f aca="false">IF(B1195="","",IFERROR(INDEX(Materials!$B$2:$B$201,MATCH(B1195,Materials!$A$2:$A$201,0)),""))</f>
        <v/>
      </c>
      <c r="G1195" s="18" t="str">
        <f aca="true">IF(AND(A1195="",B1195=""),"",IF(A1195="","Missing product",IF(B1195="","Missing material",IF(COUNTIF(ProductList,A1195)=0,"Product not in Products list",IF(COUNTIF(MaterialList,B1195)=0,"Material not in Materials list","OK")))))</f>
        <v/>
      </c>
      <c r="H1195" s="18" t="str">
        <f aca="false">IF(F1195="Active",A1195&amp;"|"&amp;COUNTIFS(A$2:A1195,A1195,F$2:F1195,"Active"),"")</f>
        <v/>
      </c>
      <c r="I1195" s="18" t="str">
        <f aca="false">IF(B1195="","",IF(SUMPRODUCT(MAX((A$1:A1194=A1195)*(B$1:B1194=B1195)*ROW(A$1:A1194)))=0,C1195&amp;"",IF(C1195="",INDEX(I$1:I1194,SUMPRODUCT(MAX((A$1:A1194=A1195)*(B$1:B1194=B1195)*ROW(A$1:A1194)))),IF(INDEX(I$1:I1194,SUMPRODUCT(MAX((A$1:A1194=A1195)*(B$1:B1194=B1195)*ROW(A$1:A1194))))="",C1195&amp;"",INDEX(I$1:I1194,SUMPRODUCT(MAX((A$1:A1194=A1195)*(B$1:B1194=B1195)*ROW(A$1:A1194))))&amp;"; "&amp;C1195))))</f>
        <v/>
      </c>
      <c r="J1195" s="18" t="str">
        <f aca="false">IF(A1195="","",A1195&amp;"|"&amp;COUNTIF(A$2:A1195,A1195))</f>
        <v/>
      </c>
      <c r="K1195" s="18" t="n">
        <f aca="false">IF(OR(A1195="",B1195=""),0,IF(COUNTIFS(A$2:A1195,A1195,B$2:B1195,B1195)=1,1,0))</f>
        <v>0</v>
      </c>
    </row>
    <row r="1196" customFormat="false" ht="15" hidden="false" customHeight="false" outlineLevel="0" collapsed="false">
      <c r="A1196" s="15"/>
      <c r="B1196" s="15"/>
      <c r="C1196" s="15"/>
      <c r="D1196" s="15"/>
      <c r="F1196" s="18" t="str">
        <f aca="false">IF(B1196="","",IFERROR(INDEX(Materials!$B$2:$B$201,MATCH(B1196,Materials!$A$2:$A$201,0)),""))</f>
        <v/>
      </c>
      <c r="G1196" s="18" t="str">
        <f aca="true">IF(AND(A1196="",B1196=""),"",IF(A1196="","Missing product",IF(B1196="","Missing material",IF(COUNTIF(ProductList,A1196)=0,"Product not in Products list",IF(COUNTIF(MaterialList,B1196)=0,"Material not in Materials list","OK")))))</f>
        <v/>
      </c>
      <c r="H1196" s="18" t="str">
        <f aca="false">IF(F1196="Active",A1196&amp;"|"&amp;COUNTIFS(A$2:A1196,A1196,F$2:F1196,"Active"),"")</f>
        <v/>
      </c>
      <c r="I1196" s="18" t="str">
        <f aca="false">IF(B1196="","",IF(SUMPRODUCT(MAX((A$1:A1195=A1196)*(B$1:B1195=B1196)*ROW(A$1:A1195)))=0,C1196&amp;"",IF(C1196="",INDEX(I$1:I1195,SUMPRODUCT(MAX((A$1:A1195=A1196)*(B$1:B1195=B1196)*ROW(A$1:A1195)))),IF(INDEX(I$1:I1195,SUMPRODUCT(MAX((A$1:A1195=A1196)*(B$1:B1195=B1196)*ROW(A$1:A1195))))="",C1196&amp;"",INDEX(I$1:I1195,SUMPRODUCT(MAX((A$1:A1195=A1196)*(B$1:B1195=B1196)*ROW(A$1:A1195))))&amp;"; "&amp;C1196))))</f>
        <v/>
      </c>
      <c r="J1196" s="18" t="str">
        <f aca="false">IF(A1196="","",A1196&amp;"|"&amp;COUNTIF(A$2:A1196,A1196))</f>
        <v/>
      </c>
      <c r="K1196" s="18" t="n">
        <f aca="false">IF(OR(A1196="",B1196=""),0,IF(COUNTIFS(A$2:A1196,A1196,B$2:B1196,B1196)=1,1,0))</f>
        <v>0</v>
      </c>
    </row>
    <row r="1197" customFormat="false" ht="15" hidden="false" customHeight="false" outlineLevel="0" collapsed="false">
      <c r="A1197" s="15"/>
      <c r="B1197" s="15"/>
      <c r="C1197" s="15"/>
      <c r="D1197" s="15"/>
      <c r="F1197" s="18" t="str">
        <f aca="false">IF(B1197="","",IFERROR(INDEX(Materials!$B$2:$B$201,MATCH(B1197,Materials!$A$2:$A$201,0)),""))</f>
        <v/>
      </c>
      <c r="G1197" s="18" t="str">
        <f aca="true">IF(AND(A1197="",B1197=""),"",IF(A1197="","Missing product",IF(B1197="","Missing material",IF(COUNTIF(ProductList,A1197)=0,"Product not in Products list",IF(COUNTIF(MaterialList,B1197)=0,"Material not in Materials list","OK")))))</f>
        <v/>
      </c>
      <c r="H1197" s="18" t="str">
        <f aca="false">IF(F1197="Active",A1197&amp;"|"&amp;COUNTIFS(A$2:A1197,A1197,F$2:F1197,"Active"),"")</f>
        <v/>
      </c>
      <c r="I1197" s="18" t="str">
        <f aca="false">IF(B1197="","",IF(SUMPRODUCT(MAX((A$1:A1196=A1197)*(B$1:B1196=B1197)*ROW(A$1:A1196)))=0,C1197&amp;"",IF(C1197="",INDEX(I$1:I1196,SUMPRODUCT(MAX((A$1:A1196=A1197)*(B$1:B1196=B1197)*ROW(A$1:A1196)))),IF(INDEX(I$1:I1196,SUMPRODUCT(MAX((A$1:A1196=A1197)*(B$1:B1196=B1197)*ROW(A$1:A1196))))="",C1197&amp;"",INDEX(I$1:I1196,SUMPRODUCT(MAX((A$1:A1196=A1197)*(B$1:B1196=B1197)*ROW(A$1:A1196))))&amp;"; "&amp;C1197))))</f>
        <v/>
      </c>
      <c r="J1197" s="18" t="str">
        <f aca="false">IF(A1197="","",A1197&amp;"|"&amp;COUNTIF(A$2:A1197,A1197))</f>
        <v/>
      </c>
      <c r="K1197" s="18" t="n">
        <f aca="false">IF(OR(A1197="",B1197=""),0,IF(COUNTIFS(A$2:A1197,A1197,B$2:B1197,B1197)=1,1,0))</f>
        <v>0</v>
      </c>
    </row>
    <row r="1198" customFormat="false" ht="15" hidden="false" customHeight="false" outlineLevel="0" collapsed="false">
      <c r="A1198" s="15"/>
      <c r="B1198" s="15"/>
      <c r="C1198" s="15"/>
      <c r="D1198" s="15"/>
      <c r="F1198" s="18" t="str">
        <f aca="false">IF(B1198="","",IFERROR(INDEX(Materials!$B$2:$B$201,MATCH(B1198,Materials!$A$2:$A$201,0)),""))</f>
        <v/>
      </c>
      <c r="G1198" s="18" t="str">
        <f aca="true">IF(AND(A1198="",B1198=""),"",IF(A1198="","Missing product",IF(B1198="","Missing material",IF(COUNTIF(ProductList,A1198)=0,"Product not in Products list",IF(COUNTIF(MaterialList,B1198)=0,"Material not in Materials list","OK")))))</f>
        <v/>
      </c>
      <c r="H1198" s="18" t="str">
        <f aca="false">IF(F1198="Active",A1198&amp;"|"&amp;COUNTIFS(A$2:A1198,A1198,F$2:F1198,"Active"),"")</f>
        <v/>
      </c>
      <c r="I1198" s="18" t="str">
        <f aca="false">IF(B1198="","",IF(SUMPRODUCT(MAX((A$1:A1197=A1198)*(B$1:B1197=B1198)*ROW(A$1:A1197)))=0,C1198&amp;"",IF(C1198="",INDEX(I$1:I1197,SUMPRODUCT(MAX((A$1:A1197=A1198)*(B$1:B1197=B1198)*ROW(A$1:A1197)))),IF(INDEX(I$1:I1197,SUMPRODUCT(MAX((A$1:A1197=A1198)*(B$1:B1197=B1198)*ROW(A$1:A1197))))="",C1198&amp;"",INDEX(I$1:I1197,SUMPRODUCT(MAX((A$1:A1197=A1198)*(B$1:B1197=B1198)*ROW(A$1:A1197))))&amp;"; "&amp;C1198))))</f>
        <v/>
      </c>
      <c r="J1198" s="18" t="str">
        <f aca="false">IF(A1198="","",A1198&amp;"|"&amp;COUNTIF(A$2:A1198,A1198))</f>
        <v/>
      </c>
      <c r="K1198" s="18" t="n">
        <f aca="false">IF(OR(A1198="",B1198=""),0,IF(COUNTIFS(A$2:A1198,A1198,B$2:B1198,B1198)=1,1,0))</f>
        <v>0</v>
      </c>
    </row>
    <row r="1199" customFormat="false" ht="15" hidden="false" customHeight="false" outlineLevel="0" collapsed="false">
      <c r="A1199" s="15"/>
      <c r="B1199" s="15"/>
      <c r="C1199" s="15"/>
      <c r="D1199" s="15"/>
      <c r="F1199" s="18" t="str">
        <f aca="false">IF(B1199="","",IFERROR(INDEX(Materials!$B$2:$B$201,MATCH(B1199,Materials!$A$2:$A$201,0)),""))</f>
        <v/>
      </c>
      <c r="G1199" s="18" t="str">
        <f aca="true">IF(AND(A1199="",B1199=""),"",IF(A1199="","Missing product",IF(B1199="","Missing material",IF(COUNTIF(ProductList,A1199)=0,"Product not in Products list",IF(COUNTIF(MaterialList,B1199)=0,"Material not in Materials list","OK")))))</f>
        <v/>
      </c>
      <c r="H1199" s="18" t="str">
        <f aca="false">IF(F1199="Active",A1199&amp;"|"&amp;COUNTIFS(A$2:A1199,A1199,F$2:F1199,"Active"),"")</f>
        <v/>
      </c>
      <c r="I1199" s="18" t="str">
        <f aca="false">IF(B1199="","",IF(SUMPRODUCT(MAX((A$1:A1198=A1199)*(B$1:B1198=B1199)*ROW(A$1:A1198)))=0,C1199&amp;"",IF(C1199="",INDEX(I$1:I1198,SUMPRODUCT(MAX((A$1:A1198=A1199)*(B$1:B1198=B1199)*ROW(A$1:A1198)))),IF(INDEX(I$1:I1198,SUMPRODUCT(MAX((A$1:A1198=A1199)*(B$1:B1198=B1199)*ROW(A$1:A1198))))="",C1199&amp;"",INDEX(I$1:I1198,SUMPRODUCT(MAX((A$1:A1198=A1199)*(B$1:B1198=B1199)*ROW(A$1:A1198))))&amp;"; "&amp;C1199))))</f>
        <v/>
      </c>
      <c r="J1199" s="18" t="str">
        <f aca="false">IF(A1199="","",A1199&amp;"|"&amp;COUNTIF(A$2:A1199,A1199))</f>
        <v/>
      </c>
      <c r="K1199" s="18" t="n">
        <f aca="false">IF(OR(A1199="",B1199=""),0,IF(COUNTIFS(A$2:A1199,A1199,B$2:B1199,B1199)=1,1,0))</f>
        <v>0</v>
      </c>
    </row>
    <row r="1200" customFormat="false" ht="15" hidden="false" customHeight="false" outlineLevel="0" collapsed="false">
      <c r="A1200" s="15"/>
      <c r="B1200" s="15"/>
      <c r="C1200" s="15"/>
      <c r="D1200" s="15"/>
      <c r="F1200" s="18" t="str">
        <f aca="false">IF(B1200="","",IFERROR(INDEX(Materials!$B$2:$B$201,MATCH(B1200,Materials!$A$2:$A$201,0)),""))</f>
        <v/>
      </c>
      <c r="G1200" s="18" t="str">
        <f aca="true">IF(AND(A1200="",B1200=""),"",IF(A1200="","Missing product",IF(B1200="","Missing material",IF(COUNTIF(ProductList,A1200)=0,"Product not in Products list",IF(COUNTIF(MaterialList,B1200)=0,"Material not in Materials list","OK")))))</f>
        <v/>
      </c>
      <c r="H1200" s="18" t="str">
        <f aca="false">IF(F1200="Active",A1200&amp;"|"&amp;COUNTIFS(A$2:A1200,A1200,F$2:F1200,"Active"),"")</f>
        <v/>
      </c>
      <c r="I1200" s="18" t="str">
        <f aca="false">IF(B1200="","",IF(SUMPRODUCT(MAX((A$1:A1199=A1200)*(B$1:B1199=B1200)*ROW(A$1:A1199)))=0,C1200&amp;"",IF(C1200="",INDEX(I$1:I1199,SUMPRODUCT(MAX((A$1:A1199=A1200)*(B$1:B1199=B1200)*ROW(A$1:A1199)))),IF(INDEX(I$1:I1199,SUMPRODUCT(MAX((A$1:A1199=A1200)*(B$1:B1199=B1200)*ROW(A$1:A1199))))="",C1200&amp;"",INDEX(I$1:I1199,SUMPRODUCT(MAX((A$1:A1199=A1200)*(B$1:B1199=B1200)*ROW(A$1:A1199))))&amp;"; "&amp;C1200))))</f>
        <v/>
      </c>
      <c r="J1200" s="18" t="str">
        <f aca="false">IF(A1200="","",A1200&amp;"|"&amp;COUNTIF(A$2:A1200,A1200))</f>
        <v/>
      </c>
      <c r="K1200" s="18" t="n">
        <f aca="false">IF(OR(A1200="",B1200=""),0,IF(COUNTIFS(A$2:A1200,A1200,B$2:B1200,B1200)=1,1,0))</f>
        <v>0</v>
      </c>
    </row>
    <row r="1201" customFormat="false" ht="15" hidden="false" customHeight="false" outlineLevel="0" collapsed="false">
      <c r="A1201" s="15"/>
      <c r="B1201" s="15"/>
      <c r="C1201" s="15"/>
      <c r="D1201" s="15"/>
      <c r="F1201" s="18" t="str">
        <f aca="false">IF(B1201="","",IFERROR(INDEX(Materials!$B$2:$B$201,MATCH(B1201,Materials!$A$2:$A$201,0)),""))</f>
        <v/>
      </c>
      <c r="G1201" s="18" t="str">
        <f aca="true">IF(AND(A1201="",B1201=""),"",IF(A1201="","Missing product",IF(B1201="","Missing material",IF(COUNTIF(ProductList,A1201)=0,"Product not in Products list",IF(COUNTIF(MaterialList,B1201)=0,"Material not in Materials list","OK")))))</f>
        <v/>
      </c>
      <c r="H1201" s="18" t="str">
        <f aca="false">IF(F1201="Active",A1201&amp;"|"&amp;COUNTIFS(A$2:A1201,A1201,F$2:F1201,"Active"),"")</f>
        <v/>
      </c>
      <c r="I1201" s="18" t="str">
        <f aca="false">IF(B1201="","",IF(SUMPRODUCT(MAX((A$1:A1200=A1201)*(B$1:B1200=B1201)*ROW(A$1:A1200)))=0,C1201&amp;"",IF(C1201="",INDEX(I$1:I1200,SUMPRODUCT(MAX((A$1:A1200=A1201)*(B$1:B1200=B1201)*ROW(A$1:A1200)))),IF(INDEX(I$1:I1200,SUMPRODUCT(MAX((A$1:A1200=A1201)*(B$1:B1200=B1201)*ROW(A$1:A1200))))="",C1201&amp;"",INDEX(I$1:I1200,SUMPRODUCT(MAX((A$1:A1200=A1201)*(B$1:B1200=B1201)*ROW(A$1:A1200))))&amp;"; "&amp;C1201))))</f>
        <v/>
      </c>
      <c r="J1201" s="18" t="str">
        <f aca="false">IF(A1201="","",A1201&amp;"|"&amp;COUNTIF(A$2:A1201,A1201))</f>
        <v/>
      </c>
      <c r="K1201" s="18" t="n">
        <f aca="false">IF(OR(A1201="",B1201=""),0,IF(COUNTIFS(A$2:A1201,A1201,B$2:B1201,B1201)=1,1,0))</f>
        <v>0</v>
      </c>
    </row>
    <row r="1202" customFormat="false" ht="15" hidden="false" customHeight="false" outlineLevel="0" collapsed="false">
      <c r="A1202" s="15"/>
      <c r="B1202" s="15"/>
      <c r="C1202" s="15"/>
      <c r="D1202" s="15"/>
      <c r="F1202" s="18" t="str">
        <f aca="false">IF(B1202="","",IFERROR(INDEX(Materials!$B$2:$B$201,MATCH(B1202,Materials!$A$2:$A$201,0)),""))</f>
        <v/>
      </c>
      <c r="G1202" s="18" t="str">
        <f aca="true">IF(AND(A1202="",B1202=""),"",IF(A1202="","Missing product",IF(B1202="","Missing material",IF(COUNTIF(ProductList,A1202)=0,"Product not in Products list",IF(COUNTIF(MaterialList,B1202)=0,"Material not in Materials list","OK")))))</f>
        <v/>
      </c>
      <c r="H1202" s="18" t="str">
        <f aca="false">IF(F1202="Active",A1202&amp;"|"&amp;COUNTIFS(A$2:A1202,A1202,F$2:F1202,"Active"),"")</f>
        <v/>
      </c>
      <c r="I1202" s="18" t="str">
        <f aca="false">IF(B1202="","",IF(SUMPRODUCT(MAX((A$1:A1201=A1202)*(B$1:B1201=B1202)*ROW(A$1:A1201)))=0,C1202&amp;"",IF(C1202="",INDEX(I$1:I1201,SUMPRODUCT(MAX((A$1:A1201=A1202)*(B$1:B1201=B1202)*ROW(A$1:A1201)))),IF(INDEX(I$1:I1201,SUMPRODUCT(MAX((A$1:A1201=A1202)*(B$1:B1201=B1202)*ROW(A$1:A1201))))="",C1202&amp;"",INDEX(I$1:I1201,SUMPRODUCT(MAX((A$1:A1201=A1202)*(B$1:B1201=B1202)*ROW(A$1:A1201))))&amp;"; "&amp;C1202))))</f>
        <v/>
      </c>
      <c r="J1202" s="18" t="str">
        <f aca="false">IF(A1202="","",A1202&amp;"|"&amp;COUNTIF(A$2:A1202,A1202))</f>
        <v/>
      </c>
      <c r="K1202" s="18" t="n">
        <f aca="false">IF(OR(A1202="",B1202=""),0,IF(COUNTIFS(A$2:A1202,A1202,B$2:B1202,B1202)=1,1,0))</f>
        <v>0</v>
      </c>
    </row>
    <row r="1203" customFormat="false" ht="15" hidden="false" customHeight="false" outlineLevel="0" collapsed="false">
      <c r="A1203" s="15"/>
      <c r="B1203" s="15"/>
      <c r="C1203" s="15"/>
      <c r="D1203" s="15"/>
      <c r="F1203" s="18" t="str">
        <f aca="false">IF(B1203="","",IFERROR(INDEX(Materials!$B$2:$B$201,MATCH(B1203,Materials!$A$2:$A$201,0)),""))</f>
        <v/>
      </c>
      <c r="G1203" s="18" t="str">
        <f aca="true">IF(AND(A1203="",B1203=""),"",IF(A1203="","Missing product",IF(B1203="","Missing material",IF(COUNTIF(ProductList,A1203)=0,"Product not in Products list",IF(COUNTIF(MaterialList,B1203)=0,"Material not in Materials list","OK")))))</f>
        <v/>
      </c>
      <c r="H1203" s="18" t="str">
        <f aca="false">IF(F1203="Active",A1203&amp;"|"&amp;COUNTIFS(A$2:A1203,A1203,F$2:F1203,"Active"),"")</f>
        <v/>
      </c>
      <c r="I1203" s="18" t="str">
        <f aca="false">IF(B1203="","",IF(SUMPRODUCT(MAX((A$1:A1202=A1203)*(B$1:B1202=B1203)*ROW(A$1:A1202)))=0,C1203&amp;"",IF(C1203="",INDEX(I$1:I1202,SUMPRODUCT(MAX((A$1:A1202=A1203)*(B$1:B1202=B1203)*ROW(A$1:A1202)))),IF(INDEX(I$1:I1202,SUMPRODUCT(MAX((A$1:A1202=A1203)*(B$1:B1202=B1203)*ROW(A$1:A1202))))="",C1203&amp;"",INDEX(I$1:I1202,SUMPRODUCT(MAX((A$1:A1202=A1203)*(B$1:B1202=B1203)*ROW(A$1:A1202))))&amp;"; "&amp;C1203))))</f>
        <v/>
      </c>
      <c r="J1203" s="18" t="str">
        <f aca="false">IF(A1203="","",A1203&amp;"|"&amp;COUNTIF(A$2:A1203,A1203))</f>
        <v/>
      </c>
      <c r="K1203" s="18" t="n">
        <f aca="false">IF(OR(A1203="",B1203=""),0,IF(COUNTIFS(A$2:A1203,A1203,B$2:B1203,B1203)=1,1,0))</f>
        <v>0</v>
      </c>
    </row>
    <row r="1204" customFormat="false" ht="15" hidden="false" customHeight="false" outlineLevel="0" collapsed="false">
      <c r="A1204" s="15"/>
      <c r="B1204" s="15"/>
      <c r="C1204" s="15"/>
      <c r="D1204" s="15"/>
      <c r="F1204" s="18" t="str">
        <f aca="false">IF(B1204="","",IFERROR(INDEX(Materials!$B$2:$B$201,MATCH(B1204,Materials!$A$2:$A$201,0)),""))</f>
        <v/>
      </c>
      <c r="G1204" s="18" t="str">
        <f aca="true">IF(AND(A1204="",B1204=""),"",IF(A1204="","Missing product",IF(B1204="","Missing material",IF(COUNTIF(ProductList,A1204)=0,"Product not in Products list",IF(COUNTIF(MaterialList,B1204)=0,"Material not in Materials list","OK")))))</f>
        <v/>
      </c>
      <c r="H1204" s="18" t="str">
        <f aca="false">IF(F1204="Active",A1204&amp;"|"&amp;COUNTIFS(A$2:A1204,A1204,F$2:F1204,"Active"),"")</f>
        <v/>
      </c>
      <c r="I1204" s="18" t="str">
        <f aca="false">IF(B1204="","",IF(SUMPRODUCT(MAX((A$1:A1203=A1204)*(B$1:B1203=B1204)*ROW(A$1:A1203)))=0,C1204&amp;"",IF(C1204="",INDEX(I$1:I1203,SUMPRODUCT(MAX((A$1:A1203=A1204)*(B$1:B1203=B1204)*ROW(A$1:A1203)))),IF(INDEX(I$1:I1203,SUMPRODUCT(MAX((A$1:A1203=A1204)*(B$1:B1203=B1204)*ROW(A$1:A1203))))="",C1204&amp;"",INDEX(I$1:I1203,SUMPRODUCT(MAX((A$1:A1203=A1204)*(B$1:B1203=B1204)*ROW(A$1:A1203))))&amp;"; "&amp;C1204))))</f>
        <v/>
      </c>
      <c r="J1204" s="18" t="str">
        <f aca="false">IF(A1204="","",A1204&amp;"|"&amp;COUNTIF(A$2:A1204,A1204))</f>
        <v/>
      </c>
      <c r="K1204" s="18" t="n">
        <f aca="false">IF(OR(A1204="",B1204=""),0,IF(COUNTIFS(A$2:A1204,A1204,B$2:B1204,B1204)=1,1,0))</f>
        <v>0</v>
      </c>
    </row>
    <row r="1205" customFormat="false" ht="15" hidden="false" customHeight="false" outlineLevel="0" collapsed="false">
      <c r="A1205" s="15"/>
      <c r="B1205" s="15"/>
      <c r="C1205" s="15"/>
      <c r="D1205" s="15"/>
      <c r="F1205" s="18" t="str">
        <f aca="false">IF(B1205="","",IFERROR(INDEX(Materials!$B$2:$B$201,MATCH(B1205,Materials!$A$2:$A$201,0)),""))</f>
        <v/>
      </c>
      <c r="G1205" s="18" t="str">
        <f aca="true">IF(AND(A1205="",B1205=""),"",IF(A1205="","Missing product",IF(B1205="","Missing material",IF(COUNTIF(ProductList,A1205)=0,"Product not in Products list",IF(COUNTIF(MaterialList,B1205)=0,"Material not in Materials list","OK")))))</f>
        <v/>
      </c>
      <c r="H1205" s="18" t="str">
        <f aca="false">IF(F1205="Active",A1205&amp;"|"&amp;COUNTIFS(A$2:A1205,A1205,F$2:F1205,"Active"),"")</f>
        <v/>
      </c>
      <c r="I1205" s="18" t="str">
        <f aca="false">IF(B1205="","",IF(SUMPRODUCT(MAX((A$1:A1204=A1205)*(B$1:B1204=B1205)*ROW(A$1:A1204)))=0,C1205&amp;"",IF(C1205="",INDEX(I$1:I1204,SUMPRODUCT(MAX((A$1:A1204=A1205)*(B$1:B1204=B1205)*ROW(A$1:A1204)))),IF(INDEX(I$1:I1204,SUMPRODUCT(MAX((A$1:A1204=A1205)*(B$1:B1204=B1205)*ROW(A$1:A1204))))="",C1205&amp;"",INDEX(I$1:I1204,SUMPRODUCT(MAX((A$1:A1204=A1205)*(B$1:B1204=B1205)*ROW(A$1:A1204))))&amp;"; "&amp;C1205))))</f>
        <v/>
      </c>
      <c r="J1205" s="18" t="str">
        <f aca="false">IF(A1205="","",A1205&amp;"|"&amp;COUNTIF(A$2:A1205,A1205))</f>
        <v/>
      </c>
      <c r="K1205" s="18" t="n">
        <f aca="false">IF(OR(A1205="",B1205=""),0,IF(COUNTIFS(A$2:A1205,A1205,B$2:B1205,B1205)=1,1,0))</f>
        <v>0</v>
      </c>
    </row>
    <row r="1206" customFormat="false" ht="15" hidden="false" customHeight="false" outlineLevel="0" collapsed="false">
      <c r="A1206" s="15"/>
      <c r="B1206" s="15"/>
      <c r="C1206" s="15"/>
      <c r="D1206" s="15"/>
      <c r="F1206" s="18" t="str">
        <f aca="false">IF(B1206="","",IFERROR(INDEX(Materials!$B$2:$B$201,MATCH(B1206,Materials!$A$2:$A$201,0)),""))</f>
        <v/>
      </c>
      <c r="G1206" s="18" t="str">
        <f aca="true">IF(AND(A1206="",B1206=""),"",IF(A1206="","Missing product",IF(B1206="","Missing material",IF(COUNTIF(ProductList,A1206)=0,"Product not in Products list",IF(COUNTIF(MaterialList,B1206)=0,"Material not in Materials list","OK")))))</f>
        <v/>
      </c>
      <c r="H1206" s="18" t="str">
        <f aca="false">IF(F1206="Active",A1206&amp;"|"&amp;COUNTIFS(A$2:A1206,A1206,F$2:F1206,"Active"),"")</f>
        <v/>
      </c>
      <c r="I1206" s="18" t="str">
        <f aca="false">IF(B1206="","",IF(SUMPRODUCT(MAX((A$1:A1205=A1206)*(B$1:B1205=B1206)*ROW(A$1:A1205)))=0,C1206&amp;"",IF(C1206="",INDEX(I$1:I1205,SUMPRODUCT(MAX((A$1:A1205=A1206)*(B$1:B1205=B1206)*ROW(A$1:A1205)))),IF(INDEX(I$1:I1205,SUMPRODUCT(MAX((A$1:A1205=A1206)*(B$1:B1205=B1206)*ROW(A$1:A1205))))="",C1206&amp;"",INDEX(I$1:I1205,SUMPRODUCT(MAX((A$1:A1205=A1206)*(B$1:B1205=B1206)*ROW(A$1:A1205))))&amp;"; "&amp;C1206))))</f>
        <v/>
      </c>
      <c r="J1206" s="18" t="str">
        <f aca="false">IF(A1206="","",A1206&amp;"|"&amp;COUNTIF(A$2:A1206,A1206))</f>
        <v/>
      </c>
      <c r="K1206" s="18" t="n">
        <f aca="false">IF(OR(A1206="",B1206=""),0,IF(COUNTIFS(A$2:A1206,A1206,B$2:B1206,B1206)=1,1,0))</f>
        <v>0</v>
      </c>
    </row>
    <row r="1207" customFormat="false" ht="15" hidden="false" customHeight="false" outlineLevel="0" collapsed="false">
      <c r="A1207" s="15"/>
      <c r="B1207" s="15"/>
      <c r="C1207" s="15"/>
      <c r="D1207" s="15"/>
      <c r="F1207" s="18" t="str">
        <f aca="false">IF(B1207="","",IFERROR(INDEX(Materials!$B$2:$B$201,MATCH(B1207,Materials!$A$2:$A$201,0)),""))</f>
        <v/>
      </c>
      <c r="G1207" s="18" t="str">
        <f aca="true">IF(AND(A1207="",B1207=""),"",IF(A1207="","Missing product",IF(B1207="","Missing material",IF(COUNTIF(ProductList,A1207)=0,"Product not in Products list",IF(COUNTIF(MaterialList,B1207)=0,"Material not in Materials list","OK")))))</f>
        <v/>
      </c>
      <c r="H1207" s="18" t="str">
        <f aca="false">IF(F1207="Active",A1207&amp;"|"&amp;COUNTIFS(A$2:A1207,A1207,F$2:F1207,"Active"),"")</f>
        <v/>
      </c>
      <c r="I1207" s="18" t="str">
        <f aca="false">IF(B1207="","",IF(SUMPRODUCT(MAX((A$1:A1206=A1207)*(B$1:B1206=B1207)*ROW(A$1:A1206)))=0,C1207&amp;"",IF(C1207="",INDEX(I$1:I1206,SUMPRODUCT(MAX((A$1:A1206=A1207)*(B$1:B1206=B1207)*ROW(A$1:A1206)))),IF(INDEX(I$1:I1206,SUMPRODUCT(MAX((A$1:A1206=A1207)*(B$1:B1206=B1207)*ROW(A$1:A1206))))="",C1207&amp;"",INDEX(I$1:I1206,SUMPRODUCT(MAX((A$1:A1206=A1207)*(B$1:B1206=B1207)*ROW(A$1:A1206))))&amp;"; "&amp;C1207))))</f>
        <v/>
      </c>
      <c r="J1207" s="18" t="str">
        <f aca="false">IF(A1207="","",A1207&amp;"|"&amp;COUNTIF(A$2:A1207,A1207))</f>
        <v/>
      </c>
      <c r="K1207" s="18" t="n">
        <f aca="false">IF(OR(A1207="",B1207=""),0,IF(COUNTIFS(A$2:A1207,A1207,B$2:B1207,B1207)=1,1,0))</f>
        <v>0</v>
      </c>
    </row>
    <row r="1208" customFormat="false" ht="15" hidden="false" customHeight="false" outlineLevel="0" collapsed="false">
      <c r="A1208" s="15"/>
      <c r="B1208" s="15"/>
      <c r="C1208" s="15"/>
      <c r="D1208" s="15"/>
      <c r="F1208" s="18" t="str">
        <f aca="false">IF(B1208="","",IFERROR(INDEX(Materials!$B$2:$B$201,MATCH(B1208,Materials!$A$2:$A$201,0)),""))</f>
        <v/>
      </c>
      <c r="G1208" s="18" t="str">
        <f aca="true">IF(AND(A1208="",B1208=""),"",IF(A1208="","Missing product",IF(B1208="","Missing material",IF(COUNTIF(ProductList,A1208)=0,"Product not in Products list",IF(COUNTIF(MaterialList,B1208)=0,"Material not in Materials list","OK")))))</f>
        <v/>
      </c>
      <c r="H1208" s="18" t="str">
        <f aca="false">IF(F1208="Active",A1208&amp;"|"&amp;COUNTIFS(A$2:A1208,A1208,F$2:F1208,"Active"),"")</f>
        <v/>
      </c>
      <c r="I1208" s="18" t="str">
        <f aca="false">IF(B1208="","",IF(SUMPRODUCT(MAX((A$1:A1207=A1208)*(B$1:B1207=B1208)*ROW(A$1:A1207)))=0,C1208&amp;"",IF(C1208="",INDEX(I$1:I1207,SUMPRODUCT(MAX((A$1:A1207=A1208)*(B$1:B1207=B1208)*ROW(A$1:A1207)))),IF(INDEX(I$1:I1207,SUMPRODUCT(MAX((A$1:A1207=A1208)*(B$1:B1207=B1208)*ROW(A$1:A1207))))="",C1208&amp;"",INDEX(I$1:I1207,SUMPRODUCT(MAX((A$1:A1207=A1208)*(B$1:B1207=B1208)*ROW(A$1:A1207))))&amp;"; "&amp;C1208))))</f>
        <v/>
      </c>
      <c r="J1208" s="18" t="str">
        <f aca="false">IF(A1208="","",A1208&amp;"|"&amp;COUNTIF(A$2:A1208,A1208))</f>
        <v/>
      </c>
      <c r="K1208" s="18" t="n">
        <f aca="false">IF(OR(A1208="",B1208=""),0,IF(COUNTIFS(A$2:A1208,A1208,B$2:B1208,B1208)=1,1,0))</f>
        <v>0</v>
      </c>
    </row>
    <row r="1209" customFormat="false" ht="15" hidden="false" customHeight="false" outlineLevel="0" collapsed="false">
      <c r="A1209" s="15"/>
      <c r="B1209" s="15"/>
      <c r="C1209" s="15"/>
      <c r="D1209" s="15"/>
      <c r="F1209" s="18" t="str">
        <f aca="false">IF(B1209="","",IFERROR(INDEX(Materials!$B$2:$B$201,MATCH(B1209,Materials!$A$2:$A$201,0)),""))</f>
        <v/>
      </c>
      <c r="G1209" s="18" t="str">
        <f aca="true">IF(AND(A1209="",B1209=""),"",IF(A1209="","Missing product",IF(B1209="","Missing material",IF(COUNTIF(ProductList,A1209)=0,"Product not in Products list",IF(COUNTIF(MaterialList,B1209)=0,"Material not in Materials list","OK")))))</f>
        <v/>
      </c>
      <c r="H1209" s="18" t="str">
        <f aca="false">IF(F1209="Active",A1209&amp;"|"&amp;COUNTIFS(A$2:A1209,A1209,F$2:F1209,"Active"),"")</f>
        <v/>
      </c>
      <c r="I1209" s="18" t="str">
        <f aca="false">IF(B1209="","",IF(SUMPRODUCT(MAX((A$1:A1208=A1209)*(B$1:B1208=B1209)*ROW(A$1:A1208)))=0,C1209&amp;"",IF(C1209="",INDEX(I$1:I1208,SUMPRODUCT(MAX((A$1:A1208=A1209)*(B$1:B1208=B1209)*ROW(A$1:A1208)))),IF(INDEX(I$1:I1208,SUMPRODUCT(MAX((A$1:A1208=A1209)*(B$1:B1208=B1209)*ROW(A$1:A1208))))="",C1209&amp;"",INDEX(I$1:I1208,SUMPRODUCT(MAX((A$1:A1208=A1209)*(B$1:B1208=B1209)*ROW(A$1:A1208))))&amp;"; "&amp;C1209))))</f>
        <v/>
      </c>
      <c r="J1209" s="18" t="str">
        <f aca="false">IF(A1209="","",A1209&amp;"|"&amp;COUNTIF(A$2:A1209,A1209))</f>
        <v/>
      </c>
      <c r="K1209" s="18" t="n">
        <f aca="false">IF(OR(A1209="",B1209=""),0,IF(COUNTIFS(A$2:A1209,A1209,B$2:B1209,B1209)=1,1,0))</f>
        <v>0</v>
      </c>
    </row>
    <row r="1210" customFormat="false" ht="15" hidden="false" customHeight="false" outlineLevel="0" collapsed="false">
      <c r="A1210" s="15"/>
      <c r="B1210" s="15"/>
      <c r="C1210" s="15"/>
      <c r="D1210" s="15"/>
      <c r="F1210" s="18" t="str">
        <f aca="false">IF(B1210="","",IFERROR(INDEX(Materials!$B$2:$B$201,MATCH(B1210,Materials!$A$2:$A$201,0)),""))</f>
        <v/>
      </c>
      <c r="G1210" s="18" t="str">
        <f aca="true">IF(AND(A1210="",B1210=""),"",IF(A1210="","Missing product",IF(B1210="","Missing material",IF(COUNTIF(ProductList,A1210)=0,"Product not in Products list",IF(COUNTIF(MaterialList,B1210)=0,"Material not in Materials list","OK")))))</f>
        <v/>
      </c>
      <c r="H1210" s="18" t="str">
        <f aca="false">IF(F1210="Active",A1210&amp;"|"&amp;COUNTIFS(A$2:A1210,A1210,F$2:F1210,"Active"),"")</f>
        <v/>
      </c>
      <c r="I1210" s="18" t="str">
        <f aca="false">IF(B1210="","",IF(SUMPRODUCT(MAX((A$1:A1209=A1210)*(B$1:B1209=B1210)*ROW(A$1:A1209)))=0,C1210&amp;"",IF(C1210="",INDEX(I$1:I1209,SUMPRODUCT(MAX((A$1:A1209=A1210)*(B$1:B1209=B1210)*ROW(A$1:A1209)))),IF(INDEX(I$1:I1209,SUMPRODUCT(MAX((A$1:A1209=A1210)*(B$1:B1209=B1210)*ROW(A$1:A1209))))="",C1210&amp;"",INDEX(I$1:I1209,SUMPRODUCT(MAX((A$1:A1209=A1210)*(B$1:B1209=B1210)*ROW(A$1:A1209))))&amp;"; "&amp;C1210))))</f>
        <v/>
      </c>
      <c r="J1210" s="18" t="str">
        <f aca="false">IF(A1210="","",A1210&amp;"|"&amp;COUNTIF(A$2:A1210,A1210))</f>
        <v/>
      </c>
      <c r="K1210" s="18" t="n">
        <f aca="false">IF(OR(A1210="",B1210=""),0,IF(COUNTIFS(A$2:A1210,A1210,B$2:B1210,B1210)=1,1,0))</f>
        <v>0</v>
      </c>
    </row>
    <row r="1211" customFormat="false" ht="15" hidden="false" customHeight="false" outlineLevel="0" collapsed="false">
      <c r="A1211" s="15"/>
      <c r="B1211" s="15"/>
      <c r="C1211" s="15"/>
      <c r="D1211" s="15"/>
      <c r="F1211" s="18" t="str">
        <f aca="false">IF(B1211="","",IFERROR(INDEX(Materials!$B$2:$B$201,MATCH(B1211,Materials!$A$2:$A$201,0)),""))</f>
        <v/>
      </c>
      <c r="G1211" s="18" t="str">
        <f aca="true">IF(AND(A1211="",B1211=""),"",IF(A1211="","Missing product",IF(B1211="","Missing material",IF(COUNTIF(ProductList,A1211)=0,"Product not in Products list",IF(COUNTIF(MaterialList,B1211)=0,"Material not in Materials list","OK")))))</f>
        <v/>
      </c>
      <c r="H1211" s="18" t="str">
        <f aca="false">IF(F1211="Active",A1211&amp;"|"&amp;COUNTIFS(A$2:A1211,A1211,F$2:F1211,"Active"),"")</f>
        <v/>
      </c>
      <c r="I1211" s="18" t="str">
        <f aca="false">IF(B1211="","",IF(SUMPRODUCT(MAX((A$1:A1210=A1211)*(B$1:B1210=B1211)*ROW(A$1:A1210)))=0,C1211&amp;"",IF(C1211="",INDEX(I$1:I1210,SUMPRODUCT(MAX((A$1:A1210=A1211)*(B$1:B1210=B1211)*ROW(A$1:A1210)))),IF(INDEX(I$1:I1210,SUMPRODUCT(MAX((A$1:A1210=A1211)*(B$1:B1210=B1211)*ROW(A$1:A1210))))="",C1211&amp;"",INDEX(I$1:I1210,SUMPRODUCT(MAX((A$1:A1210=A1211)*(B$1:B1210=B1211)*ROW(A$1:A1210))))&amp;"; "&amp;C1211))))</f>
        <v/>
      </c>
      <c r="J1211" s="18" t="str">
        <f aca="false">IF(A1211="","",A1211&amp;"|"&amp;COUNTIF(A$2:A1211,A1211))</f>
        <v/>
      </c>
      <c r="K1211" s="18" t="n">
        <f aca="false">IF(OR(A1211="",B1211=""),0,IF(COUNTIFS(A$2:A1211,A1211,B$2:B1211,B1211)=1,1,0))</f>
        <v>0</v>
      </c>
    </row>
    <row r="1212" customFormat="false" ht="15" hidden="false" customHeight="false" outlineLevel="0" collapsed="false">
      <c r="A1212" s="15"/>
      <c r="B1212" s="15"/>
      <c r="C1212" s="15"/>
      <c r="D1212" s="15"/>
      <c r="F1212" s="18" t="str">
        <f aca="false">IF(B1212="","",IFERROR(INDEX(Materials!$B$2:$B$201,MATCH(B1212,Materials!$A$2:$A$201,0)),""))</f>
        <v/>
      </c>
      <c r="G1212" s="18" t="str">
        <f aca="true">IF(AND(A1212="",B1212=""),"",IF(A1212="","Missing product",IF(B1212="","Missing material",IF(COUNTIF(ProductList,A1212)=0,"Product not in Products list",IF(COUNTIF(MaterialList,B1212)=0,"Material not in Materials list","OK")))))</f>
        <v/>
      </c>
      <c r="H1212" s="18" t="str">
        <f aca="false">IF(F1212="Active",A1212&amp;"|"&amp;COUNTIFS(A$2:A1212,A1212,F$2:F1212,"Active"),"")</f>
        <v/>
      </c>
      <c r="I1212" s="18" t="str">
        <f aca="false">IF(B1212="","",IF(SUMPRODUCT(MAX((A$1:A1211=A1212)*(B$1:B1211=B1212)*ROW(A$1:A1211)))=0,C1212&amp;"",IF(C1212="",INDEX(I$1:I1211,SUMPRODUCT(MAX((A$1:A1211=A1212)*(B$1:B1211=B1212)*ROW(A$1:A1211)))),IF(INDEX(I$1:I1211,SUMPRODUCT(MAX((A$1:A1211=A1212)*(B$1:B1211=B1212)*ROW(A$1:A1211))))="",C1212&amp;"",INDEX(I$1:I1211,SUMPRODUCT(MAX((A$1:A1211=A1212)*(B$1:B1211=B1212)*ROW(A$1:A1211))))&amp;"; "&amp;C1212))))</f>
        <v/>
      </c>
      <c r="J1212" s="18" t="str">
        <f aca="false">IF(A1212="","",A1212&amp;"|"&amp;COUNTIF(A$2:A1212,A1212))</f>
        <v/>
      </c>
      <c r="K1212" s="18" t="n">
        <f aca="false">IF(OR(A1212="",B1212=""),0,IF(COUNTIFS(A$2:A1212,A1212,B$2:B1212,B1212)=1,1,0))</f>
        <v>0</v>
      </c>
    </row>
    <row r="1213" customFormat="false" ht="15" hidden="false" customHeight="false" outlineLevel="0" collapsed="false">
      <c r="A1213" s="15"/>
      <c r="B1213" s="15"/>
      <c r="C1213" s="15"/>
      <c r="D1213" s="15"/>
      <c r="F1213" s="18" t="str">
        <f aca="false">IF(B1213="","",IFERROR(INDEX(Materials!$B$2:$B$201,MATCH(B1213,Materials!$A$2:$A$201,0)),""))</f>
        <v/>
      </c>
      <c r="G1213" s="18" t="str">
        <f aca="true">IF(AND(A1213="",B1213=""),"",IF(A1213="","Missing product",IF(B1213="","Missing material",IF(COUNTIF(ProductList,A1213)=0,"Product not in Products list",IF(COUNTIF(MaterialList,B1213)=0,"Material not in Materials list","OK")))))</f>
        <v/>
      </c>
      <c r="H1213" s="18" t="str">
        <f aca="false">IF(F1213="Active",A1213&amp;"|"&amp;COUNTIFS(A$2:A1213,A1213,F$2:F1213,"Active"),"")</f>
        <v/>
      </c>
      <c r="I1213" s="18" t="str">
        <f aca="false">IF(B1213="","",IF(SUMPRODUCT(MAX((A$1:A1212=A1213)*(B$1:B1212=B1213)*ROW(A$1:A1212)))=0,C1213&amp;"",IF(C1213="",INDEX(I$1:I1212,SUMPRODUCT(MAX((A$1:A1212=A1213)*(B$1:B1212=B1213)*ROW(A$1:A1212)))),IF(INDEX(I$1:I1212,SUMPRODUCT(MAX((A$1:A1212=A1213)*(B$1:B1212=B1213)*ROW(A$1:A1212))))="",C1213&amp;"",INDEX(I$1:I1212,SUMPRODUCT(MAX((A$1:A1212=A1213)*(B$1:B1212=B1213)*ROW(A$1:A1212))))&amp;"; "&amp;C1213))))</f>
        <v/>
      </c>
      <c r="J1213" s="18" t="str">
        <f aca="false">IF(A1213="","",A1213&amp;"|"&amp;COUNTIF(A$2:A1213,A1213))</f>
        <v/>
      </c>
      <c r="K1213" s="18" t="n">
        <f aca="false">IF(OR(A1213="",B1213=""),0,IF(COUNTIFS(A$2:A1213,A1213,B$2:B1213,B1213)=1,1,0))</f>
        <v>0</v>
      </c>
    </row>
    <row r="1214" customFormat="false" ht="15" hidden="false" customHeight="false" outlineLevel="0" collapsed="false">
      <c r="A1214" s="15"/>
      <c r="B1214" s="15"/>
      <c r="C1214" s="15"/>
      <c r="D1214" s="15"/>
      <c r="F1214" s="18" t="str">
        <f aca="false">IF(B1214="","",IFERROR(INDEX(Materials!$B$2:$B$201,MATCH(B1214,Materials!$A$2:$A$201,0)),""))</f>
        <v/>
      </c>
      <c r="G1214" s="18" t="str">
        <f aca="true">IF(AND(A1214="",B1214=""),"",IF(A1214="","Missing product",IF(B1214="","Missing material",IF(COUNTIF(ProductList,A1214)=0,"Product not in Products list",IF(COUNTIF(MaterialList,B1214)=0,"Material not in Materials list","OK")))))</f>
        <v/>
      </c>
      <c r="H1214" s="18" t="str">
        <f aca="false">IF(F1214="Active",A1214&amp;"|"&amp;COUNTIFS(A$2:A1214,A1214,F$2:F1214,"Active"),"")</f>
        <v/>
      </c>
      <c r="I1214" s="18" t="str">
        <f aca="false">IF(B1214="","",IF(SUMPRODUCT(MAX((A$1:A1213=A1214)*(B$1:B1213=B1214)*ROW(A$1:A1213)))=0,C1214&amp;"",IF(C1214="",INDEX(I$1:I1213,SUMPRODUCT(MAX((A$1:A1213=A1214)*(B$1:B1213=B1214)*ROW(A$1:A1213)))),IF(INDEX(I$1:I1213,SUMPRODUCT(MAX((A$1:A1213=A1214)*(B$1:B1213=B1214)*ROW(A$1:A1213))))="",C1214&amp;"",INDEX(I$1:I1213,SUMPRODUCT(MAX((A$1:A1213=A1214)*(B$1:B1213=B1214)*ROW(A$1:A1213))))&amp;"; "&amp;C1214))))</f>
        <v/>
      </c>
      <c r="J1214" s="18" t="str">
        <f aca="false">IF(A1214="","",A1214&amp;"|"&amp;COUNTIF(A$2:A1214,A1214))</f>
        <v/>
      </c>
      <c r="K1214" s="18" t="n">
        <f aca="false">IF(OR(A1214="",B1214=""),0,IF(COUNTIFS(A$2:A1214,A1214,B$2:B1214,B1214)=1,1,0))</f>
        <v>0</v>
      </c>
    </row>
    <row r="1215" customFormat="false" ht="15" hidden="false" customHeight="false" outlineLevel="0" collapsed="false">
      <c r="A1215" s="15"/>
      <c r="B1215" s="15"/>
      <c r="C1215" s="15"/>
      <c r="D1215" s="15"/>
      <c r="F1215" s="18" t="str">
        <f aca="false">IF(B1215="","",IFERROR(INDEX(Materials!$B$2:$B$201,MATCH(B1215,Materials!$A$2:$A$201,0)),""))</f>
        <v/>
      </c>
      <c r="G1215" s="18" t="str">
        <f aca="true">IF(AND(A1215="",B1215=""),"",IF(A1215="","Missing product",IF(B1215="","Missing material",IF(COUNTIF(ProductList,A1215)=0,"Product not in Products list",IF(COUNTIF(MaterialList,B1215)=0,"Material not in Materials list","OK")))))</f>
        <v/>
      </c>
      <c r="H1215" s="18" t="str">
        <f aca="false">IF(F1215="Active",A1215&amp;"|"&amp;COUNTIFS(A$2:A1215,A1215,F$2:F1215,"Active"),"")</f>
        <v/>
      </c>
      <c r="I1215" s="18" t="str">
        <f aca="false">IF(B1215="","",IF(SUMPRODUCT(MAX((A$1:A1214=A1215)*(B$1:B1214=B1215)*ROW(A$1:A1214)))=0,C1215&amp;"",IF(C1215="",INDEX(I$1:I1214,SUMPRODUCT(MAX((A$1:A1214=A1215)*(B$1:B1214=B1215)*ROW(A$1:A1214)))),IF(INDEX(I$1:I1214,SUMPRODUCT(MAX((A$1:A1214=A1215)*(B$1:B1214=B1215)*ROW(A$1:A1214))))="",C1215&amp;"",INDEX(I$1:I1214,SUMPRODUCT(MAX((A$1:A1214=A1215)*(B$1:B1214=B1215)*ROW(A$1:A1214))))&amp;"; "&amp;C1215))))</f>
        <v/>
      </c>
      <c r="J1215" s="18" t="str">
        <f aca="false">IF(A1215="","",A1215&amp;"|"&amp;COUNTIF(A$2:A1215,A1215))</f>
        <v/>
      </c>
      <c r="K1215" s="18" t="n">
        <f aca="false">IF(OR(A1215="",B1215=""),0,IF(COUNTIFS(A$2:A1215,A1215,B$2:B1215,B1215)=1,1,0))</f>
        <v>0</v>
      </c>
    </row>
    <row r="1216" customFormat="false" ht="15" hidden="false" customHeight="false" outlineLevel="0" collapsed="false">
      <c r="A1216" s="15"/>
      <c r="B1216" s="15"/>
      <c r="C1216" s="15"/>
      <c r="D1216" s="15"/>
      <c r="F1216" s="18" t="str">
        <f aca="false">IF(B1216="","",IFERROR(INDEX(Materials!$B$2:$B$201,MATCH(B1216,Materials!$A$2:$A$201,0)),""))</f>
        <v/>
      </c>
      <c r="G1216" s="18" t="str">
        <f aca="true">IF(AND(A1216="",B1216=""),"",IF(A1216="","Missing product",IF(B1216="","Missing material",IF(COUNTIF(ProductList,A1216)=0,"Product not in Products list",IF(COUNTIF(MaterialList,B1216)=0,"Material not in Materials list","OK")))))</f>
        <v/>
      </c>
      <c r="H1216" s="18" t="str">
        <f aca="false">IF(F1216="Active",A1216&amp;"|"&amp;COUNTIFS(A$2:A1216,A1216,F$2:F1216,"Active"),"")</f>
        <v/>
      </c>
      <c r="I1216" s="18" t="str">
        <f aca="false">IF(B1216="","",IF(SUMPRODUCT(MAX((A$1:A1215=A1216)*(B$1:B1215=B1216)*ROW(A$1:A1215)))=0,C1216&amp;"",IF(C1216="",INDEX(I$1:I1215,SUMPRODUCT(MAX((A$1:A1215=A1216)*(B$1:B1215=B1216)*ROW(A$1:A1215)))),IF(INDEX(I$1:I1215,SUMPRODUCT(MAX((A$1:A1215=A1216)*(B$1:B1215=B1216)*ROW(A$1:A1215))))="",C1216&amp;"",INDEX(I$1:I1215,SUMPRODUCT(MAX((A$1:A1215=A1216)*(B$1:B1215=B1216)*ROW(A$1:A1215))))&amp;"; "&amp;C1216))))</f>
        <v/>
      </c>
      <c r="J1216" s="18" t="str">
        <f aca="false">IF(A1216="","",A1216&amp;"|"&amp;COUNTIF(A$2:A1216,A1216))</f>
        <v/>
      </c>
      <c r="K1216" s="18" t="n">
        <f aca="false">IF(OR(A1216="",B1216=""),0,IF(COUNTIFS(A$2:A1216,A1216,B$2:B1216,B1216)=1,1,0))</f>
        <v>0</v>
      </c>
    </row>
    <row r="1217" customFormat="false" ht="15" hidden="false" customHeight="false" outlineLevel="0" collapsed="false">
      <c r="A1217" s="15"/>
      <c r="B1217" s="15"/>
      <c r="C1217" s="15"/>
      <c r="D1217" s="15"/>
      <c r="F1217" s="18" t="str">
        <f aca="false">IF(B1217="","",IFERROR(INDEX(Materials!$B$2:$B$201,MATCH(B1217,Materials!$A$2:$A$201,0)),""))</f>
        <v/>
      </c>
      <c r="G1217" s="18" t="str">
        <f aca="true">IF(AND(A1217="",B1217=""),"",IF(A1217="","Missing product",IF(B1217="","Missing material",IF(COUNTIF(ProductList,A1217)=0,"Product not in Products list",IF(COUNTIF(MaterialList,B1217)=0,"Material not in Materials list","OK")))))</f>
        <v/>
      </c>
      <c r="H1217" s="18" t="str">
        <f aca="false">IF(F1217="Active",A1217&amp;"|"&amp;COUNTIFS(A$2:A1217,A1217,F$2:F1217,"Active"),"")</f>
        <v/>
      </c>
      <c r="I1217" s="18" t="str">
        <f aca="false">IF(B1217="","",IF(SUMPRODUCT(MAX((A$1:A1216=A1217)*(B$1:B1216=B1217)*ROW(A$1:A1216)))=0,C1217&amp;"",IF(C1217="",INDEX(I$1:I1216,SUMPRODUCT(MAX((A$1:A1216=A1217)*(B$1:B1216=B1217)*ROW(A$1:A1216)))),IF(INDEX(I$1:I1216,SUMPRODUCT(MAX((A$1:A1216=A1217)*(B$1:B1216=B1217)*ROW(A$1:A1216))))="",C1217&amp;"",INDEX(I$1:I1216,SUMPRODUCT(MAX((A$1:A1216=A1217)*(B$1:B1216=B1217)*ROW(A$1:A1216))))&amp;"; "&amp;C1217))))</f>
        <v/>
      </c>
      <c r="J1217" s="18" t="str">
        <f aca="false">IF(A1217="","",A1217&amp;"|"&amp;COUNTIF(A$2:A1217,A1217))</f>
        <v/>
      </c>
      <c r="K1217" s="18" t="n">
        <f aca="false">IF(OR(A1217="",B1217=""),0,IF(COUNTIFS(A$2:A1217,A1217,B$2:B1217,B1217)=1,1,0))</f>
        <v>0</v>
      </c>
    </row>
    <row r="1218" customFormat="false" ht="15" hidden="false" customHeight="false" outlineLevel="0" collapsed="false">
      <c r="A1218" s="15"/>
      <c r="B1218" s="15"/>
      <c r="C1218" s="15"/>
      <c r="D1218" s="15"/>
      <c r="F1218" s="18" t="str">
        <f aca="false">IF(B1218="","",IFERROR(INDEX(Materials!$B$2:$B$201,MATCH(B1218,Materials!$A$2:$A$201,0)),""))</f>
        <v/>
      </c>
      <c r="G1218" s="18" t="str">
        <f aca="true">IF(AND(A1218="",B1218=""),"",IF(A1218="","Missing product",IF(B1218="","Missing material",IF(COUNTIF(ProductList,A1218)=0,"Product not in Products list",IF(COUNTIF(MaterialList,B1218)=0,"Material not in Materials list","OK")))))</f>
        <v/>
      </c>
      <c r="H1218" s="18" t="str">
        <f aca="false">IF(F1218="Active",A1218&amp;"|"&amp;COUNTIFS(A$2:A1218,A1218,F$2:F1218,"Active"),"")</f>
        <v/>
      </c>
      <c r="I1218" s="18" t="str">
        <f aca="false">IF(B1218="","",IF(SUMPRODUCT(MAX((A$1:A1217=A1218)*(B$1:B1217=B1218)*ROW(A$1:A1217)))=0,C1218&amp;"",IF(C1218="",INDEX(I$1:I1217,SUMPRODUCT(MAX((A$1:A1217=A1218)*(B$1:B1217=B1218)*ROW(A$1:A1217)))),IF(INDEX(I$1:I1217,SUMPRODUCT(MAX((A$1:A1217=A1218)*(B$1:B1217=B1218)*ROW(A$1:A1217))))="",C1218&amp;"",INDEX(I$1:I1217,SUMPRODUCT(MAX((A$1:A1217=A1218)*(B$1:B1217=B1218)*ROW(A$1:A1217))))&amp;"; "&amp;C1218))))</f>
        <v/>
      </c>
      <c r="J1218" s="18" t="str">
        <f aca="false">IF(A1218="","",A1218&amp;"|"&amp;COUNTIF(A$2:A1218,A1218))</f>
        <v/>
      </c>
      <c r="K1218" s="18" t="n">
        <f aca="false">IF(OR(A1218="",B1218=""),0,IF(COUNTIFS(A$2:A1218,A1218,B$2:B1218,B1218)=1,1,0))</f>
        <v>0</v>
      </c>
    </row>
    <row r="1219" customFormat="false" ht="15" hidden="false" customHeight="false" outlineLevel="0" collapsed="false">
      <c r="A1219" s="15"/>
      <c r="B1219" s="15"/>
      <c r="C1219" s="15"/>
      <c r="D1219" s="15"/>
      <c r="F1219" s="18" t="str">
        <f aca="false">IF(B1219="","",IFERROR(INDEX(Materials!$B$2:$B$201,MATCH(B1219,Materials!$A$2:$A$201,0)),""))</f>
        <v/>
      </c>
      <c r="G1219" s="18" t="str">
        <f aca="true">IF(AND(A1219="",B1219=""),"",IF(A1219="","Missing product",IF(B1219="","Missing material",IF(COUNTIF(ProductList,A1219)=0,"Product not in Products list",IF(COUNTIF(MaterialList,B1219)=0,"Material not in Materials list","OK")))))</f>
        <v/>
      </c>
      <c r="H1219" s="18" t="str">
        <f aca="false">IF(F1219="Active",A1219&amp;"|"&amp;COUNTIFS(A$2:A1219,A1219,F$2:F1219,"Active"),"")</f>
        <v/>
      </c>
      <c r="I1219" s="18" t="str">
        <f aca="false">IF(B1219="","",IF(SUMPRODUCT(MAX((A$1:A1218=A1219)*(B$1:B1218=B1219)*ROW(A$1:A1218)))=0,C1219&amp;"",IF(C1219="",INDEX(I$1:I1218,SUMPRODUCT(MAX((A$1:A1218=A1219)*(B$1:B1218=B1219)*ROW(A$1:A1218)))),IF(INDEX(I$1:I1218,SUMPRODUCT(MAX((A$1:A1218=A1219)*(B$1:B1218=B1219)*ROW(A$1:A1218))))="",C1219&amp;"",INDEX(I$1:I1218,SUMPRODUCT(MAX((A$1:A1218=A1219)*(B$1:B1218=B1219)*ROW(A$1:A1218))))&amp;"; "&amp;C1219))))</f>
        <v/>
      </c>
      <c r="J1219" s="18" t="str">
        <f aca="false">IF(A1219="","",A1219&amp;"|"&amp;COUNTIF(A$2:A1219,A1219))</f>
        <v/>
      </c>
      <c r="K1219" s="18" t="n">
        <f aca="false">IF(OR(A1219="",B1219=""),0,IF(COUNTIFS(A$2:A1219,A1219,B$2:B1219,B1219)=1,1,0))</f>
        <v>0</v>
      </c>
    </row>
    <row r="1220" customFormat="false" ht="15" hidden="false" customHeight="false" outlineLevel="0" collapsed="false">
      <c r="A1220" s="15"/>
      <c r="B1220" s="15"/>
      <c r="C1220" s="15"/>
      <c r="D1220" s="15"/>
      <c r="F1220" s="18" t="str">
        <f aca="false">IF(B1220="","",IFERROR(INDEX(Materials!$B$2:$B$201,MATCH(B1220,Materials!$A$2:$A$201,0)),""))</f>
        <v/>
      </c>
      <c r="G1220" s="18" t="str">
        <f aca="true">IF(AND(A1220="",B1220=""),"",IF(A1220="","Missing product",IF(B1220="","Missing material",IF(COUNTIF(ProductList,A1220)=0,"Product not in Products list",IF(COUNTIF(MaterialList,B1220)=0,"Material not in Materials list","OK")))))</f>
        <v/>
      </c>
      <c r="H1220" s="18" t="str">
        <f aca="false">IF(F1220="Active",A1220&amp;"|"&amp;COUNTIFS(A$2:A1220,A1220,F$2:F1220,"Active"),"")</f>
        <v/>
      </c>
      <c r="I1220" s="18" t="str">
        <f aca="false">IF(B1220="","",IF(SUMPRODUCT(MAX((A$1:A1219=A1220)*(B$1:B1219=B1220)*ROW(A$1:A1219)))=0,C1220&amp;"",IF(C1220="",INDEX(I$1:I1219,SUMPRODUCT(MAX((A$1:A1219=A1220)*(B$1:B1219=B1220)*ROW(A$1:A1219)))),IF(INDEX(I$1:I1219,SUMPRODUCT(MAX((A$1:A1219=A1220)*(B$1:B1219=B1220)*ROW(A$1:A1219))))="",C1220&amp;"",INDEX(I$1:I1219,SUMPRODUCT(MAX((A$1:A1219=A1220)*(B$1:B1219=B1220)*ROW(A$1:A1219))))&amp;"; "&amp;C1220))))</f>
        <v/>
      </c>
      <c r="J1220" s="18" t="str">
        <f aca="false">IF(A1220="","",A1220&amp;"|"&amp;COUNTIF(A$2:A1220,A1220))</f>
        <v/>
      </c>
      <c r="K1220" s="18" t="n">
        <f aca="false">IF(OR(A1220="",B1220=""),0,IF(COUNTIFS(A$2:A1220,A1220,B$2:B1220,B1220)=1,1,0))</f>
        <v>0</v>
      </c>
    </row>
    <row r="1221" customFormat="false" ht="15" hidden="false" customHeight="false" outlineLevel="0" collapsed="false">
      <c r="A1221" s="15"/>
      <c r="B1221" s="15"/>
      <c r="C1221" s="15"/>
      <c r="D1221" s="15"/>
      <c r="F1221" s="18" t="str">
        <f aca="false">IF(B1221="","",IFERROR(INDEX(Materials!$B$2:$B$201,MATCH(B1221,Materials!$A$2:$A$201,0)),""))</f>
        <v/>
      </c>
      <c r="G1221" s="18" t="str">
        <f aca="true">IF(AND(A1221="",B1221=""),"",IF(A1221="","Missing product",IF(B1221="","Missing material",IF(COUNTIF(ProductList,A1221)=0,"Product not in Products list",IF(COUNTIF(MaterialList,B1221)=0,"Material not in Materials list","OK")))))</f>
        <v/>
      </c>
      <c r="H1221" s="18" t="str">
        <f aca="false">IF(F1221="Active",A1221&amp;"|"&amp;COUNTIFS(A$2:A1221,A1221,F$2:F1221,"Active"),"")</f>
        <v/>
      </c>
      <c r="I1221" s="18" t="str">
        <f aca="false">IF(B1221="","",IF(SUMPRODUCT(MAX((A$1:A1220=A1221)*(B$1:B1220=B1221)*ROW(A$1:A1220)))=0,C1221&amp;"",IF(C1221="",INDEX(I$1:I1220,SUMPRODUCT(MAX((A$1:A1220=A1221)*(B$1:B1220=B1221)*ROW(A$1:A1220)))),IF(INDEX(I$1:I1220,SUMPRODUCT(MAX((A$1:A1220=A1221)*(B$1:B1220=B1221)*ROW(A$1:A1220))))="",C1221&amp;"",INDEX(I$1:I1220,SUMPRODUCT(MAX((A$1:A1220=A1221)*(B$1:B1220=B1221)*ROW(A$1:A1220))))&amp;"; "&amp;C1221))))</f>
        <v/>
      </c>
      <c r="J1221" s="18" t="str">
        <f aca="false">IF(A1221="","",A1221&amp;"|"&amp;COUNTIF(A$2:A1221,A1221))</f>
        <v/>
      </c>
      <c r="K1221" s="18" t="n">
        <f aca="false">IF(OR(A1221="",B1221=""),0,IF(COUNTIFS(A$2:A1221,A1221,B$2:B1221,B1221)=1,1,0))</f>
        <v>0</v>
      </c>
    </row>
    <row r="1222" customFormat="false" ht="15" hidden="false" customHeight="false" outlineLevel="0" collapsed="false">
      <c r="A1222" s="15"/>
      <c r="B1222" s="15"/>
      <c r="C1222" s="15"/>
      <c r="D1222" s="15"/>
      <c r="F1222" s="18" t="str">
        <f aca="false">IF(B1222="","",IFERROR(INDEX(Materials!$B$2:$B$201,MATCH(B1222,Materials!$A$2:$A$201,0)),""))</f>
        <v/>
      </c>
      <c r="G1222" s="18" t="str">
        <f aca="true">IF(AND(A1222="",B1222=""),"",IF(A1222="","Missing product",IF(B1222="","Missing material",IF(COUNTIF(ProductList,A1222)=0,"Product not in Products list",IF(COUNTIF(MaterialList,B1222)=0,"Material not in Materials list","OK")))))</f>
        <v/>
      </c>
      <c r="H1222" s="18" t="str">
        <f aca="false">IF(F1222="Active",A1222&amp;"|"&amp;COUNTIFS(A$2:A1222,A1222,F$2:F1222,"Active"),"")</f>
        <v/>
      </c>
      <c r="I1222" s="18" t="str">
        <f aca="false">IF(B1222="","",IF(SUMPRODUCT(MAX((A$1:A1221=A1222)*(B$1:B1221=B1222)*ROW(A$1:A1221)))=0,C1222&amp;"",IF(C1222="",INDEX(I$1:I1221,SUMPRODUCT(MAX((A$1:A1221=A1222)*(B$1:B1221=B1222)*ROW(A$1:A1221)))),IF(INDEX(I$1:I1221,SUMPRODUCT(MAX((A$1:A1221=A1222)*(B$1:B1221=B1222)*ROW(A$1:A1221))))="",C1222&amp;"",INDEX(I$1:I1221,SUMPRODUCT(MAX((A$1:A1221=A1222)*(B$1:B1221=B1222)*ROW(A$1:A1221))))&amp;"; "&amp;C1222))))</f>
        <v/>
      </c>
      <c r="J1222" s="18" t="str">
        <f aca="false">IF(A1222="","",A1222&amp;"|"&amp;COUNTIF(A$2:A1222,A1222))</f>
        <v/>
      </c>
      <c r="K1222" s="18" t="n">
        <f aca="false">IF(OR(A1222="",B1222=""),0,IF(COUNTIFS(A$2:A1222,A1222,B$2:B1222,B1222)=1,1,0))</f>
        <v>0</v>
      </c>
    </row>
    <row r="1223" customFormat="false" ht="15" hidden="false" customHeight="false" outlineLevel="0" collapsed="false">
      <c r="A1223" s="15"/>
      <c r="B1223" s="15"/>
      <c r="C1223" s="15"/>
      <c r="D1223" s="15"/>
      <c r="F1223" s="18" t="str">
        <f aca="false">IF(B1223="","",IFERROR(INDEX(Materials!$B$2:$B$201,MATCH(B1223,Materials!$A$2:$A$201,0)),""))</f>
        <v/>
      </c>
      <c r="G1223" s="18" t="str">
        <f aca="true">IF(AND(A1223="",B1223=""),"",IF(A1223="","Missing product",IF(B1223="","Missing material",IF(COUNTIF(ProductList,A1223)=0,"Product not in Products list",IF(COUNTIF(MaterialList,B1223)=0,"Material not in Materials list","OK")))))</f>
        <v/>
      </c>
      <c r="H1223" s="18" t="str">
        <f aca="false">IF(F1223="Active",A1223&amp;"|"&amp;COUNTIFS(A$2:A1223,A1223,F$2:F1223,"Active"),"")</f>
        <v/>
      </c>
      <c r="I1223" s="18" t="str">
        <f aca="false">IF(B1223="","",IF(SUMPRODUCT(MAX((A$1:A1222=A1223)*(B$1:B1222=B1223)*ROW(A$1:A1222)))=0,C1223&amp;"",IF(C1223="",INDEX(I$1:I1222,SUMPRODUCT(MAX((A$1:A1222=A1223)*(B$1:B1222=B1223)*ROW(A$1:A1222)))),IF(INDEX(I$1:I1222,SUMPRODUCT(MAX((A$1:A1222=A1223)*(B$1:B1222=B1223)*ROW(A$1:A1222))))="",C1223&amp;"",INDEX(I$1:I1222,SUMPRODUCT(MAX((A$1:A1222=A1223)*(B$1:B1222=B1223)*ROW(A$1:A1222))))&amp;"; "&amp;C1223))))</f>
        <v/>
      </c>
      <c r="J1223" s="18" t="str">
        <f aca="false">IF(A1223="","",A1223&amp;"|"&amp;COUNTIF(A$2:A1223,A1223))</f>
        <v/>
      </c>
      <c r="K1223" s="18" t="n">
        <f aca="false">IF(OR(A1223="",B1223=""),0,IF(COUNTIFS(A$2:A1223,A1223,B$2:B1223,B1223)=1,1,0))</f>
        <v>0</v>
      </c>
    </row>
    <row r="1224" customFormat="false" ht="15" hidden="false" customHeight="false" outlineLevel="0" collapsed="false">
      <c r="A1224" s="15"/>
      <c r="B1224" s="15"/>
      <c r="C1224" s="15"/>
      <c r="D1224" s="15"/>
      <c r="F1224" s="18" t="str">
        <f aca="false">IF(B1224="","",IFERROR(INDEX(Materials!$B$2:$B$201,MATCH(B1224,Materials!$A$2:$A$201,0)),""))</f>
        <v/>
      </c>
      <c r="G1224" s="18" t="str">
        <f aca="true">IF(AND(A1224="",B1224=""),"",IF(A1224="","Missing product",IF(B1224="","Missing material",IF(COUNTIF(ProductList,A1224)=0,"Product not in Products list",IF(COUNTIF(MaterialList,B1224)=0,"Material not in Materials list","OK")))))</f>
        <v/>
      </c>
      <c r="H1224" s="18" t="str">
        <f aca="false">IF(F1224="Active",A1224&amp;"|"&amp;COUNTIFS(A$2:A1224,A1224,F$2:F1224,"Active"),"")</f>
        <v/>
      </c>
      <c r="I1224" s="18" t="str">
        <f aca="false">IF(B1224="","",IF(SUMPRODUCT(MAX((A$1:A1223=A1224)*(B$1:B1223=B1224)*ROW(A$1:A1223)))=0,C1224&amp;"",IF(C1224="",INDEX(I$1:I1223,SUMPRODUCT(MAX((A$1:A1223=A1224)*(B$1:B1223=B1224)*ROW(A$1:A1223)))),IF(INDEX(I$1:I1223,SUMPRODUCT(MAX((A$1:A1223=A1224)*(B$1:B1223=B1224)*ROW(A$1:A1223))))="",C1224&amp;"",INDEX(I$1:I1223,SUMPRODUCT(MAX((A$1:A1223=A1224)*(B$1:B1223=B1224)*ROW(A$1:A1223))))&amp;"; "&amp;C1224))))</f>
        <v/>
      </c>
      <c r="J1224" s="18" t="str">
        <f aca="false">IF(A1224="","",A1224&amp;"|"&amp;COUNTIF(A$2:A1224,A1224))</f>
        <v/>
      </c>
      <c r="K1224" s="18" t="n">
        <f aca="false">IF(OR(A1224="",B1224=""),0,IF(COUNTIFS(A$2:A1224,A1224,B$2:B1224,B1224)=1,1,0))</f>
        <v>0</v>
      </c>
    </row>
    <row r="1225" customFormat="false" ht="15" hidden="false" customHeight="false" outlineLevel="0" collapsed="false">
      <c r="A1225" s="15"/>
      <c r="B1225" s="15"/>
      <c r="C1225" s="15"/>
      <c r="D1225" s="15"/>
      <c r="F1225" s="18" t="str">
        <f aca="false">IF(B1225="","",IFERROR(INDEX(Materials!$B$2:$B$201,MATCH(B1225,Materials!$A$2:$A$201,0)),""))</f>
        <v/>
      </c>
      <c r="G1225" s="18" t="str">
        <f aca="true">IF(AND(A1225="",B1225=""),"",IF(A1225="","Missing product",IF(B1225="","Missing material",IF(COUNTIF(ProductList,A1225)=0,"Product not in Products list",IF(COUNTIF(MaterialList,B1225)=0,"Material not in Materials list","OK")))))</f>
        <v/>
      </c>
      <c r="H1225" s="18" t="str">
        <f aca="false">IF(F1225="Active",A1225&amp;"|"&amp;COUNTIFS(A$2:A1225,A1225,F$2:F1225,"Active"),"")</f>
        <v/>
      </c>
      <c r="I1225" s="18" t="str">
        <f aca="false">IF(B1225="","",IF(SUMPRODUCT(MAX((A$1:A1224=A1225)*(B$1:B1224=B1225)*ROW(A$1:A1224)))=0,C1225&amp;"",IF(C1225="",INDEX(I$1:I1224,SUMPRODUCT(MAX((A$1:A1224=A1225)*(B$1:B1224=B1225)*ROW(A$1:A1224)))),IF(INDEX(I$1:I1224,SUMPRODUCT(MAX((A$1:A1224=A1225)*(B$1:B1224=B1225)*ROW(A$1:A1224))))="",C1225&amp;"",INDEX(I$1:I1224,SUMPRODUCT(MAX((A$1:A1224=A1225)*(B$1:B1224=B1225)*ROW(A$1:A1224))))&amp;"; "&amp;C1225))))</f>
        <v/>
      </c>
      <c r="J1225" s="18" t="str">
        <f aca="false">IF(A1225="","",A1225&amp;"|"&amp;COUNTIF(A$2:A1225,A1225))</f>
        <v/>
      </c>
      <c r="K1225" s="18" t="n">
        <f aca="false">IF(OR(A1225="",B1225=""),0,IF(COUNTIFS(A$2:A1225,A1225,B$2:B1225,B1225)=1,1,0))</f>
        <v>0</v>
      </c>
    </row>
    <row r="1226" customFormat="false" ht="15" hidden="false" customHeight="false" outlineLevel="0" collapsed="false">
      <c r="A1226" s="15"/>
      <c r="B1226" s="15"/>
      <c r="C1226" s="15"/>
      <c r="D1226" s="15"/>
      <c r="F1226" s="18" t="str">
        <f aca="false">IF(B1226="","",IFERROR(INDEX(Materials!$B$2:$B$201,MATCH(B1226,Materials!$A$2:$A$201,0)),""))</f>
        <v/>
      </c>
      <c r="G1226" s="18" t="str">
        <f aca="true">IF(AND(A1226="",B1226=""),"",IF(A1226="","Missing product",IF(B1226="","Missing material",IF(COUNTIF(ProductList,A1226)=0,"Product not in Products list",IF(COUNTIF(MaterialList,B1226)=0,"Material not in Materials list","OK")))))</f>
        <v/>
      </c>
      <c r="H1226" s="18" t="str">
        <f aca="false">IF(F1226="Active",A1226&amp;"|"&amp;COUNTIFS(A$2:A1226,A1226,F$2:F1226,"Active"),"")</f>
        <v/>
      </c>
      <c r="I1226" s="18" t="str">
        <f aca="false">IF(B1226="","",IF(SUMPRODUCT(MAX((A$1:A1225=A1226)*(B$1:B1225=B1226)*ROW(A$1:A1225)))=0,C1226&amp;"",IF(C1226="",INDEX(I$1:I1225,SUMPRODUCT(MAX((A$1:A1225=A1226)*(B$1:B1225=B1226)*ROW(A$1:A1225)))),IF(INDEX(I$1:I1225,SUMPRODUCT(MAX((A$1:A1225=A1226)*(B$1:B1225=B1226)*ROW(A$1:A1225))))="",C1226&amp;"",INDEX(I$1:I1225,SUMPRODUCT(MAX((A$1:A1225=A1226)*(B$1:B1225=B1226)*ROW(A$1:A1225))))&amp;"; "&amp;C1226))))</f>
        <v/>
      </c>
      <c r="J1226" s="18" t="str">
        <f aca="false">IF(A1226="","",A1226&amp;"|"&amp;COUNTIF(A$2:A1226,A1226))</f>
        <v/>
      </c>
      <c r="K1226" s="18" t="n">
        <f aca="false">IF(OR(A1226="",B1226=""),0,IF(COUNTIFS(A$2:A1226,A1226,B$2:B1226,B1226)=1,1,0))</f>
        <v>0</v>
      </c>
    </row>
    <row r="1227" customFormat="false" ht="15" hidden="false" customHeight="false" outlineLevel="0" collapsed="false">
      <c r="A1227" s="15"/>
      <c r="B1227" s="15"/>
      <c r="C1227" s="15"/>
      <c r="D1227" s="15"/>
      <c r="F1227" s="18" t="str">
        <f aca="false">IF(B1227="","",IFERROR(INDEX(Materials!$B$2:$B$201,MATCH(B1227,Materials!$A$2:$A$201,0)),""))</f>
        <v/>
      </c>
      <c r="G1227" s="18" t="str">
        <f aca="true">IF(AND(A1227="",B1227=""),"",IF(A1227="","Missing product",IF(B1227="","Missing material",IF(COUNTIF(ProductList,A1227)=0,"Product not in Products list",IF(COUNTIF(MaterialList,B1227)=0,"Material not in Materials list","OK")))))</f>
        <v/>
      </c>
      <c r="H1227" s="18" t="str">
        <f aca="false">IF(F1227="Active",A1227&amp;"|"&amp;COUNTIFS(A$2:A1227,A1227,F$2:F1227,"Active"),"")</f>
        <v/>
      </c>
      <c r="I1227" s="18" t="str">
        <f aca="false">IF(B1227="","",IF(SUMPRODUCT(MAX((A$1:A1226=A1227)*(B$1:B1226=B1227)*ROW(A$1:A1226)))=0,C1227&amp;"",IF(C1227="",INDEX(I$1:I1226,SUMPRODUCT(MAX((A$1:A1226=A1227)*(B$1:B1226=B1227)*ROW(A$1:A1226)))),IF(INDEX(I$1:I1226,SUMPRODUCT(MAX((A$1:A1226=A1227)*(B$1:B1226=B1227)*ROW(A$1:A1226))))="",C1227&amp;"",INDEX(I$1:I1226,SUMPRODUCT(MAX((A$1:A1226=A1227)*(B$1:B1226=B1227)*ROW(A$1:A1226))))&amp;"; "&amp;C1227))))</f>
        <v/>
      </c>
      <c r="J1227" s="18" t="str">
        <f aca="false">IF(A1227="","",A1227&amp;"|"&amp;COUNTIF(A$2:A1227,A1227))</f>
        <v/>
      </c>
      <c r="K1227" s="18" t="n">
        <f aca="false">IF(OR(A1227="",B1227=""),0,IF(COUNTIFS(A$2:A1227,A1227,B$2:B1227,B1227)=1,1,0))</f>
        <v>0</v>
      </c>
    </row>
    <row r="1228" customFormat="false" ht="15" hidden="false" customHeight="false" outlineLevel="0" collapsed="false">
      <c r="A1228" s="15"/>
      <c r="B1228" s="15"/>
      <c r="C1228" s="15"/>
      <c r="D1228" s="15"/>
      <c r="F1228" s="18" t="str">
        <f aca="false">IF(B1228="","",IFERROR(INDEX(Materials!$B$2:$B$201,MATCH(B1228,Materials!$A$2:$A$201,0)),""))</f>
        <v/>
      </c>
      <c r="G1228" s="18" t="str">
        <f aca="true">IF(AND(A1228="",B1228=""),"",IF(A1228="","Missing product",IF(B1228="","Missing material",IF(COUNTIF(ProductList,A1228)=0,"Product not in Products list",IF(COUNTIF(MaterialList,B1228)=0,"Material not in Materials list","OK")))))</f>
        <v/>
      </c>
      <c r="H1228" s="18" t="str">
        <f aca="false">IF(F1228="Active",A1228&amp;"|"&amp;COUNTIFS(A$2:A1228,A1228,F$2:F1228,"Active"),"")</f>
        <v/>
      </c>
      <c r="I1228" s="18" t="str">
        <f aca="false">IF(B1228="","",IF(SUMPRODUCT(MAX((A$1:A1227=A1228)*(B$1:B1227=B1228)*ROW(A$1:A1227)))=0,C1228&amp;"",IF(C1228="",INDEX(I$1:I1227,SUMPRODUCT(MAX((A$1:A1227=A1228)*(B$1:B1227=B1228)*ROW(A$1:A1227)))),IF(INDEX(I$1:I1227,SUMPRODUCT(MAX((A$1:A1227=A1228)*(B$1:B1227=B1228)*ROW(A$1:A1227))))="",C1228&amp;"",INDEX(I$1:I1227,SUMPRODUCT(MAX((A$1:A1227=A1228)*(B$1:B1227=B1228)*ROW(A$1:A1227))))&amp;"; "&amp;C1228))))</f>
        <v/>
      </c>
      <c r="J1228" s="18" t="str">
        <f aca="false">IF(A1228="","",A1228&amp;"|"&amp;COUNTIF(A$2:A1228,A1228))</f>
        <v/>
      </c>
      <c r="K1228" s="18" t="n">
        <f aca="false">IF(OR(A1228="",B1228=""),0,IF(COUNTIFS(A$2:A1228,A1228,B$2:B1228,B1228)=1,1,0))</f>
        <v>0</v>
      </c>
    </row>
    <row r="1229" customFormat="false" ht="15" hidden="false" customHeight="false" outlineLevel="0" collapsed="false">
      <c r="A1229" s="15"/>
      <c r="B1229" s="15"/>
      <c r="C1229" s="15"/>
      <c r="D1229" s="15"/>
      <c r="F1229" s="18" t="str">
        <f aca="false">IF(B1229="","",IFERROR(INDEX(Materials!$B$2:$B$201,MATCH(B1229,Materials!$A$2:$A$201,0)),""))</f>
        <v/>
      </c>
      <c r="G1229" s="18" t="str">
        <f aca="true">IF(AND(A1229="",B1229=""),"",IF(A1229="","Missing product",IF(B1229="","Missing material",IF(COUNTIF(ProductList,A1229)=0,"Product not in Products list",IF(COUNTIF(MaterialList,B1229)=0,"Material not in Materials list","OK")))))</f>
        <v/>
      </c>
      <c r="H1229" s="18" t="str">
        <f aca="false">IF(F1229="Active",A1229&amp;"|"&amp;COUNTIFS(A$2:A1229,A1229,F$2:F1229,"Active"),"")</f>
        <v/>
      </c>
      <c r="I1229" s="18" t="str">
        <f aca="false">IF(B1229="","",IF(SUMPRODUCT(MAX((A$1:A1228=A1229)*(B$1:B1228=B1229)*ROW(A$1:A1228)))=0,C1229&amp;"",IF(C1229="",INDEX(I$1:I1228,SUMPRODUCT(MAX((A$1:A1228=A1229)*(B$1:B1228=B1229)*ROW(A$1:A1228)))),IF(INDEX(I$1:I1228,SUMPRODUCT(MAX((A$1:A1228=A1229)*(B$1:B1228=B1229)*ROW(A$1:A1228))))="",C1229&amp;"",INDEX(I$1:I1228,SUMPRODUCT(MAX((A$1:A1228=A1229)*(B$1:B1228=B1229)*ROW(A$1:A1228))))&amp;"; "&amp;C1229))))</f>
        <v/>
      </c>
      <c r="J1229" s="18" t="str">
        <f aca="false">IF(A1229="","",A1229&amp;"|"&amp;COUNTIF(A$2:A1229,A1229))</f>
        <v/>
      </c>
      <c r="K1229" s="18" t="n">
        <f aca="false">IF(OR(A1229="",B1229=""),0,IF(COUNTIFS(A$2:A1229,A1229,B$2:B1229,B1229)=1,1,0))</f>
        <v>0</v>
      </c>
    </row>
    <row r="1230" customFormat="false" ht="15" hidden="false" customHeight="false" outlineLevel="0" collapsed="false">
      <c r="A1230" s="15"/>
      <c r="B1230" s="15"/>
      <c r="C1230" s="15"/>
      <c r="D1230" s="15"/>
      <c r="F1230" s="18" t="str">
        <f aca="false">IF(B1230="","",IFERROR(INDEX(Materials!$B$2:$B$201,MATCH(B1230,Materials!$A$2:$A$201,0)),""))</f>
        <v/>
      </c>
      <c r="G1230" s="18" t="str">
        <f aca="true">IF(AND(A1230="",B1230=""),"",IF(A1230="","Missing product",IF(B1230="","Missing material",IF(COUNTIF(ProductList,A1230)=0,"Product not in Products list",IF(COUNTIF(MaterialList,B1230)=0,"Material not in Materials list","OK")))))</f>
        <v/>
      </c>
      <c r="H1230" s="18" t="str">
        <f aca="false">IF(F1230="Active",A1230&amp;"|"&amp;COUNTIFS(A$2:A1230,A1230,F$2:F1230,"Active"),"")</f>
        <v/>
      </c>
      <c r="I1230" s="18" t="str">
        <f aca="false">IF(B1230="","",IF(SUMPRODUCT(MAX((A$1:A1229=A1230)*(B$1:B1229=B1230)*ROW(A$1:A1229)))=0,C1230&amp;"",IF(C1230="",INDEX(I$1:I1229,SUMPRODUCT(MAX((A$1:A1229=A1230)*(B$1:B1229=B1230)*ROW(A$1:A1229)))),IF(INDEX(I$1:I1229,SUMPRODUCT(MAX((A$1:A1229=A1230)*(B$1:B1229=B1230)*ROW(A$1:A1229))))="",C1230&amp;"",INDEX(I$1:I1229,SUMPRODUCT(MAX((A$1:A1229=A1230)*(B$1:B1229=B1230)*ROW(A$1:A1229))))&amp;"; "&amp;C1230))))</f>
        <v/>
      </c>
      <c r="J1230" s="18" t="str">
        <f aca="false">IF(A1230="","",A1230&amp;"|"&amp;COUNTIF(A$2:A1230,A1230))</f>
        <v/>
      </c>
      <c r="K1230" s="18" t="n">
        <f aca="false">IF(OR(A1230="",B1230=""),0,IF(COUNTIFS(A$2:A1230,A1230,B$2:B1230,B1230)=1,1,0))</f>
        <v>0</v>
      </c>
    </row>
    <row r="1231" customFormat="false" ht="15" hidden="false" customHeight="false" outlineLevel="0" collapsed="false">
      <c r="A1231" s="15"/>
      <c r="B1231" s="15"/>
      <c r="C1231" s="15"/>
      <c r="D1231" s="15"/>
      <c r="F1231" s="18" t="str">
        <f aca="false">IF(B1231="","",IFERROR(INDEX(Materials!$B$2:$B$201,MATCH(B1231,Materials!$A$2:$A$201,0)),""))</f>
        <v/>
      </c>
      <c r="G1231" s="18" t="str">
        <f aca="true">IF(AND(A1231="",B1231=""),"",IF(A1231="","Missing product",IF(B1231="","Missing material",IF(COUNTIF(ProductList,A1231)=0,"Product not in Products list",IF(COUNTIF(MaterialList,B1231)=0,"Material not in Materials list","OK")))))</f>
        <v/>
      </c>
      <c r="H1231" s="18" t="str">
        <f aca="false">IF(F1231="Active",A1231&amp;"|"&amp;COUNTIFS(A$2:A1231,A1231,F$2:F1231,"Active"),"")</f>
        <v/>
      </c>
      <c r="I1231" s="18" t="str">
        <f aca="false">IF(B1231="","",IF(SUMPRODUCT(MAX((A$1:A1230=A1231)*(B$1:B1230=B1231)*ROW(A$1:A1230)))=0,C1231&amp;"",IF(C1231="",INDEX(I$1:I1230,SUMPRODUCT(MAX((A$1:A1230=A1231)*(B$1:B1230=B1231)*ROW(A$1:A1230)))),IF(INDEX(I$1:I1230,SUMPRODUCT(MAX((A$1:A1230=A1231)*(B$1:B1230=B1231)*ROW(A$1:A1230))))="",C1231&amp;"",INDEX(I$1:I1230,SUMPRODUCT(MAX((A$1:A1230=A1231)*(B$1:B1230=B1231)*ROW(A$1:A1230))))&amp;"; "&amp;C1231))))</f>
        <v/>
      </c>
      <c r="J1231" s="18" t="str">
        <f aca="false">IF(A1231="","",A1231&amp;"|"&amp;COUNTIF(A$2:A1231,A1231))</f>
        <v/>
      </c>
      <c r="K1231" s="18" t="n">
        <f aca="false">IF(OR(A1231="",B1231=""),0,IF(COUNTIFS(A$2:A1231,A1231,B$2:B1231,B1231)=1,1,0))</f>
        <v>0</v>
      </c>
    </row>
    <row r="1232" customFormat="false" ht="15" hidden="false" customHeight="false" outlineLevel="0" collapsed="false">
      <c r="A1232" s="15"/>
      <c r="B1232" s="15"/>
      <c r="C1232" s="15"/>
      <c r="D1232" s="15"/>
      <c r="F1232" s="18" t="str">
        <f aca="false">IF(B1232="","",IFERROR(INDEX(Materials!$B$2:$B$201,MATCH(B1232,Materials!$A$2:$A$201,0)),""))</f>
        <v/>
      </c>
      <c r="G1232" s="18" t="str">
        <f aca="true">IF(AND(A1232="",B1232=""),"",IF(A1232="","Missing product",IF(B1232="","Missing material",IF(COUNTIF(ProductList,A1232)=0,"Product not in Products list",IF(COUNTIF(MaterialList,B1232)=0,"Material not in Materials list","OK")))))</f>
        <v/>
      </c>
      <c r="H1232" s="18" t="str">
        <f aca="false">IF(F1232="Active",A1232&amp;"|"&amp;COUNTIFS(A$2:A1232,A1232,F$2:F1232,"Active"),"")</f>
        <v/>
      </c>
      <c r="I1232" s="18" t="str">
        <f aca="false">IF(B1232="","",IF(SUMPRODUCT(MAX((A$1:A1231=A1232)*(B$1:B1231=B1232)*ROW(A$1:A1231)))=0,C1232&amp;"",IF(C1232="",INDEX(I$1:I1231,SUMPRODUCT(MAX((A$1:A1231=A1232)*(B$1:B1231=B1232)*ROW(A$1:A1231)))),IF(INDEX(I$1:I1231,SUMPRODUCT(MAX((A$1:A1231=A1232)*(B$1:B1231=B1232)*ROW(A$1:A1231))))="",C1232&amp;"",INDEX(I$1:I1231,SUMPRODUCT(MAX((A$1:A1231=A1232)*(B$1:B1231=B1232)*ROW(A$1:A1231))))&amp;"; "&amp;C1232))))</f>
        <v/>
      </c>
      <c r="J1232" s="18" t="str">
        <f aca="false">IF(A1232="","",A1232&amp;"|"&amp;COUNTIF(A$2:A1232,A1232))</f>
        <v/>
      </c>
      <c r="K1232" s="18" t="n">
        <f aca="false">IF(OR(A1232="",B1232=""),0,IF(COUNTIFS(A$2:A1232,A1232,B$2:B1232,B1232)=1,1,0))</f>
        <v>0</v>
      </c>
    </row>
    <row r="1233" customFormat="false" ht="15" hidden="false" customHeight="false" outlineLevel="0" collapsed="false">
      <c r="A1233" s="15"/>
      <c r="B1233" s="15"/>
      <c r="C1233" s="15"/>
      <c r="D1233" s="15"/>
      <c r="F1233" s="18" t="str">
        <f aca="false">IF(B1233="","",IFERROR(INDEX(Materials!$B$2:$B$201,MATCH(B1233,Materials!$A$2:$A$201,0)),""))</f>
        <v/>
      </c>
      <c r="G1233" s="18" t="str">
        <f aca="true">IF(AND(A1233="",B1233=""),"",IF(A1233="","Missing product",IF(B1233="","Missing material",IF(COUNTIF(ProductList,A1233)=0,"Product not in Products list",IF(COUNTIF(MaterialList,B1233)=0,"Material not in Materials list","OK")))))</f>
        <v/>
      </c>
      <c r="H1233" s="18" t="str">
        <f aca="false">IF(F1233="Active",A1233&amp;"|"&amp;COUNTIFS(A$2:A1233,A1233,F$2:F1233,"Active"),"")</f>
        <v/>
      </c>
      <c r="I1233" s="18" t="str">
        <f aca="false">IF(B1233="","",IF(SUMPRODUCT(MAX((A$1:A1232=A1233)*(B$1:B1232=B1233)*ROW(A$1:A1232)))=0,C1233&amp;"",IF(C1233="",INDEX(I$1:I1232,SUMPRODUCT(MAX((A$1:A1232=A1233)*(B$1:B1232=B1233)*ROW(A$1:A1232)))),IF(INDEX(I$1:I1232,SUMPRODUCT(MAX((A$1:A1232=A1233)*(B$1:B1232=B1233)*ROW(A$1:A1232))))="",C1233&amp;"",INDEX(I$1:I1232,SUMPRODUCT(MAX((A$1:A1232=A1233)*(B$1:B1232=B1233)*ROW(A$1:A1232))))&amp;"; "&amp;C1233))))</f>
        <v/>
      </c>
      <c r="J1233" s="18" t="str">
        <f aca="false">IF(A1233="","",A1233&amp;"|"&amp;COUNTIF(A$2:A1233,A1233))</f>
        <v/>
      </c>
      <c r="K1233" s="18" t="n">
        <f aca="false">IF(OR(A1233="",B1233=""),0,IF(COUNTIFS(A$2:A1233,A1233,B$2:B1233,B1233)=1,1,0))</f>
        <v>0</v>
      </c>
    </row>
    <row r="1234" customFormat="false" ht="15" hidden="false" customHeight="false" outlineLevel="0" collapsed="false">
      <c r="A1234" s="15"/>
      <c r="B1234" s="15"/>
      <c r="C1234" s="15"/>
      <c r="D1234" s="15"/>
      <c r="F1234" s="18" t="str">
        <f aca="false">IF(B1234="","",IFERROR(INDEX(Materials!$B$2:$B$201,MATCH(B1234,Materials!$A$2:$A$201,0)),""))</f>
        <v/>
      </c>
      <c r="G1234" s="18" t="str">
        <f aca="true">IF(AND(A1234="",B1234=""),"",IF(A1234="","Missing product",IF(B1234="","Missing material",IF(COUNTIF(ProductList,A1234)=0,"Product not in Products list",IF(COUNTIF(MaterialList,B1234)=0,"Material not in Materials list","OK")))))</f>
        <v/>
      </c>
      <c r="H1234" s="18" t="str">
        <f aca="false">IF(F1234="Active",A1234&amp;"|"&amp;COUNTIFS(A$2:A1234,A1234,F$2:F1234,"Active"),"")</f>
        <v/>
      </c>
      <c r="I1234" s="18" t="str">
        <f aca="false">IF(B1234="","",IF(SUMPRODUCT(MAX((A$1:A1233=A1234)*(B$1:B1233=B1234)*ROW(A$1:A1233)))=0,C1234&amp;"",IF(C1234="",INDEX(I$1:I1233,SUMPRODUCT(MAX((A$1:A1233=A1234)*(B$1:B1233=B1234)*ROW(A$1:A1233)))),IF(INDEX(I$1:I1233,SUMPRODUCT(MAX((A$1:A1233=A1234)*(B$1:B1233=B1234)*ROW(A$1:A1233))))="",C1234&amp;"",INDEX(I$1:I1233,SUMPRODUCT(MAX((A$1:A1233=A1234)*(B$1:B1233=B1234)*ROW(A$1:A1233))))&amp;"; "&amp;C1234))))</f>
        <v/>
      </c>
      <c r="J1234" s="18" t="str">
        <f aca="false">IF(A1234="","",A1234&amp;"|"&amp;COUNTIF(A$2:A1234,A1234))</f>
        <v/>
      </c>
      <c r="K1234" s="18" t="n">
        <f aca="false">IF(OR(A1234="",B1234=""),0,IF(COUNTIFS(A$2:A1234,A1234,B$2:B1234,B1234)=1,1,0))</f>
        <v>0</v>
      </c>
    </row>
    <row r="1235" customFormat="false" ht="15" hidden="false" customHeight="false" outlineLevel="0" collapsed="false">
      <c r="A1235" s="15"/>
      <c r="B1235" s="15"/>
      <c r="C1235" s="15"/>
      <c r="D1235" s="15"/>
      <c r="F1235" s="18" t="str">
        <f aca="false">IF(B1235="","",IFERROR(INDEX(Materials!$B$2:$B$201,MATCH(B1235,Materials!$A$2:$A$201,0)),""))</f>
        <v/>
      </c>
      <c r="G1235" s="18" t="str">
        <f aca="true">IF(AND(A1235="",B1235=""),"",IF(A1235="","Missing product",IF(B1235="","Missing material",IF(COUNTIF(ProductList,A1235)=0,"Product not in Products list",IF(COUNTIF(MaterialList,B1235)=0,"Material not in Materials list","OK")))))</f>
        <v/>
      </c>
      <c r="H1235" s="18" t="str">
        <f aca="false">IF(F1235="Active",A1235&amp;"|"&amp;COUNTIFS(A$2:A1235,A1235,F$2:F1235,"Active"),"")</f>
        <v/>
      </c>
      <c r="I1235" s="18" t="str">
        <f aca="false">IF(B1235="","",IF(SUMPRODUCT(MAX((A$1:A1234=A1235)*(B$1:B1234=B1235)*ROW(A$1:A1234)))=0,C1235&amp;"",IF(C1235="",INDEX(I$1:I1234,SUMPRODUCT(MAX((A$1:A1234=A1235)*(B$1:B1234=B1235)*ROW(A$1:A1234)))),IF(INDEX(I$1:I1234,SUMPRODUCT(MAX((A$1:A1234=A1235)*(B$1:B1234=B1235)*ROW(A$1:A1234))))="",C1235&amp;"",INDEX(I$1:I1234,SUMPRODUCT(MAX((A$1:A1234=A1235)*(B$1:B1234=B1235)*ROW(A$1:A1234))))&amp;"; "&amp;C1235))))</f>
        <v/>
      </c>
      <c r="J1235" s="18" t="str">
        <f aca="false">IF(A1235="","",A1235&amp;"|"&amp;COUNTIF(A$2:A1235,A1235))</f>
        <v/>
      </c>
      <c r="K1235" s="18" t="n">
        <f aca="false">IF(OR(A1235="",B1235=""),0,IF(COUNTIFS(A$2:A1235,A1235,B$2:B1235,B1235)=1,1,0))</f>
        <v>0</v>
      </c>
    </row>
    <row r="1236" customFormat="false" ht="15" hidden="false" customHeight="false" outlineLevel="0" collapsed="false">
      <c r="A1236" s="15"/>
      <c r="B1236" s="15"/>
      <c r="C1236" s="15"/>
      <c r="D1236" s="15"/>
      <c r="F1236" s="18" t="str">
        <f aca="false">IF(B1236="","",IFERROR(INDEX(Materials!$B$2:$B$201,MATCH(B1236,Materials!$A$2:$A$201,0)),""))</f>
        <v/>
      </c>
      <c r="G1236" s="18" t="str">
        <f aca="true">IF(AND(A1236="",B1236=""),"",IF(A1236="","Missing product",IF(B1236="","Missing material",IF(COUNTIF(ProductList,A1236)=0,"Product not in Products list",IF(COUNTIF(MaterialList,B1236)=0,"Material not in Materials list","OK")))))</f>
        <v/>
      </c>
      <c r="H1236" s="18" t="str">
        <f aca="false">IF(F1236="Active",A1236&amp;"|"&amp;COUNTIFS(A$2:A1236,A1236,F$2:F1236,"Active"),"")</f>
        <v/>
      </c>
      <c r="I1236" s="18" t="str">
        <f aca="false">IF(B1236="","",IF(SUMPRODUCT(MAX((A$1:A1235=A1236)*(B$1:B1235=B1236)*ROW(A$1:A1235)))=0,C1236&amp;"",IF(C1236="",INDEX(I$1:I1235,SUMPRODUCT(MAX((A$1:A1235=A1236)*(B$1:B1235=B1236)*ROW(A$1:A1235)))),IF(INDEX(I$1:I1235,SUMPRODUCT(MAX((A$1:A1235=A1236)*(B$1:B1235=B1236)*ROW(A$1:A1235))))="",C1236&amp;"",INDEX(I$1:I1235,SUMPRODUCT(MAX((A$1:A1235=A1236)*(B$1:B1235=B1236)*ROW(A$1:A1235))))&amp;"; "&amp;C1236))))</f>
        <v/>
      </c>
      <c r="J1236" s="18" t="str">
        <f aca="false">IF(A1236="","",A1236&amp;"|"&amp;COUNTIF(A$2:A1236,A1236))</f>
        <v/>
      </c>
      <c r="K1236" s="18" t="n">
        <f aca="false">IF(OR(A1236="",B1236=""),0,IF(COUNTIFS(A$2:A1236,A1236,B$2:B1236,B1236)=1,1,0))</f>
        <v>0</v>
      </c>
    </row>
    <row r="1237" customFormat="false" ht="15" hidden="false" customHeight="false" outlineLevel="0" collapsed="false">
      <c r="A1237" s="15"/>
      <c r="B1237" s="15"/>
      <c r="C1237" s="15"/>
      <c r="D1237" s="15"/>
      <c r="F1237" s="18" t="str">
        <f aca="false">IF(B1237="","",IFERROR(INDEX(Materials!$B$2:$B$201,MATCH(B1237,Materials!$A$2:$A$201,0)),""))</f>
        <v/>
      </c>
      <c r="G1237" s="18" t="str">
        <f aca="true">IF(AND(A1237="",B1237=""),"",IF(A1237="","Missing product",IF(B1237="","Missing material",IF(COUNTIF(ProductList,A1237)=0,"Product not in Products list",IF(COUNTIF(MaterialList,B1237)=0,"Material not in Materials list","OK")))))</f>
        <v/>
      </c>
      <c r="H1237" s="18" t="str">
        <f aca="false">IF(F1237="Active",A1237&amp;"|"&amp;COUNTIFS(A$2:A1237,A1237,F$2:F1237,"Active"),"")</f>
        <v/>
      </c>
      <c r="I1237" s="18" t="str">
        <f aca="false">IF(B1237="","",IF(SUMPRODUCT(MAX((A$1:A1236=A1237)*(B$1:B1236=B1237)*ROW(A$1:A1236)))=0,C1237&amp;"",IF(C1237="",INDEX(I$1:I1236,SUMPRODUCT(MAX((A$1:A1236=A1237)*(B$1:B1236=B1237)*ROW(A$1:A1236)))),IF(INDEX(I$1:I1236,SUMPRODUCT(MAX((A$1:A1236=A1237)*(B$1:B1236=B1237)*ROW(A$1:A1236))))="",C1237&amp;"",INDEX(I$1:I1236,SUMPRODUCT(MAX((A$1:A1236=A1237)*(B$1:B1236=B1237)*ROW(A$1:A1236))))&amp;"; "&amp;C1237))))</f>
        <v/>
      </c>
      <c r="J1237" s="18" t="str">
        <f aca="false">IF(A1237="","",A1237&amp;"|"&amp;COUNTIF(A$2:A1237,A1237))</f>
        <v/>
      </c>
      <c r="K1237" s="18" t="n">
        <f aca="false">IF(OR(A1237="",B1237=""),0,IF(COUNTIFS(A$2:A1237,A1237,B$2:B1237,B1237)=1,1,0))</f>
        <v>0</v>
      </c>
    </row>
    <row r="1238" customFormat="false" ht="15" hidden="false" customHeight="false" outlineLevel="0" collapsed="false">
      <c r="A1238" s="15"/>
      <c r="B1238" s="15"/>
      <c r="C1238" s="15"/>
      <c r="D1238" s="15"/>
      <c r="F1238" s="18" t="str">
        <f aca="false">IF(B1238="","",IFERROR(INDEX(Materials!$B$2:$B$201,MATCH(B1238,Materials!$A$2:$A$201,0)),""))</f>
        <v/>
      </c>
      <c r="G1238" s="18" t="str">
        <f aca="true">IF(AND(A1238="",B1238=""),"",IF(A1238="","Missing product",IF(B1238="","Missing material",IF(COUNTIF(ProductList,A1238)=0,"Product not in Products list",IF(COUNTIF(MaterialList,B1238)=0,"Material not in Materials list","OK")))))</f>
        <v/>
      </c>
      <c r="H1238" s="18" t="str">
        <f aca="false">IF(F1238="Active",A1238&amp;"|"&amp;COUNTIFS(A$2:A1238,A1238,F$2:F1238,"Active"),"")</f>
        <v/>
      </c>
      <c r="I1238" s="18" t="str">
        <f aca="false">IF(B1238="","",IF(SUMPRODUCT(MAX((A$1:A1237=A1238)*(B$1:B1237=B1238)*ROW(A$1:A1237)))=0,C1238&amp;"",IF(C1238="",INDEX(I$1:I1237,SUMPRODUCT(MAX((A$1:A1237=A1238)*(B$1:B1237=B1238)*ROW(A$1:A1237)))),IF(INDEX(I$1:I1237,SUMPRODUCT(MAX((A$1:A1237=A1238)*(B$1:B1237=B1238)*ROW(A$1:A1237))))="",C1238&amp;"",INDEX(I$1:I1237,SUMPRODUCT(MAX((A$1:A1237=A1238)*(B$1:B1237=B1238)*ROW(A$1:A1237))))&amp;"; "&amp;C1238))))</f>
        <v/>
      </c>
      <c r="J1238" s="18" t="str">
        <f aca="false">IF(A1238="","",A1238&amp;"|"&amp;COUNTIF(A$2:A1238,A1238))</f>
        <v/>
      </c>
      <c r="K1238" s="18" t="n">
        <f aca="false">IF(OR(A1238="",B1238=""),0,IF(COUNTIFS(A$2:A1238,A1238,B$2:B1238,B1238)=1,1,0))</f>
        <v>0</v>
      </c>
    </row>
    <row r="1239" customFormat="false" ht="15" hidden="false" customHeight="false" outlineLevel="0" collapsed="false">
      <c r="A1239" s="15"/>
      <c r="B1239" s="15"/>
      <c r="C1239" s="15"/>
      <c r="D1239" s="15"/>
      <c r="F1239" s="18" t="str">
        <f aca="false">IF(B1239="","",IFERROR(INDEX(Materials!$B$2:$B$201,MATCH(B1239,Materials!$A$2:$A$201,0)),""))</f>
        <v/>
      </c>
      <c r="G1239" s="18" t="str">
        <f aca="true">IF(AND(A1239="",B1239=""),"",IF(A1239="","Missing product",IF(B1239="","Missing material",IF(COUNTIF(ProductList,A1239)=0,"Product not in Products list",IF(COUNTIF(MaterialList,B1239)=0,"Material not in Materials list","OK")))))</f>
        <v/>
      </c>
      <c r="H1239" s="18" t="str">
        <f aca="false">IF(F1239="Active",A1239&amp;"|"&amp;COUNTIFS(A$2:A1239,A1239,F$2:F1239,"Active"),"")</f>
        <v/>
      </c>
      <c r="I1239" s="18" t="str">
        <f aca="false">IF(B1239="","",IF(SUMPRODUCT(MAX((A$1:A1238=A1239)*(B$1:B1238=B1239)*ROW(A$1:A1238)))=0,C1239&amp;"",IF(C1239="",INDEX(I$1:I1238,SUMPRODUCT(MAX((A$1:A1238=A1239)*(B$1:B1238=B1239)*ROW(A$1:A1238)))),IF(INDEX(I$1:I1238,SUMPRODUCT(MAX((A$1:A1238=A1239)*(B$1:B1238=B1239)*ROW(A$1:A1238))))="",C1239&amp;"",INDEX(I$1:I1238,SUMPRODUCT(MAX((A$1:A1238=A1239)*(B$1:B1238=B1239)*ROW(A$1:A1238))))&amp;"; "&amp;C1239))))</f>
        <v/>
      </c>
      <c r="J1239" s="18" t="str">
        <f aca="false">IF(A1239="","",A1239&amp;"|"&amp;COUNTIF(A$2:A1239,A1239))</f>
        <v/>
      </c>
      <c r="K1239" s="18" t="n">
        <f aca="false">IF(OR(A1239="",B1239=""),0,IF(COUNTIFS(A$2:A1239,A1239,B$2:B1239,B1239)=1,1,0))</f>
        <v>0</v>
      </c>
    </row>
    <row r="1240" customFormat="false" ht="15" hidden="false" customHeight="false" outlineLevel="0" collapsed="false">
      <c r="A1240" s="15"/>
      <c r="B1240" s="15"/>
      <c r="C1240" s="15"/>
      <c r="D1240" s="15"/>
      <c r="F1240" s="18" t="str">
        <f aca="false">IF(B1240="","",IFERROR(INDEX(Materials!$B$2:$B$201,MATCH(B1240,Materials!$A$2:$A$201,0)),""))</f>
        <v/>
      </c>
      <c r="G1240" s="18" t="str">
        <f aca="true">IF(AND(A1240="",B1240=""),"",IF(A1240="","Missing product",IF(B1240="","Missing material",IF(COUNTIF(ProductList,A1240)=0,"Product not in Products list",IF(COUNTIF(MaterialList,B1240)=0,"Material not in Materials list","OK")))))</f>
        <v/>
      </c>
      <c r="H1240" s="18" t="str">
        <f aca="false">IF(F1240="Active",A1240&amp;"|"&amp;COUNTIFS(A$2:A1240,A1240,F$2:F1240,"Active"),"")</f>
        <v/>
      </c>
      <c r="I1240" s="18" t="str">
        <f aca="false">IF(B1240="","",IF(SUMPRODUCT(MAX((A$1:A1239=A1240)*(B$1:B1239=B1240)*ROW(A$1:A1239)))=0,C1240&amp;"",IF(C1240="",INDEX(I$1:I1239,SUMPRODUCT(MAX((A$1:A1239=A1240)*(B$1:B1239=B1240)*ROW(A$1:A1239)))),IF(INDEX(I$1:I1239,SUMPRODUCT(MAX((A$1:A1239=A1240)*(B$1:B1239=B1240)*ROW(A$1:A1239))))="",C1240&amp;"",INDEX(I$1:I1239,SUMPRODUCT(MAX((A$1:A1239=A1240)*(B$1:B1239=B1240)*ROW(A$1:A1239))))&amp;"; "&amp;C1240))))</f>
        <v/>
      </c>
      <c r="J1240" s="18" t="str">
        <f aca="false">IF(A1240="","",A1240&amp;"|"&amp;COUNTIF(A$2:A1240,A1240))</f>
        <v/>
      </c>
      <c r="K1240" s="18" t="n">
        <f aca="false">IF(OR(A1240="",B1240=""),0,IF(COUNTIFS(A$2:A1240,A1240,B$2:B1240,B1240)=1,1,0))</f>
        <v>0</v>
      </c>
    </row>
    <row r="1241" customFormat="false" ht="15" hidden="false" customHeight="false" outlineLevel="0" collapsed="false">
      <c r="A1241" s="15"/>
      <c r="B1241" s="15"/>
      <c r="C1241" s="15"/>
      <c r="D1241" s="15"/>
      <c r="F1241" s="18" t="str">
        <f aca="false">IF(B1241="","",IFERROR(INDEX(Materials!$B$2:$B$201,MATCH(B1241,Materials!$A$2:$A$201,0)),""))</f>
        <v/>
      </c>
      <c r="G1241" s="18" t="str">
        <f aca="true">IF(AND(A1241="",B1241=""),"",IF(A1241="","Missing product",IF(B1241="","Missing material",IF(COUNTIF(ProductList,A1241)=0,"Product not in Products list",IF(COUNTIF(MaterialList,B1241)=0,"Material not in Materials list","OK")))))</f>
        <v/>
      </c>
      <c r="H1241" s="18" t="str">
        <f aca="false">IF(F1241="Active",A1241&amp;"|"&amp;COUNTIFS(A$2:A1241,A1241,F$2:F1241,"Active"),"")</f>
        <v/>
      </c>
      <c r="I1241" s="18" t="str">
        <f aca="false">IF(B1241="","",IF(SUMPRODUCT(MAX((A$1:A1240=A1241)*(B$1:B1240=B1241)*ROW(A$1:A1240)))=0,C1241&amp;"",IF(C1241="",INDEX(I$1:I1240,SUMPRODUCT(MAX((A$1:A1240=A1241)*(B$1:B1240=B1241)*ROW(A$1:A1240)))),IF(INDEX(I$1:I1240,SUMPRODUCT(MAX((A$1:A1240=A1241)*(B$1:B1240=B1241)*ROW(A$1:A1240))))="",C1241&amp;"",INDEX(I$1:I1240,SUMPRODUCT(MAX((A$1:A1240=A1241)*(B$1:B1240=B1241)*ROW(A$1:A1240))))&amp;"; "&amp;C1241))))</f>
        <v/>
      </c>
      <c r="J1241" s="18" t="str">
        <f aca="false">IF(A1241="","",A1241&amp;"|"&amp;COUNTIF(A$2:A1241,A1241))</f>
        <v/>
      </c>
      <c r="K1241" s="18" t="n">
        <f aca="false">IF(OR(A1241="",B1241=""),0,IF(COUNTIFS(A$2:A1241,A1241,B$2:B1241,B1241)=1,1,0))</f>
        <v>0</v>
      </c>
    </row>
    <row r="1242" customFormat="false" ht="15" hidden="false" customHeight="false" outlineLevel="0" collapsed="false">
      <c r="A1242" s="15"/>
      <c r="B1242" s="15"/>
      <c r="C1242" s="15"/>
      <c r="D1242" s="15"/>
      <c r="F1242" s="18" t="str">
        <f aca="false">IF(B1242="","",IFERROR(INDEX(Materials!$B$2:$B$201,MATCH(B1242,Materials!$A$2:$A$201,0)),""))</f>
        <v/>
      </c>
      <c r="G1242" s="18" t="str">
        <f aca="true">IF(AND(A1242="",B1242=""),"",IF(A1242="","Missing product",IF(B1242="","Missing material",IF(COUNTIF(ProductList,A1242)=0,"Product not in Products list",IF(COUNTIF(MaterialList,B1242)=0,"Material not in Materials list","OK")))))</f>
        <v/>
      </c>
      <c r="H1242" s="18" t="str">
        <f aca="false">IF(F1242="Active",A1242&amp;"|"&amp;COUNTIFS(A$2:A1242,A1242,F$2:F1242,"Active"),"")</f>
        <v/>
      </c>
      <c r="I1242" s="18" t="str">
        <f aca="false">IF(B1242="","",IF(SUMPRODUCT(MAX((A$1:A1241=A1242)*(B$1:B1241=B1242)*ROW(A$1:A1241)))=0,C1242&amp;"",IF(C1242="",INDEX(I$1:I1241,SUMPRODUCT(MAX((A$1:A1241=A1242)*(B$1:B1241=B1242)*ROW(A$1:A1241)))),IF(INDEX(I$1:I1241,SUMPRODUCT(MAX((A$1:A1241=A1242)*(B$1:B1241=B1242)*ROW(A$1:A1241))))="",C1242&amp;"",INDEX(I$1:I1241,SUMPRODUCT(MAX((A$1:A1241=A1242)*(B$1:B1241=B1242)*ROW(A$1:A1241))))&amp;"; "&amp;C1242))))</f>
        <v/>
      </c>
      <c r="J1242" s="18" t="str">
        <f aca="false">IF(A1242="","",A1242&amp;"|"&amp;COUNTIF(A$2:A1242,A1242))</f>
        <v/>
      </c>
      <c r="K1242" s="18" t="n">
        <f aca="false">IF(OR(A1242="",B1242=""),0,IF(COUNTIFS(A$2:A1242,A1242,B$2:B1242,B1242)=1,1,0))</f>
        <v>0</v>
      </c>
    </row>
    <row r="1243" customFormat="false" ht="15" hidden="false" customHeight="false" outlineLevel="0" collapsed="false">
      <c r="A1243" s="15"/>
      <c r="B1243" s="15"/>
      <c r="C1243" s="15"/>
      <c r="D1243" s="15"/>
      <c r="F1243" s="18" t="str">
        <f aca="false">IF(B1243="","",IFERROR(INDEX(Materials!$B$2:$B$201,MATCH(B1243,Materials!$A$2:$A$201,0)),""))</f>
        <v/>
      </c>
      <c r="G1243" s="18" t="str">
        <f aca="true">IF(AND(A1243="",B1243=""),"",IF(A1243="","Missing product",IF(B1243="","Missing material",IF(COUNTIF(ProductList,A1243)=0,"Product not in Products list",IF(COUNTIF(MaterialList,B1243)=0,"Material not in Materials list","OK")))))</f>
        <v/>
      </c>
      <c r="H1243" s="18" t="str">
        <f aca="false">IF(F1243="Active",A1243&amp;"|"&amp;COUNTIFS(A$2:A1243,A1243,F$2:F1243,"Active"),"")</f>
        <v/>
      </c>
      <c r="I1243" s="18" t="str">
        <f aca="false">IF(B1243="","",IF(SUMPRODUCT(MAX((A$1:A1242=A1243)*(B$1:B1242=B1243)*ROW(A$1:A1242)))=0,C1243&amp;"",IF(C1243="",INDEX(I$1:I1242,SUMPRODUCT(MAX((A$1:A1242=A1243)*(B$1:B1242=B1243)*ROW(A$1:A1242)))),IF(INDEX(I$1:I1242,SUMPRODUCT(MAX((A$1:A1242=A1243)*(B$1:B1242=B1243)*ROW(A$1:A1242))))="",C1243&amp;"",INDEX(I$1:I1242,SUMPRODUCT(MAX((A$1:A1242=A1243)*(B$1:B1242=B1243)*ROW(A$1:A1242))))&amp;"; "&amp;C1243))))</f>
        <v/>
      </c>
      <c r="J1243" s="18" t="str">
        <f aca="false">IF(A1243="","",A1243&amp;"|"&amp;COUNTIF(A$2:A1243,A1243))</f>
        <v/>
      </c>
      <c r="K1243" s="18" t="n">
        <f aca="false">IF(OR(A1243="",B1243=""),0,IF(COUNTIFS(A$2:A1243,A1243,B$2:B1243,B1243)=1,1,0))</f>
        <v>0</v>
      </c>
    </row>
    <row r="1244" customFormat="false" ht="15" hidden="false" customHeight="false" outlineLevel="0" collapsed="false">
      <c r="A1244" s="15"/>
      <c r="B1244" s="15"/>
      <c r="C1244" s="15"/>
      <c r="D1244" s="15"/>
      <c r="F1244" s="18" t="str">
        <f aca="false">IF(B1244="","",IFERROR(INDEX(Materials!$B$2:$B$201,MATCH(B1244,Materials!$A$2:$A$201,0)),""))</f>
        <v/>
      </c>
      <c r="G1244" s="18" t="str">
        <f aca="true">IF(AND(A1244="",B1244=""),"",IF(A1244="","Missing product",IF(B1244="","Missing material",IF(COUNTIF(ProductList,A1244)=0,"Product not in Products list",IF(COUNTIF(MaterialList,B1244)=0,"Material not in Materials list","OK")))))</f>
        <v/>
      </c>
      <c r="H1244" s="18" t="str">
        <f aca="false">IF(F1244="Active",A1244&amp;"|"&amp;COUNTIFS(A$2:A1244,A1244,F$2:F1244,"Active"),"")</f>
        <v/>
      </c>
      <c r="I1244" s="18" t="str">
        <f aca="false">IF(B1244="","",IF(SUMPRODUCT(MAX((A$1:A1243=A1244)*(B$1:B1243=B1244)*ROW(A$1:A1243)))=0,C1244&amp;"",IF(C1244="",INDEX(I$1:I1243,SUMPRODUCT(MAX((A$1:A1243=A1244)*(B$1:B1243=B1244)*ROW(A$1:A1243)))),IF(INDEX(I$1:I1243,SUMPRODUCT(MAX((A$1:A1243=A1244)*(B$1:B1243=B1244)*ROW(A$1:A1243))))="",C1244&amp;"",INDEX(I$1:I1243,SUMPRODUCT(MAX((A$1:A1243=A1244)*(B$1:B1243=B1244)*ROW(A$1:A1243))))&amp;"; "&amp;C1244))))</f>
        <v/>
      </c>
      <c r="J1244" s="18" t="str">
        <f aca="false">IF(A1244="","",A1244&amp;"|"&amp;COUNTIF(A$2:A1244,A1244))</f>
        <v/>
      </c>
      <c r="K1244" s="18" t="n">
        <f aca="false">IF(OR(A1244="",B1244=""),0,IF(COUNTIFS(A$2:A1244,A1244,B$2:B1244,B1244)=1,1,0))</f>
        <v>0</v>
      </c>
    </row>
    <row r="1245" customFormat="false" ht="15" hidden="false" customHeight="false" outlineLevel="0" collapsed="false">
      <c r="A1245" s="15"/>
      <c r="B1245" s="15"/>
      <c r="C1245" s="15"/>
      <c r="D1245" s="15"/>
      <c r="F1245" s="18" t="str">
        <f aca="false">IF(B1245="","",IFERROR(INDEX(Materials!$B$2:$B$201,MATCH(B1245,Materials!$A$2:$A$201,0)),""))</f>
        <v/>
      </c>
      <c r="G1245" s="18" t="str">
        <f aca="true">IF(AND(A1245="",B1245=""),"",IF(A1245="","Missing product",IF(B1245="","Missing material",IF(COUNTIF(ProductList,A1245)=0,"Product not in Products list",IF(COUNTIF(MaterialList,B1245)=0,"Material not in Materials list","OK")))))</f>
        <v/>
      </c>
      <c r="H1245" s="18" t="str">
        <f aca="false">IF(F1245="Active",A1245&amp;"|"&amp;COUNTIFS(A$2:A1245,A1245,F$2:F1245,"Active"),"")</f>
        <v/>
      </c>
      <c r="I1245" s="18" t="str">
        <f aca="false">IF(B1245="","",IF(SUMPRODUCT(MAX((A$1:A1244=A1245)*(B$1:B1244=B1245)*ROW(A$1:A1244)))=0,C1245&amp;"",IF(C1245="",INDEX(I$1:I1244,SUMPRODUCT(MAX((A$1:A1244=A1245)*(B$1:B1244=B1245)*ROW(A$1:A1244)))),IF(INDEX(I$1:I1244,SUMPRODUCT(MAX((A$1:A1244=A1245)*(B$1:B1244=B1245)*ROW(A$1:A1244))))="",C1245&amp;"",INDEX(I$1:I1244,SUMPRODUCT(MAX((A$1:A1244=A1245)*(B$1:B1244=B1245)*ROW(A$1:A1244))))&amp;"; "&amp;C1245))))</f>
        <v/>
      </c>
      <c r="J1245" s="18" t="str">
        <f aca="false">IF(A1245="","",A1245&amp;"|"&amp;COUNTIF(A$2:A1245,A1245))</f>
        <v/>
      </c>
      <c r="K1245" s="18" t="n">
        <f aca="false">IF(OR(A1245="",B1245=""),0,IF(COUNTIFS(A$2:A1245,A1245,B$2:B1245,B1245)=1,1,0))</f>
        <v>0</v>
      </c>
    </row>
    <row r="1246" customFormat="false" ht="15" hidden="false" customHeight="false" outlineLevel="0" collapsed="false">
      <c r="A1246" s="15"/>
      <c r="B1246" s="15"/>
      <c r="C1246" s="15"/>
      <c r="D1246" s="15"/>
      <c r="F1246" s="18" t="str">
        <f aca="false">IF(B1246="","",IFERROR(INDEX(Materials!$B$2:$B$201,MATCH(B1246,Materials!$A$2:$A$201,0)),""))</f>
        <v/>
      </c>
      <c r="G1246" s="18" t="str">
        <f aca="true">IF(AND(A1246="",B1246=""),"",IF(A1246="","Missing product",IF(B1246="","Missing material",IF(COUNTIF(ProductList,A1246)=0,"Product not in Products list",IF(COUNTIF(MaterialList,B1246)=0,"Material not in Materials list","OK")))))</f>
        <v/>
      </c>
      <c r="H1246" s="18" t="str">
        <f aca="false">IF(F1246="Active",A1246&amp;"|"&amp;COUNTIFS(A$2:A1246,A1246,F$2:F1246,"Active"),"")</f>
        <v/>
      </c>
      <c r="I1246" s="18" t="str">
        <f aca="false">IF(B1246="","",IF(SUMPRODUCT(MAX((A$1:A1245=A1246)*(B$1:B1245=B1246)*ROW(A$1:A1245)))=0,C1246&amp;"",IF(C1246="",INDEX(I$1:I1245,SUMPRODUCT(MAX((A$1:A1245=A1246)*(B$1:B1245=B1246)*ROW(A$1:A1245)))),IF(INDEX(I$1:I1245,SUMPRODUCT(MAX((A$1:A1245=A1246)*(B$1:B1245=B1246)*ROW(A$1:A1245))))="",C1246&amp;"",INDEX(I$1:I1245,SUMPRODUCT(MAX((A$1:A1245=A1246)*(B$1:B1245=B1246)*ROW(A$1:A1245))))&amp;"; "&amp;C1246))))</f>
        <v/>
      </c>
      <c r="J1246" s="18" t="str">
        <f aca="false">IF(A1246="","",A1246&amp;"|"&amp;COUNTIF(A$2:A1246,A1246))</f>
        <v/>
      </c>
      <c r="K1246" s="18" t="n">
        <f aca="false">IF(OR(A1246="",B1246=""),0,IF(COUNTIFS(A$2:A1246,A1246,B$2:B1246,B1246)=1,1,0))</f>
        <v>0</v>
      </c>
    </row>
    <row r="1247" customFormat="false" ht="15" hidden="false" customHeight="false" outlineLevel="0" collapsed="false">
      <c r="A1247" s="15"/>
      <c r="B1247" s="15"/>
      <c r="C1247" s="15"/>
      <c r="D1247" s="15"/>
      <c r="F1247" s="18" t="str">
        <f aca="false">IF(B1247="","",IFERROR(INDEX(Materials!$B$2:$B$201,MATCH(B1247,Materials!$A$2:$A$201,0)),""))</f>
        <v/>
      </c>
      <c r="G1247" s="18" t="str">
        <f aca="true">IF(AND(A1247="",B1247=""),"",IF(A1247="","Missing product",IF(B1247="","Missing material",IF(COUNTIF(ProductList,A1247)=0,"Product not in Products list",IF(COUNTIF(MaterialList,B1247)=0,"Material not in Materials list","OK")))))</f>
        <v/>
      </c>
      <c r="H1247" s="18" t="str">
        <f aca="false">IF(F1247="Active",A1247&amp;"|"&amp;COUNTIFS(A$2:A1247,A1247,F$2:F1247,"Active"),"")</f>
        <v/>
      </c>
      <c r="I1247" s="18" t="str">
        <f aca="false">IF(B1247="","",IF(SUMPRODUCT(MAX((A$1:A1246=A1247)*(B$1:B1246=B1247)*ROW(A$1:A1246)))=0,C1247&amp;"",IF(C1247="",INDEX(I$1:I1246,SUMPRODUCT(MAX((A$1:A1246=A1247)*(B$1:B1246=B1247)*ROW(A$1:A1246)))),IF(INDEX(I$1:I1246,SUMPRODUCT(MAX((A$1:A1246=A1247)*(B$1:B1246=B1247)*ROW(A$1:A1246))))="",C1247&amp;"",INDEX(I$1:I1246,SUMPRODUCT(MAX((A$1:A1246=A1247)*(B$1:B1246=B1247)*ROW(A$1:A1246))))&amp;"; "&amp;C1247))))</f>
        <v/>
      </c>
      <c r="J1247" s="18" t="str">
        <f aca="false">IF(A1247="","",A1247&amp;"|"&amp;COUNTIF(A$2:A1247,A1247))</f>
        <v/>
      </c>
      <c r="K1247" s="18" t="n">
        <f aca="false">IF(OR(A1247="",B1247=""),0,IF(COUNTIFS(A$2:A1247,A1247,B$2:B1247,B1247)=1,1,0))</f>
        <v>0</v>
      </c>
    </row>
    <row r="1248" customFormat="false" ht="15" hidden="false" customHeight="false" outlineLevel="0" collapsed="false">
      <c r="A1248" s="15"/>
      <c r="B1248" s="15"/>
      <c r="C1248" s="15"/>
      <c r="D1248" s="15"/>
      <c r="F1248" s="18" t="str">
        <f aca="false">IF(B1248="","",IFERROR(INDEX(Materials!$B$2:$B$201,MATCH(B1248,Materials!$A$2:$A$201,0)),""))</f>
        <v/>
      </c>
      <c r="G1248" s="18" t="str">
        <f aca="true">IF(AND(A1248="",B1248=""),"",IF(A1248="","Missing product",IF(B1248="","Missing material",IF(COUNTIF(ProductList,A1248)=0,"Product not in Products list",IF(COUNTIF(MaterialList,B1248)=0,"Material not in Materials list","OK")))))</f>
        <v/>
      </c>
      <c r="H1248" s="18" t="str">
        <f aca="false">IF(F1248="Active",A1248&amp;"|"&amp;COUNTIFS(A$2:A1248,A1248,F$2:F1248,"Active"),"")</f>
        <v/>
      </c>
      <c r="I1248" s="18" t="str">
        <f aca="false">IF(B1248="","",IF(SUMPRODUCT(MAX((A$1:A1247=A1248)*(B$1:B1247=B1248)*ROW(A$1:A1247)))=0,C1248&amp;"",IF(C1248="",INDEX(I$1:I1247,SUMPRODUCT(MAX((A$1:A1247=A1248)*(B$1:B1247=B1248)*ROW(A$1:A1247)))),IF(INDEX(I$1:I1247,SUMPRODUCT(MAX((A$1:A1247=A1248)*(B$1:B1247=B1248)*ROW(A$1:A1247))))="",C1248&amp;"",INDEX(I$1:I1247,SUMPRODUCT(MAX((A$1:A1247=A1248)*(B$1:B1247=B1248)*ROW(A$1:A1247))))&amp;"; "&amp;C1248))))</f>
        <v/>
      </c>
      <c r="J1248" s="18" t="str">
        <f aca="false">IF(A1248="","",A1248&amp;"|"&amp;COUNTIF(A$2:A1248,A1248))</f>
        <v/>
      </c>
      <c r="K1248" s="18" t="n">
        <f aca="false">IF(OR(A1248="",B1248=""),0,IF(COUNTIFS(A$2:A1248,A1248,B$2:B1248,B1248)=1,1,0))</f>
        <v>0</v>
      </c>
    </row>
    <row r="1249" customFormat="false" ht="15" hidden="false" customHeight="false" outlineLevel="0" collapsed="false">
      <c r="A1249" s="15"/>
      <c r="B1249" s="15"/>
      <c r="C1249" s="15"/>
      <c r="D1249" s="15"/>
      <c r="F1249" s="18" t="str">
        <f aca="false">IF(B1249="","",IFERROR(INDEX(Materials!$B$2:$B$201,MATCH(B1249,Materials!$A$2:$A$201,0)),""))</f>
        <v/>
      </c>
      <c r="G1249" s="18" t="str">
        <f aca="true">IF(AND(A1249="",B1249=""),"",IF(A1249="","Missing product",IF(B1249="","Missing material",IF(COUNTIF(ProductList,A1249)=0,"Product not in Products list",IF(COUNTIF(MaterialList,B1249)=0,"Material not in Materials list","OK")))))</f>
        <v/>
      </c>
      <c r="H1249" s="18" t="str">
        <f aca="false">IF(F1249="Active",A1249&amp;"|"&amp;COUNTIFS(A$2:A1249,A1249,F$2:F1249,"Active"),"")</f>
        <v/>
      </c>
      <c r="I1249" s="18" t="str">
        <f aca="false">IF(B1249="","",IF(SUMPRODUCT(MAX((A$1:A1248=A1249)*(B$1:B1248=B1249)*ROW(A$1:A1248)))=0,C1249&amp;"",IF(C1249="",INDEX(I$1:I1248,SUMPRODUCT(MAX((A$1:A1248=A1249)*(B$1:B1248=B1249)*ROW(A$1:A1248)))),IF(INDEX(I$1:I1248,SUMPRODUCT(MAX((A$1:A1248=A1249)*(B$1:B1248=B1249)*ROW(A$1:A1248))))="",C1249&amp;"",INDEX(I$1:I1248,SUMPRODUCT(MAX((A$1:A1248=A1249)*(B$1:B1248=B1249)*ROW(A$1:A1248))))&amp;"; "&amp;C1249))))</f>
        <v/>
      </c>
      <c r="J1249" s="18" t="str">
        <f aca="false">IF(A1249="","",A1249&amp;"|"&amp;COUNTIF(A$2:A1249,A1249))</f>
        <v/>
      </c>
      <c r="K1249" s="18" t="n">
        <f aca="false">IF(OR(A1249="",B1249=""),0,IF(COUNTIFS(A$2:A1249,A1249,B$2:B1249,B1249)=1,1,0))</f>
        <v>0</v>
      </c>
    </row>
    <row r="1250" customFormat="false" ht="15" hidden="false" customHeight="false" outlineLevel="0" collapsed="false">
      <c r="A1250" s="15"/>
      <c r="B1250" s="15"/>
      <c r="C1250" s="15"/>
      <c r="D1250" s="15"/>
      <c r="F1250" s="18" t="str">
        <f aca="false">IF(B1250="","",IFERROR(INDEX(Materials!$B$2:$B$201,MATCH(B1250,Materials!$A$2:$A$201,0)),""))</f>
        <v/>
      </c>
      <c r="G1250" s="18" t="str">
        <f aca="true">IF(AND(A1250="",B1250=""),"",IF(A1250="","Missing product",IF(B1250="","Missing material",IF(COUNTIF(ProductList,A1250)=0,"Product not in Products list",IF(COUNTIF(MaterialList,B1250)=0,"Material not in Materials list","OK")))))</f>
        <v/>
      </c>
      <c r="H1250" s="18" t="str">
        <f aca="false">IF(F1250="Active",A1250&amp;"|"&amp;COUNTIFS(A$2:A1250,A1250,F$2:F1250,"Active"),"")</f>
        <v/>
      </c>
      <c r="I1250" s="18" t="str">
        <f aca="false">IF(B1250="","",IF(SUMPRODUCT(MAX((A$1:A1249=A1250)*(B$1:B1249=B1250)*ROW(A$1:A1249)))=0,C1250&amp;"",IF(C1250="",INDEX(I$1:I1249,SUMPRODUCT(MAX((A$1:A1249=A1250)*(B$1:B1249=B1250)*ROW(A$1:A1249)))),IF(INDEX(I$1:I1249,SUMPRODUCT(MAX((A$1:A1249=A1250)*(B$1:B1249=B1250)*ROW(A$1:A1249))))="",C1250&amp;"",INDEX(I$1:I1249,SUMPRODUCT(MAX((A$1:A1249=A1250)*(B$1:B1249=B1250)*ROW(A$1:A1249))))&amp;"; "&amp;C1250))))</f>
        <v/>
      </c>
      <c r="J1250" s="18" t="str">
        <f aca="false">IF(A1250="","",A1250&amp;"|"&amp;COUNTIF(A$2:A1250,A1250))</f>
        <v/>
      </c>
      <c r="K1250" s="18" t="n">
        <f aca="false">IF(OR(A1250="",B1250=""),0,IF(COUNTIFS(A$2:A1250,A1250,B$2:B1250,B1250)=1,1,0))</f>
        <v>0</v>
      </c>
    </row>
    <row r="1251" customFormat="false" ht="15" hidden="false" customHeight="false" outlineLevel="0" collapsed="false">
      <c r="A1251" s="15"/>
      <c r="B1251" s="15"/>
      <c r="C1251" s="15"/>
      <c r="D1251" s="15"/>
      <c r="F1251" s="18" t="str">
        <f aca="false">IF(B1251="","",IFERROR(INDEX(Materials!$B$2:$B$201,MATCH(B1251,Materials!$A$2:$A$201,0)),""))</f>
        <v/>
      </c>
      <c r="G1251" s="18" t="str">
        <f aca="true">IF(AND(A1251="",B1251=""),"",IF(A1251="","Missing product",IF(B1251="","Missing material",IF(COUNTIF(ProductList,A1251)=0,"Product not in Products list",IF(COUNTIF(MaterialList,B1251)=0,"Material not in Materials list","OK")))))</f>
        <v/>
      </c>
      <c r="H1251" s="18" t="str">
        <f aca="false">IF(F1251="Active",A1251&amp;"|"&amp;COUNTIFS(A$2:A1251,A1251,F$2:F1251,"Active"),"")</f>
        <v/>
      </c>
      <c r="I1251" s="18" t="str">
        <f aca="false">IF(B1251="","",IF(SUMPRODUCT(MAX((A$1:A1250=A1251)*(B$1:B1250=B1251)*ROW(A$1:A1250)))=0,C1251&amp;"",IF(C1251="",INDEX(I$1:I1250,SUMPRODUCT(MAX((A$1:A1250=A1251)*(B$1:B1250=B1251)*ROW(A$1:A1250)))),IF(INDEX(I$1:I1250,SUMPRODUCT(MAX((A$1:A1250=A1251)*(B$1:B1250=B1251)*ROW(A$1:A1250))))="",C1251&amp;"",INDEX(I$1:I1250,SUMPRODUCT(MAX((A$1:A1250=A1251)*(B$1:B1250=B1251)*ROW(A$1:A1250))))&amp;"; "&amp;C1251))))</f>
        <v/>
      </c>
      <c r="J1251" s="18" t="str">
        <f aca="false">IF(A1251="","",A1251&amp;"|"&amp;COUNTIF(A$2:A1251,A1251))</f>
        <v/>
      </c>
      <c r="K1251" s="18" t="n">
        <f aca="false">IF(OR(A1251="",B1251=""),0,IF(COUNTIFS(A$2:A1251,A1251,B$2:B1251,B1251)=1,1,0))</f>
        <v>0</v>
      </c>
    </row>
    <row r="1252" customFormat="false" ht="15" hidden="false" customHeight="false" outlineLevel="0" collapsed="false">
      <c r="A1252" s="15"/>
      <c r="B1252" s="15"/>
      <c r="C1252" s="15"/>
      <c r="D1252" s="15"/>
      <c r="F1252" s="18" t="str">
        <f aca="false">IF(B1252="","",IFERROR(INDEX(Materials!$B$2:$B$201,MATCH(B1252,Materials!$A$2:$A$201,0)),""))</f>
        <v/>
      </c>
      <c r="G1252" s="18" t="str">
        <f aca="true">IF(AND(A1252="",B1252=""),"",IF(A1252="","Missing product",IF(B1252="","Missing material",IF(COUNTIF(ProductList,A1252)=0,"Product not in Products list",IF(COUNTIF(MaterialList,B1252)=0,"Material not in Materials list","OK")))))</f>
        <v/>
      </c>
      <c r="H1252" s="18" t="str">
        <f aca="false">IF(F1252="Active",A1252&amp;"|"&amp;COUNTIFS(A$2:A1252,A1252,F$2:F1252,"Active"),"")</f>
        <v/>
      </c>
      <c r="I1252" s="18" t="str">
        <f aca="false">IF(B1252="","",IF(SUMPRODUCT(MAX((A$1:A1251=A1252)*(B$1:B1251=B1252)*ROW(A$1:A1251)))=0,C1252&amp;"",IF(C1252="",INDEX(I$1:I1251,SUMPRODUCT(MAX((A$1:A1251=A1252)*(B$1:B1251=B1252)*ROW(A$1:A1251)))),IF(INDEX(I$1:I1251,SUMPRODUCT(MAX((A$1:A1251=A1252)*(B$1:B1251=B1252)*ROW(A$1:A1251))))="",C1252&amp;"",INDEX(I$1:I1251,SUMPRODUCT(MAX((A$1:A1251=A1252)*(B$1:B1251=B1252)*ROW(A$1:A1251))))&amp;"; "&amp;C1252))))</f>
        <v/>
      </c>
      <c r="J1252" s="18" t="str">
        <f aca="false">IF(A1252="","",A1252&amp;"|"&amp;COUNTIF(A$2:A1252,A1252))</f>
        <v/>
      </c>
      <c r="K1252" s="18" t="n">
        <f aca="false">IF(OR(A1252="",B1252=""),0,IF(COUNTIFS(A$2:A1252,A1252,B$2:B1252,B1252)=1,1,0))</f>
        <v>0</v>
      </c>
    </row>
    <row r="1253" customFormat="false" ht="15" hidden="false" customHeight="false" outlineLevel="0" collapsed="false">
      <c r="A1253" s="15"/>
      <c r="B1253" s="15"/>
      <c r="C1253" s="15"/>
      <c r="D1253" s="15"/>
      <c r="F1253" s="18" t="str">
        <f aca="false">IF(B1253="","",IFERROR(INDEX(Materials!$B$2:$B$201,MATCH(B1253,Materials!$A$2:$A$201,0)),""))</f>
        <v/>
      </c>
      <c r="G1253" s="18" t="str">
        <f aca="true">IF(AND(A1253="",B1253=""),"",IF(A1253="","Missing product",IF(B1253="","Missing material",IF(COUNTIF(ProductList,A1253)=0,"Product not in Products list",IF(COUNTIF(MaterialList,B1253)=0,"Material not in Materials list","OK")))))</f>
        <v/>
      </c>
      <c r="H1253" s="18" t="str">
        <f aca="false">IF(F1253="Active",A1253&amp;"|"&amp;COUNTIFS(A$2:A1253,A1253,F$2:F1253,"Active"),"")</f>
        <v/>
      </c>
      <c r="I1253" s="18" t="str">
        <f aca="false">IF(B1253="","",IF(SUMPRODUCT(MAX((A$1:A1252=A1253)*(B$1:B1252=B1253)*ROW(A$1:A1252)))=0,C1253&amp;"",IF(C1253="",INDEX(I$1:I1252,SUMPRODUCT(MAX((A$1:A1252=A1253)*(B$1:B1252=B1253)*ROW(A$1:A1252)))),IF(INDEX(I$1:I1252,SUMPRODUCT(MAX((A$1:A1252=A1253)*(B$1:B1252=B1253)*ROW(A$1:A1252))))="",C1253&amp;"",INDEX(I$1:I1252,SUMPRODUCT(MAX((A$1:A1252=A1253)*(B$1:B1252=B1253)*ROW(A$1:A1252))))&amp;"; "&amp;C1253))))</f>
        <v/>
      </c>
      <c r="J1253" s="18" t="str">
        <f aca="false">IF(A1253="","",A1253&amp;"|"&amp;COUNTIF(A$2:A1253,A1253))</f>
        <v/>
      </c>
      <c r="K1253" s="18" t="n">
        <f aca="false">IF(OR(A1253="",B1253=""),0,IF(COUNTIFS(A$2:A1253,A1253,B$2:B1253,B1253)=1,1,0))</f>
        <v>0</v>
      </c>
    </row>
    <row r="1254" customFormat="false" ht="15" hidden="false" customHeight="false" outlineLevel="0" collapsed="false">
      <c r="A1254" s="15"/>
      <c r="B1254" s="15"/>
      <c r="C1254" s="15"/>
      <c r="D1254" s="15"/>
      <c r="F1254" s="18" t="str">
        <f aca="false">IF(B1254="","",IFERROR(INDEX(Materials!$B$2:$B$201,MATCH(B1254,Materials!$A$2:$A$201,0)),""))</f>
        <v/>
      </c>
      <c r="G1254" s="18" t="str">
        <f aca="true">IF(AND(A1254="",B1254=""),"",IF(A1254="","Missing product",IF(B1254="","Missing material",IF(COUNTIF(ProductList,A1254)=0,"Product not in Products list",IF(COUNTIF(MaterialList,B1254)=0,"Material not in Materials list","OK")))))</f>
        <v/>
      </c>
      <c r="H1254" s="18" t="str">
        <f aca="false">IF(F1254="Active",A1254&amp;"|"&amp;COUNTIFS(A$2:A1254,A1254,F$2:F1254,"Active"),"")</f>
        <v/>
      </c>
      <c r="I1254" s="18" t="str">
        <f aca="false">IF(B1254="","",IF(SUMPRODUCT(MAX((A$1:A1253=A1254)*(B$1:B1253=B1254)*ROW(A$1:A1253)))=0,C1254&amp;"",IF(C1254="",INDEX(I$1:I1253,SUMPRODUCT(MAX((A$1:A1253=A1254)*(B$1:B1253=B1254)*ROW(A$1:A1253)))),IF(INDEX(I$1:I1253,SUMPRODUCT(MAX((A$1:A1253=A1254)*(B$1:B1253=B1254)*ROW(A$1:A1253))))="",C1254&amp;"",INDEX(I$1:I1253,SUMPRODUCT(MAX((A$1:A1253=A1254)*(B$1:B1253=B1254)*ROW(A$1:A1253))))&amp;"; "&amp;C1254))))</f>
        <v/>
      </c>
      <c r="J1254" s="18" t="str">
        <f aca="false">IF(A1254="","",A1254&amp;"|"&amp;COUNTIF(A$2:A1254,A1254))</f>
        <v/>
      </c>
      <c r="K1254" s="18" t="n">
        <f aca="false">IF(OR(A1254="",B1254=""),0,IF(COUNTIFS(A$2:A1254,A1254,B$2:B1254,B1254)=1,1,0))</f>
        <v>0</v>
      </c>
    </row>
    <row r="1255" customFormat="false" ht="15" hidden="false" customHeight="false" outlineLevel="0" collapsed="false">
      <c r="A1255" s="15"/>
      <c r="B1255" s="15"/>
      <c r="C1255" s="15"/>
      <c r="D1255" s="15"/>
      <c r="F1255" s="18" t="str">
        <f aca="false">IF(B1255="","",IFERROR(INDEX(Materials!$B$2:$B$201,MATCH(B1255,Materials!$A$2:$A$201,0)),""))</f>
        <v/>
      </c>
      <c r="G1255" s="18" t="str">
        <f aca="true">IF(AND(A1255="",B1255=""),"",IF(A1255="","Missing product",IF(B1255="","Missing material",IF(COUNTIF(ProductList,A1255)=0,"Product not in Products list",IF(COUNTIF(MaterialList,B1255)=0,"Material not in Materials list","OK")))))</f>
        <v/>
      </c>
      <c r="H1255" s="18" t="str">
        <f aca="false">IF(F1255="Active",A1255&amp;"|"&amp;COUNTIFS(A$2:A1255,A1255,F$2:F1255,"Active"),"")</f>
        <v/>
      </c>
      <c r="I1255" s="18" t="str">
        <f aca="false">IF(B1255="","",IF(SUMPRODUCT(MAX((A$1:A1254=A1255)*(B$1:B1254=B1255)*ROW(A$1:A1254)))=0,C1255&amp;"",IF(C1255="",INDEX(I$1:I1254,SUMPRODUCT(MAX((A$1:A1254=A1255)*(B$1:B1254=B1255)*ROW(A$1:A1254)))),IF(INDEX(I$1:I1254,SUMPRODUCT(MAX((A$1:A1254=A1255)*(B$1:B1254=B1255)*ROW(A$1:A1254))))="",C1255&amp;"",INDEX(I$1:I1254,SUMPRODUCT(MAX((A$1:A1254=A1255)*(B$1:B1254=B1255)*ROW(A$1:A1254))))&amp;"; "&amp;C1255))))</f>
        <v/>
      </c>
      <c r="J1255" s="18" t="str">
        <f aca="false">IF(A1255="","",A1255&amp;"|"&amp;COUNTIF(A$2:A1255,A1255))</f>
        <v/>
      </c>
      <c r="K1255" s="18" t="n">
        <f aca="false">IF(OR(A1255="",B1255=""),0,IF(COUNTIFS(A$2:A1255,A1255,B$2:B1255,B1255)=1,1,0))</f>
        <v>0</v>
      </c>
    </row>
    <row r="1256" customFormat="false" ht="15" hidden="false" customHeight="false" outlineLevel="0" collapsed="false">
      <c r="A1256" s="15"/>
      <c r="B1256" s="15"/>
      <c r="C1256" s="15"/>
      <c r="D1256" s="15"/>
      <c r="F1256" s="18" t="str">
        <f aca="false">IF(B1256="","",IFERROR(INDEX(Materials!$B$2:$B$201,MATCH(B1256,Materials!$A$2:$A$201,0)),""))</f>
        <v/>
      </c>
      <c r="G1256" s="18" t="str">
        <f aca="true">IF(AND(A1256="",B1256=""),"",IF(A1256="","Missing product",IF(B1256="","Missing material",IF(COUNTIF(ProductList,A1256)=0,"Product not in Products list",IF(COUNTIF(MaterialList,B1256)=0,"Material not in Materials list","OK")))))</f>
        <v/>
      </c>
      <c r="H1256" s="18" t="str">
        <f aca="false">IF(F1256="Active",A1256&amp;"|"&amp;COUNTIFS(A$2:A1256,A1256,F$2:F1256,"Active"),"")</f>
        <v/>
      </c>
      <c r="I1256" s="18" t="str">
        <f aca="false">IF(B1256="","",IF(SUMPRODUCT(MAX((A$1:A1255=A1256)*(B$1:B1255=B1256)*ROW(A$1:A1255)))=0,C1256&amp;"",IF(C1256="",INDEX(I$1:I1255,SUMPRODUCT(MAX((A$1:A1255=A1256)*(B$1:B1255=B1256)*ROW(A$1:A1255)))),IF(INDEX(I$1:I1255,SUMPRODUCT(MAX((A$1:A1255=A1256)*(B$1:B1255=B1256)*ROW(A$1:A1255))))="",C1256&amp;"",INDEX(I$1:I1255,SUMPRODUCT(MAX((A$1:A1255=A1256)*(B$1:B1255=B1256)*ROW(A$1:A1255))))&amp;"; "&amp;C1256))))</f>
        <v/>
      </c>
      <c r="J1256" s="18" t="str">
        <f aca="false">IF(A1256="","",A1256&amp;"|"&amp;COUNTIF(A$2:A1256,A1256))</f>
        <v/>
      </c>
      <c r="K1256" s="18" t="n">
        <f aca="false">IF(OR(A1256="",B1256=""),0,IF(COUNTIFS(A$2:A1256,A1256,B$2:B1256,B1256)=1,1,0))</f>
        <v>0</v>
      </c>
    </row>
    <row r="1257" customFormat="false" ht="15" hidden="false" customHeight="false" outlineLevel="0" collapsed="false">
      <c r="A1257" s="15"/>
      <c r="B1257" s="15"/>
      <c r="C1257" s="15"/>
      <c r="D1257" s="15"/>
      <c r="F1257" s="18" t="str">
        <f aca="false">IF(B1257="","",IFERROR(INDEX(Materials!$B$2:$B$201,MATCH(B1257,Materials!$A$2:$A$201,0)),""))</f>
        <v/>
      </c>
      <c r="G1257" s="18" t="str">
        <f aca="true">IF(AND(A1257="",B1257=""),"",IF(A1257="","Missing product",IF(B1257="","Missing material",IF(COUNTIF(ProductList,A1257)=0,"Product not in Products list",IF(COUNTIF(MaterialList,B1257)=0,"Material not in Materials list","OK")))))</f>
        <v/>
      </c>
      <c r="H1257" s="18" t="str">
        <f aca="false">IF(F1257="Active",A1257&amp;"|"&amp;COUNTIFS(A$2:A1257,A1257,F$2:F1257,"Active"),"")</f>
        <v/>
      </c>
      <c r="I1257" s="18" t="str">
        <f aca="false">IF(B1257="","",IF(SUMPRODUCT(MAX((A$1:A1256=A1257)*(B$1:B1256=B1257)*ROW(A$1:A1256)))=0,C1257&amp;"",IF(C1257="",INDEX(I$1:I1256,SUMPRODUCT(MAX((A$1:A1256=A1257)*(B$1:B1256=B1257)*ROW(A$1:A1256)))),IF(INDEX(I$1:I1256,SUMPRODUCT(MAX((A$1:A1256=A1257)*(B$1:B1256=B1257)*ROW(A$1:A1256))))="",C1257&amp;"",INDEX(I$1:I1256,SUMPRODUCT(MAX((A$1:A1256=A1257)*(B$1:B1256=B1257)*ROW(A$1:A1256))))&amp;"; "&amp;C1257))))</f>
        <v/>
      </c>
      <c r="J1257" s="18" t="str">
        <f aca="false">IF(A1257="","",A1257&amp;"|"&amp;COUNTIF(A$2:A1257,A1257))</f>
        <v/>
      </c>
      <c r="K1257" s="18" t="n">
        <f aca="false">IF(OR(A1257="",B1257=""),0,IF(COUNTIFS(A$2:A1257,A1257,B$2:B1257,B1257)=1,1,0))</f>
        <v>0</v>
      </c>
    </row>
    <row r="1258" customFormat="false" ht="15" hidden="false" customHeight="false" outlineLevel="0" collapsed="false">
      <c r="A1258" s="15"/>
      <c r="B1258" s="15"/>
      <c r="C1258" s="15"/>
      <c r="D1258" s="15"/>
      <c r="F1258" s="18" t="str">
        <f aca="false">IF(B1258="","",IFERROR(INDEX(Materials!$B$2:$B$201,MATCH(B1258,Materials!$A$2:$A$201,0)),""))</f>
        <v/>
      </c>
      <c r="G1258" s="18" t="str">
        <f aca="true">IF(AND(A1258="",B1258=""),"",IF(A1258="","Missing product",IF(B1258="","Missing material",IF(COUNTIF(ProductList,A1258)=0,"Product not in Products list",IF(COUNTIF(MaterialList,B1258)=0,"Material not in Materials list","OK")))))</f>
        <v/>
      </c>
      <c r="H1258" s="18" t="str">
        <f aca="false">IF(F1258="Active",A1258&amp;"|"&amp;COUNTIFS(A$2:A1258,A1258,F$2:F1258,"Active"),"")</f>
        <v/>
      </c>
      <c r="I1258" s="18" t="str">
        <f aca="false">IF(B1258="","",IF(SUMPRODUCT(MAX((A$1:A1257=A1258)*(B$1:B1257=B1258)*ROW(A$1:A1257)))=0,C1258&amp;"",IF(C1258="",INDEX(I$1:I1257,SUMPRODUCT(MAX((A$1:A1257=A1258)*(B$1:B1257=B1258)*ROW(A$1:A1257)))),IF(INDEX(I$1:I1257,SUMPRODUCT(MAX((A$1:A1257=A1258)*(B$1:B1257=B1258)*ROW(A$1:A1257))))="",C1258&amp;"",INDEX(I$1:I1257,SUMPRODUCT(MAX((A$1:A1257=A1258)*(B$1:B1257=B1258)*ROW(A$1:A1257))))&amp;"; "&amp;C1258))))</f>
        <v/>
      </c>
      <c r="J1258" s="18" t="str">
        <f aca="false">IF(A1258="","",A1258&amp;"|"&amp;COUNTIF(A$2:A1258,A1258))</f>
        <v/>
      </c>
      <c r="K1258" s="18" t="n">
        <f aca="false">IF(OR(A1258="",B1258=""),0,IF(COUNTIFS(A$2:A1258,A1258,B$2:B1258,B1258)=1,1,0))</f>
        <v>0</v>
      </c>
    </row>
    <row r="1259" customFormat="false" ht="15" hidden="false" customHeight="false" outlineLevel="0" collapsed="false">
      <c r="A1259" s="15"/>
      <c r="B1259" s="15"/>
      <c r="C1259" s="15"/>
      <c r="D1259" s="15"/>
      <c r="F1259" s="18" t="str">
        <f aca="false">IF(B1259="","",IFERROR(INDEX(Materials!$B$2:$B$201,MATCH(B1259,Materials!$A$2:$A$201,0)),""))</f>
        <v/>
      </c>
      <c r="G1259" s="18" t="str">
        <f aca="true">IF(AND(A1259="",B1259=""),"",IF(A1259="","Missing product",IF(B1259="","Missing material",IF(COUNTIF(ProductList,A1259)=0,"Product not in Products list",IF(COUNTIF(MaterialList,B1259)=0,"Material not in Materials list","OK")))))</f>
        <v/>
      </c>
      <c r="H1259" s="18" t="str">
        <f aca="false">IF(F1259="Active",A1259&amp;"|"&amp;COUNTIFS(A$2:A1259,A1259,F$2:F1259,"Active"),"")</f>
        <v/>
      </c>
      <c r="I1259" s="18" t="str">
        <f aca="false">IF(B1259="","",IF(SUMPRODUCT(MAX((A$1:A1258=A1259)*(B$1:B1258=B1259)*ROW(A$1:A1258)))=0,C1259&amp;"",IF(C1259="",INDEX(I$1:I1258,SUMPRODUCT(MAX((A$1:A1258=A1259)*(B$1:B1258=B1259)*ROW(A$1:A1258)))),IF(INDEX(I$1:I1258,SUMPRODUCT(MAX((A$1:A1258=A1259)*(B$1:B1258=B1259)*ROW(A$1:A1258))))="",C1259&amp;"",INDEX(I$1:I1258,SUMPRODUCT(MAX((A$1:A1258=A1259)*(B$1:B1258=B1259)*ROW(A$1:A1258))))&amp;"; "&amp;C1259))))</f>
        <v/>
      </c>
      <c r="J1259" s="18" t="str">
        <f aca="false">IF(A1259="","",A1259&amp;"|"&amp;COUNTIF(A$2:A1259,A1259))</f>
        <v/>
      </c>
      <c r="K1259" s="18" t="n">
        <f aca="false">IF(OR(A1259="",B1259=""),0,IF(COUNTIFS(A$2:A1259,A1259,B$2:B1259,B1259)=1,1,0))</f>
        <v>0</v>
      </c>
    </row>
    <row r="1260" customFormat="false" ht="15" hidden="false" customHeight="false" outlineLevel="0" collapsed="false">
      <c r="A1260" s="15"/>
      <c r="B1260" s="15"/>
      <c r="C1260" s="15"/>
      <c r="D1260" s="15"/>
      <c r="F1260" s="18" t="str">
        <f aca="false">IF(B1260="","",IFERROR(INDEX(Materials!$B$2:$B$201,MATCH(B1260,Materials!$A$2:$A$201,0)),""))</f>
        <v/>
      </c>
      <c r="G1260" s="18" t="str">
        <f aca="true">IF(AND(A1260="",B1260=""),"",IF(A1260="","Missing product",IF(B1260="","Missing material",IF(COUNTIF(ProductList,A1260)=0,"Product not in Products list",IF(COUNTIF(MaterialList,B1260)=0,"Material not in Materials list","OK")))))</f>
        <v/>
      </c>
      <c r="H1260" s="18" t="str">
        <f aca="false">IF(F1260="Active",A1260&amp;"|"&amp;COUNTIFS(A$2:A1260,A1260,F$2:F1260,"Active"),"")</f>
        <v/>
      </c>
      <c r="I1260" s="18" t="str">
        <f aca="false">IF(B1260="","",IF(SUMPRODUCT(MAX((A$1:A1259=A1260)*(B$1:B1259=B1260)*ROW(A$1:A1259)))=0,C1260&amp;"",IF(C1260="",INDEX(I$1:I1259,SUMPRODUCT(MAX((A$1:A1259=A1260)*(B$1:B1259=B1260)*ROW(A$1:A1259)))),IF(INDEX(I$1:I1259,SUMPRODUCT(MAX((A$1:A1259=A1260)*(B$1:B1259=B1260)*ROW(A$1:A1259))))="",C1260&amp;"",INDEX(I$1:I1259,SUMPRODUCT(MAX((A$1:A1259=A1260)*(B$1:B1259=B1260)*ROW(A$1:A1259))))&amp;"; "&amp;C1260))))</f>
        <v/>
      </c>
      <c r="J1260" s="18" t="str">
        <f aca="false">IF(A1260="","",A1260&amp;"|"&amp;COUNTIF(A$2:A1260,A1260))</f>
        <v/>
      </c>
      <c r="K1260" s="18" t="n">
        <f aca="false">IF(OR(A1260="",B1260=""),0,IF(COUNTIFS(A$2:A1260,A1260,B$2:B1260,B1260)=1,1,0))</f>
        <v>0</v>
      </c>
    </row>
    <row r="1261" customFormat="false" ht="15" hidden="false" customHeight="false" outlineLevel="0" collapsed="false">
      <c r="A1261" s="15"/>
      <c r="B1261" s="15"/>
      <c r="C1261" s="15"/>
      <c r="D1261" s="15"/>
      <c r="F1261" s="18" t="str">
        <f aca="false">IF(B1261="","",IFERROR(INDEX(Materials!$B$2:$B$201,MATCH(B1261,Materials!$A$2:$A$201,0)),""))</f>
        <v/>
      </c>
      <c r="G1261" s="18" t="str">
        <f aca="true">IF(AND(A1261="",B1261=""),"",IF(A1261="","Missing product",IF(B1261="","Missing material",IF(COUNTIF(ProductList,A1261)=0,"Product not in Products list",IF(COUNTIF(MaterialList,B1261)=0,"Material not in Materials list","OK")))))</f>
        <v/>
      </c>
      <c r="H1261" s="18" t="str">
        <f aca="false">IF(F1261="Active",A1261&amp;"|"&amp;COUNTIFS(A$2:A1261,A1261,F$2:F1261,"Active"),"")</f>
        <v/>
      </c>
      <c r="I1261" s="18" t="str">
        <f aca="false">IF(B1261="","",IF(SUMPRODUCT(MAX((A$1:A1260=A1261)*(B$1:B1260=B1261)*ROW(A$1:A1260)))=0,C1261&amp;"",IF(C1261="",INDEX(I$1:I1260,SUMPRODUCT(MAX((A$1:A1260=A1261)*(B$1:B1260=B1261)*ROW(A$1:A1260)))),IF(INDEX(I$1:I1260,SUMPRODUCT(MAX((A$1:A1260=A1261)*(B$1:B1260=B1261)*ROW(A$1:A1260))))="",C1261&amp;"",INDEX(I$1:I1260,SUMPRODUCT(MAX((A$1:A1260=A1261)*(B$1:B1260=B1261)*ROW(A$1:A1260))))&amp;"; "&amp;C1261))))</f>
        <v/>
      </c>
      <c r="J1261" s="18" t="str">
        <f aca="false">IF(A1261="","",A1261&amp;"|"&amp;COUNTIF(A$2:A1261,A1261))</f>
        <v/>
      </c>
      <c r="K1261" s="18" t="n">
        <f aca="false">IF(OR(A1261="",B1261=""),0,IF(COUNTIFS(A$2:A1261,A1261,B$2:B1261,B1261)=1,1,0))</f>
        <v>0</v>
      </c>
    </row>
    <row r="1262" customFormat="false" ht="15" hidden="false" customHeight="false" outlineLevel="0" collapsed="false">
      <c r="A1262" s="15"/>
      <c r="B1262" s="15"/>
      <c r="C1262" s="15"/>
      <c r="D1262" s="15"/>
      <c r="F1262" s="18" t="str">
        <f aca="false">IF(B1262="","",IFERROR(INDEX(Materials!$B$2:$B$201,MATCH(B1262,Materials!$A$2:$A$201,0)),""))</f>
        <v/>
      </c>
      <c r="G1262" s="18" t="str">
        <f aca="true">IF(AND(A1262="",B1262=""),"",IF(A1262="","Missing product",IF(B1262="","Missing material",IF(COUNTIF(ProductList,A1262)=0,"Product not in Products list",IF(COUNTIF(MaterialList,B1262)=0,"Material not in Materials list","OK")))))</f>
        <v/>
      </c>
      <c r="H1262" s="18" t="str">
        <f aca="false">IF(F1262="Active",A1262&amp;"|"&amp;COUNTIFS(A$2:A1262,A1262,F$2:F1262,"Active"),"")</f>
        <v/>
      </c>
      <c r="I1262" s="18" t="str">
        <f aca="false">IF(B1262="","",IF(SUMPRODUCT(MAX((A$1:A1261=A1262)*(B$1:B1261=B1262)*ROW(A$1:A1261)))=0,C1262&amp;"",IF(C1262="",INDEX(I$1:I1261,SUMPRODUCT(MAX((A$1:A1261=A1262)*(B$1:B1261=B1262)*ROW(A$1:A1261)))),IF(INDEX(I$1:I1261,SUMPRODUCT(MAX((A$1:A1261=A1262)*(B$1:B1261=B1262)*ROW(A$1:A1261))))="",C1262&amp;"",INDEX(I$1:I1261,SUMPRODUCT(MAX((A$1:A1261=A1262)*(B$1:B1261=B1262)*ROW(A$1:A1261))))&amp;"; "&amp;C1262))))</f>
        <v/>
      </c>
      <c r="J1262" s="18" t="str">
        <f aca="false">IF(A1262="","",A1262&amp;"|"&amp;COUNTIF(A$2:A1262,A1262))</f>
        <v/>
      </c>
      <c r="K1262" s="18" t="n">
        <f aca="false">IF(OR(A1262="",B1262=""),0,IF(COUNTIFS(A$2:A1262,A1262,B$2:B1262,B1262)=1,1,0))</f>
        <v>0</v>
      </c>
    </row>
    <row r="1263" customFormat="false" ht="15" hidden="false" customHeight="false" outlineLevel="0" collapsed="false">
      <c r="A1263" s="15"/>
      <c r="B1263" s="15"/>
      <c r="C1263" s="15"/>
      <c r="D1263" s="15"/>
      <c r="F1263" s="18" t="str">
        <f aca="false">IF(B1263="","",IFERROR(INDEX(Materials!$B$2:$B$201,MATCH(B1263,Materials!$A$2:$A$201,0)),""))</f>
        <v/>
      </c>
      <c r="G1263" s="18" t="str">
        <f aca="true">IF(AND(A1263="",B1263=""),"",IF(A1263="","Missing product",IF(B1263="","Missing material",IF(COUNTIF(ProductList,A1263)=0,"Product not in Products list",IF(COUNTIF(MaterialList,B1263)=0,"Material not in Materials list","OK")))))</f>
        <v/>
      </c>
      <c r="H1263" s="18" t="str">
        <f aca="false">IF(F1263="Active",A1263&amp;"|"&amp;COUNTIFS(A$2:A1263,A1263,F$2:F1263,"Active"),"")</f>
        <v/>
      </c>
      <c r="I1263" s="18" t="str">
        <f aca="false">IF(B1263="","",IF(SUMPRODUCT(MAX((A$1:A1262=A1263)*(B$1:B1262=B1263)*ROW(A$1:A1262)))=0,C1263&amp;"",IF(C1263="",INDEX(I$1:I1262,SUMPRODUCT(MAX((A$1:A1262=A1263)*(B$1:B1262=B1263)*ROW(A$1:A1262)))),IF(INDEX(I$1:I1262,SUMPRODUCT(MAX((A$1:A1262=A1263)*(B$1:B1262=B1263)*ROW(A$1:A1262))))="",C1263&amp;"",INDEX(I$1:I1262,SUMPRODUCT(MAX((A$1:A1262=A1263)*(B$1:B1262=B1263)*ROW(A$1:A1262))))&amp;"; "&amp;C1263))))</f>
        <v/>
      </c>
      <c r="J1263" s="18" t="str">
        <f aca="false">IF(A1263="","",A1263&amp;"|"&amp;COUNTIF(A$2:A1263,A1263))</f>
        <v/>
      </c>
      <c r="K1263" s="18" t="n">
        <f aca="false">IF(OR(A1263="",B1263=""),0,IF(COUNTIFS(A$2:A1263,A1263,B$2:B1263,B1263)=1,1,0))</f>
        <v>0</v>
      </c>
    </row>
    <row r="1264" customFormat="false" ht="15" hidden="false" customHeight="false" outlineLevel="0" collapsed="false">
      <c r="A1264" s="15"/>
      <c r="B1264" s="15"/>
      <c r="C1264" s="15"/>
      <c r="D1264" s="15"/>
      <c r="F1264" s="18" t="str">
        <f aca="false">IF(B1264="","",IFERROR(INDEX(Materials!$B$2:$B$201,MATCH(B1264,Materials!$A$2:$A$201,0)),""))</f>
        <v/>
      </c>
      <c r="G1264" s="18" t="str">
        <f aca="true">IF(AND(A1264="",B1264=""),"",IF(A1264="","Missing product",IF(B1264="","Missing material",IF(COUNTIF(ProductList,A1264)=0,"Product not in Products list",IF(COUNTIF(MaterialList,B1264)=0,"Material not in Materials list","OK")))))</f>
        <v/>
      </c>
      <c r="H1264" s="18" t="str">
        <f aca="false">IF(F1264="Active",A1264&amp;"|"&amp;COUNTIFS(A$2:A1264,A1264,F$2:F1264,"Active"),"")</f>
        <v/>
      </c>
      <c r="I1264" s="18" t="str">
        <f aca="false">IF(B1264="","",IF(SUMPRODUCT(MAX((A$1:A1263=A1264)*(B$1:B1263=B1264)*ROW(A$1:A1263)))=0,C1264&amp;"",IF(C1264="",INDEX(I$1:I1263,SUMPRODUCT(MAX((A$1:A1263=A1264)*(B$1:B1263=B1264)*ROW(A$1:A1263)))),IF(INDEX(I$1:I1263,SUMPRODUCT(MAX((A$1:A1263=A1264)*(B$1:B1263=B1264)*ROW(A$1:A1263))))="",C1264&amp;"",INDEX(I$1:I1263,SUMPRODUCT(MAX((A$1:A1263=A1264)*(B$1:B1263=B1264)*ROW(A$1:A1263))))&amp;"; "&amp;C1264))))</f>
        <v/>
      </c>
      <c r="J1264" s="18" t="str">
        <f aca="false">IF(A1264="","",A1264&amp;"|"&amp;COUNTIF(A$2:A1264,A1264))</f>
        <v/>
      </c>
      <c r="K1264" s="18" t="n">
        <f aca="false">IF(OR(A1264="",B1264=""),0,IF(COUNTIFS(A$2:A1264,A1264,B$2:B1264,B1264)=1,1,0))</f>
        <v>0</v>
      </c>
    </row>
    <row r="1265" customFormat="false" ht="15" hidden="false" customHeight="false" outlineLevel="0" collapsed="false">
      <c r="A1265" s="15"/>
      <c r="B1265" s="15"/>
      <c r="C1265" s="15"/>
      <c r="D1265" s="15"/>
      <c r="F1265" s="18" t="str">
        <f aca="false">IF(B1265="","",IFERROR(INDEX(Materials!$B$2:$B$201,MATCH(B1265,Materials!$A$2:$A$201,0)),""))</f>
        <v/>
      </c>
      <c r="G1265" s="18" t="str">
        <f aca="true">IF(AND(A1265="",B1265=""),"",IF(A1265="","Missing product",IF(B1265="","Missing material",IF(COUNTIF(ProductList,A1265)=0,"Product not in Products list",IF(COUNTIF(MaterialList,B1265)=0,"Material not in Materials list","OK")))))</f>
        <v/>
      </c>
      <c r="H1265" s="18" t="str">
        <f aca="false">IF(F1265="Active",A1265&amp;"|"&amp;COUNTIFS(A$2:A1265,A1265,F$2:F1265,"Active"),"")</f>
        <v/>
      </c>
      <c r="I1265" s="18" t="str">
        <f aca="false">IF(B1265="","",IF(SUMPRODUCT(MAX((A$1:A1264=A1265)*(B$1:B1264=B1265)*ROW(A$1:A1264)))=0,C1265&amp;"",IF(C1265="",INDEX(I$1:I1264,SUMPRODUCT(MAX((A$1:A1264=A1265)*(B$1:B1264=B1265)*ROW(A$1:A1264)))),IF(INDEX(I$1:I1264,SUMPRODUCT(MAX((A$1:A1264=A1265)*(B$1:B1264=B1265)*ROW(A$1:A1264))))="",C1265&amp;"",INDEX(I$1:I1264,SUMPRODUCT(MAX((A$1:A1264=A1265)*(B$1:B1264=B1265)*ROW(A$1:A1264))))&amp;"; "&amp;C1265))))</f>
        <v/>
      </c>
      <c r="J1265" s="18" t="str">
        <f aca="false">IF(A1265="","",A1265&amp;"|"&amp;COUNTIF(A$2:A1265,A1265))</f>
        <v/>
      </c>
      <c r="K1265" s="18" t="n">
        <f aca="false">IF(OR(A1265="",B1265=""),0,IF(COUNTIFS(A$2:A1265,A1265,B$2:B1265,B1265)=1,1,0))</f>
        <v>0</v>
      </c>
    </row>
    <row r="1266" customFormat="false" ht="15" hidden="false" customHeight="false" outlineLevel="0" collapsed="false">
      <c r="A1266" s="15"/>
      <c r="B1266" s="15"/>
      <c r="C1266" s="15"/>
      <c r="D1266" s="15"/>
      <c r="F1266" s="18" t="str">
        <f aca="false">IF(B1266="","",IFERROR(INDEX(Materials!$B$2:$B$201,MATCH(B1266,Materials!$A$2:$A$201,0)),""))</f>
        <v/>
      </c>
      <c r="G1266" s="18" t="str">
        <f aca="true">IF(AND(A1266="",B1266=""),"",IF(A1266="","Missing product",IF(B1266="","Missing material",IF(COUNTIF(ProductList,A1266)=0,"Product not in Products list",IF(COUNTIF(MaterialList,B1266)=0,"Material not in Materials list","OK")))))</f>
        <v/>
      </c>
      <c r="H1266" s="18" t="str">
        <f aca="false">IF(F1266="Active",A1266&amp;"|"&amp;COUNTIFS(A$2:A1266,A1266,F$2:F1266,"Active"),"")</f>
        <v/>
      </c>
      <c r="I1266" s="18" t="str">
        <f aca="false">IF(B1266="","",IF(SUMPRODUCT(MAX((A$1:A1265=A1266)*(B$1:B1265=B1266)*ROW(A$1:A1265)))=0,C1266&amp;"",IF(C1266="",INDEX(I$1:I1265,SUMPRODUCT(MAX((A$1:A1265=A1266)*(B$1:B1265=B1266)*ROW(A$1:A1265)))),IF(INDEX(I$1:I1265,SUMPRODUCT(MAX((A$1:A1265=A1266)*(B$1:B1265=B1266)*ROW(A$1:A1265))))="",C1266&amp;"",INDEX(I$1:I1265,SUMPRODUCT(MAX((A$1:A1265=A1266)*(B$1:B1265=B1266)*ROW(A$1:A1265))))&amp;"; "&amp;C1266))))</f>
        <v/>
      </c>
      <c r="J1266" s="18" t="str">
        <f aca="false">IF(A1266="","",A1266&amp;"|"&amp;COUNTIF(A$2:A1266,A1266))</f>
        <v/>
      </c>
      <c r="K1266" s="18" t="n">
        <f aca="false">IF(OR(A1266="",B1266=""),0,IF(COUNTIFS(A$2:A1266,A1266,B$2:B1266,B1266)=1,1,0))</f>
        <v>0</v>
      </c>
    </row>
    <row r="1267" customFormat="false" ht="15" hidden="false" customHeight="false" outlineLevel="0" collapsed="false">
      <c r="A1267" s="15"/>
      <c r="B1267" s="15"/>
      <c r="C1267" s="15"/>
      <c r="D1267" s="15"/>
      <c r="F1267" s="18" t="str">
        <f aca="false">IF(B1267="","",IFERROR(INDEX(Materials!$B$2:$B$201,MATCH(B1267,Materials!$A$2:$A$201,0)),""))</f>
        <v/>
      </c>
      <c r="G1267" s="18" t="str">
        <f aca="true">IF(AND(A1267="",B1267=""),"",IF(A1267="","Missing product",IF(B1267="","Missing material",IF(COUNTIF(ProductList,A1267)=0,"Product not in Products list",IF(COUNTIF(MaterialList,B1267)=0,"Material not in Materials list","OK")))))</f>
        <v/>
      </c>
      <c r="H1267" s="18" t="str">
        <f aca="false">IF(F1267="Active",A1267&amp;"|"&amp;COUNTIFS(A$2:A1267,A1267,F$2:F1267,"Active"),"")</f>
        <v/>
      </c>
      <c r="I1267" s="18" t="str">
        <f aca="false">IF(B1267="","",IF(SUMPRODUCT(MAX((A$1:A1266=A1267)*(B$1:B1266=B1267)*ROW(A$1:A1266)))=0,C1267&amp;"",IF(C1267="",INDEX(I$1:I1266,SUMPRODUCT(MAX((A$1:A1266=A1267)*(B$1:B1266=B1267)*ROW(A$1:A1266)))),IF(INDEX(I$1:I1266,SUMPRODUCT(MAX((A$1:A1266=A1267)*(B$1:B1266=B1267)*ROW(A$1:A1266))))="",C1267&amp;"",INDEX(I$1:I1266,SUMPRODUCT(MAX((A$1:A1266=A1267)*(B$1:B1266=B1267)*ROW(A$1:A1266))))&amp;"; "&amp;C1267))))</f>
        <v/>
      </c>
      <c r="J1267" s="18" t="str">
        <f aca="false">IF(A1267="","",A1267&amp;"|"&amp;COUNTIF(A$2:A1267,A1267))</f>
        <v/>
      </c>
      <c r="K1267" s="18" t="n">
        <f aca="false">IF(OR(A1267="",B1267=""),0,IF(COUNTIFS(A$2:A1267,A1267,B$2:B1267,B1267)=1,1,0))</f>
        <v>0</v>
      </c>
    </row>
    <row r="1268" customFormat="false" ht="15" hidden="false" customHeight="false" outlineLevel="0" collapsed="false">
      <c r="A1268" s="15"/>
      <c r="B1268" s="15"/>
      <c r="C1268" s="15"/>
      <c r="D1268" s="15"/>
      <c r="F1268" s="18" t="str">
        <f aca="false">IF(B1268="","",IFERROR(INDEX(Materials!$B$2:$B$201,MATCH(B1268,Materials!$A$2:$A$201,0)),""))</f>
        <v/>
      </c>
      <c r="G1268" s="18" t="str">
        <f aca="true">IF(AND(A1268="",B1268=""),"",IF(A1268="","Missing product",IF(B1268="","Missing material",IF(COUNTIF(ProductList,A1268)=0,"Product not in Products list",IF(COUNTIF(MaterialList,B1268)=0,"Material not in Materials list","OK")))))</f>
        <v/>
      </c>
      <c r="H1268" s="18" t="str">
        <f aca="false">IF(F1268="Active",A1268&amp;"|"&amp;COUNTIFS(A$2:A1268,A1268,F$2:F1268,"Active"),"")</f>
        <v/>
      </c>
      <c r="I1268" s="18" t="str">
        <f aca="false">IF(B1268="","",IF(SUMPRODUCT(MAX((A$1:A1267=A1268)*(B$1:B1267=B1268)*ROW(A$1:A1267)))=0,C1268&amp;"",IF(C1268="",INDEX(I$1:I1267,SUMPRODUCT(MAX((A$1:A1267=A1268)*(B$1:B1267=B1268)*ROW(A$1:A1267)))),IF(INDEX(I$1:I1267,SUMPRODUCT(MAX((A$1:A1267=A1268)*(B$1:B1267=B1268)*ROW(A$1:A1267))))="",C1268&amp;"",INDEX(I$1:I1267,SUMPRODUCT(MAX((A$1:A1267=A1268)*(B$1:B1267=B1268)*ROW(A$1:A1267))))&amp;"; "&amp;C1268))))</f>
        <v/>
      </c>
      <c r="J1268" s="18" t="str">
        <f aca="false">IF(A1268="","",A1268&amp;"|"&amp;COUNTIF(A$2:A1268,A1268))</f>
        <v/>
      </c>
      <c r="K1268" s="18" t="n">
        <f aca="false">IF(OR(A1268="",B1268=""),0,IF(COUNTIFS(A$2:A1268,A1268,B$2:B1268,B1268)=1,1,0))</f>
        <v>0</v>
      </c>
    </row>
    <row r="1269" customFormat="false" ht="15" hidden="false" customHeight="false" outlineLevel="0" collapsed="false">
      <c r="A1269" s="15"/>
      <c r="B1269" s="15"/>
      <c r="C1269" s="15"/>
      <c r="D1269" s="15"/>
      <c r="F1269" s="18" t="str">
        <f aca="false">IF(B1269="","",IFERROR(INDEX(Materials!$B$2:$B$201,MATCH(B1269,Materials!$A$2:$A$201,0)),""))</f>
        <v/>
      </c>
      <c r="G1269" s="18" t="str">
        <f aca="true">IF(AND(A1269="",B1269=""),"",IF(A1269="","Missing product",IF(B1269="","Missing material",IF(COUNTIF(ProductList,A1269)=0,"Product not in Products list",IF(COUNTIF(MaterialList,B1269)=0,"Material not in Materials list","OK")))))</f>
        <v/>
      </c>
      <c r="H1269" s="18" t="str">
        <f aca="false">IF(F1269="Active",A1269&amp;"|"&amp;COUNTIFS(A$2:A1269,A1269,F$2:F1269,"Active"),"")</f>
        <v/>
      </c>
      <c r="I1269" s="18" t="str">
        <f aca="false">IF(B1269="","",IF(SUMPRODUCT(MAX((A$1:A1268=A1269)*(B$1:B1268=B1269)*ROW(A$1:A1268)))=0,C1269&amp;"",IF(C1269="",INDEX(I$1:I1268,SUMPRODUCT(MAX((A$1:A1268=A1269)*(B$1:B1268=B1269)*ROW(A$1:A1268)))),IF(INDEX(I$1:I1268,SUMPRODUCT(MAX((A$1:A1268=A1269)*(B$1:B1268=B1269)*ROW(A$1:A1268))))="",C1269&amp;"",INDEX(I$1:I1268,SUMPRODUCT(MAX((A$1:A1268=A1269)*(B$1:B1268=B1269)*ROW(A$1:A1268))))&amp;"; "&amp;C1269))))</f>
        <v/>
      </c>
      <c r="J1269" s="18" t="str">
        <f aca="false">IF(A1269="","",A1269&amp;"|"&amp;COUNTIF(A$2:A1269,A1269))</f>
        <v/>
      </c>
      <c r="K1269" s="18" t="n">
        <f aca="false">IF(OR(A1269="",B1269=""),0,IF(COUNTIFS(A$2:A1269,A1269,B$2:B1269,B1269)=1,1,0))</f>
        <v>0</v>
      </c>
    </row>
    <row r="1270" customFormat="false" ht="15" hidden="false" customHeight="false" outlineLevel="0" collapsed="false">
      <c r="A1270" s="15"/>
      <c r="B1270" s="15"/>
      <c r="C1270" s="15"/>
      <c r="D1270" s="15"/>
      <c r="F1270" s="18" t="str">
        <f aca="false">IF(B1270="","",IFERROR(INDEX(Materials!$B$2:$B$201,MATCH(B1270,Materials!$A$2:$A$201,0)),""))</f>
        <v/>
      </c>
      <c r="G1270" s="18" t="str">
        <f aca="true">IF(AND(A1270="",B1270=""),"",IF(A1270="","Missing product",IF(B1270="","Missing material",IF(COUNTIF(ProductList,A1270)=0,"Product not in Products list",IF(COUNTIF(MaterialList,B1270)=0,"Material not in Materials list","OK")))))</f>
        <v/>
      </c>
      <c r="H1270" s="18" t="str">
        <f aca="false">IF(F1270="Active",A1270&amp;"|"&amp;COUNTIFS(A$2:A1270,A1270,F$2:F1270,"Active"),"")</f>
        <v/>
      </c>
      <c r="I1270" s="18" t="str">
        <f aca="false">IF(B1270="","",IF(SUMPRODUCT(MAX((A$1:A1269=A1270)*(B$1:B1269=B1270)*ROW(A$1:A1269)))=0,C1270&amp;"",IF(C1270="",INDEX(I$1:I1269,SUMPRODUCT(MAX((A$1:A1269=A1270)*(B$1:B1269=B1270)*ROW(A$1:A1269)))),IF(INDEX(I$1:I1269,SUMPRODUCT(MAX((A$1:A1269=A1270)*(B$1:B1269=B1270)*ROW(A$1:A1269))))="",C1270&amp;"",INDEX(I$1:I1269,SUMPRODUCT(MAX((A$1:A1269=A1270)*(B$1:B1269=B1270)*ROW(A$1:A1269))))&amp;"; "&amp;C1270))))</f>
        <v/>
      </c>
      <c r="J1270" s="18" t="str">
        <f aca="false">IF(A1270="","",A1270&amp;"|"&amp;COUNTIF(A$2:A1270,A1270))</f>
        <v/>
      </c>
      <c r="K1270" s="18" t="n">
        <f aca="false">IF(OR(A1270="",B1270=""),0,IF(COUNTIFS(A$2:A1270,A1270,B$2:B1270,B1270)=1,1,0))</f>
        <v>0</v>
      </c>
    </row>
    <row r="1271" customFormat="false" ht="15" hidden="false" customHeight="false" outlineLevel="0" collapsed="false">
      <c r="A1271" s="15"/>
      <c r="B1271" s="15"/>
      <c r="C1271" s="15"/>
      <c r="D1271" s="15"/>
      <c r="F1271" s="18" t="str">
        <f aca="false">IF(B1271="","",IFERROR(INDEX(Materials!$B$2:$B$201,MATCH(B1271,Materials!$A$2:$A$201,0)),""))</f>
        <v/>
      </c>
      <c r="G1271" s="18" t="str">
        <f aca="true">IF(AND(A1271="",B1271=""),"",IF(A1271="","Missing product",IF(B1271="","Missing material",IF(COUNTIF(ProductList,A1271)=0,"Product not in Products list",IF(COUNTIF(MaterialList,B1271)=0,"Material not in Materials list","OK")))))</f>
        <v/>
      </c>
      <c r="H1271" s="18" t="str">
        <f aca="false">IF(F1271="Active",A1271&amp;"|"&amp;COUNTIFS(A$2:A1271,A1271,F$2:F1271,"Active"),"")</f>
        <v/>
      </c>
      <c r="I1271" s="18" t="str">
        <f aca="false">IF(B1271="","",IF(SUMPRODUCT(MAX((A$1:A1270=A1271)*(B$1:B1270=B1271)*ROW(A$1:A1270)))=0,C1271&amp;"",IF(C1271="",INDEX(I$1:I1270,SUMPRODUCT(MAX((A$1:A1270=A1271)*(B$1:B1270=B1271)*ROW(A$1:A1270)))),IF(INDEX(I$1:I1270,SUMPRODUCT(MAX((A$1:A1270=A1271)*(B$1:B1270=B1271)*ROW(A$1:A1270))))="",C1271&amp;"",INDEX(I$1:I1270,SUMPRODUCT(MAX((A$1:A1270=A1271)*(B$1:B1270=B1271)*ROW(A$1:A1270))))&amp;"; "&amp;C1271))))</f>
        <v/>
      </c>
      <c r="J1271" s="18" t="str">
        <f aca="false">IF(A1271="","",A1271&amp;"|"&amp;COUNTIF(A$2:A1271,A1271))</f>
        <v/>
      </c>
      <c r="K1271" s="18" t="n">
        <f aca="false">IF(OR(A1271="",B1271=""),0,IF(COUNTIFS(A$2:A1271,A1271,B$2:B1271,B1271)=1,1,0))</f>
        <v>0</v>
      </c>
    </row>
    <row r="1272" customFormat="false" ht="15" hidden="false" customHeight="false" outlineLevel="0" collapsed="false">
      <c r="A1272" s="15"/>
      <c r="B1272" s="15"/>
      <c r="C1272" s="15"/>
      <c r="D1272" s="15"/>
      <c r="F1272" s="18" t="str">
        <f aca="false">IF(B1272="","",IFERROR(INDEX(Materials!$B$2:$B$201,MATCH(B1272,Materials!$A$2:$A$201,0)),""))</f>
        <v/>
      </c>
      <c r="G1272" s="18" t="str">
        <f aca="true">IF(AND(A1272="",B1272=""),"",IF(A1272="","Missing product",IF(B1272="","Missing material",IF(COUNTIF(ProductList,A1272)=0,"Product not in Products list",IF(COUNTIF(MaterialList,B1272)=0,"Material not in Materials list","OK")))))</f>
        <v/>
      </c>
      <c r="H1272" s="18" t="str">
        <f aca="false">IF(F1272="Active",A1272&amp;"|"&amp;COUNTIFS(A$2:A1272,A1272,F$2:F1272,"Active"),"")</f>
        <v/>
      </c>
      <c r="I1272" s="18" t="str">
        <f aca="false">IF(B1272="","",IF(SUMPRODUCT(MAX((A$1:A1271=A1272)*(B$1:B1271=B1272)*ROW(A$1:A1271)))=0,C1272&amp;"",IF(C1272="",INDEX(I$1:I1271,SUMPRODUCT(MAX((A$1:A1271=A1272)*(B$1:B1271=B1272)*ROW(A$1:A1271)))),IF(INDEX(I$1:I1271,SUMPRODUCT(MAX((A$1:A1271=A1272)*(B$1:B1271=B1272)*ROW(A$1:A1271))))="",C1272&amp;"",INDEX(I$1:I1271,SUMPRODUCT(MAX((A$1:A1271=A1272)*(B$1:B1271=B1272)*ROW(A$1:A1271))))&amp;"; "&amp;C1272))))</f>
        <v/>
      </c>
      <c r="J1272" s="18" t="str">
        <f aca="false">IF(A1272="","",A1272&amp;"|"&amp;COUNTIF(A$2:A1272,A1272))</f>
        <v/>
      </c>
      <c r="K1272" s="18" t="n">
        <f aca="false">IF(OR(A1272="",B1272=""),0,IF(COUNTIFS(A$2:A1272,A1272,B$2:B1272,B1272)=1,1,0))</f>
        <v>0</v>
      </c>
    </row>
    <row r="1273" customFormat="false" ht="15" hidden="false" customHeight="false" outlineLevel="0" collapsed="false">
      <c r="A1273" s="15"/>
      <c r="B1273" s="15"/>
      <c r="C1273" s="15"/>
      <c r="D1273" s="15"/>
      <c r="F1273" s="18" t="str">
        <f aca="false">IF(B1273="","",IFERROR(INDEX(Materials!$B$2:$B$201,MATCH(B1273,Materials!$A$2:$A$201,0)),""))</f>
        <v/>
      </c>
      <c r="G1273" s="18" t="str">
        <f aca="true">IF(AND(A1273="",B1273=""),"",IF(A1273="","Missing product",IF(B1273="","Missing material",IF(COUNTIF(ProductList,A1273)=0,"Product not in Products list",IF(COUNTIF(MaterialList,B1273)=0,"Material not in Materials list","OK")))))</f>
        <v/>
      </c>
      <c r="H1273" s="18" t="str">
        <f aca="false">IF(F1273="Active",A1273&amp;"|"&amp;COUNTIFS(A$2:A1273,A1273,F$2:F1273,"Active"),"")</f>
        <v/>
      </c>
      <c r="I1273" s="18" t="str">
        <f aca="false">IF(B1273="","",IF(SUMPRODUCT(MAX((A$1:A1272=A1273)*(B$1:B1272=B1273)*ROW(A$1:A1272)))=0,C1273&amp;"",IF(C1273="",INDEX(I$1:I1272,SUMPRODUCT(MAX((A$1:A1272=A1273)*(B$1:B1272=B1273)*ROW(A$1:A1272)))),IF(INDEX(I$1:I1272,SUMPRODUCT(MAX((A$1:A1272=A1273)*(B$1:B1272=B1273)*ROW(A$1:A1272))))="",C1273&amp;"",INDEX(I$1:I1272,SUMPRODUCT(MAX((A$1:A1272=A1273)*(B$1:B1272=B1273)*ROW(A$1:A1272))))&amp;"; "&amp;C1273))))</f>
        <v/>
      </c>
      <c r="J1273" s="18" t="str">
        <f aca="false">IF(A1273="","",A1273&amp;"|"&amp;COUNTIF(A$2:A1273,A1273))</f>
        <v/>
      </c>
      <c r="K1273" s="18" t="n">
        <f aca="false">IF(OR(A1273="",B1273=""),0,IF(COUNTIFS(A$2:A1273,A1273,B$2:B1273,B1273)=1,1,0))</f>
        <v>0</v>
      </c>
    </row>
    <row r="1274" customFormat="false" ht="15" hidden="false" customHeight="false" outlineLevel="0" collapsed="false">
      <c r="A1274" s="15"/>
      <c r="B1274" s="15"/>
      <c r="C1274" s="15"/>
      <c r="D1274" s="15"/>
      <c r="F1274" s="18" t="str">
        <f aca="false">IF(B1274="","",IFERROR(INDEX(Materials!$B$2:$B$201,MATCH(B1274,Materials!$A$2:$A$201,0)),""))</f>
        <v/>
      </c>
      <c r="G1274" s="18" t="str">
        <f aca="true">IF(AND(A1274="",B1274=""),"",IF(A1274="","Missing product",IF(B1274="","Missing material",IF(COUNTIF(ProductList,A1274)=0,"Product not in Products list",IF(COUNTIF(MaterialList,B1274)=0,"Material not in Materials list","OK")))))</f>
        <v/>
      </c>
      <c r="H1274" s="18" t="str">
        <f aca="false">IF(F1274="Active",A1274&amp;"|"&amp;COUNTIFS(A$2:A1274,A1274,F$2:F1274,"Active"),"")</f>
        <v/>
      </c>
      <c r="I1274" s="18" t="str">
        <f aca="false">IF(B1274="","",IF(SUMPRODUCT(MAX((A$1:A1273=A1274)*(B$1:B1273=B1274)*ROW(A$1:A1273)))=0,C1274&amp;"",IF(C1274="",INDEX(I$1:I1273,SUMPRODUCT(MAX((A$1:A1273=A1274)*(B$1:B1273=B1274)*ROW(A$1:A1273)))),IF(INDEX(I$1:I1273,SUMPRODUCT(MAX((A$1:A1273=A1274)*(B$1:B1273=B1274)*ROW(A$1:A1273))))="",C1274&amp;"",INDEX(I$1:I1273,SUMPRODUCT(MAX((A$1:A1273=A1274)*(B$1:B1273=B1274)*ROW(A$1:A1273))))&amp;"; "&amp;C1274))))</f>
        <v/>
      </c>
      <c r="J1274" s="18" t="str">
        <f aca="false">IF(A1274="","",A1274&amp;"|"&amp;COUNTIF(A$2:A1274,A1274))</f>
        <v/>
      </c>
      <c r="K1274" s="18" t="n">
        <f aca="false">IF(OR(A1274="",B1274=""),0,IF(COUNTIFS(A$2:A1274,A1274,B$2:B1274,B1274)=1,1,0))</f>
        <v>0</v>
      </c>
    </row>
    <row r="1275" customFormat="false" ht="15" hidden="false" customHeight="false" outlineLevel="0" collapsed="false">
      <c r="A1275" s="15"/>
      <c r="B1275" s="15"/>
      <c r="C1275" s="15"/>
      <c r="D1275" s="15"/>
      <c r="F1275" s="18" t="str">
        <f aca="false">IF(B1275="","",IFERROR(INDEX(Materials!$B$2:$B$201,MATCH(B1275,Materials!$A$2:$A$201,0)),""))</f>
        <v/>
      </c>
      <c r="G1275" s="18" t="str">
        <f aca="true">IF(AND(A1275="",B1275=""),"",IF(A1275="","Missing product",IF(B1275="","Missing material",IF(COUNTIF(ProductList,A1275)=0,"Product not in Products list",IF(COUNTIF(MaterialList,B1275)=0,"Material not in Materials list","OK")))))</f>
        <v/>
      </c>
      <c r="H1275" s="18" t="str">
        <f aca="false">IF(F1275="Active",A1275&amp;"|"&amp;COUNTIFS(A$2:A1275,A1275,F$2:F1275,"Active"),"")</f>
        <v/>
      </c>
      <c r="I1275" s="18" t="str">
        <f aca="false">IF(B1275="","",IF(SUMPRODUCT(MAX((A$1:A1274=A1275)*(B$1:B1274=B1275)*ROW(A$1:A1274)))=0,C1275&amp;"",IF(C1275="",INDEX(I$1:I1274,SUMPRODUCT(MAX((A$1:A1274=A1275)*(B$1:B1274=B1275)*ROW(A$1:A1274)))),IF(INDEX(I$1:I1274,SUMPRODUCT(MAX((A$1:A1274=A1275)*(B$1:B1274=B1275)*ROW(A$1:A1274))))="",C1275&amp;"",INDEX(I$1:I1274,SUMPRODUCT(MAX((A$1:A1274=A1275)*(B$1:B1274=B1275)*ROW(A$1:A1274))))&amp;"; "&amp;C1275))))</f>
        <v/>
      </c>
      <c r="J1275" s="18" t="str">
        <f aca="false">IF(A1275="","",A1275&amp;"|"&amp;COUNTIF(A$2:A1275,A1275))</f>
        <v/>
      </c>
      <c r="K1275" s="18" t="n">
        <f aca="false">IF(OR(A1275="",B1275=""),0,IF(COUNTIFS(A$2:A1275,A1275,B$2:B1275,B1275)=1,1,0))</f>
        <v>0</v>
      </c>
    </row>
    <row r="1276" customFormat="false" ht="15" hidden="false" customHeight="false" outlineLevel="0" collapsed="false">
      <c r="A1276" s="15"/>
      <c r="B1276" s="15"/>
      <c r="C1276" s="15"/>
      <c r="D1276" s="15"/>
      <c r="F1276" s="18" t="str">
        <f aca="false">IF(B1276="","",IFERROR(INDEX(Materials!$B$2:$B$201,MATCH(B1276,Materials!$A$2:$A$201,0)),""))</f>
        <v/>
      </c>
      <c r="G1276" s="18" t="str">
        <f aca="true">IF(AND(A1276="",B1276=""),"",IF(A1276="","Missing product",IF(B1276="","Missing material",IF(COUNTIF(ProductList,A1276)=0,"Product not in Products list",IF(COUNTIF(MaterialList,B1276)=0,"Material not in Materials list","OK")))))</f>
        <v/>
      </c>
      <c r="H1276" s="18" t="str">
        <f aca="false">IF(F1276="Active",A1276&amp;"|"&amp;COUNTIFS(A$2:A1276,A1276,F$2:F1276,"Active"),"")</f>
        <v/>
      </c>
      <c r="I1276" s="18" t="str">
        <f aca="false">IF(B1276="","",IF(SUMPRODUCT(MAX((A$1:A1275=A1276)*(B$1:B1275=B1276)*ROW(A$1:A1275)))=0,C1276&amp;"",IF(C1276="",INDEX(I$1:I1275,SUMPRODUCT(MAX((A$1:A1275=A1276)*(B$1:B1275=B1276)*ROW(A$1:A1275)))),IF(INDEX(I$1:I1275,SUMPRODUCT(MAX((A$1:A1275=A1276)*(B$1:B1275=B1276)*ROW(A$1:A1275))))="",C1276&amp;"",INDEX(I$1:I1275,SUMPRODUCT(MAX((A$1:A1275=A1276)*(B$1:B1275=B1276)*ROW(A$1:A1275))))&amp;"; "&amp;C1276))))</f>
        <v/>
      </c>
      <c r="J1276" s="18" t="str">
        <f aca="false">IF(A1276="","",A1276&amp;"|"&amp;COUNTIF(A$2:A1276,A1276))</f>
        <v/>
      </c>
      <c r="K1276" s="18" t="n">
        <f aca="false">IF(OR(A1276="",B1276=""),0,IF(COUNTIFS(A$2:A1276,A1276,B$2:B1276,B1276)=1,1,0))</f>
        <v>0</v>
      </c>
    </row>
    <row r="1277" customFormat="false" ht="15" hidden="false" customHeight="false" outlineLevel="0" collapsed="false">
      <c r="A1277" s="15"/>
      <c r="B1277" s="15"/>
      <c r="C1277" s="15"/>
      <c r="D1277" s="15"/>
      <c r="F1277" s="18" t="str">
        <f aca="false">IF(B1277="","",IFERROR(INDEX(Materials!$B$2:$B$201,MATCH(B1277,Materials!$A$2:$A$201,0)),""))</f>
        <v/>
      </c>
      <c r="G1277" s="18" t="str">
        <f aca="true">IF(AND(A1277="",B1277=""),"",IF(A1277="","Missing product",IF(B1277="","Missing material",IF(COUNTIF(ProductList,A1277)=0,"Product not in Products list",IF(COUNTIF(MaterialList,B1277)=0,"Material not in Materials list","OK")))))</f>
        <v/>
      </c>
      <c r="H1277" s="18" t="str">
        <f aca="false">IF(F1277="Active",A1277&amp;"|"&amp;COUNTIFS(A$2:A1277,A1277,F$2:F1277,"Active"),"")</f>
        <v/>
      </c>
      <c r="I1277" s="18" t="str">
        <f aca="false">IF(B1277="","",IF(SUMPRODUCT(MAX((A$1:A1276=A1277)*(B$1:B1276=B1277)*ROW(A$1:A1276)))=0,C1277&amp;"",IF(C1277="",INDEX(I$1:I1276,SUMPRODUCT(MAX((A$1:A1276=A1277)*(B$1:B1276=B1277)*ROW(A$1:A1276)))),IF(INDEX(I$1:I1276,SUMPRODUCT(MAX((A$1:A1276=A1277)*(B$1:B1276=B1277)*ROW(A$1:A1276))))="",C1277&amp;"",INDEX(I$1:I1276,SUMPRODUCT(MAX((A$1:A1276=A1277)*(B$1:B1276=B1277)*ROW(A$1:A1276))))&amp;"; "&amp;C1277))))</f>
        <v/>
      </c>
      <c r="J1277" s="18" t="str">
        <f aca="false">IF(A1277="","",A1277&amp;"|"&amp;COUNTIF(A$2:A1277,A1277))</f>
        <v/>
      </c>
      <c r="K1277" s="18" t="n">
        <f aca="false">IF(OR(A1277="",B1277=""),0,IF(COUNTIFS(A$2:A1277,A1277,B$2:B1277,B1277)=1,1,0))</f>
        <v>0</v>
      </c>
    </row>
    <row r="1278" customFormat="false" ht="15" hidden="false" customHeight="false" outlineLevel="0" collapsed="false">
      <c r="A1278" s="15"/>
      <c r="B1278" s="15"/>
      <c r="C1278" s="15"/>
      <c r="D1278" s="15"/>
      <c r="F1278" s="18" t="str">
        <f aca="false">IF(B1278="","",IFERROR(INDEX(Materials!$B$2:$B$201,MATCH(B1278,Materials!$A$2:$A$201,0)),""))</f>
        <v/>
      </c>
      <c r="G1278" s="18" t="str">
        <f aca="true">IF(AND(A1278="",B1278=""),"",IF(A1278="","Missing product",IF(B1278="","Missing material",IF(COUNTIF(ProductList,A1278)=0,"Product not in Products list",IF(COUNTIF(MaterialList,B1278)=0,"Material not in Materials list","OK")))))</f>
        <v/>
      </c>
      <c r="H1278" s="18" t="str">
        <f aca="false">IF(F1278="Active",A1278&amp;"|"&amp;COUNTIFS(A$2:A1278,A1278,F$2:F1278,"Active"),"")</f>
        <v/>
      </c>
      <c r="I1278" s="18" t="str">
        <f aca="false">IF(B1278="","",IF(SUMPRODUCT(MAX((A$1:A1277=A1278)*(B$1:B1277=B1278)*ROW(A$1:A1277)))=0,C1278&amp;"",IF(C1278="",INDEX(I$1:I1277,SUMPRODUCT(MAX((A$1:A1277=A1278)*(B$1:B1277=B1278)*ROW(A$1:A1277)))),IF(INDEX(I$1:I1277,SUMPRODUCT(MAX((A$1:A1277=A1278)*(B$1:B1277=B1278)*ROW(A$1:A1277))))="",C1278&amp;"",INDEX(I$1:I1277,SUMPRODUCT(MAX((A$1:A1277=A1278)*(B$1:B1277=B1278)*ROW(A$1:A1277))))&amp;"; "&amp;C1278))))</f>
        <v/>
      </c>
      <c r="J1278" s="18" t="str">
        <f aca="false">IF(A1278="","",A1278&amp;"|"&amp;COUNTIF(A$2:A1278,A1278))</f>
        <v/>
      </c>
      <c r="K1278" s="18" t="n">
        <f aca="false">IF(OR(A1278="",B1278=""),0,IF(COUNTIFS(A$2:A1278,A1278,B$2:B1278,B1278)=1,1,0))</f>
        <v>0</v>
      </c>
    </row>
    <row r="1279" customFormat="false" ht="15" hidden="false" customHeight="false" outlineLevel="0" collapsed="false">
      <c r="A1279" s="15"/>
      <c r="B1279" s="15"/>
      <c r="C1279" s="15"/>
      <c r="D1279" s="15"/>
      <c r="F1279" s="18" t="str">
        <f aca="false">IF(B1279="","",IFERROR(INDEX(Materials!$B$2:$B$201,MATCH(B1279,Materials!$A$2:$A$201,0)),""))</f>
        <v/>
      </c>
      <c r="G1279" s="18" t="str">
        <f aca="true">IF(AND(A1279="",B1279=""),"",IF(A1279="","Missing product",IF(B1279="","Missing material",IF(COUNTIF(ProductList,A1279)=0,"Product not in Products list",IF(COUNTIF(MaterialList,B1279)=0,"Material not in Materials list","OK")))))</f>
        <v/>
      </c>
      <c r="H1279" s="18" t="str">
        <f aca="false">IF(F1279="Active",A1279&amp;"|"&amp;COUNTIFS(A$2:A1279,A1279,F$2:F1279,"Active"),"")</f>
        <v/>
      </c>
      <c r="I1279" s="18" t="str">
        <f aca="false">IF(B1279="","",IF(SUMPRODUCT(MAX((A$1:A1278=A1279)*(B$1:B1278=B1279)*ROW(A$1:A1278)))=0,C1279&amp;"",IF(C1279="",INDEX(I$1:I1278,SUMPRODUCT(MAX((A$1:A1278=A1279)*(B$1:B1278=B1279)*ROW(A$1:A1278)))),IF(INDEX(I$1:I1278,SUMPRODUCT(MAX((A$1:A1278=A1279)*(B$1:B1278=B1279)*ROW(A$1:A1278))))="",C1279&amp;"",INDEX(I$1:I1278,SUMPRODUCT(MAX((A$1:A1278=A1279)*(B$1:B1278=B1279)*ROW(A$1:A1278))))&amp;"; "&amp;C1279))))</f>
        <v/>
      </c>
      <c r="J1279" s="18" t="str">
        <f aca="false">IF(A1279="","",A1279&amp;"|"&amp;COUNTIF(A$2:A1279,A1279))</f>
        <v/>
      </c>
      <c r="K1279" s="18" t="n">
        <f aca="false">IF(OR(A1279="",B1279=""),0,IF(COUNTIFS(A$2:A1279,A1279,B$2:B1279,B1279)=1,1,0))</f>
        <v>0</v>
      </c>
    </row>
    <row r="1280" customFormat="false" ht="15" hidden="false" customHeight="false" outlineLevel="0" collapsed="false">
      <c r="A1280" s="15"/>
      <c r="B1280" s="15"/>
      <c r="C1280" s="15"/>
      <c r="D1280" s="15"/>
      <c r="F1280" s="18" t="str">
        <f aca="false">IF(B1280="","",IFERROR(INDEX(Materials!$B$2:$B$201,MATCH(B1280,Materials!$A$2:$A$201,0)),""))</f>
        <v/>
      </c>
      <c r="G1280" s="18" t="str">
        <f aca="true">IF(AND(A1280="",B1280=""),"",IF(A1280="","Missing product",IF(B1280="","Missing material",IF(COUNTIF(ProductList,A1280)=0,"Product not in Products list",IF(COUNTIF(MaterialList,B1280)=0,"Material not in Materials list","OK")))))</f>
        <v/>
      </c>
      <c r="H1280" s="18" t="str">
        <f aca="false">IF(F1280="Active",A1280&amp;"|"&amp;COUNTIFS(A$2:A1280,A1280,F$2:F1280,"Active"),"")</f>
        <v/>
      </c>
      <c r="I1280" s="18" t="str">
        <f aca="false">IF(B1280="","",IF(SUMPRODUCT(MAX((A$1:A1279=A1280)*(B$1:B1279=B1280)*ROW(A$1:A1279)))=0,C1280&amp;"",IF(C1280="",INDEX(I$1:I1279,SUMPRODUCT(MAX((A$1:A1279=A1280)*(B$1:B1279=B1280)*ROW(A$1:A1279)))),IF(INDEX(I$1:I1279,SUMPRODUCT(MAX((A$1:A1279=A1280)*(B$1:B1279=B1280)*ROW(A$1:A1279))))="",C1280&amp;"",INDEX(I$1:I1279,SUMPRODUCT(MAX((A$1:A1279=A1280)*(B$1:B1279=B1280)*ROW(A$1:A1279))))&amp;"; "&amp;C1280))))</f>
        <v/>
      </c>
      <c r="J1280" s="18" t="str">
        <f aca="false">IF(A1280="","",A1280&amp;"|"&amp;COUNTIF(A$2:A1280,A1280))</f>
        <v/>
      </c>
      <c r="K1280" s="18" t="n">
        <f aca="false">IF(OR(A1280="",B1280=""),0,IF(COUNTIFS(A$2:A1280,A1280,B$2:B1280,B1280)=1,1,0))</f>
        <v>0</v>
      </c>
    </row>
    <row r="1281" customFormat="false" ht="15" hidden="false" customHeight="false" outlineLevel="0" collapsed="false">
      <c r="A1281" s="15"/>
      <c r="B1281" s="15"/>
      <c r="C1281" s="15"/>
      <c r="D1281" s="15"/>
      <c r="F1281" s="18" t="str">
        <f aca="false">IF(B1281="","",IFERROR(INDEX(Materials!$B$2:$B$201,MATCH(B1281,Materials!$A$2:$A$201,0)),""))</f>
        <v/>
      </c>
      <c r="G1281" s="18" t="str">
        <f aca="true">IF(AND(A1281="",B1281=""),"",IF(A1281="","Missing product",IF(B1281="","Missing material",IF(COUNTIF(ProductList,A1281)=0,"Product not in Products list",IF(COUNTIF(MaterialList,B1281)=0,"Material not in Materials list","OK")))))</f>
        <v/>
      </c>
      <c r="H1281" s="18" t="str">
        <f aca="false">IF(F1281="Active",A1281&amp;"|"&amp;COUNTIFS(A$2:A1281,A1281,F$2:F1281,"Active"),"")</f>
        <v/>
      </c>
      <c r="I1281" s="18" t="str">
        <f aca="false">IF(B1281="","",IF(SUMPRODUCT(MAX((A$1:A1280=A1281)*(B$1:B1280=B1281)*ROW(A$1:A1280)))=0,C1281&amp;"",IF(C1281="",INDEX(I$1:I1280,SUMPRODUCT(MAX((A$1:A1280=A1281)*(B$1:B1280=B1281)*ROW(A$1:A1280)))),IF(INDEX(I$1:I1280,SUMPRODUCT(MAX((A$1:A1280=A1281)*(B$1:B1280=B1281)*ROW(A$1:A1280))))="",C1281&amp;"",INDEX(I$1:I1280,SUMPRODUCT(MAX((A$1:A1280=A1281)*(B$1:B1280=B1281)*ROW(A$1:A1280))))&amp;"; "&amp;C1281))))</f>
        <v/>
      </c>
      <c r="J1281" s="18" t="str">
        <f aca="false">IF(A1281="","",A1281&amp;"|"&amp;COUNTIF(A$2:A1281,A1281))</f>
        <v/>
      </c>
      <c r="K1281" s="18" t="n">
        <f aca="false">IF(OR(A1281="",B1281=""),0,IF(COUNTIFS(A$2:A1281,A1281,B$2:B1281,B1281)=1,1,0))</f>
        <v>0</v>
      </c>
    </row>
    <row r="1282" customFormat="false" ht="15" hidden="false" customHeight="false" outlineLevel="0" collapsed="false">
      <c r="A1282" s="15"/>
      <c r="B1282" s="15"/>
      <c r="C1282" s="15"/>
      <c r="D1282" s="15"/>
      <c r="F1282" s="18" t="str">
        <f aca="false">IF(B1282="","",IFERROR(INDEX(Materials!$B$2:$B$201,MATCH(B1282,Materials!$A$2:$A$201,0)),""))</f>
        <v/>
      </c>
      <c r="G1282" s="18" t="str">
        <f aca="true">IF(AND(A1282="",B1282=""),"",IF(A1282="","Missing product",IF(B1282="","Missing material",IF(COUNTIF(ProductList,A1282)=0,"Product not in Products list",IF(COUNTIF(MaterialList,B1282)=0,"Material not in Materials list","OK")))))</f>
        <v/>
      </c>
      <c r="H1282" s="18" t="str">
        <f aca="false">IF(F1282="Active",A1282&amp;"|"&amp;COUNTIFS(A$2:A1282,A1282,F$2:F1282,"Active"),"")</f>
        <v/>
      </c>
      <c r="I1282" s="18" t="str">
        <f aca="false">IF(B1282="","",IF(SUMPRODUCT(MAX((A$1:A1281=A1282)*(B$1:B1281=B1282)*ROW(A$1:A1281)))=0,C1282&amp;"",IF(C1282="",INDEX(I$1:I1281,SUMPRODUCT(MAX((A$1:A1281=A1282)*(B$1:B1281=B1282)*ROW(A$1:A1281)))),IF(INDEX(I$1:I1281,SUMPRODUCT(MAX((A$1:A1281=A1282)*(B$1:B1281=B1282)*ROW(A$1:A1281))))="",C1282&amp;"",INDEX(I$1:I1281,SUMPRODUCT(MAX((A$1:A1281=A1282)*(B$1:B1281=B1282)*ROW(A$1:A1281))))&amp;"; "&amp;C1282))))</f>
        <v/>
      </c>
      <c r="J1282" s="18" t="str">
        <f aca="false">IF(A1282="","",A1282&amp;"|"&amp;COUNTIF(A$2:A1282,A1282))</f>
        <v/>
      </c>
      <c r="K1282" s="18" t="n">
        <f aca="false">IF(OR(A1282="",B1282=""),0,IF(COUNTIFS(A$2:A1282,A1282,B$2:B1282,B1282)=1,1,0))</f>
        <v>0</v>
      </c>
    </row>
    <row r="1283" customFormat="false" ht="15" hidden="false" customHeight="false" outlineLevel="0" collapsed="false">
      <c r="A1283" s="15"/>
      <c r="B1283" s="15"/>
      <c r="C1283" s="15"/>
      <c r="D1283" s="15"/>
      <c r="F1283" s="18" t="str">
        <f aca="false">IF(B1283="","",IFERROR(INDEX(Materials!$B$2:$B$201,MATCH(B1283,Materials!$A$2:$A$201,0)),""))</f>
        <v/>
      </c>
      <c r="G1283" s="18" t="str">
        <f aca="true">IF(AND(A1283="",B1283=""),"",IF(A1283="","Missing product",IF(B1283="","Missing material",IF(COUNTIF(ProductList,A1283)=0,"Product not in Products list",IF(COUNTIF(MaterialList,B1283)=0,"Material not in Materials list","OK")))))</f>
        <v/>
      </c>
      <c r="H1283" s="18" t="str">
        <f aca="false">IF(F1283="Active",A1283&amp;"|"&amp;COUNTIFS(A$2:A1283,A1283,F$2:F1283,"Active"),"")</f>
        <v/>
      </c>
      <c r="I1283" s="18" t="str">
        <f aca="false">IF(B1283="","",IF(SUMPRODUCT(MAX((A$1:A1282=A1283)*(B$1:B1282=B1283)*ROW(A$1:A1282)))=0,C1283&amp;"",IF(C1283="",INDEX(I$1:I1282,SUMPRODUCT(MAX((A$1:A1282=A1283)*(B$1:B1282=B1283)*ROW(A$1:A1282)))),IF(INDEX(I$1:I1282,SUMPRODUCT(MAX((A$1:A1282=A1283)*(B$1:B1282=B1283)*ROW(A$1:A1282))))="",C1283&amp;"",INDEX(I$1:I1282,SUMPRODUCT(MAX((A$1:A1282=A1283)*(B$1:B1282=B1283)*ROW(A$1:A1282))))&amp;"; "&amp;C1283))))</f>
        <v/>
      </c>
      <c r="J1283" s="18" t="str">
        <f aca="false">IF(A1283="","",A1283&amp;"|"&amp;COUNTIF(A$2:A1283,A1283))</f>
        <v/>
      </c>
      <c r="K1283" s="18" t="n">
        <f aca="false">IF(OR(A1283="",B1283=""),0,IF(COUNTIFS(A$2:A1283,A1283,B$2:B1283,B1283)=1,1,0))</f>
        <v>0</v>
      </c>
    </row>
    <row r="1284" customFormat="false" ht="15" hidden="false" customHeight="false" outlineLevel="0" collapsed="false">
      <c r="A1284" s="15"/>
      <c r="B1284" s="15"/>
      <c r="C1284" s="15"/>
      <c r="D1284" s="15"/>
      <c r="F1284" s="18" t="str">
        <f aca="false">IF(B1284="","",IFERROR(INDEX(Materials!$B$2:$B$201,MATCH(B1284,Materials!$A$2:$A$201,0)),""))</f>
        <v/>
      </c>
      <c r="G1284" s="18" t="str">
        <f aca="true">IF(AND(A1284="",B1284=""),"",IF(A1284="","Missing product",IF(B1284="","Missing material",IF(COUNTIF(ProductList,A1284)=0,"Product not in Products list",IF(COUNTIF(MaterialList,B1284)=0,"Material not in Materials list","OK")))))</f>
        <v/>
      </c>
      <c r="H1284" s="18" t="str">
        <f aca="false">IF(F1284="Active",A1284&amp;"|"&amp;COUNTIFS(A$2:A1284,A1284,F$2:F1284,"Active"),"")</f>
        <v/>
      </c>
      <c r="I1284" s="18" t="str">
        <f aca="false">IF(B1284="","",IF(SUMPRODUCT(MAX((A$1:A1283=A1284)*(B$1:B1283=B1284)*ROW(A$1:A1283)))=0,C1284&amp;"",IF(C1284="",INDEX(I$1:I1283,SUMPRODUCT(MAX((A$1:A1283=A1284)*(B$1:B1283=B1284)*ROW(A$1:A1283)))),IF(INDEX(I$1:I1283,SUMPRODUCT(MAX((A$1:A1283=A1284)*(B$1:B1283=B1284)*ROW(A$1:A1283))))="",C1284&amp;"",INDEX(I$1:I1283,SUMPRODUCT(MAX((A$1:A1283=A1284)*(B$1:B1283=B1284)*ROW(A$1:A1283))))&amp;"; "&amp;C1284))))</f>
        <v/>
      </c>
      <c r="J1284" s="18" t="str">
        <f aca="false">IF(A1284="","",A1284&amp;"|"&amp;COUNTIF(A$2:A1284,A1284))</f>
        <v/>
      </c>
      <c r="K1284" s="18" t="n">
        <f aca="false">IF(OR(A1284="",B1284=""),0,IF(COUNTIFS(A$2:A1284,A1284,B$2:B1284,B1284)=1,1,0))</f>
        <v>0</v>
      </c>
    </row>
    <row r="1285" customFormat="false" ht="15" hidden="false" customHeight="false" outlineLevel="0" collapsed="false">
      <c r="A1285" s="15"/>
      <c r="B1285" s="15"/>
      <c r="C1285" s="15"/>
      <c r="D1285" s="15"/>
      <c r="F1285" s="18" t="str">
        <f aca="false">IF(B1285="","",IFERROR(INDEX(Materials!$B$2:$B$201,MATCH(B1285,Materials!$A$2:$A$201,0)),""))</f>
        <v/>
      </c>
      <c r="G1285" s="18" t="str">
        <f aca="true">IF(AND(A1285="",B1285=""),"",IF(A1285="","Missing product",IF(B1285="","Missing material",IF(COUNTIF(ProductList,A1285)=0,"Product not in Products list",IF(COUNTIF(MaterialList,B1285)=0,"Material not in Materials list","OK")))))</f>
        <v/>
      </c>
      <c r="H1285" s="18" t="str">
        <f aca="false">IF(F1285="Active",A1285&amp;"|"&amp;COUNTIFS(A$2:A1285,A1285,F$2:F1285,"Active"),"")</f>
        <v/>
      </c>
      <c r="I1285" s="18" t="str">
        <f aca="false">IF(B1285="","",IF(SUMPRODUCT(MAX((A$1:A1284=A1285)*(B$1:B1284=B1285)*ROW(A$1:A1284)))=0,C1285&amp;"",IF(C1285="",INDEX(I$1:I1284,SUMPRODUCT(MAX((A$1:A1284=A1285)*(B$1:B1284=B1285)*ROW(A$1:A1284)))),IF(INDEX(I$1:I1284,SUMPRODUCT(MAX((A$1:A1284=A1285)*(B$1:B1284=B1285)*ROW(A$1:A1284))))="",C1285&amp;"",INDEX(I$1:I1284,SUMPRODUCT(MAX((A$1:A1284=A1285)*(B$1:B1284=B1285)*ROW(A$1:A1284))))&amp;"; "&amp;C1285))))</f>
        <v/>
      </c>
      <c r="J1285" s="18" t="str">
        <f aca="false">IF(A1285="","",A1285&amp;"|"&amp;COUNTIF(A$2:A1285,A1285))</f>
        <v/>
      </c>
      <c r="K1285" s="18" t="n">
        <f aca="false">IF(OR(A1285="",B1285=""),0,IF(COUNTIFS(A$2:A1285,A1285,B$2:B1285,B1285)=1,1,0))</f>
        <v>0</v>
      </c>
    </row>
    <row r="1286" customFormat="false" ht="15" hidden="false" customHeight="false" outlineLevel="0" collapsed="false">
      <c r="A1286" s="15"/>
      <c r="B1286" s="15"/>
      <c r="C1286" s="15"/>
      <c r="D1286" s="15"/>
      <c r="F1286" s="18" t="str">
        <f aca="false">IF(B1286="","",IFERROR(INDEX(Materials!$B$2:$B$201,MATCH(B1286,Materials!$A$2:$A$201,0)),""))</f>
        <v/>
      </c>
      <c r="G1286" s="18" t="str">
        <f aca="true">IF(AND(A1286="",B1286=""),"",IF(A1286="","Missing product",IF(B1286="","Missing material",IF(COUNTIF(ProductList,A1286)=0,"Product not in Products list",IF(COUNTIF(MaterialList,B1286)=0,"Material not in Materials list","OK")))))</f>
        <v/>
      </c>
      <c r="H1286" s="18" t="str">
        <f aca="false">IF(F1286="Active",A1286&amp;"|"&amp;COUNTIFS(A$2:A1286,A1286,F$2:F1286,"Active"),"")</f>
        <v/>
      </c>
      <c r="I1286" s="18" t="str">
        <f aca="false">IF(B1286="","",IF(SUMPRODUCT(MAX((A$1:A1285=A1286)*(B$1:B1285=B1286)*ROW(A$1:A1285)))=0,C1286&amp;"",IF(C1286="",INDEX(I$1:I1285,SUMPRODUCT(MAX((A$1:A1285=A1286)*(B$1:B1285=B1286)*ROW(A$1:A1285)))),IF(INDEX(I$1:I1285,SUMPRODUCT(MAX((A$1:A1285=A1286)*(B$1:B1285=B1286)*ROW(A$1:A1285))))="",C1286&amp;"",INDEX(I$1:I1285,SUMPRODUCT(MAX((A$1:A1285=A1286)*(B$1:B1285=B1286)*ROW(A$1:A1285))))&amp;"; "&amp;C1286))))</f>
        <v/>
      </c>
      <c r="J1286" s="18" t="str">
        <f aca="false">IF(A1286="","",A1286&amp;"|"&amp;COUNTIF(A$2:A1286,A1286))</f>
        <v/>
      </c>
      <c r="K1286" s="18" t="n">
        <f aca="false">IF(OR(A1286="",B1286=""),0,IF(COUNTIFS(A$2:A1286,A1286,B$2:B1286,B1286)=1,1,0))</f>
        <v>0</v>
      </c>
    </row>
    <row r="1287" customFormat="false" ht="15" hidden="false" customHeight="false" outlineLevel="0" collapsed="false">
      <c r="A1287" s="15"/>
      <c r="B1287" s="15"/>
      <c r="C1287" s="15"/>
      <c r="D1287" s="15"/>
      <c r="F1287" s="18" t="str">
        <f aca="false">IF(B1287="","",IFERROR(INDEX(Materials!$B$2:$B$201,MATCH(B1287,Materials!$A$2:$A$201,0)),""))</f>
        <v/>
      </c>
      <c r="G1287" s="18" t="str">
        <f aca="true">IF(AND(A1287="",B1287=""),"",IF(A1287="","Missing product",IF(B1287="","Missing material",IF(COUNTIF(ProductList,A1287)=0,"Product not in Products list",IF(COUNTIF(MaterialList,B1287)=0,"Material not in Materials list","OK")))))</f>
        <v/>
      </c>
      <c r="H1287" s="18" t="str">
        <f aca="false">IF(F1287="Active",A1287&amp;"|"&amp;COUNTIFS(A$2:A1287,A1287,F$2:F1287,"Active"),"")</f>
        <v/>
      </c>
      <c r="I1287" s="18" t="str">
        <f aca="false">IF(B1287="","",IF(SUMPRODUCT(MAX((A$1:A1286=A1287)*(B$1:B1286=B1287)*ROW(A$1:A1286)))=0,C1287&amp;"",IF(C1287="",INDEX(I$1:I1286,SUMPRODUCT(MAX((A$1:A1286=A1287)*(B$1:B1286=B1287)*ROW(A$1:A1286)))),IF(INDEX(I$1:I1286,SUMPRODUCT(MAX((A$1:A1286=A1287)*(B$1:B1286=B1287)*ROW(A$1:A1286))))="",C1287&amp;"",INDEX(I$1:I1286,SUMPRODUCT(MAX((A$1:A1286=A1287)*(B$1:B1286=B1287)*ROW(A$1:A1286))))&amp;"; "&amp;C1287))))</f>
        <v/>
      </c>
      <c r="J1287" s="18" t="str">
        <f aca="false">IF(A1287="","",A1287&amp;"|"&amp;COUNTIF(A$2:A1287,A1287))</f>
        <v/>
      </c>
      <c r="K1287" s="18" t="n">
        <f aca="false">IF(OR(A1287="",B1287=""),0,IF(COUNTIFS(A$2:A1287,A1287,B$2:B1287,B1287)=1,1,0))</f>
        <v>0</v>
      </c>
    </row>
    <row r="1288" customFormat="false" ht="15" hidden="false" customHeight="false" outlineLevel="0" collapsed="false">
      <c r="A1288" s="15"/>
      <c r="B1288" s="15"/>
      <c r="C1288" s="15"/>
      <c r="D1288" s="15"/>
      <c r="F1288" s="18" t="str">
        <f aca="false">IF(B1288="","",IFERROR(INDEX(Materials!$B$2:$B$201,MATCH(B1288,Materials!$A$2:$A$201,0)),""))</f>
        <v/>
      </c>
      <c r="G1288" s="18" t="str">
        <f aca="true">IF(AND(A1288="",B1288=""),"",IF(A1288="","Missing product",IF(B1288="","Missing material",IF(COUNTIF(ProductList,A1288)=0,"Product not in Products list",IF(COUNTIF(MaterialList,B1288)=0,"Material not in Materials list","OK")))))</f>
        <v/>
      </c>
      <c r="H1288" s="18" t="str">
        <f aca="false">IF(F1288="Active",A1288&amp;"|"&amp;COUNTIFS(A$2:A1288,A1288,F$2:F1288,"Active"),"")</f>
        <v/>
      </c>
      <c r="I1288" s="18" t="str">
        <f aca="false">IF(B1288="","",IF(SUMPRODUCT(MAX((A$1:A1287=A1288)*(B$1:B1287=B1288)*ROW(A$1:A1287)))=0,C1288&amp;"",IF(C1288="",INDEX(I$1:I1287,SUMPRODUCT(MAX((A$1:A1287=A1288)*(B$1:B1287=B1288)*ROW(A$1:A1287)))),IF(INDEX(I$1:I1287,SUMPRODUCT(MAX((A$1:A1287=A1288)*(B$1:B1287=B1288)*ROW(A$1:A1287))))="",C1288&amp;"",INDEX(I$1:I1287,SUMPRODUCT(MAX((A$1:A1287=A1288)*(B$1:B1287=B1288)*ROW(A$1:A1287))))&amp;"; "&amp;C1288))))</f>
        <v/>
      </c>
      <c r="J1288" s="18" t="str">
        <f aca="false">IF(A1288="","",A1288&amp;"|"&amp;COUNTIF(A$2:A1288,A1288))</f>
        <v/>
      </c>
      <c r="K1288" s="18" t="n">
        <f aca="false">IF(OR(A1288="",B1288=""),0,IF(COUNTIFS(A$2:A1288,A1288,B$2:B1288,B1288)=1,1,0))</f>
        <v>0</v>
      </c>
    </row>
    <row r="1289" customFormat="false" ht="15" hidden="false" customHeight="false" outlineLevel="0" collapsed="false">
      <c r="A1289" s="15"/>
      <c r="B1289" s="15"/>
      <c r="C1289" s="15"/>
      <c r="D1289" s="15"/>
      <c r="F1289" s="18" t="str">
        <f aca="false">IF(B1289="","",IFERROR(INDEX(Materials!$B$2:$B$201,MATCH(B1289,Materials!$A$2:$A$201,0)),""))</f>
        <v/>
      </c>
      <c r="G1289" s="18" t="str">
        <f aca="true">IF(AND(A1289="",B1289=""),"",IF(A1289="","Missing product",IF(B1289="","Missing material",IF(COUNTIF(ProductList,A1289)=0,"Product not in Products list",IF(COUNTIF(MaterialList,B1289)=0,"Material not in Materials list","OK")))))</f>
        <v/>
      </c>
      <c r="H1289" s="18" t="str">
        <f aca="false">IF(F1289="Active",A1289&amp;"|"&amp;COUNTIFS(A$2:A1289,A1289,F$2:F1289,"Active"),"")</f>
        <v/>
      </c>
      <c r="I1289" s="18" t="str">
        <f aca="false">IF(B1289="","",IF(SUMPRODUCT(MAX((A$1:A1288=A1289)*(B$1:B1288=B1289)*ROW(A$1:A1288)))=0,C1289&amp;"",IF(C1289="",INDEX(I$1:I1288,SUMPRODUCT(MAX((A$1:A1288=A1289)*(B$1:B1288=B1289)*ROW(A$1:A1288)))),IF(INDEX(I$1:I1288,SUMPRODUCT(MAX((A$1:A1288=A1289)*(B$1:B1288=B1289)*ROW(A$1:A1288))))="",C1289&amp;"",INDEX(I$1:I1288,SUMPRODUCT(MAX((A$1:A1288=A1289)*(B$1:B1288=B1289)*ROW(A$1:A1288))))&amp;"; "&amp;C1289))))</f>
        <v/>
      </c>
      <c r="J1289" s="18" t="str">
        <f aca="false">IF(A1289="","",A1289&amp;"|"&amp;COUNTIF(A$2:A1289,A1289))</f>
        <v/>
      </c>
      <c r="K1289" s="18" t="n">
        <f aca="false">IF(OR(A1289="",B1289=""),0,IF(COUNTIFS(A$2:A1289,A1289,B$2:B1289,B1289)=1,1,0))</f>
        <v>0</v>
      </c>
    </row>
    <row r="1290" customFormat="false" ht="15" hidden="false" customHeight="false" outlineLevel="0" collapsed="false">
      <c r="A1290" s="15"/>
      <c r="B1290" s="15"/>
      <c r="C1290" s="15"/>
      <c r="D1290" s="15"/>
      <c r="F1290" s="18" t="str">
        <f aca="false">IF(B1290="","",IFERROR(INDEX(Materials!$B$2:$B$201,MATCH(B1290,Materials!$A$2:$A$201,0)),""))</f>
        <v/>
      </c>
      <c r="G1290" s="18" t="str">
        <f aca="true">IF(AND(A1290="",B1290=""),"",IF(A1290="","Missing product",IF(B1290="","Missing material",IF(COUNTIF(ProductList,A1290)=0,"Product not in Products list",IF(COUNTIF(MaterialList,B1290)=0,"Material not in Materials list","OK")))))</f>
        <v/>
      </c>
      <c r="H1290" s="18" t="str">
        <f aca="false">IF(F1290="Active",A1290&amp;"|"&amp;COUNTIFS(A$2:A1290,A1290,F$2:F1290,"Active"),"")</f>
        <v/>
      </c>
      <c r="I1290" s="18" t="str">
        <f aca="false">IF(B1290="","",IF(SUMPRODUCT(MAX((A$1:A1289=A1290)*(B$1:B1289=B1290)*ROW(A$1:A1289)))=0,C1290&amp;"",IF(C1290="",INDEX(I$1:I1289,SUMPRODUCT(MAX((A$1:A1289=A1290)*(B$1:B1289=B1290)*ROW(A$1:A1289)))),IF(INDEX(I$1:I1289,SUMPRODUCT(MAX((A$1:A1289=A1290)*(B$1:B1289=B1290)*ROW(A$1:A1289))))="",C1290&amp;"",INDEX(I$1:I1289,SUMPRODUCT(MAX((A$1:A1289=A1290)*(B$1:B1289=B1290)*ROW(A$1:A1289))))&amp;"; "&amp;C1290))))</f>
        <v/>
      </c>
      <c r="J1290" s="18" t="str">
        <f aca="false">IF(A1290="","",A1290&amp;"|"&amp;COUNTIF(A$2:A1290,A1290))</f>
        <v/>
      </c>
      <c r="K1290" s="18" t="n">
        <f aca="false">IF(OR(A1290="",B1290=""),0,IF(COUNTIFS(A$2:A1290,A1290,B$2:B1290,B1290)=1,1,0))</f>
        <v>0</v>
      </c>
    </row>
    <row r="1291" customFormat="false" ht="15" hidden="false" customHeight="false" outlineLevel="0" collapsed="false">
      <c r="A1291" s="15"/>
      <c r="B1291" s="15"/>
      <c r="C1291" s="15"/>
      <c r="D1291" s="15"/>
      <c r="F1291" s="18" t="str">
        <f aca="false">IF(B1291="","",IFERROR(INDEX(Materials!$B$2:$B$201,MATCH(B1291,Materials!$A$2:$A$201,0)),""))</f>
        <v/>
      </c>
      <c r="G1291" s="18" t="str">
        <f aca="true">IF(AND(A1291="",B1291=""),"",IF(A1291="","Missing product",IF(B1291="","Missing material",IF(COUNTIF(ProductList,A1291)=0,"Product not in Products list",IF(COUNTIF(MaterialList,B1291)=0,"Material not in Materials list","OK")))))</f>
        <v/>
      </c>
      <c r="H1291" s="18" t="str">
        <f aca="false">IF(F1291="Active",A1291&amp;"|"&amp;COUNTIFS(A$2:A1291,A1291,F$2:F1291,"Active"),"")</f>
        <v/>
      </c>
      <c r="I1291" s="18" t="str">
        <f aca="false">IF(B1291="","",IF(SUMPRODUCT(MAX((A$1:A1290=A1291)*(B$1:B1290=B1291)*ROW(A$1:A1290)))=0,C1291&amp;"",IF(C1291="",INDEX(I$1:I1290,SUMPRODUCT(MAX((A$1:A1290=A1291)*(B$1:B1290=B1291)*ROW(A$1:A1290)))),IF(INDEX(I$1:I1290,SUMPRODUCT(MAX((A$1:A1290=A1291)*(B$1:B1290=B1291)*ROW(A$1:A1290))))="",C1291&amp;"",INDEX(I$1:I1290,SUMPRODUCT(MAX((A$1:A1290=A1291)*(B$1:B1290=B1291)*ROW(A$1:A1290))))&amp;"; "&amp;C1291))))</f>
        <v/>
      </c>
      <c r="J1291" s="18" t="str">
        <f aca="false">IF(A1291="","",A1291&amp;"|"&amp;COUNTIF(A$2:A1291,A1291))</f>
        <v/>
      </c>
      <c r="K1291" s="18" t="n">
        <f aca="false">IF(OR(A1291="",B1291=""),0,IF(COUNTIFS(A$2:A1291,A1291,B$2:B1291,B1291)=1,1,0))</f>
        <v>0</v>
      </c>
    </row>
    <row r="1292" customFormat="false" ht="15" hidden="false" customHeight="false" outlineLevel="0" collapsed="false">
      <c r="A1292" s="15"/>
      <c r="B1292" s="15"/>
      <c r="C1292" s="15"/>
      <c r="D1292" s="15"/>
      <c r="F1292" s="18" t="str">
        <f aca="false">IF(B1292="","",IFERROR(INDEX(Materials!$B$2:$B$201,MATCH(B1292,Materials!$A$2:$A$201,0)),""))</f>
        <v/>
      </c>
      <c r="G1292" s="18" t="str">
        <f aca="true">IF(AND(A1292="",B1292=""),"",IF(A1292="","Missing product",IF(B1292="","Missing material",IF(COUNTIF(ProductList,A1292)=0,"Product not in Products list",IF(COUNTIF(MaterialList,B1292)=0,"Material not in Materials list","OK")))))</f>
        <v/>
      </c>
      <c r="H1292" s="18" t="str">
        <f aca="false">IF(F1292="Active",A1292&amp;"|"&amp;COUNTIFS(A$2:A1292,A1292,F$2:F1292,"Active"),"")</f>
        <v/>
      </c>
      <c r="I1292" s="18" t="str">
        <f aca="false">IF(B1292="","",IF(SUMPRODUCT(MAX((A$1:A1291=A1292)*(B$1:B1291=B1292)*ROW(A$1:A1291)))=0,C1292&amp;"",IF(C1292="",INDEX(I$1:I1291,SUMPRODUCT(MAX((A$1:A1291=A1292)*(B$1:B1291=B1292)*ROW(A$1:A1291)))),IF(INDEX(I$1:I1291,SUMPRODUCT(MAX((A$1:A1291=A1292)*(B$1:B1291=B1292)*ROW(A$1:A1291))))="",C1292&amp;"",INDEX(I$1:I1291,SUMPRODUCT(MAX((A$1:A1291=A1292)*(B$1:B1291=B1292)*ROW(A$1:A1291))))&amp;"; "&amp;C1292))))</f>
        <v/>
      </c>
      <c r="J1292" s="18" t="str">
        <f aca="false">IF(A1292="","",A1292&amp;"|"&amp;COUNTIF(A$2:A1292,A1292))</f>
        <v/>
      </c>
      <c r="K1292" s="18" t="n">
        <f aca="false">IF(OR(A1292="",B1292=""),0,IF(COUNTIFS(A$2:A1292,A1292,B$2:B1292,B1292)=1,1,0))</f>
        <v>0</v>
      </c>
    </row>
    <row r="1293" customFormat="false" ht="15" hidden="false" customHeight="false" outlineLevel="0" collapsed="false">
      <c r="A1293" s="15"/>
      <c r="B1293" s="15"/>
      <c r="C1293" s="15"/>
      <c r="D1293" s="15"/>
      <c r="F1293" s="18" t="str">
        <f aca="false">IF(B1293="","",IFERROR(INDEX(Materials!$B$2:$B$201,MATCH(B1293,Materials!$A$2:$A$201,0)),""))</f>
        <v/>
      </c>
      <c r="G1293" s="18" t="str">
        <f aca="true">IF(AND(A1293="",B1293=""),"",IF(A1293="","Missing product",IF(B1293="","Missing material",IF(COUNTIF(ProductList,A1293)=0,"Product not in Products list",IF(COUNTIF(MaterialList,B1293)=0,"Material not in Materials list","OK")))))</f>
        <v/>
      </c>
      <c r="H1293" s="18" t="str">
        <f aca="false">IF(F1293="Active",A1293&amp;"|"&amp;COUNTIFS(A$2:A1293,A1293,F$2:F1293,"Active"),"")</f>
        <v/>
      </c>
      <c r="I1293" s="18" t="str">
        <f aca="false">IF(B1293="","",IF(SUMPRODUCT(MAX((A$1:A1292=A1293)*(B$1:B1292=B1293)*ROW(A$1:A1292)))=0,C1293&amp;"",IF(C1293="",INDEX(I$1:I1292,SUMPRODUCT(MAX((A$1:A1292=A1293)*(B$1:B1292=B1293)*ROW(A$1:A1292)))),IF(INDEX(I$1:I1292,SUMPRODUCT(MAX((A$1:A1292=A1293)*(B$1:B1292=B1293)*ROW(A$1:A1292))))="",C1293&amp;"",INDEX(I$1:I1292,SUMPRODUCT(MAX((A$1:A1292=A1293)*(B$1:B1292=B1293)*ROW(A$1:A1292))))&amp;"; "&amp;C1293))))</f>
        <v/>
      </c>
      <c r="J1293" s="18" t="str">
        <f aca="false">IF(A1293="","",A1293&amp;"|"&amp;COUNTIF(A$2:A1293,A1293))</f>
        <v/>
      </c>
      <c r="K1293" s="18" t="n">
        <f aca="false">IF(OR(A1293="",B1293=""),0,IF(COUNTIFS(A$2:A1293,A1293,B$2:B1293,B1293)=1,1,0))</f>
        <v>0</v>
      </c>
    </row>
    <row r="1294" customFormat="false" ht="15" hidden="false" customHeight="false" outlineLevel="0" collapsed="false">
      <c r="A1294" s="15"/>
      <c r="B1294" s="15"/>
      <c r="C1294" s="15"/>
      <c r="D1294" s="15"/>
      <c r="F1294" s="18" t="str">
        <f aca="false">IF(B1294="","",IFERROR(INDEX(Materials!$B$2:$B$201,MATCH(B1294,Materials!$A$2:$A$201,0)),""))</f>
        <v/>
      </c>
      <c r="G1294" s="18" t="str">
        <f aca="true">IF(AND(A1294="",B1294=""),"",IF(A1294="","Missing product",IF(B1294="","Missing material",IF(COUNTIF(ProductList,A1294)=0,"Product not in Products list",IF(COUNTIF(MaterialList,B1294)=0,"Material not in Materials list","OK")))))</f>
        <v/>
      </c>
      <c r="H1294" s="18" t="str">
        <f aca="false">IF(F1294="Active",A1294&amp;"|"&amp;COUNTIFS(A$2:A1294,A1294,F$2:F1294,"Active"),"")</f>
        <v/>
      </c>
      <c r="I1294" s="18" t="str">
        <f aca="false">IF(B1294="","",IF(SUMPRODUCT(MAX((A$1:A1293=A1294)*(B$1:B1293=B1294)*ROW(A$1:A1293)))=0,C1294&amp;"",IF(C1294="",INDEX(I$1:I1293,SUMPRODUCT(MAX((A$1:A1293=A1294)*(B$1:B1293=B1294)*ROW(A$1:A1293)))),IF(INDEX(I$1:I1293,SUMPRODUCT(MAX((A$1:A1293=A1294)*(B$1:B1293=B1294)*ROW(A$1:A1293))))="",C1294&amp;"",INDEX(I$1:I1293,SUMPRODUCT(MAX((A$1:A1293=A1294)*(B$1:B1293=B1294)*ROW(A$1:A1293))))&amp;"; "&amp;C1294))))</f>
        <v/>
      </c>
      <c r="J1294" s="18" t="str">
        <f aca="false">IF(A1294="","",A1294&amp;"|"&amp;COUNTIF(A$2:A1294,A1294))</f>
        <v/>
      </c>
      <c r="K1294" s="18" t="n">
        <f aca="false">IF(OR(A1294="",B1294=""),0,IF(COUNTIFS(A$2:A1294,A1294,B$2:B1294,B1294)=1,1,0))</f>
        <v>0</v>
      </c>
    </row>
    <row r="1295" customFormat="false" ht="15" hidden="false" customHeight="false" outlineLevel="0" collapsed="false">
      <c r="A1295" s="15"/>
      <c r="B1295" s="15"/>
      <c r="C1295" s="15"/>
      <c r="D1295" s="15"/>
      <c r="F1295" s="18" t="str">
        <f aca="false">IF(B1295="","",IFERROR(INDEX(Materials!$B$2:$B$201,MATCH(B1295,Materials!$A$2:$A$201,0)),""))</f>
        <v/>
      </c>
      <c r="G1295" s="18" t="str">
        <f aca="true">IF(AND(A1295="",B1295=""),"",IF(A1295="","Missing product",IF(B1295="","Missing material",IF(COUNTIF(ProductList,A1295)=0,"Product not in Products list",IF(COUNTIF(MaterialList,B1295)=0,"Material not in Materials list","OK")))))</f>
        <v/>
      </c>
      <c r="H1295" s="18" t="str">
        <f aca="false">IF(F1295="Active",A1295&amp;"|"&amp;COUNTIFS(A$2:A1295,A1295,F$2:F1295,"Active"),"")</f>
        <v/>
      </c>
      <c r="I1295" s="18" t="str">
        <f aca="false">IF(B1295="","",IF(SUMPRODUCT(MAX((A$1:A1294=A1295)*(B$1:B1294=B1295)*ROW(A$1:A1294)))=0,C1295&amp;"",IF(C1295="",INDEX(I$1:I1294,SUMPRODUCT(MAX((A$1:A1294=A1295)*(B$1:B1294=B1295)*ROW(A$1:A1294)))),IF(INDEX(I$1:I1294,SUMPRODUCT(MAX((A$1:A1294=A1295)*(B$1:B1294=B1295)*ROW(A$1:A1294))))="",C1295&amp;"",INDEX(I$1:I1294,SUMPRODUCT(MAX((A$1:A1294=A1295)*(B$1:B1294=B1295)*ROW(A$1:A1294))))&amp;"; "&amp;C1295))))</f>
        <v/>
      </c>
      <c r="J1295" s="18" t="str">
        <f aca="false">IF(A1295="","",A1295&amp;"|"&amp;COUNTIF(A$2:A1295,A1295))</f>
        <v/>
      </c>
      <c r="K1295" s="18" t="n">
        <f aca="false">IF(OR(A1295="",B1295=""),0,IF(COUNTIFS(A$2:A1295,A1295,B$2:B1295,B1295)=1,1,0))</f>
        <v>0</v>
      </c>
    </row>
    <row r="1296" customFormat="false" ht="15" hidden="false" customHeight="false" outlineLevel="0" collapsed="false">
      <c r="A1296" s="15"/>
      <c r="B1296" s="15"/>
      <c r="C1296" s="15"/>
      <c r="D1296" s="15"/>
      <c r="F1296" s="18" t="str">
        <f aca="false">IF(B1296="","",IFERROR(INDEX(Materials!$B$2:$B$201,MATCH(B1296,Materials!$A$2:$A$201,0)),""))</f>
        <v/>
      </c>
      <c r="G1296" s="18" t="str">
        <f aca="true">IF(AND(A1296="",B1296=""),"",IF(A1296="","Missing product",IF(B1296="","Missing material",IF(COUNTIF(ProductList,A1296)=0,"Product not in Products list",IF(COUNTIF(MaterialList,B1296)=0,"Material not in Materials list","OK")))))</f>
        <v/>
      </c>
      <c r="H1296" s="18" t="str">
        <f aca="false">IF(F1296="Active",A1296&amp;"|"&amp;COUNTIFS(A$2:A1296,A1296,F$2:F1296,"Active"),"")</f>
        <v/>
      </c>
      <c r="I1296" s="18" t="str">
        <f aca="false">IF(B1296="","",IF(SUMPRODUCT(MAX((A$1:A1295=A1296)*(B$1:B1295=B1296)*ROW(A$1:A1295)))=0,C1296&amp;"",IF(C1296="",INDEX(I$1:I1295,SUMPRODUCT(MAX((A$1:A1295=A1296)*(B$1:B1295=B1296)*ROW(A$1:A1295)))),IF(INDEX(I$1:I1295,SUMPRODUCT(MAX((A$1:A1295=A1296)*(B$1:B1295=B1296)*ROW(A$1:A1295))))="",C1296&amp;"",INDEX(I$1:I1295,SUMPRODUCT(MAX((A$1:A1295=A1296)*(B$1:B1295=B1296)*ROW(A$1:A1295))))&amp;"; "&amp;C1296))))</f>
        <v/>
      </c>
      <c r="J1296" s="18" t="str">
        <f aca="false">IF(A1296="","",A1296&amp;"|"&amp;COUNTIF(A$2:A1296,A1296))</f>
        <v/>
      </c>
      <c r="K1296" s="18" t="n">
        <f aca="false">IF(OR(A1296="",B1296=""),0,IF(COUNTIFS(A$2:A1296,A1296,B$2:B1296,B1296)=1,1,0))</f>
        <v>0</v>
      </c>
    </row>
    <row r="1297" customFormat="false" ht="15" hidden="false" customHeight="false" outlineLevel="0" collapsed="false">
      <c r="A1297" s="15"/>
      <c r="B1297" s="15"/>
      <c r="C1297" s="15"/>
      <c r="D1297" s="15"/>
      <c r="F1297" s="18" t="str">
        <f aca="false">IF(B1297="","",IFERROR(INDEX(Materials!$B$2:$B$201,MATCH(B1297,Materials!$A$2:$A$201,0)),""))</f>
        <v/>
      </c>
      <c r="G1297" s="18" t="str">
        <f aca="true">IF(AND(A1297="",B1297=""),"",IF(A1297="","Missing product",IF(B1297="","Missing material",IF(COUNTIF(ProductList,A1297)=0,"Product not in Products list",IF(COUNTIF(MaterialList,B1297)=0,"Material not in Materials list","OK")))))</f>
        <v/>
      </c>
      <c r="H1297" s="18" t="str">
        <f aca="false">IF(F1297="Active",A1297&amp;"|"&amp;COUNTIFS(A$2:A1297,A1297,F$2:F1297,"Active"),"")</f>
        <v/>
      </c>
      <c r="I1297" s="18" t="str">
        <f aca="false">IF(B1297="","",IF(SUMPRODUCT(MAX((A$1:A1296=A1297)*(B$1:B1296=B1297)*ROW(A$1:A1296)))=0,C1297&amp;"",IF(C1297="",INDEX(I$1:I1296,SUMPRODUCT(MAX((A$1:A1296=A1297)*(B$1:B1296=B1297)*ROW(A$1:A1296)))),IF(INDEX(I$1:I1296,SUMPRODUCT(MAX((A$1:A1296=A1297)*(B$1:B1296=B1297)*ROW(A$1:A1296))))="",C1297&amp;"",INDEX(I$1:I1296,SUMPRODUCT(MAX((A$1:A1296=A1297)*(B$1:B1296=B1297)*ROW(A$1:A1296))))&amp;"; "&amp;C1297))))</f>
        <v/>
      </c>
      <c r="J1297" s="18" t="str">
        <f aca="false">IF(A1297="","",A1297&amp;"|"&amp;COUNTIF(A$2:A1297,A1297))</f>
        <v/>
      </c>
      <c r="K1297" s="18" t="n">
        <f aca="false">IF(OR(A1297="",B1297=""),0,IF(COUNTIFS(A$2:A1297,A1297,B$2:B1297,B1297)=1,1,0))</f>
        <v>0</v>
      </c>
    </row>
    <row r="1298" customFormat="false" ht="15" hidden="false" customHeight="false" outlineLevel="0" collapsed="false">
      <c r="A1298" s="15"/>
      <c r="B1298" s="15"/>
      <c r="C1298" s="15"/>
      <c r="D1298" s="15"/>
      <c r="F1298" s="18" t="str">
        <f aca="false">IF(B1298="","",IFERROR(INDEX(Materials!$B$2:$B$201,MATCH(B1298,Materials!$A$2:$A$201,0)),""))</f>
        <v/>
      </c>
      <c r="G1298" s="18" t="str">
        <f aca="true">IF(AND(A1298="",B1298=""),"",IF(A1298="","Missing product",IF(B1298="","Missing material",IF(COUNTIF(ProductList,A1298)=0,"Product not in Products list",IF(COUNTIF(MaterialList,B1298)=0,"Material not in Materials list","OK")))))</f>
        <v/>
      </c>
      <c r="H1298" s="18" t="str">
        <f aca="false">IF(F1298="Active",A1298&amp;"|"&amp;COUNTIFS(A$2:A1298,A1298,F$2:F1298,"Active"),"")</f>
        <v/>
      </c>
      <c r="I1298" s="18" t="str">
        <f aca="false">IF(B1298="","",IF(SUMPRODUCT(MAX((A$1:A1297=A1298)*(B$1:B1297=B1298)*ROW(A$1:A1297)))=0,C1298&amp;"",IF(C1298="",INDEX(I$1:I1297,SUMPRODUCT(MAX((A$1:A1297=A1298)*(B$1:B1297=B1298)*ROW(A$1:A1297)))),IF(INDEX(I$1:I1297,SUMPRODUCT(MAX((A$1:A1297=A1298)*(B$1:B1297=B1298)*ROW(A$1:A1297))))="",C1298&amp;"",INDEX(I$1:I1297,SUMPRODUCT(MAX((A$1:A1297=A1298)*(B$1:B1297=B1298)*ROW(A$1:A1297))))&amp;"; "&amp;C1298))))</f>
        <v/>
      </c>
      <c r="J1298" s="18" t="str">
        <f aca="false">IF(A1298="","",A1298&amp;"|"&amp;COUNTIF(A$2:A1298,A1298))</f>
        <v/>
      </c>
      <c r="K1298" s="18" t="n">
        <f aca="false">IF(OR(A1298="",B1298=""),0,IF(COUNTIFS(A$2:A1298,A1298,B$2:B1298,B1298)=1,1,0))</f>
        <v>0</v>
      </c>
    </row>
    <row r="1299" customFormat="false" ht="15" hidden="false" customHeight="false" outlineLevel="0" collapsed="false">
      <c r="A1299" s="15"/>
      <c r="B1299" s="15"/>
      <c r="C1299" s="15"/>
      <c r="D1299" s="15"/>
      <c r="F1299" s="18" t="str">
        <f aca="false">IF(B1299="","",IFERROR(INDEX(Materials!$B$2:$B$201,MATCH(B1299,Materials!$A$2:$A$201,0)),""))</f>
        <v/>
      </c>
      <c r="G1299" s="18" t="str">
        <f aca="true">IF(AND(A1299="",B1299=""),"",IF(A1299="","Missing product",IF(B1299="","Missing material",IF(COUNTIF(ProductList,A1299)=0,"Product not in Products list",IF(COUNTIF(MaterialList,B1299)=0,"Material not in Materials list","OK")))))</f>
        <v/>
      </c>
      <c r="H1299" s="18" t="str">
        <f aca="false">IF(F1299="Active",A1299&amp;"|"&amp;COUNTIFS(A$2:A1299,A1299,F$2:F1299,"Active"),"")</f>
        <v/>
      </c>
      <c r="I1299" s="18" t="str">
        <f aca="false">IF(B1299="","",IF(SUMPRODUCT(MAX((A$1:A1298=A1299)*(B$1:B1298=B1299)*ROW(A$1:A1298)))=0,C1299&amp;"",IF(C1299="",INDEX(I$1:I1298,SUMPRODUCT(MAX((A$1:A1298=A1299)*(B$1:B1298=B1299)*ROW(A$1:A1298)))),IF(INDEX(I$1:I1298,SUMPRODUCT(MAX((A$1:A1298=A1299)*(B$1:B1298=B1299)*ROW(A$1:A1298))))="",C1299&amp;"",INDEX(I$1:I1298,SUMPRODUCT(MAX((A$1:A1298=A1299)*(B$1:B1298=B1299)*ROW(A$1:A1298))))&amp;"; "&amp;C1299))))</f>
        <v/>
      </c>
      <c r="J1299" s="18" t="str">
        <f aca="false">IF(A1299="","",A1299&amp;"|"&amp;COUNTIF(A$2:A1299,A1299))</f>
        <v/>
      </c>
      <c r="K1299" s="18" t="n">
        <f aca="false">IF(OR(A1299="",B1299=""),0,IF(COUNTIFS(A$2:A1299,A1299,B$2:B1299,B1299)=1,1,0))</f>
        <v>0</v>
      </c>
    </row>
    <row r="1300" customFormat="false" ht="15" hidden="false" customHeight="false" outlineLevel="0" collapsed="false">
      <c r="A1300" s="15"/>
      <c r="B1300" s="15"/>
      <c r="C1300" s="15"/>
      <c r="D1300" s="15"/>
      <c r="F1300" s="18" t="str">
        <f aca="false">IF(B1300="","",IFERROR(INDEX(Materials!$B$2:$B$201,MATCH(B1300,Materials!$A$2:$A$201,0)),""))</f>
        <v/>
      </c>
      <c r="G1300" s="18" t="str">
        <f aca="true">IF(AND(A1300="",B1300=""),"",IF(A1300="","Missing product",IF(B1300="","Missing material",IF(COUNTIF(ProductList,A1300)=0,"Product not in Products list",IF(COUNTIF(MaterialList,B1300)=0,"Material not in Materials list","OK")))))</f>
        <v/>
      </c>
      <c r="H1300" s="18" t="str">
        <f aca="false">IF(F1300="Active",A1300&amp;"|"&amp;COUNTIFS(A$2:A1300,A1300,F$2:F1300,"Active"),"")</f>
        <v/>
      </c>
      <c r="I1300" s="18" t="str">
        <f aca="false">IF(B1300="","",IF(SUMPRODUCT(MAX((A$1:A1299=A1300)*(B$1:B1299=B1300)*ROW(A$1:A1299)))=0,C1300&amp;"",IF(C1300="",INDEX(I$1:I1299,SUMPRODUCT(MAX((A$1:A1299=A1300)*(B$1:B1299=B1300)*ROW(A$1:A1299)))),IF(INDEX(I$1:I1299,SUMPRODUCT(MAX((A$1:A1299=A1300)*(B$1:B1299=B1300)*ROW(A$1:A1299))))="",C1300&amp;"",INDEX(I$1:I1299,SUMPRODUCT(MAX((A$1:A1299=A1300)*(B$1:B1299=B1300)*ROW(A$1:A1299))))&amp;"; "&amp;C1300))))</f>
        <v/>
      </c>
      <c r="J1300" s="18" t="str">
        <f aca="false">IF(A1300="","",A1300&amp;"|"&amp;COUNTIF(A$2:A1300,A1300))</f>
        <v/>
      </c>
      <c r="K1300" s="18" t="n">
        <f aca="false">IF(OR(A1300="",B1300=""),0,IF(COUNTIFS(A$2:A1300,A1300,B$2:B1300,B1300)=1,1,0))</f>
        <v>0</v>
      </c>
    </row>
    <row r="1301" customFormat="false" ht="15" hidden="false" customHeight="false" outlineLevel="0" collapsed="false">
      <c r="A1301" s="15"/>
      <c r="B1301" s="15"/>
      <c r="C1301" s="15"/>
      <c r="D1301" s="15"/>
      <c r="F1301" s="18" t="str">
        <f aca="false">IF(B1301="","",IFERROR(INDEX(Materials!$B$2:$B$201,MATCH(B1301,Materials!$A$2:$A$201,0)),""))</f>
        <v/>
      </c>
      <c r="G1301" s="18" t="str">
        <f aca="true">IF(AND(A1301="",B1301=""),"",IF(A1301="","Missing product",IF(B1301="","Missing material",IF(COUNTIF(ProductList,A1301)=0,"Product not in Products list",IF(COUNTIF(MaterialList,B1301)=0,"Material not in Materials list","OK")))))</f>
        <v/>
      </c>
      <c r="H1301" s="18" t="str">
        <f aca="false">IF(F1301="Active",A1301&amp;"|"&amp;COUNTIFS(A$2:A1301,A1301,F$2:F1301,"Active"),"")</f>
        <v/>
      </c>
      <c r="I1301" s="18" t="str">
        <f aca="false">IF(B1301="","",IF(SUMPRODUCT(MAX((A$1:A1300=A1301)*(B$1:B1300=B1301)*ROW(A$1:A1300)))=0,C1301&amp;"",IF(C1301="",INDEX(I$1:I1300,SUMPRODUCT(MAX((A$1:A1300=A1301)*(B$1:B1300=B1301)*ROW(A$1:A1300)))),IF(INDEX(I$1:I1300,SUMPRODUCT(MAX((A$1:A1300=A1301)*(B$1:B1300=B1301)*ROW(A$1:A1300))))="",C1301&amp;"",INDEX(I$1:I1300,SUMPRODUCT(MAX((A$1:A1300=A1301)*(B$1:B1300=B1301)*ROW(A$1:A1300))))&amp;"; "&amp;C1301))))</f>
        <v/>
      </c>
      <c r="J1301" s="18" t="str">
        <f aca="false">IF(A1301="","",A1301&amp;"|"&amp;COUNTIF(A$2:A1301,A1301))</f>
        <v/>
      </c>
      <c r="K1301" s="18" t="n">
        <f aca="false">IF(OR(A1301="",B1301=""),0,IF(COUNTIFS(A$2:A1301,A1301,B$2:B1301,B1301)=1,1,0))</f>
        <v>0</v>
      </c>
    </row>
    <row r="1302" customFormat="false" ht="15" hidden="false" customHeight="false" outlineLevel="0" collapsed="false">
      <c r="A1302" s="15"/>
      <c r="B1302" s="15"/>
      <c r="C1302" s="15"/>
      <c r="D1302" s="15"/>
      <c r="F1302" s="18" t="str">
        <f aca="false">IF(B1302="","",IFERROR(INDEX(Materials!$B$2:$B$201,MATCH(B1302,Materials!$A$2:$A$201,0)),""))</f>
        <v/>
      </c>
      <c r="G1302" s="18" t="str">
        <f aca="true">IF(AND(A1302="",B1302=""),"",IF(A1302="","Missing product",IF(B1302="","Missing material",IF(COUNTIF(ProductList,A1302)=0,"Product not in Products list",IF(COUNTIF(MaterialList,B1302)=0,"Material not in Materials list","OK")))))</f>
        <v/>
      </c>
      <c r="H1302" s="18" t="str">
        <f aca="false">IF(F1302="Active",A1302&amp;"|"&amp;COUNTIFS(A$2:A1302,A1302,F$2:F1302,"Active"),"")</f>
        <v/>
      </c>
      <c r="I1302" s="18" t="str">
        <f aca="false">IF(B1302="","",IF(SUMPRODUCT(MAX((A$1:A1301=A1302)*(B$1:B1301=B1302)*ROW(A$1:A1301)))=0,C1302&amp;"",IF(C1302="",INDEX(I$1:I1301,SUMPRODUCT(MAX((A$1:A1301=A1302)*(B$1:B1301=B1302)*ROW(A$1:A1301)))),IF(INDEX(I$1:I1301,SUMPRODUCT(MAX((A$1:A1301=A1302)*(B$1:B1301=B1302)*ROW(A$1:A1301))))="",C1302&amp;"",INDEX(I$1:I1301,SUMPRODUCT(MAX((A$1:A1301=A1302)*(B$1:B1301=B1302)*ROW(A$1:A1301))))&amp;"; "&amp;C1302))))</f>
        <v/>
      </c>
      <c r="J1302" s="18" t="str">
        <f aca="false">IF(A1302="","",A1302&amp;"|"&amp;COUNTIF(A$2:A1302,A1302))</f>
        <v/>
      </c>
      <c r="K1302" s="18" t="n">
        <f aca="false">IF(OR(A1302="",B1302=""),0,IF(COUNTIFS(A$2:A1302,A1302,B$2:B1302,B1302)=1,1,0))</f>
        <v>0</v>
      </c>
    </row>
    <row r="1303" customFormat="false" ht="15" hidden="false" customHeight="false" outlineLevel="0" collapsed="false">
      <c r="A1303" s="15"/>
      <c r="B1303" s="15"/>
      <c r="C1303" s="15"/>
      <c r="D1303" s="15"/>
      <c r="F1303" s="18" t="str">
        <f aca="false">IF(B1303="","",IFERROR(INDEX(Materials!$B$2:$B$201,MATCH(B1303,Materials!$A$2:$A$201,0)),""))</f>
        <v/>
      </c>
      <c r="G1303" s="18" t="str">
        <f aca="true">IF(AND(A1303="",B1303=""),"",IF(A1303="","Missing product",IF(B1303="","Missing material",IF(COUNTIF(ProductList,A1303)=0,"Product not in Products list",IF(COUNTIF(MaterialList,B1303)=0,"Material not in Materials list","OK")))))</f>
        <v/>
      </c>
      <c r="H1303" s="18" t="str">
        <f aca="false">IF(F1303="Active",A1303&amp;"|"&amp;COUNTIFS(A$2:A1303,A1303,F$2:F1303,"Active"),"")</f>
        <v/>
      </c>
      <c r="I1303" s="18" t="str">
        <f aca="false">IF(B1303="","",IF(SUMPRODUCT(MAX((A$1:A1302=A1303)*(B$1:B1302=B1303)*ROW(A$1:A1302)))=0,C1303&amp;"",IF(C1303="",INDEX(I$1:I1302,SUMPRODUCT(MAX((A$1:A1302=A1303)*(B$1:B1302=B1303)*ROW(A$1:A1302)))),IF(INDEX(I$1:I1302,SUMPRODUCT(MAX((A$1:A1302=A1303)*(B$1:B1302=B1303)*ROW(A$1:A1302))))="",C1303&amp;"",INDEX(I$1:I1302,SUMPRODUCT(MAX((A$1:A1302=A1303)*(B$1:B1302=B1303)*ROW(A$1:A1302))))&amp;"; "&amp;C1303))))</f>
        <v/>
      </c>
      <c r="J1303" s="18" t="str">
        <f aca="false">IF(A1303="","",A1303&amp;"|"&amp;COUNTIF(A$2:A1303,A1303))</f>
        <v/>
      </c>
      <c r="K1303" s="18" t="n">
        <f aca="false">IF(OR(A1303="",B1303=""),0,IF(COUNTIFS(A$2:A1303,A1303,B$2:B1303,B1303)=1,1,0))</f>
        <v>0</v>
      </c>
    </row>
    <row r="1304" customFormat="false" ht="15" hidden="false" customHeight="false" outlineLevel="0" collapsed="false">
      <c r="A1304" s="15"/>
      <c r="B1304" s="15"/>
      <c r="C1304" s="15"/>
      <c r="D1304" s="15"/>
      <c r="F1304" s="18" t="str">
        <f aca="false">IF(B1304="","",IFERROR(INDEX(Materials!$B$2:$B$201,MATCH(B1304,Materials!$A$2:$A$201,0)),""))</f>
        <v/>
      </c>
      <c r="G1304" s="18" t="str">
        <f aca="true">IF(AND(A1304="",B1304=""),"",IF(A1304="","Missing product",IF(B1304="","Missing material",IF(COUNTIF(ProductList,A1304)=0,"Product not in Products list",IF(COUNTIF(MaterialList,B1304)=0,"Material not in Materials list","OK")))))</f>
        <v/>
      </c>
      <c r="H1304" s="18" t="str">
        <f aca="false">IF(F1304="Active",A1304&amp;"|"&amp;COUNTIFS(A$2:A1304,A1304,F$2:F1304,"Active"),"")</f>
        <v/>
      </c>
      <c r="I1304" s="18" t="str">
        <f aca="false">IF(B1304="","",IF(SUMPRODUCT(MAX((A$1:A1303=A1304)*(B$1:B1303=B1304)*ROW(A$1:A1303)))=0,C1304&amp;"",IF(C1304="",INDEX(I$1:I1303,SUMPRODUCT(MAX((A$1:A1303=A1304)*(B$1:B1303=B1304)*ROW(A$1:A1303)))),IF(INDEX(I$1:I1303,SUMPRODUCT(MAX((A$1:A1303=A1304)*(B$1:B1303=B1304)*ROW(A$1:A1303))))="",C1304&amp;"",INDEX(I$1:I1303,SUMPRODUCT(MAX((A$1:A1303=A1304)*(B$1:B1303=B1304)*ROW(A$1:A1303))))&amp;"; "&amp;C1304))))</f>
        <v/>
      </c>
      <c r="J1304" s="18" t="str">
        <f aca="false">IF(A1304="","",A1304&amp;"|"&amp;COUNTIF(A$2:A1304,A1304))</f>
        <v/>
      </c>
      <c r="K1304" s="18" t="n">
        <f aca="false">IF(OR(A1304="",B1304=""),0,IF(COUNTIFS(A$2:A1304,A1304,B$2:B1304,B1304)=1,1,0))</f>
        <v>0</v>
      </c>
    </row>
    <row r="1305" customFormat="false" ht="15" hidden="false" customHeight="false" outlineLevel="0" collapsed="false">
      <c r="A1305" s="15"/>
      <c r="B1305" s="15"/>
      <c r="C1305" s="15"/>
      <c r="D1305" s="15"/>
      <c r="F1305" s="18" t="str">
        <f aca="false">IF(B1305="","",IFERROR(INDEX(Materials!$B$2:$B$201,MATCH(B1305,Materials!$A$2:$A$201,0)),""))</f>
        <v/>
      </c>
      <c r="G1305" s="18" t="str">
        <f aca="true">IF(AND(A1305="",B1305=""),"",IF(A1305="","Missing product",IF(B1305="","Missing material",IF(COUNTIF(ProductList,A1305)=0,"Product not in Products list",IF(COUNTIF(MaterialList,B1305)=0,"Material not in Materials list","OK")))))</f>
        <v/>
      </c>
      <c r="H1305" s="18" t="str">
        <f aca="false">IF(F1305="Active",A1305&amp;"|"&amp;COUNTIFS(A$2:A1305,A1305,F$2:F1305,"Active"),"")</f>
        <v/>
      </c>
      <c r="I1305" s="18" t="str">
        <f aca="false">IF(B1305="","",IF(SUMPRODUCT(MAX((A$1:A1304=A1305)*(B$1:B1304=B1305)*ROW(A$1:A1304)))=0,C1305&amp;"",IF(C1305="",INDEX(I$1:I1304,SUMPRODUCT(MAX((A$1:A1304=A1305)*(B$1:B1304=B1305)*ROW(A$1:A1304)))),IF(INDEX(I$1:I1304,SUMPRODUCT(MAX((A$1:A1304=A1305)*(B$1:B1304=B1305)*ROW(A$1:A1304))))="",C1305&amp;"",INDEX(I$1:I1304,SUMPRODUCT(MAX((A$1:A1304=A1305)*(B$1:B1304=B1305)*ROW(A$1:A1304))))&amp;"; "&amp;C1305))))</f>
        <v/>
      </c>
      <c r="J1305" s="18" t="str">
        <f aca="false">IF(A1305="","",A1305&amp;"|"&amp;COUNTIF(A$2:A1305,A1305))</f>
        <v/>
      </c>
      <c r="K1305" s="18" t="n">
        <f aca="false">IF(OR(A1305="",B1305=""),0,IF(COUNTIFS(A$2:A1305,A1305,B$2:B1305,B1305)=1,1,0))</f>
        <v>0</v>
      </c>
    </row>
    <row r="1306" customFormat="false" ht="15" hidden="false" customHeight="false" outlineLevel="0" collapsed="false">
      <c r="A1306" s="15"/>
      <c r="B1306" s="15"/>
      <c r="C1306" s="15"/>
      <c r="D1306" s="15"/>
      <c r="F1306" s="18" t="str">
        <f aca="false">IF(B1306="","",IFERROR(INDEX(Materials!$B$2:$B$201,MATCH(B1306,Materials!$A$2:$A$201,0)),""))</f>
        <v/>
      </c>
      <c r="G1306" s="18" t="str">
        <f aca="true">IF(AND(A1306="",B1306=""),"",IF(A1306="","Missing product",IF(B1306="","Missing material",IF(COUNTIF(ProductList,A1306)=0,"Product not in Products list",IF(COUNTIF(MaterialList,B1306)=0,"Material not in Materials list","OK")))))</f>
        <v/>
      </c>
      <c r="H1306" s="18" t="str">
        <f aca="false">IF(F1306="Active",A1306&amp;"|"&amp;COUNTIFS(A$2:A1306,A1306,F$2:F1306,"Active"),"")</f>
        <v/>
      </c>
      <c r="I1306" s="18" t="str">
        <f aca="false">IF(B1306="","",IF(SUMPRODUCT(MAX((A$1:A1305=A1306)*(B$1:B1305=B1306)*ROW(A$1:A1305)))=0,C1306&amp;"",IF(C1306="",INDEX(I$1:I1305,SUMPRODUCT(MAX((A$1:A1305=A1306)*(B$1:B1305=B1306)*ROW(A$1:A1305)))),IF(INDEX(I$1:I1305,SUMPRODUCT(MAX((A$1:A1305=A1306)*(B$1:B1305=B1306)*ROW(A$1:A1305))))="",C1306&amp;"",INDEX(I$1:I1305,SUMPRODUCT(MAX((A$1:A1305=A1306)*(B$1:B1305=B1306)*ROW(A$1:A1305))))&amp;"; "&amp;C1306))))</f>
        <v/>
      </c>
      <c r="J1306" s="18" t="str">
        <f aca="false">IF(A1306="","",A1306&amp;"|"&amp;COUNTIF(A$2:A1306,A1306))</f>
        <v/>
      </c>
      <c r="K1306" s="18" t="n">
        <f aca="false">IF(OR(A1306="",B1306=""),0,IF(COUNTIFS(A$2:A1306,A1306,B$2:B1306,B1306)=1,1,0))</f>
        <v>0</v>
      </c>
    </row>
    <row r="1307" customFormat="false" ht="15" hidden="false" customHeight="false" outlineLevel="0" collapsed="false">
      <c r="A1307" s="15"/>
      <c r="B1307" s="15"/>
      <c r="C1307" s="15"/>
      <c r="D1307" s="15"/>
      <c r="F1307" s="18" t="str">
        <f aca="false">IF(B1307="","",IFERROR(INDEX(Materials!$B$2:$B$201,MATCH(B1307,Materials!$A$2:$A$201,0)),""))</f>
        <v/>
      </c>
      <c r="G1307" s="18" t="str">
        <f aca="true">IF(AND(A1307="",B1307=""),"",IF(A1307="","Missing product",IF(B1307="","Missing material",IF(COUNTIF(ProductList,A1307)=0,"Product not in Products list",IF(COUNTIF(MaterialList,B1307)=0,"Material not in Materials list","OK")))))</f>
        <v/>
      </c>
      <c r="H1307" s="18" t="str">
        <f aca="false">IF(F1307="Active",A1307&amp;"|"&amp;COUNTIFS(A$2:A1307,A1307,F$2:F1307,"Active"),"")</f>
        <v/>
      </c>
      <c r="I1307" s="18" t="str">
        <f aca="false">IF(B1307="","",IF(SUMPRODUCT(MAX((A$1:A1306=A1307)*(B$1:B1306=B1307)*ROW(A$1:A1306)))=0,C1307&amp;"",IF(C1307="",INDEX(I$1:I1306,SUMPRODUCT(MAX((A$1:A1306=A1307)*(B$1:B1306=B1307)*ROW(A$1:A1306)))),IF(INDEX(I$1:I1306,SUMPRODUCT(MAX((A$1:A1306=A1307)*(B$1:B1306=B1307)*ROW(A$1:A1306))))="",C1307&amp;"",INDEX(I$1:I1306,SUMPRODUCT(MAX((A$1:A1306=A1307)*(B$1:B1306=B1307)*ROW(A$1:A1306))))&amp;"; "&amp;C1307))))</f>
        <v/>
      </c>
      <c r="J1307" s="18" t="str">
        <f aca="false">IF(A1307="","",A1307&amp;"|"&amp;COUNTIF(A$2:A1307,A1307))</f>
        <v/>
      </c>
      <c r="K1307" s="18" t="n">
        <f aca="false">IF(OR(A1307="",B1307=""),0,IF(COUNTIFS(A$2:A1307,A1307,B$2:B1307,B1307)=1,1,0))</f>
        <v>0</v>
      </c>
    </row>
    <row r="1308" customFormat="false" ht="15" hidden="false" customHeight="false" outlineLevel="0" collapsed="false">
      <c r="A1308" s="15"/>
      <c r="B1308" s="15"/>
      <c r="C1308" s="15"/>
      <c r="D1308" s="15"/>
      <c r="F1308" s="18" t="str">
        <f aca="false">IF(B1308="","",IFERROR(INDEX(Materials!$B$2:$B$201,MATCH(B1308,Materials!$A$2:$A$201,0)),""))</f>
        <v/>
      </c>
      <c r="G1308" s="18" t="str">
        <f aca="true">IF(AND(A1308="",B1308=""),"",IF(A1308="","Missing product",IF(B1308="","Missing material",IF(COUNTIF(ProductList,A1308)=0,"Product not in Products list",IF(COUNTIF(MaterialList,B1308)=0,"Material not in Materials list","OK")))))</f>
        <v/>
      </c>
      <c r="H1308" s="18" t="str">
        <f aca="false">IF(F1308="Active",A1308&amp;"|"&amp;COUNTIFS(A$2:A1308,A1308,F$2:F1308,"Active"),"")</f>
        <v/>
      </c>
      <c r="I1308" s="18" t="str">
        <f aca="false">IF(B1308="","",IF(SUMPRODUCT(MAX((A$1:A1307=A1308)*(B$1:B1307=B1308)*ROW(A$1:A1307)))=0,C1308&amp;"",IF(C1308="",INDEX(I$1:I1307,SUMPRODUCT(MAX((A$1:A1307=A1308)*(B$1:B1307=B1308)*ROW(A$1:A1307)))),IF(INDEX(I$1:I1307,SUMPRODUCT(MAX((A$1:A1307=A1308)*(B$1:B1307=B1308)*ROW(A$1:A1307))))="",C1308&amp;"",INDEX(I$1:I1307,SUMPRODUCT(MAX((A$1:A1307=A1308)*(B$1:B1307=B1308)*ROW(A$1:A1307))))&amp;"; "&amp;C1308))))</f>
        <v/>
      </c>
      <c r="J1308" s="18" t="str">
        <f aca="false">IF(A1308="","",A1308&amp;"|"&amp;COUNTIF(A$2:A1308,A1308))</f>
        <v/>
      </c>
      <c r="K1308" s="18" t="n">
        <f aca="false">IF(OR(A1308="",B1308=""),0,IF(COUNTIFS(A$2:A1308,A1308,B$2:B1308,B1308)=1,1,0))</f>
        <v>0</v>
      </c>
    </row>
    <row r="1309" customFormat="false" ht="15" hidden="false" customHeight="false" outlineLevel="0" collapsed="false">
      <c r="A1309" s="15"/>
      <c r="B1309" s="15"/>
      <c r="C1309" s="15"/>
      <c r="D1309" s="15"/>
      <c r="F1309" s="18" t="str">
        <f aca="false">IF(B1309="","",IFERROR(INDEX(Materials!$B$2:$B$201,MATCH(B1309,Materials!$A$2:$A$201,0)),""))</f>
        <v/>
      </c>
      <c r="G1309" s="18" t="str">
        <f aca="true">IF(AND(A1309="",B1309=""),"",IF(A1309="","Missing product",IF(B1309="","Missing material",IF(COUNTIF(ProductList,A1309)=0,"Product not in Products list",IF(COUNTIF(MaterialList,B1309)=0,"Material not in Materials list","OK")))))</f>
        <v/>
      </c>
      <c r="H1309" s="18" t="str">
        <f aca="false">IF(F1309="Active",A1309&amp;"|"&amp;COUNTIFS(A$2:A1309,A1309,F$2:F1309,"Active"),"")</f>
        <v/>
      </c>
      <c r="I1309" s="18" t="str">
        <f aca="false">IF(B1309="","",IF(SUMPRODUCT(MAX((A$1:A1308=A1309)*(B$1:B1308=B1309)*ROW(A$1:A1308)))=0,C1309&amp;"",IF(C1309="",INDEX(I$1:I1308,SUMPRODUCT(MAX((A$1:A1308=A1309)*(B$1:B1308=B1309)*ROW(A$1:A1308)))),IF(INDEX(I$1:I1308,SUMPRODUCT(MAX((A$1:A1308=A1309)*(B$1:B1308=B1309)*ROW(A$1:A1308))))="",C1309&amp;"",INDEX(I$1:I1308,SUMPRODUCT(MAX((A$1:A1308=A1309)*(B$1:B1308=B1309)*ROW(A$1:A1308))))&amp;"; "&amp;C1309))))</f>
        <v/>
      </c>
      <c r="J1309" s="18" t="str">
        <f aca="false">IF(A1309="","",A1309&amp;"|"&amp;COUNTIF(A$2:A1309,A1309))</f>
        <v/>
      </c>
      <c r="K1309" s="18" t="n">
        <f aca="false">IF(OR(A1309="",B1309=""),0,IF(COUNTIFS(A$2:A1309,A1309,B$2:B1309,B1309)=1,1,0))</f>
        <v>0</v>
      </c>
    </row>
    <row r="1310" customFormat="false" ht="15" hidden="false" customHeight="false" outlineLevel="0" collapsed="false">
      <c r="A1310" s="15"/>
      <c r="B1310" s="15"/>
      <c r="C1310" s="15"/>
      <c r="D1310" s="15"/>
      <c r="F1310" s="18" t="str">
        <f aca="false">IF(B1310="","",IFERROR(INDEX(Materials!$B$2:$B$201,MATCH(B1310,Materials!$A$2:$A$201,0)),""))</f>
        <v/>
      </c>
      <c r="G1310" s="18" t="str">
        <f aca="true">IF(AND(A1310="",B1310=""),"",IF(A1310="","Missing product",IF(B1310="","Missing material",IF(COUNTIF(ProductList,A1310)=0,"Product not in Products list",IF(COUNTIF(MaterialList,B1310)=0,"Material not in Materials list","OK")))))</f>
        <v/>
      </c>
      <c r="H1310" s="18" t="str">
        <f aca="false">IF(F1310="Active",A1310&amp;"|"&amp;COUNTIFS(A$2:A1310,A1310,F$2:F1310,"Active"),"")</f>
        <v/>
      </c>
      <c r="I1310" s="18" t="str">
        <f aca="false">IF(B1310="","",IF(SUMPRODUCT(MAX((A$1:A1309=A1310)*(B$1:B1309=B1310)*ROW(A$1:A1309)))=0,C1310&amp;"",IF(C1310="",INDEX(I$1:I1309,SUMPRODUCT(MAX((A$1:A1309=A1310)*(B$1:B1309=B1310)*ROW(A$1:A1309)))),IF(INDEX(I$1:I1309,SUMPRODUCT(MAX((A$1:A1309=A1310)*(B$1:B1309=B1310)*ROW(A$1:A1309))))="",C1310&amp;"",INDEX(I$1:I1309,SUMPRODUCT(MAX((A$1:A1309=A1310)*(B$1:B1309=B1310)*ROW(A$1:A1309))))&amp;"; "&amp;C1310))))</f>
        <v/>
      </c>
      <c r="J1310" s="18" t="str">
        <f aca="false">IF(A1310="","",A1310&amp;"|"&amp;COUNTIF(A$2:A1310,A1310))</f>
        <v/>
      </c>
      <c r="K1310" s="18" t="n">
        <f aca="false">IF(OR(A1310="",B1310=""),0,IF(COUNTIFS(A$2:A1310,A1310,B$2:B1310,B1310)=1,1,0))</f>
        <v>0</v>
      </c>
    </row>
    <row r="1311" customFormat="false" ht="15" hidden="false" customHeight="false" outlineLevel="0" collapsed="false">
      <c r="A1311" s="15"/>
      <c r="B1311" s="15"/>
      <c r="C1311" s="15"/>
      <c r="D1311" s="15"/>
      <c r="F1311" s="18" t="str">
        <f aca="false">IF(B1311="","",IFERROR(INDEX(Materials!$B$2:$B$201,MATCH(B1311,Materials!$A$2:$A$201,0)),""))</f>
        <v/>
      </c>
      <c r="G1311" s="18" t="str">
        <f aca="true">IF(AND(A1311="",B1311=""),"",IF(A1311="","Missing product",IF(B1311="","Missing material",IF(COUNTIF(ProductList,A1311)=0,"Product not in Products list",IF(COUNTIF(MaterialList,B1311)=0,"Material not in Materials list","OK")))))</f>
        <v/>
      </c>
      <c r="H1311" s="18" t="str">
        <f aca="false">IF(F1311="Active",A1311&amp;"|"&amp;COUNTIFS(A$2:A1311,A1311,F$2:F1311,"Active"),"")</f>
        <v/>
      </c>
      <c r="I1311" s="18" t="str">
        <f aca="false">IF(B1311="","",IF(SUMPRODUCT(MAX((A$1:A1310=A1311)*(B$1:B1310=B1311)*ROW(A$1:A1310)))=0,C1311&amp;"",IF(C1311="",INDEX(I$1:I1310,SUMPRODUCT(MAX((A$1:A1310=A1311)*(B$1:B1310=B1311)*ROW(A$1:A1310)))),IF(INDEX(I$1:I1310,SUMPRODUCT(MAX((A$1:A1310=A1311)*(B$1:B1310=B1311)*ROW(A$1:A1310))))="",C1311&amp;"",INDEX(I$1:I1310,SUMPRODUCT(MAX((A$1:A1310=A1311)*(B$1:B1310=B1311)*ROW(A$1:A1310))))&amp;"; "&amp;C1311))))</f>
        <v/>
      </c>
      <c r="J1311" s="18" t="str">
        <f aca="false">IF(A1311="","",A1311&amp;"|"&amp;COUNTIF(A$2:A1311,A1311))</f>
        <v/>
      </c>
      <c r="K1311" s="18" t="n">
        <f aca="false">IF(OR(A1311="",B1311=""),0,IF(COUNTIFS(A$2:A1311,A1311,B$2:B1311,B1311)=1,1,0))</f>
        <v>0</v>
      </c>
    </row>
    <row r="1312" customFormat="false" ht="15" hidden="false" customHeight="false" outlineLevel="0" collapsed="false">
      <c r="A1312" s="15"/>
      <c r="B1312" s="15"/>
      <c r="C1312" s="15"/>
      <c r="D1312" s="15"/>
      <c r="F1312" s="18" t="str">
        <f aca="false">IF(B1312="","",IFERROR(INDEX(Materials!$B$2:$B$201,MATCH(B1312,Materials!$A$2:$A$201,0)),""))</f>
        <v/>
      </c>
      <c r="G1312" s="18" t="str">
        <f aca="true">IF(AND(A1312="",B1312=""),"",IF(A1312="","Missing product",IF(B1312="","Missing material",IF(COUNTIF(ProductList,A1312)=0,"Product not in Products list",IF(COUNTIF(MaterialList,B1312)=0,"Material not in Materials list","OK")))))</f>
        <v/>
      </c>
      <c r="H1312" s="18" t="str">
        <f aca="false">IF(F1312="Active",A1312&amp;"|"&amp;COUNTIFS(A$2:A1312,A1312,F$2:F1312,"Active"),"")</f>
        <v/>
      </c>
      <c r="I1312" s="18" t="str">
        <f aca="false">IF(B1312="","",IF(SUMPRODUCT(MAX((A$1:A1311=A1312)*(B$1:B1311=B1312)*ROW(A$1:A1311)))=0,C1312&amp;"",IF(C1312="",INDEX(I$1:I1311,SUMPRODUCT(MAX((A$1:A1311=A1312)*(B$1:B1311=B1312)*ROW(A$1:A1311)))),IF(INDEX(I$1:I1311,SUMPRODUCT(MAX((A$1:A1311=A1312)*(B$1:B1311=B1312)*ROW(A$1:A1311))))="",C1312&amp;"",INDEX(I$1:I1311,SUMPRODUCT(MAX((A$1:A1311=A1312)*(B$1:B1311=B1312)*ROW(A$1:A1311))))&amp;"; "&amp;C1312))))</f>
        <v/>
      </c>
      <c r="J1312" s="18" t="str">
        <f aca="false">IF(A1312="","",A1312&amp;"|"&amp;COUNTIF(A$2:A1312,A1312))</f>
        <v/>
      </c>
      <c r="K1312" s="18" t="n">
        <f aca="false">IF(OR(A1312="",B1312=""),0,IF(COUNTIFS(A$2:A1312,A1312,B$2:B1312,B1312)=1,1,0))</f>
        <v>0</v>
      </c>
    </row>
    <row r="1313" customFormat="false" ht="15" hidden="false" customHeight="false" outlineLevel="0" collapsed="false">
      <c r="A1313" s="15"/>
      <c r="B1313" s="15"/>
      <c r="C1313" s="15"/>
      <c r="D1313" s="15"/>
      <c r="F1313" s="18" t="str">
        <f aca="false">IF(B1313="","",IFERROR(INDEX(Materials!$B$2:$B$201,MATCH(B1313,Materials!$A$2:$A$201,0)),""))</f>
        <v/>
      </c>
      <c r="G1313" s="18" t="str">
        <f aca="true">IF(AND(A1313="",B1313=""),"",IF(A1313="","Missing product",IF(B1313="","Missing material",IF(COUNTIF(ProductList,A1313)=0,"Product not in Products list",IF(COUNTIF(MaterialList,B1313)=0,"Material not in Materials list","OK")))))</f>
        <v/>
      </c>
      <c r="H1313" s="18" t="str">
        <f aca="false">IF(F1313="Active",A1313&amp;"|"&amp;COUNTIFS(A$2:A1313,A1313,F$2:F1313,"Active"),"")</f>
        <v/>
      </c>
      <c r="I1313" s="18" t="str">
        <f aca="false">IF(B1313="","",IF(SUMPRODUCT(MAX((A$1:A1312=A1313)*(B$1:B1312=B1313)*ROW(A$1:A1312)))=0,C1313&amp;"",IF(C1313="",INDEX(I$1:I1312,SUMPRODUCT(MAX((A$1:A1312=A1313)*(B$1:B1312=B1313)*ROW(A$1:A1312)))),IF(INDEX(I$1:I1312,SUMPRODUCT(MAX((A$1:A1312=A1313)*(B$1:B1312=B1313)*ROW(A$1:A1312))))="",C1313&amp;"",INDEX(I$1:I1312,SUMPRODUCT(MAX((A$1:A1312=A1313)*(B$1:B1312=B1313)*ROW(A$1:A1312))))&amp;"; "&amp;C1313))))</f>
        <v/>
      </c>
      <c r="J1313" s="18" t="str">
        <f aca="false">IF(A1313="","",A1313&amp;"|"&amp;COUNTIF(A$2:A1313,A1313))</f>
        <v/>
      </c>
      <c r="K1313" s="18" t="n">
        <f aca="false">IF(OR(A1313="",B1313=""),0,IF(COUNTIFS(A$2:A1313,A1313,B$2:B1313,B1313)=1,1,0))</f>
        <v>0</v>
      </c>
    </row>
    <row r="1314" customFormat="false" ht="15" hidden="false" customHeight="false" outlineLevel="0" collapsed="false">
      <c r="A1314" s="15"/>
      <c r="B1314" s="15"/>
      <c r="C1314" s="15"/>
      <c r="D1314" s="15"/>
      <c r="F1314" s="18" t="str">
        <f aca="false">IF(B1314="","",IFERROR(INDEX(Materials!$B$2:$B$201,MATCH(B1314,Materials!$A$2:$A$201,0)),""))</f>
        <v/>
      </c>
      <c r="G1314" s="18" t="str">
        <f aca="true">IF(AND(A1314="",B1314=""),"",IF(A1314="","Missing product",IF(B1314="","Missing material",IF(COUNTIF(ProductList,A1314)=0,"Product not in Products list",IF(COUNTIF(MaterialList,B1314)=0,"Material not in Materials list","OK")))))</f>
        <v/>
      </c>
      <c r="H1314" s="18" t="str">
        <f aca="false">IF(F1314="Active",A1314&amp;"|"&amp;COUNTIFS(A$2:A1314,A1314,F$2:F1314,"Active"),"")</f>
        <v/>
      </c>
      <c r="I1314" s="18" t="str">
        <f aca="false">IF(B1314="","",IF(SUMPRODUCT(MAX((A$1:A1313=A1314)*(B$1:B1313=B1314)*ROW(A$1:A1313)))=0,C1314&amp;"",IF(C1314="",INDEX(I$1:I1313,SUMPRODUCT(MAX((A$1:A1313=A1314)*(B$1:B1313=B1314)*ROW(A$1:A1313)))),IF(INDEX(I$1:I1313,SUMPRODUCT(MAX((A$1:A1313=A1314)*(B$1:B1313=B1314)*ROW(A$1:A1313))))="",C1314&amp;"",INDEX(I$1:I1313,SUMPRODUCT(MAX((A$1:A1313=A1314)*(B$1:B1313=B1314)*ROW(A$1:A1313))))&amp;"; "&amp;C1314))))</f>
        <v/>
      </c>
      <c r="J1314" s="18" t="str">
        <f aca="false">IF(A1314="","",A1314&amp;"|"&amp;COUNTIF(A$2:A1314,A1314))</f>
        <v/>
      </c>
      <c r="K1314" s="18" t="n">
        <f aca="false">IF(OR(A1314="",B1314=""),0,IF(COUNTIFS(A$2:A1314,A1314,B$2:B1314,B1314)=1,1,0))</f>
        <v>0</v>
      </c>
    </row>
    <row r="1315" customFormat="false" ht="15" hidden="false" customHeight="false" outlineLevel="0" collapsed="false">
      <c r="A1315" s="15"/>
      <c r="B1315" s="15"/>
      <c r="C1315" s="15"/>
      <c r="D1315" s="15"/>
      <c r="F1315" s="18" t="str">
        <f aca="false">IF(B1315="","",IFERROR(INDEX(Materials!$B$2:$B$201,MATCH(B1315,Materials!$A$2:$A$201,0)),""))</f>
        <v/>
      </c>
      <c r="G1315" s="18" t="str">
        <f aca="true">IF(AND(A1315="",B1315=""),"",IF(A1315="","Missing product",IF(B1315="","Missing material",IF(COUNTIF(ProductList,A1315)=0,"Product not in Products list",IF(COUNTIF(MaterialList,B1315)=0,"Material not in Materials list","OK")))))</f>
        <v/>
      </c>
      <c r="H1315" s="18" t="str">
        <f aca="false">IF(F1315="Active",A1315&amp;"|"&amp;COUNTIFS(A$2:A1315,A1315,F$2:F1315,"Active"),"")</f>
        <v/>
      </c>
      <c r="I1315" s="18" t="str">
        <f aca="false">IF(B1315="","",IF(SUMPRODUCT(MAX((A$1:A1314=A1315)*(B$1:B1314=B1315)*ROW(A$1:A1314)))=0,C1315&amp;"",IF(C1315="",INDEX(I$1:I1314,SUMPRODUCT(MAX((A$1:A1314=A1315)*(B$1:B1314=B1315)*ROW(A$1:A1314)))),IF(INDEX(I$1:I1314,SUMPRODUCT(MAX((A$1:A1314=A1315)*(B$1:B1314=B1315)*ROW(A$1:A1314))))="",C1315&amp;"",INDEX(I$1:I1314,SUMPRODUCT(MAX((A$1:A1314=A1315)*(B$1:B1314=B1315)*ROW(A$1:A1314))))&amp;"; "&amp;C1315))))</f>
        <v/>
      </c>
      <c r="J1315" s="18" t="str">
        <f aca="false">IF(A1315="","",A1315&amp;"|"&amp;COUNTIF(A$2:A1315,A1315))</f>
        <v/>
      </c>
      <c r="K1315" s="18" t="n">
        <f aca="false">IF(OR(A1315="",B1315=""),0,IF(COUNTIFS(A$2:A1315,A1315,B$2:B1315,B1315)=1,1,0))</f>
        <v>0</v>
      </c>
    </row>
    <row r="1316" customFormat="false" ht="15" hidden="false" customHeight="false" outlineLevel="0" collapsed="false">
      <c r="A1316" s="15"/>
      <c r="B1316" s="15"/>
      <c r="C1316" s="15"/>
      <c r="D1316" s="15"/>
      <c r="F1316" s="18" t="str">
        <f aca="false">IF(B1316="","",IFERROR(INDEX(Materials!$B$2:$B$201,MATCH(B1316,Materials!$A$2:$A$201,0)),""))</f>
        <v/>
      </c>
      <c r="G1316" s="18" t="str">
        <f aca="true">IF(AND(A1316="",B1316=""),"",IF(A1316="","Missing product",IF(B1316="","Missing material",IF(COUNTIF(ProductList,A1316)=0,"Product not in Products list",IF(COUNTIF(MaterialList,B1316)=0,"Material not in Materials list","OK")))))</f>
        <v/>
      </c>
      <c r="H1316" s="18" t="str">
        <f aca="false">IF(F1316="Active",A1316&amp;"|"&amp;COUNTIFS(A$2:A1316,A1316,F$2:F1316,"Active"),"")</f>
        <v/>
      </c>
      <c r="I1316" s="18" t="str">
        <f aca="false">IF(B1316="","",IF(SUMPRODUCT(MAX((A$1:A1315=A1316)*(B$1:B1315=B1316)*ROW(A$1:A1315)))=0,C1316&amp;"",IF(C1316="",INDEX(I$1:I1315,SUMPRODUCT(MAX((A$1:A1315=A1316)*(B$1:B1315=B1316)*ROW(A$1:A1315)))),IF(INDEX(I$1:I1315,SUMPRODUCT(MAX((A$1:A1315=A1316)*(B$1:B1315=B1316)*ROW(A$1:A1315))))="",C1316&amp;"",INDEX(I$1:I1315,SUMPRODUCT(MAX((A$1:A1315=A1316)*(B$1:B1315=B1316)*ROW(A$1:A1315))))&amp;"; "&amp;C1316))))</f>
        <v/>
      </c>
      <c r="J1316" s="18" t="str">
        <f aca="false">IF(A1316="","",A1316&amp;"|"&amp;COUNTIF(A$2:A1316,A1316))</f>
        <v/>
      </c>
      <c r="K1316" s="18" t="n">
        <f aca="false">IF(OR(A1316="",B1316=""),0,IF(COUNTIFS(A$2:A1316,A1316,B$2:B1316,B1316)=1,1,0))</f>
        <v>0</v>
      </c>
    </row>
    <row r="1317" customFormat="false" ht="15" hidden="false" customHeight="false" outlineLevel="0" collapsed="false">
      <c r="A1317" s="15"/>
      <c r="B1317" s="15"/>
      <c r="C1317" s="15"/>
      <c r="D1317" s="15"/>
      <c r="F1317" s="18" t="str">
        <f aca="false">IF(B1317="","",IFERROR(INDEX(Materials!$B$2:$B$201,MATCH(B1317,Materials!$A$2:$A$201,0)),""))</f>
        <v/>
      </c>
      <c r="G1317" s="18" t="str">
        <f aca="true">IF(AND(A1317="",B1317=""),"",IF(A1317="","Missing product",IF(B1317="","Missing material",IF(COUNTIF(ProductList,A1317)=0,"Product not in Products list",IF(COUNTIF(MaterialList,B1317)=0,"Material not in Materials list","OK")))))</f>
        <v/>
      </c>
      <c r="H1317" s="18" t="str">
        <f aca="false">IF(F1317="Active",A1317&amp;"|"&amp;COUNTIFS(A$2:A1317,A1317,F$2:F1317,"Active"),"")</f>
        <v/>
      </c>
      <c r="I1317" s="18" t="str">
        <f aca="false">IF(B1317="","",IF(SUMPRODUCT(MAX((A$1:A1316=A1317)*(B$1:B1316=B1317)*ROW(A$1:A1316)))=0,C1317&amp;"",IF(C1317="",INDEX(I$1:I1316,SUMPRODUCT(MAX((A$1:A1316=A1317)*(B$1:B1316=B1317)*ROW(A$1:A1316)))),IF(INDEX(I$1:I1316,SUMPRODUCT(MAX((A$1:A1316=A1317)*(B$1:B1316=B1317)*ROW(A$1:A1316))))="",C1317&amp;"",INDEX(I$1:I1316,SUMPRODUCT(MAX((A$1:A1316=A1317)*(B$1:B1316=B1317)*ROW(A$1:A1316))))&amp;"; "&amp;C1317))))</f>
        <v/>
      </c>
      <c r="J1317" s="18" t="str">
        <f aca="false">IF(A1317="","",A1317&amp;"|"&amp;COUNTIF(A$2:A1317,A1317))</f>
        <v/>
      </c>
      <c r="K1317" s="18" t="n">
        <f aca="false">IF(OR(A1317="",B1317=""),0,IF(COUNTIFS(A$2:A1317,A1317,B$2:B1317,B1317)=1,1,0))</f>
        <v>0</v>
      </c>
    </row>
    <row r="1318" customFormat="false" ht="15" hidden="false" customHeight="false" outlineLevel="0" collapsed="false">
      <c r="A1318" s="15"/>
      <c r="B1318" s="15"/>
      <c r="C1318" s="15"/>
      <c r="D1318" s="15"/>
      <c r="F1318" s="18" t="str">
        <f aca="false">IF(B1318="","",IFERROR(INDEX(Materials!$B$2:$B$201,MATCH(B1318,Materials!$A$2:$A$201,0)),""))</f>
        <v/>
      </c>
      <c r="G1318" s="18" t="str">
        <f aca="true">IF(AND(A1318="",B1318=""),"",IF(A1318="","Missing product",IF(B1318="","Missing material",IF(COUNTIF(ProductList,A1318)=0,"Product not in Products list",IF(COUNTIF(MaterialList,B1318)=0,"Material not in Materials list","OK")))))</f>
        <v/>
      </c>
      <c r="H1318" s="18" t="str">
        <f aca="false">IF(F1318="Active",A1318&amp;"|"&amp;COUNTIFS(A$2:A1318,A1318,F$2:F1318,"Active"),"")</f>
        <v/>
      </c>
      <c r="I1318" s="18" t="str">
        <f aca="false">IF(B1318="","",IF(SUMPRODUCT(MAX((A$1:A1317=A1318)*(B$1:B1317=B1318)*ROW(A$1:A1317)))=0,C1318&amp;"",IF(C1318="",INDEX(I$1:I1317,SUMPRODUCT(MAX((A$1:A1317=A1318)*(B$1:B1317=B1318)*ROW(A$1:A1317)))),IF(INDEX(I$1:I1317,SUMPRODUCT(MAX((A$1:A1317=A1318)*(B$1:B1317=B1318)*ROW(A$1:A1317))))="",C1318&amp;"",INDEX(I$1:I1317,SUMPRODUCT(MAX((A$1:A1317=A1318)*(B$1:B1317=B1318)*ROW(A$1:A1317))))&amp;"; "&amp;C1318))))</f>
        <v/>
      </c>
      <c r="J1318" s="18" t="str">
        <f aca="false">IF(A1318="","",A1318&amp;"|"&amp;COUNTIF(A$2:A1318,A1318))</f>
        <v/>
      </c>
      <c r="K1318" s="18" t="n">
        <f aca="false">IF(OR(A1318="",B1318=""),0,IF(COUNTIFS(A$2:A1318,A1318,B$2:B1318,B1318)=1,1,0))</f>
        <v>0</v>
      </c>
    </row>
    <row r="1319" customFormat="false" ht="15" hidden="false" customHeight="false" outlineLevel="0" collapsed="false">
      <c r="A1319" s="15"/>
      <c r="B1319" s="15"/>
      <c r="C1319" s="15"/>
      <c r="D1319" s="15"/>
      <c r="F1319" s="18" t="str">
        <f aca="false">IF(B1319="","",IFERROR(INDEX(Materials!$B$2:$B$201,MATCH(B1319,Materials!$A$2:$A$201,0)),""))</f>
        <v/>
      </c>
      <c r="G1319" s="18" t="str">
        <f aca="true">IF(AND(A1319="",B1319=""),"",IF(A1319="","Missing product",IF(B1319="","Missing material",IF(COUNTIF(ProductList,A1319)=0,"Product not in Products list",IF(COUNTIF(MaterialList,B1319)=0,"Material not in Materials list","OK")))))</f>
        <v/>
      </c>
      <c r="H1319" s="18" t="str">
        <f aca="false">IF(F1319="Active",A1319&amp;"|"&amp;COUNTIFS(A$2:A1319,A1319,F$2:F1319,"Active"),"")</f>
        <v/>
      </c>
      <c r="I1319" s="18" t="str">
        <f aca="false">IF(B1319="","",IF(SUMPRODUCT(MAX((A$1:A1318=A1319)*(B$1:B1318=B1319)*ROW(A$1:A1318)))=0,C1319&amp;"",IF(C1319="",INDEX(I$1:I1318,SUMPRODUCT(MAX((A$1:A1318=A1319)*(B$1:B1318=B1319)*ROW(A$1:A1318)))),IF(INDEX(I$1:I1318,SUMPRODUCT(MAX((A$1:A1318=A1319)*(B$1:B1318=B1319)*ROW(A$1:A1318))))="",C1319&amp;"",INDEX(I$1:I1318,SUMPRODUCT(MAX((A$1:A1318=A1319)*(B$1:B1318=B1319)*ROW(A$1:A1318))))&amp;"; "&amp;C1319))))</f>
        <v/>
      </c>
      <c r="J1319" s="18" t="str">
        <f aca="false">IF(A1319="","",A1319&amp;"|"&amp;COUNTIF(A$2:A1319,A1319))</f>
        <v/>
      </c>
      <c r="K1319" s="18" t="n">
        <f aca="false">IF(OR(A1319="",B1319=""),0,IF(COUNTIFS(A$2:A1319,A1319,B$2:B1319,B1319)=1,1,0))</f>
        <v>0</v>
      </c>
    </row>
    <row r="1320" customFormat="false" ht="15" hidden="false" customHeight="false" outlineLevel="0" collapsed="false">
      <c r="A1320" s="15"/>
      <c r="B1320" s="15"/>
      <c r="C1320" s="15"/>
      <c r="D1320" s="15"/>
      <c r="F1320" s="18" t="str">
        <f aca="false">IF(B1320="","",IFERROR(INDEX(Materials!$B$2:$B$201,MATCH(B1320,Materials!$A$2:$A$201,0)),""))</f>
        <v/>
      </c>
      <c r="G1320" s="18" t="str">
        <f aca="true">IF(AND(A1320="",B1320=""),"",IF(A1320="","Missing product",IF(B1320="","Missing material",IF(COUNTIF(ProductList,A1320)=0,"Product not in Products list",IF(COUNTIF(MaterialList,B1320)=0,"Material not in Materials list","OK")))))</f>
        <v/>
      </c>
      <c r="H1320" s="18" t="str">
        <f aca="false">IF(F1320="Active",A1320&amp;"|"&amp;COUNTIFS(A$2:A1320,A1320,F$2:F1320,"Active"),"")</f>
        <v/>
      </c>
      <c r="I1320" s="18" t="str">
        <f aca="false">IF(B1320="","",IF(SUMPRODUCT(MAX((A$1:A1319=A1320)*(B$1:B1319=B1320)*ROW(A$1:A1319)))=0,C1320&amp;"",IF(C1320="",INDEX(I$1:I1319,SUMPRODUCT(MAX((A$1:A1319=A1320)*(B$1:B1319=B1320)*ROW(A$1:A1319)))),IF(INDEX(I$1:I1319,SUMPRODUCT(MAX((A$1:A1319=A1320)*(B$1:B1319=B1320)*ROW(A$1:A1319))))="",C1320&amp;"",INDEX(I$1:I1319,SUMPRODUCT(MAX((A$1:A1319=A1320)*(B$1:B1319=B1320)*ROW(A$1:A1319))))&amp;"; "&amp;C1320))))</f>
        <v/>
      </c>
      <c r="J1320" s="18" t="str">
        <f aca="false">IF(A1320="","",A1320&amp;"|"&amp;COUNTIF(A$2:A1320,A1320))</f>
        <v/>
      </c>
      <c r="K1320" s="18" t="n">
        <f aca="false">IF(OR(A1320="",B1320=""),0,IF(COUNTIFS(A$2:A1320,A1320,B$2:B1320,B1320)=1,1,0))</f>
        <v>0</v>
      </c>
    </row>
    <row r="1321" customFormat="false" ht="15" hidden="false" customHeight="false" outlineLevel="0" collapsed="false">
      <c r="A1321" s="15"/>
      <c r="B1321" s="15"/>
      <c r="C1321" s="15"/>
      <c r="D1321" s="15"/>
      <c r="F1321" s="18" t="str">
        <f aca="false">IF(B1321="","",IFERROR(INDEX(Materials!$B$2:$B$201,MATCH(B1321,Materials!$A$2:$A$201,0)),""))</f>
        <v/>
      </c>
      <c r="G1321" s="18" t="str">
        <f aca="true">IF(AND(A1321="",B1321=""),"",IF(A1321="","Missing product",IF(B1321="","Missing material",IF(COUNTIF(ProductList,A1321)=0,"Product not in Products list",IF(COUNTIF(MaterialList,B1321)=0,"Material not in Materials list","OK")))))</f>
        <v/>
      </c>
      <c r="H1321" s="18" t="str">
        <f aca="false">IF(F1321="Active",A1321&amp;"|"&amp;COUNTIFS(A$2:A1321,A1321,F$2:F1321,"Active"),"")</f>
        <v/>
      </c>
      <c r="I1321" s="18" t="str">
        <f aca="false">IF(B1321="","",IF(SUMPRODUCT(MAX((A$1:A1320=A1321)*(B$1:B1320=B1321)*ROW(A$1:A1320)))=0,C1321&amp;"",IF(C1321="",INDEX(I$1:I1320,SUMPRODUCT(MAX((A$1:A1320=A1321)*(B$1:B1320=B1321)*ROW(A$1:A1320)))),IF(INDEX(I$1:I1320,SUMPRODUCT(MAX((A$1:A1320=A1321)*(B$1:B1320=B1321)*ROW(A$1:A1320))))="",C1321&amp;"",INDEX(I$1:I1320,SUMPRODUCT(MAX((A$1:A1320=A1321)*(B$1:B1320=B1321)*ROW(A$1:A1320))))&amp;"; "&amp;C1321))))</f>
        <v/>
      </c>
      <c r="J1321" s="18" t="str">
        <f aca="false">IF(A1321="","",A1321&amp;"|"&amp;COUNTIF(A$2:A1321,A1321))</f>
        <v/>
      </c>
      <c r="K1321" s="18" t="n">
        <f aca="false">IF(OR(A1321="",B1321=""),0,IF(COUNTIFS(A$2:A1321,A1321,B$2:B1321,B1321)=1,1,0))</f>
        <v>0</v>
      </c>
    </row>
    <row r="1322" customFormat="false" ht="15" hidden="false" customHeight="false" outlineLevel="0" collapsed="false">
      <c r="A1322" s="15"/>
      <c r="B1322" s="15"/>
      <c r="C1322" s="15"/>
      <c r="D1322" s="15"/>
      <c r="F1322" s="18" t="str">
        <f aca="false">IF(B1322="","",IFERROR(INDEX(Materials!$B$2:$B$201,MATCH(B1322,Materials!$A$2:$A$201,0)),""))</f>
        <v/>
      </c>
      <c r="G1322" s="18" t="str">
        <f aca="true">IF(AND(A1322="",B1322=""),"",IF(A1322="","Missing product",IF(B1322="","Missing material",IF(COUNTIF(ProductList,A1322)=0,"Product not in Products list",IF(COUNTIF(MaterialList,B1322)=0,"Material not in Materials list","OK")))))</f>
        <v/>
      </c>
      <c r="H1322" s="18" t="str">
        <f aca="false">IF(F1322="Active",A1322&amp;"|"&amp;COUNTIFS(A$2:A1322,A1322,F$2:F1322,"Active"),"")</f>
        <v/>
      </c>
      <c r="I1322" s="18" t="str">
        <f aca="false">IF(B1322="","",IF(SUMPRODUCT(MAX((A$1:A1321=A1322)*(B$1:B1321=B1322)*ROW(A$1:A1321)))=0,C1322&amp;"",IF(C1322="",INDEX(I$1:I1321,SUMPRODUCT(MAX((A$1:A1321=A1322)*(B$1:B1321=B1322)*ROW(A$1:A1321)))),IF(INDEX(I$1:I1321,SUMPRODUCT(MAX((A$1:A1321=A1322)*(B$1:B1321=B1322)*ROW(A$1:A1321))))="",C1322&amp;"",INDEX(I$1:I1321,SUMPRODUCT(MAX((A$1:A1321=A1322)*(B$1:B1321=B1322)*ROW(A$1:A1321))))&amp;"; "&amp;C1322))))</f>
        <v/>
      </c>
      <c r="J1322" s="18" t="str">
        <f aca="false">IF(A1322="","",A1322&amp;"|"&amp;COUNTIF(A$2:A1322,A1322))</f>
        <v/>
      </c>
      <c r="K1322" s="18" t="n">
        <f aca="false">IF(OR(A1322="",B1322=""),0,IF(COUNTIFS(A$2:A1322,A1322,B$2:B1322,B1322)=1,1,0))</f>
        <v>0</v>
      </c>
    </row>
    <row r="1323" customFormat="false" ht="15" hidden="false" customHeight="false" outlineLevel="0" collapsed="false">
      <c r="A1323" s="15"/>
      <c r="B1323" s="15"/>
      <c r="C1323" s="15"/>
      <c r="D1323" s="15"/>
      <c r="F1323" s="18" t="str">
        <f aca="false">IF(B1323="","",IFERROR(INDEX(Materials!$B$2:$B$201,MATCH(B1323,Materials!$A$2:$A$201,0)),""))</f>
        <v/>
      </c>
      <c r="G1323" s="18" t="str">
        <f aca="true">IF(AND(A1323="",B1323=""),"",IF(A1323="","Missing product",IF(B1323="","Missing material",IF(COUNTIF(ProductList,A1323)=0,"Product not in Products list",IF(COUNTIF(MaterialList,B1323)=0,"Material not in Materials list","OK")))))</f>
        <v/>
      </c>
      <c r="H1323" s="18" t="str">
        <f aca="false">IF(F1323="Active",A1323&amp;"|"&amp;COUNTIFS(A$2:A1323,A1323,F$2:F1323,"Active"),"")</f>
        <v/>
      </c>
      <c r="I1323" s="18" t="str">
        <f aca="false">IF(B1323="","",IF(SUMPRODUCT(MAX((A$1:A1322=A1323)*(B$1:B1322=B1323)*ROW(A$1:A1322)))=0,C1323&amp;"",IF(C1323="",INDEX(I$1:I1322,SUMPRODUCT(MAX((A$1:A1322=A1323)*(B$1:B1322=B1323)*ROW(A$1:A1322)))),IF(INDEX(I$1:I1322,SUMPRODUCT(MAX((A$1:A1322=A1323)*(B$1:B1322=B1323)*ROW(A$1:A1322))))="",C1323&amp;"",INDEX(I$1:I1322,SUMPRODUCT(MAX((A$1:A1322=A1323)*(B$1:B1322=B1323)*ROW(A$1:A1322))))&amp;"; "&amp;C1323))))</f>
        <v/>
      </c>
      <c r="J1323" s="18" t="str">
        <f aca="false">IF(A1323="","",A1323&amp;"|"&amp;COUNTIF(A$2:A1323,A1323))</f>
        <v/>
      </c>
      <c r="K1323" s="18" t="n">
        <f aca="false">IF(OR(A1323="",B1323=""),0,IF(COUNTIFS(A$2:A1323,A1323,B$2:B1323,B1323)=1,1,0))</f>
        <v>0</v>
      </c>
    </row>
    <row r="1324" customFormat="false" ht="15" hidden="false" customHeight="false" outlineLevel="0" collapsed="false">
      <c r="A1324" s="15"/>
      <c r="B1324" s="15"/>
      <c r="C1324" s="15"/>
      <c r="D1324" s="15"/>
      <c r="F1324" s="18" t="str">
        <f aca="false">IF(B1324="","",IFERROR(INDEX(Materials!$B$2:$B$201,MATCH(B1324,Materials!$A$2:$A$201,0)),""))</f>
        <v/>
      </c>
      <c r="G1324" s="18" t="str">
        <f aca="true">IF(AND(A1324="",B1324=""),"",IF(A1324="","Missing product",IF(B1324="","Missing material",IF(COUNTIF(ProductList,A1324)=0,"Product not in Products list",IF(COUNTIF(MaterialList,B1324)=0,"Material not in Materials list","OK")))))</f>
        <v/>
      </c>
      <c r="H1324" s="18" t="str">
        <f aca="false">IF(F1324="Active",A1324&amp;"|"&amp;COUNTIFS(A$2:A1324,A1324,F$2:F1324,"Active"),"")</f>
        <v/>
      </c>
      <c r="I1324" s="18" t="str">
        <f aca="false">IF(B1324="","",IF(SUMPRODUCT(MAX((A$1:A1323=A1324)*(B$1:B1323=B1324)*ROW(A$1:A1323)))=0,C1324&amp;"",IF(C1324="",INDEX(I$1:I1323,SUMPRODUCT(MAX((A$1:A1323=A1324)*(B$1:B1323=B1324)*ROW(A$1:A1323)))),IF(INDEX(I$1:I1323,SUMPRODUCT(MAX((A$1:A1323=A1324)*(B$1:B1323=B1324)*ROW(A$1:A1323))))="",C1324&amp;"",INDEX(I$1:I1323,SUMPRODUCT(MAX((A$1:A1323=A1324)*(B$1:B1323=B1324)*ROW(A$1:A1323))))&amp;"; "&amp;C1324))))</f>
        <v/>
      </c>
      <c r="J1324" s="18" t="str">
        <f aca="false">IF(A1324="","",A1324&amp;"|"&amp;COUNTIF(A$2:A1324,A1324))</f>
        <v/>
      </c>
      <c r="K1324" s="18" t="n">
        <f aca="false">IF(OR(A1324="",B1324=""),0,IF(COUNTIFS(A$2:A1324,A1324,B$2:B1324,B1324)=1,1,0))</f>
        <v>0</v>
      </c>
    </row>
    <row r="1325" customFormat="false" ht="15" hidden="false" customHeight="false" outlineLevel="0" collapsed="false">
      <c r="A1325" s="15"/>
      <c r="B1325" s="15"/>
      <c r="C1325" s="15"/>
      <c r="D1325" s="15"/>
      <c r="F1325" s="18" t="str">
        <f aca="false">IF(B1325="","",IFERROR(INDEX(Materials!$B$2:$B$201,MATCH(B1325,Materials!$A$2:$A$201,0)),""))</f>
        <v/>
      </c>
      <c r="G1325" s="18" t="str">
        <f aca="true">IF(AND(A1325="",B1325=""),"",IF(A1325="","Missing product",IF(B1325="","Missing material",IF(COUNTIF(ProductList,A1325)=0,"Product not in Products list",IF(COUNTIF(MaterialList,B1325)=0,"Material not in Materials list","OK")))))</f>
        <v/>
      </c>
      <c r="H1325" s="18" t="str">
        <f aca="false">IF(F1325="Active",A1325&amp;"|"&amp;COUNTIFS(A$2:A1325,A1325,F$2:F1325,"Active"),"")</f>
        <v/>
      </c>
      <c r="I1325" s="18" t="str">
        <f aca="false">IF(B1325="","",IF(SUMPRODUCT(MAX((A$1:A1324=A1325)*(B$1:B1324=B1325)*ROW(A$1:A1324)))=0,C1325&amp;"",IF(C1325="",INDEX(I$1:I1324,SUMPRODUCT(MAX((A$1:A1324=A1325)*(B$1:B1324=B1325)*ROW(A$1:A1324)))),IF(INDEX(I$1:I1324,SUMPRODUCT(MAX((A$1:A1324=A1325)*(B$1:B1324=B1325)*ROW(A$1:A1324))))="",C1325&amp;"",INDEX(I$1:I1324,SUMPRODUCT(MAX((A$1:A1324=A1325)*(B$1:B1324=B1325)*ROW(A$1:A1324))))&amp;"; "&amp;C1325))))</f>
        <v/>
      </c>
      <c r="J1325" s="18" t="str">
        <f aca="false">IF(A1325="","",A1325&amp;"|"&amp;COUNTIF(A$2:A1325,A1325))</f>
        <v/>
      </c>
      <c r="K1325" s="18" t="n">
        <f aca="false">IF(OR(A1325="",B1325=""),0,IF(COUNTIFS(A$2:A1325,A1325,B$2:B1325,B1325)=1,1,0))</f>
        <v>0</v>
      </c>
    </row>
    <row r="1326" customFormat="false" ht="15" hidden="false" customHeight="false" outlineLevel="0" collapsed="false">
      <c r="A1326" s="15"/>
      <c r="B1326" s="15"/>
      <c r="C1326" s="15"/>
      <c r="D1326" s="15"/>
      <c r="F1326" s="18" t="str">
        <f aca="false">IF(B1326="","",IFERROR(INDEX(Materials!$B$2:$B$201,MATCH(B1326,Materials!$A$2:$A$201,0)),""))</f>
        <v/>
      </c>
      <c r="G1326" s="18" t="str">
        <f aca="true">IF(AND(A1326="",B1326=""),"",IF(A1326="","Missing product",IF(B1326="","Missing material",IF(COUNTIF(ProductList,A1326)=0,"Product not in Products list",IF(COUNTIF(MaterialList,B1326)=0,"Material not in Materials list","OK")))))</f>
        <v/>
      </c>
      <c r="H1326" s="18" t="str">
        <f aca="false">IF(F1326="Active",A1326&amp;"|"&amp;COUNTIFS(A$2:A1326,A1326,F$2:F1326,"Active"),"")</f>
        <v/>
      </c>
      <c r="I1326" s="18" t="str">
        <f aca="false">IF(B1326="","",IF(SUMPRODUCT(MAX((A$1:A1325=A1326)*(B$1:B1325=B1326)*ROW(A$1:A1325)))=0,C1326&amp;"",IF(C1326="",INDEX(I$1:I1325,SUMPRODUCT(MAX((A$1:A1325=A1326)*(B$1:B1325=B1326)*ROW(A$1:A1325)))),IF(INDEX(I$1:I1325,SUMPRODUCT(MAX((A$1:A1325=A1326)*(B$1:B1325=B1326)*ROW(A$1:A1325))))="",C1326&amp;"",INDEX(I$1:I1325,SUMPRODUCT(MAX((A$1:A1325=A1326)*(B$1:B1325=B1326)*ROW(A$1:A1325))))&amp;"; "&amp;C1326))))</f>
        <v/>
      </c>
      <c r="J1326" s="18" t="str">
        <f aca="false">IF(A1326="","",A1326&amp;"|"&amp;COUNTIF(A$2:A1326,A1326))</f>
        <v/>
      </c>
      <c r="K1326" s="18" t="n">
        <f aca="false">IF(OR(A1326="",B1326=""),0,IF(COUNTIFS(A$2:A1326,A1326,B$2:B1326,B1326)=1,1,0))</f>
        <v>0</v>
      </c>
    </row>
    <row r="1327" customFormat="false" ht="15" hidden="false" customHeight="false" outlineLevel="0" collapsed="false">
      <c r="A1327" s="15"/>
      <c r="B1327" s="15"/>
      <c r="C1327" s="15"/>
      <c r="D1327" s="15"/>
      <c r="F1327" s="18" t="str">
        <f aca="false">IF(B1327="","",IFERROR(INDEX(Materials!$B$2:$B$201,MATCH(B1327,Materials!$A$2:$A$201,0)),""))</f>
        <v/>
      </c>
      <c r="G1327" s="18" t="str">
        <f aca="true">IF(AND(A1327="",B1327=""),"",IF(A1327="","Missing product",IF(B1327="","Missing material",IF(COUNTIF(ProductList,A1327)=0,"Product not in Products list",IF(COUNTIF(MaterialList,B1327)=0,"Material not in Materials list","OK")))))</f>
        <v/>
      </c>
      <c r="H1327" s="18" t="str">
        <f aca="false">IF(F1327="Active",A1327&amp;"|"&amp;COUNTIFS(A$2:A1327,A1327,F$2:F1327,"Active"),"")</f>
        <v/>
      </c>
      <c r="I1327" s="18" t="str">
        <f aca="false">IF(B1327="","",IF(SUMPRODUCT(MAX((A$1:A1326=A1327)*(B$1:B1326=B1327)*ROW(A$1:A1326)))=0,C1327&amp;"",IF(C1327="",INDEX(I$1:I1326,SUMPRODUCT(MAX((A$1:A1326=A1327)*(B$1:B1326=B1327)*ROW(A$1:A1326)))),IF(INDEX(I$1:I1326,SUMPRODUCT(MAX((A$1:A1326=A1327)*(B$1:B1326=B1327)*ROW(A$1:A1326))))="",C1327&amp;"",INDEX(I$1:I1326,SUMPRODUCT(MAX((A$1:A1326=A1327)*(B$1:B1326=B1327)*ROW(A$1:A1326))))&amp;"; "&amp;C1327))))</f>
        <v/>
      </c>
      <c r="J1327" s="18" t="str">
        <f aca="false">IF(A1327="","",A1327&amp;"|"&amp;COUNTIF(A$2:A1327,A1327))</f>
        <v/>
      </c>
      <c r="K1327" s="18" t="n">
        <f aca="false">IF(OR(A1327="",B1327=""),0,IF(COUNTIFS(A$2:A1327,A1327,B$2:B1327,B1327)=1,1,0))</f>
        <v>0</v>
      </c>
    </row>
    <row r="1328" customFormat="false" ht="15" hidden="false" customHeight="false" outlineLevel="0" collapsed="false">
      <c r="A1328" s="15"/>
      <c r="B1328" s="15"/>
      <c r="C1328" s="15"/>
      <c r="D1328" s="15"/>
      <c r="F1328" s="18" t="str">
        <f aca="false">IF(B1328="","",IFERROR(INDEX(Materials!$B$2:$B$201,MATCH(B1328,Materials!$A$2:$A$201,0)),""))</f>
        <v/>
      </c>
      <c r="G1328" s="18" t="str">
        <f aca="true">IF(AND(A1328="",B1328=""),"",IF(A1328="","Missing product",IF(B1328="","Missing material",IF(COUNTIF(ProductList,A1328)=0,"Product not in Products list",IF(COUNTIF(MaterialList,B1328)=0,"Material not in Materials list","OK")))))</f>
        <v/>
      </c>
      <c r="H1328" s="18" t="str">
        <f aca="false">IF(F1328="Active",A1328&amp;"|"&amp;COUNTIFS(A$2:A1328,A1328,F$2:F1328,"Active"),"")</f>
        <v/>
      </c>
      <c r="I1328" s="18" t="str">
        <f aca="false">IF(B1328="","",IF(SUMPRODUCT(MAX((A$1:A1327=A1328)*(B$1:B1327=B1328)*ROW(A$1:A1327)))=0,C1328&amp;"",IF(C1328="",INDEX(I$1:I1327,SUMPRODUCT(MAX((A$1:A1327=A1328)*(B$1:B1327=B1328)*ROW(A$1:A1327)))),IF(INDEX(I$1:I1327,SUMPRODUCT(MAX((A$1:A1327=A1328)*(B$1:B1327=B1328)*ROW(A$1:A1327))))="",C1328&amp;"",INDEX(I$1:I1327,SUMPRODUCT(MAX((A$1:A1327=A1328)*(B$1:B1327=B1328)*ROW(A$1:A1327))))&amp;"; "&amp;C1328))))</f>
        <v/>
      </c>
      <c r="J1328" s="18" t="str">
        <f aca="false">IF(A1328="","",A1328&amp;"|"&amp;COUNTIF(A$2:A1328,A1328))</f>
        <v/>
      </c>
      <c r="K1328" s="18" t="n">
        <f aca="false">IF(OR(A1328="",B1328=""),0,IF(COUNTIFS(A$2:A1328,A1328,B$2:B1328,B1328)=1,1,0))</f>
        <v>0</v>
      </c>
    </row>
    <row r="1329" customFormat="false" ht="15" hidden="false" customHeight="false" outlineLevel="0" collapsed="false">
      <c r="A1329" s="15"/>
      <c r="B1329" s="15"/>
      <c r="C1329" s="15"/>
      <c r="D1329" s="15"/>
      <c r="F1329" s="18" t="str">
        <f aca="false">IF(B1329="","",IFERROR(INDEX(Materials!$B$2:$B$201,MATCH(B1329,Materials!$A$2:$A$201,0)),""))</f>
        <v/>
      </c>
      <c r="G1329" s="18" t="str">
        <f aca="true">IF(AND(A1329="",B1329=""),"",IF(A1329="","Missing product",IF(B1329="","Missing material",IF(COUNTIF(ProductList,A1329)=0,"Product not in Products list",IF(COUNTIF(MaterialList,B1329)=0,"Material not in Materials list","OK")))))</f>
        <v/>
      </c>
      <c r="H1329" s="18" t="str">
        <f aca="false">IF(F1329="Active",A1329&amp;"|"&amp;COUNTIFS(A$2:A1329,A1329,F$2:F1329,"Active"),"")</f>
        <v/>
      </c>
      <c r="I1329" s="18" t="str">
        <f aca="false">IF(B1329="","",IF(SUMPRODUCT(MAX((A$1:A1328=A1329)*(B$1:B1328=B1329)*ROW(A$1:A1328)))=0,C1329&amp;"",IF(C1329="",INDEX(I$1:I1328,SUMPRODUCT(MAX((A$1:A1328=A1329)*(B$1:B1328=B1329)*ROW(A$1:A1328)))),IF(INDEX(I$1:I1328,SUMPRODUCT(MAX((A$1:A1328=A1329)*(B$1:B1328=B1329)*ROW(A$1:A1328))))="",C1329&amp;"",INDEX(I$1:I1328,SUMPRODUCT(MAX((A$1:A1328=A1329)*(B$1:B1328=B1329)*ROW(A$1:A1328))))&amp;"; "&amp;C1329))))</f>
        <v/>
      </c>
      <c r="J1329" s="18" t="str">
        <f aca="false">IF(A1329="","",A1329&amp;"|"&amp;COUNTIF(A$2:A1329,A1329))</f>
        <v/>
      </c>
      <c r="K1329" s="18" t="n">
        <f aca="false">IF(OR(A1329="",B1329=""),0,IF(COUNTIFS(A$2:A1329,A1329,B$2:B1329,B1329)=1,1,0))</f>
        <v>0</v>
      </c>
    </row>
    <row r="1330" customFormat="false" ht="15" hidden="false" customHeight="false" outlineLevel="0" collapsed="false">
      <c r="A1330" s="15"/>
      <c r="B1330" s="15"/>
      <c r="C1330" s="15"/>
      <c r="D1330" s="15"/>
      <c r="F1330" s="18" t="str">
        <f aca="false">IF(B1330="","",IFERROR(INDEX(Materials!$B$2:$B$201,MATCH(B1330,Materials!$A$2:$A$201,0)),""))</f>
        <v/>
      </c>
      <c r="G1330" s="18" t="str">
        <f aca="true">IF(AND(A1330="",B1330=""),"",IF(A1330="","Missing product",IF(B1330="","Missing material",IF(COUNTIF(ProductList,A1330)=0,"Product not in Products list",IF(COUNTIF(MaterialList,B1330)=0,"Material not in Materials list","OK")))))</f>
        <v/>
      </c>
      <c r="H1330" s="18" t="str">
        <f aca="false">IF(F1330="Active",A1330&amp;"|"&amp;COUNTIFS(A$2:A1330,A1330,F$2:F1330,"Active"),"")</f>
        <v/>
      </c>
      <c r="I1330" s="18" t="str">
        <f aca="false">IF(B1330="","",IF(SUMPRODUCT(MAX((A$1:A1329=A1330)*(B$1:B1329=B1330)*ROW(A$1:A1329)))=0,C1330&amp;"",IF(C1330="",INDEX(I$1:I1329,SUMPRODUCT(MAX((A$1:A1329=A1330)*(B$1:B1329=B1330)*ROW(A$1:A1329)))),IF(INDEX(I$1:I1329,SUMPRODUCT(MAX((A$1:A1329=A1330)*(B$1:B1329=B1330)*ROW(A$1:A1329))))="",C1330&amp;"",INDEX(I$1:I1329,SUMPRODUCT(MAX((A$1:A1329=A1330)*(B$1:B1329=B1330)*ROW(A$1:A1329))))&amp;"; "&amp;C1330))))</f>
        <v/>
      </c>
      <c r="J1330" s="18" t="str">
        <f aca="false">IF(A1330="","",A1330&amp;"|"&amp;COUNTIF(A$2:A1330,A1330))</f>
        <v/>
      </c>
      <c r="K1330" s="18" t="n">
        <f aca="false">IF(OR(A1330="",B1330=""),0,IF(COUNTIFS(A$2:A1330,A1330,B$2:B1330,B1330)=1,1,0))</f>
        <v>0</v>
      </c>
    </row>
    <row r="1331" customFormat="false" ht="15" hidden="false" customHeight="false" outlineLevel="0" collapsed="false">
      <c r="A1331" s="15"/>
      <c r="B1331" s="15"/>
      <c r="C1331" s="15"/>
      <c r="D1331" s="15"/>
      <c r="F1331" s="18" t="str">
        <f aca="false">IF(B1331="","",IFERROR(INDEX(Materials!$B$2:$B$201,MATCH(B1331,Materials!$A$2:$A$201,0)),""))</f>
        <v/>
      </c>
      <c r="G1331" s="18" t="str">
        <f aca="true">IF(AND(A1331="",B1331=""),"",IF(A1331="","Missing product",IF(B1331="","Missing material",IF(COUNTIF(ProductList,A1331)=0,"Product not in Products list",IF(COUNTIF(MaterialList,B1331)=0,"Material not in Materials list","OK")))))</f>
        <v/>
      </c>
      <c r="H1331" s="18" t="str">
        <f aca="false">IF(F1331="Active",A1331&amp;"|"&amp;COUNTIFS(A$2:A1331,A1331,F$2:F1331,"Active"),"")</f>
        <v/>
      </c>
      <c r="I1331" s="18" t="str">
        <f aca="false">IF(B1331="","",IF(SUMPRODUCT(MAX((A$1:A1330=A1331)*(B$1:B1330=B1331)*ROW(A$1:A1330)))=0,C1331&amp;"",IF(C1331="",INDEX(I$1:I1330,SUMPRODUCT(MAX((A$1:A1330=A1331)*(B$1:B1330=B1331)*ROW(A$1:A1330)))),IF(INDEX(I$1:I1330,SUMPRODUCT(MAX((A$1:A1330=A1331)*(B$1:B1330=B1331)*ROW(A$1:A1330))))="",C1331&amp;"",INDEX(I$1:I1330,SUMPRODUCT(MAX((A$1:A1330=A1331)*(B$1:B1330=B1331)*ROW(A$1:A1330))))&amp;"; "&amp;C1331))))</f>
        <v/>
      </c>
      <c r="J1331" s="18" t="str">
        <f aca="false">IF(A1331="","",A1331&amp;"|"&amp;COUNTIF(A$2:A1331,A1331))</f>
        <v/>
      </c>
      <c r="K1331" s="18" t="n">
        <f aca="false">IF(OR(A1331="",B1331=""),0,IF(COUNTIFS(A$2:A1331,A1331,B$2:B1331,B1331)=1,1,0))</f>
        <v>0</v>
      </c>
    </row>
    <row r="1332" customFormat="false" ht="15" hidden="false" customHeight="false" outlineLevel="0" collapsed="false">
      <c r="A1332" s="15"/>
      <c r="B1332" s="15"/>
      <c r="C1332" s="15"/>
      <c r="D1332" s="15"/>
      <c r="F1332" s="18" t="str">
        <f aca="false">IF(B1332="","",IFERROR(INDEX(Materials!$B$2:$B$201,MATCH(B1332,Materials!$A$2:$A$201,0)),""))</f>
        <v/>
      </c>
      <c r="G1332" s="18" t="str">
        <f aca="true">IF(AND(A1332="",B1332=""),"",IF(A1332="","Missing product",IF(B1332="","Missing material",IF(COUNTIF(ProductList,A1332)=0,"Product not in Products list",IF(COUNTIF(MaterialList,B1332)=0,"Material not in Materials list","OK")))))</f>
        <v/>
      </c>
      <c r="H1332" s="18" t="str">
        <f aca="false">IF(F1332="Active",A1332&amp;"|"&amp;COUNTIFS(A$2:A1332,A1332,F$2:F1332,"Active"),"")</f>
        <v/>
      </c>
      <c r="I1332" s="18" t="str">
        <f aca="false">IF(B1332="","",IF(SUMPRODUCT(MAX((A$1:A1331=A1332)*(B$1:B1331=B1332)*ROW(A$1:A1331)))=0,C1332&amp;"",IF(C1332="",INDEX(I$1:I1331,SUMPRODUCT(MAX((A$1:A1331=A1332)*(B$1:B1331=B1332)*ROW(A$1:A1331)))),IF(INDEX(I$1:I1331,SUMPRODUCT(MAX((A$1:A1331=A1332)*(B$1:B1331=B1332)*ROW(A$1:A1331))))="",C1332&amp;"",INDEX(I$1:I1331,SUMPRODUCT(MAX((A$1:A1331=A1332)*(B$1:B1331=B1332)*ROW(A$1:A1331))))&amp;"; "&amp;C1332))))</f>
        <v/>
      </c>
      <c r="J1332" s="18" t="str">
        <f aca="false">IF(A1332="","",A1332&amp;"|"&amp;COUNTIF(A$2:A1332,A1332))</f>
        <v/>
      </c>
      <c r="K1332" s="18" t="n">
        <f aca="false">IF(OR(A1332="",B1332=""),0,IF(COUNTIFS(A$2:A1332,A1332,B$2:B1332,B1332)=1,1,0))</f>
        <v>0</v>
      </c>
    </row>
    <row r="1333" customFormat="false" ht="15" hidden="false" customHeight="false" outlineLevel="0" collapsed="false">
      <c r="A1333" s="15"/>
      <c r="B1333" s="15"/>
      <c r="C1333" s="15"/>
      <c r="D1333" s="15"/>
      <c r="F1333" s="18" t="str">
        <f aca="false">IF(B1333="","",IFERROR(INDEX(Materials!$B$2:$B$201,MATCH(B1333,Materials!$A$2:$A$201,0)),""))</f>
        <v/>
      </c>
      <c r="G1333" s="18" t="str">
        <f aca="true">IF(AND(A1333="",B1333=""),"",IF(A1333="","Missing product",IF(B1333="","Missing material",IF(COUNTIF(ProductList,A1333)=0,"Product not in Products list",IF(COUNTIF(MaterialList,B1333)=0,"Material not in Materials list","OK")))))</f>
        <v/>
      </c>
      <c r="H1333" s="18" t="str">
        <f aca="false">IF(F1333="Active",A1333&amp;"|"&amp;COUNTIFS(A$2:A1333,A1333,F$2:F1333,"Active"),"")</f>
        <v/>
      </c>
      <c r="I1333" s="18" t="str">
        <f aca="false">IF(B1333="","",IF(SUMPRODUCT(MAX((A$1:A1332=A1333)*(B$1:B1332=B1333)*ROW(A$1:A1332)))=0,C1333&amp;"",IF(C1333="",INDEX(I$1:I1332,SUMPRODUCT(MAX((A$1:A1332=A1333)*(B$1:B1332=B1333)*ROW(A$1:A1332)))),IF(INDEX(I$1:I1332,SUMPRODUCT(MAX((A$1:A1332=A1333)*(B$1:B1332=B1333)*ROW(A$1:A1332))))="",C1333&amp;"",INDEX(I$1:I1332,SUMPRODUCT(MAX((A$1:A1332=A1333)*(B$1:B1332=B1333)*ROW(A$1:A1332))))&amp;"; "&amp;C1333))))</f>
        <v/>
      </c>
      <c r="J1333" s="18" t="str">
        <f aca="false">IF(A1333="","",A1333&amp;"|"&amp;COUNTIF(A$2:A1333,A1333))</f>
        <v/>
      </c>
      <c r="K1333" s="18" t="n">
        <f aca="false">IF(OR(A1333="",B1333=""),0,IF(COUNTIFS(A$2:A1333,A1333,B$2:B1333,B1333)=1,1,0))</f>
        <v>0</v>
      </c>
    </row>
    <row r="1334" customFormat="false" ht="15" hidden="false" customHeight="false" outlineLevel="0" collapsed="false">
      <c r="A1334" s="15"/>
      <c r="B1334" s="15"/>
      <c r="C1334" s="15"/>
      <c r="D1334" s="15"/>
      <c r="F1334" s="18" t="str">
        <f aca="false">IF(B1334="","",IFERROR(INDEX(Materials!$B$2:$B$201,MATCH(B1334,Materials!$A$2:$A$201,0)),""))</f>
        <v/>
      </c>
      <c r="G1334" s="18" t="str">
        <f aca="true">IF(AND(A1334="",B1334=""),"",IF(A1334="","Missing product",IF(B1334="","Missing material",IF(COUNTIF(ProductList,A1334)=0,"Product not in Products list",IF(COUNTIF(MaterialList,B1334)=0,"Material not in Materials list","OK")))))</f>
        <v/>
      </c>
      <c r="H1334" s="18" t="str">
        <f aca="false">IF(F1334="Active",A1334&amp;"|"&amp;COUNTIFS(A$2:A1334,A1334,F$2:F1334,"Active"),"")</f>
        <v/>
      </c>
      <c r="I1334" s="18" t="str">
        <f aca="false">IF(B1334="","",IF(SUMPRODUCT(MAX((A$1:A1333=A1334)*(B$1:B1333=B1334)*ROW(A$1:A1333)))=0,C1334&amp;"",IF(C1334="",INDEX(I$1:I1333,SUMPRODUCT(MAX((A$1:A1333=A1334)*(B$1:B1333=B1334)*ROW(A$1:A1333)))),IF(INDEX(I$1:I1333,SUMPRODUCT(MAX((A$1:A1333=A1334)*(B$1:B1333=B1334)*ROW(A$1:A1333))))="",C1334&amp;"",INDEX(I$1:I1333,SUMPRODUCT(MAX((A$1:A1333=A1334)*(B$1:B1333=B1334)*ROW(A$1:A1333))))&amp;"; "&amp;C1334))))</f>
        <v/>
      </c>
      <c r="J1334" s="18" t="str">
        <f aca="false">IF(A1334="","",A1334&amp;"|"&amp;COUNTIF(A$2:A1334,A1334))</f>
        <v/>
      </c>
      <c r="K1334" s="18" t="n">
        <f aca="false">IF(OR(A1334="",B1334=""),0,IF(COUNTIFS(A$2:A1334,A1334,B$2:B1334,B1334)=1,1,0))</f>
        <v>0</v>
      </c>
    </row>
    <row r="1335" customFormat="false" ht="15" hidden="false" customHeight="false" outlineLevel="0" collapsed="false">
      <c r="A1335" s="15"/>
      <c r="B1335" s="15"/>
      <c r="C1335" s="15"/>
      <c r="D1335" s="15"/>
      <c r="F1335" s="18" t="str">
        <f aca="false">IF(B1335="","",IFERROR(INDEX(Materials!$B$2:$B$201,MATCH(B1335,Materials!$A$2:$A$201,0)),""))</f>
        <v/>
      </c>
      <c r="G1335" s="18" t="str">
        <f aca="true">IF(AND(A1335="",B1335=""),"",IF(A1335="","Missing product",IF(B1335="","Missing material",IF(COUNTIF(ProductList,A1335)=0,"Product not in Products list",IF(COUNTIF(MaterialList,B1335)=0,"Material not in Materials list","OK")))))</f>
        <v/>
      </c>
      <c r="H1335" s="18" t="str">
        <f aca="false">IF(F1335="Active",A1335&amp;"|"&amp;COUNTIFS(A$2:A1335,A1335,F$2:F1335,"Active"),"")</f>
        <v/>
      </c>
      <c r="I1335" s="18" t="str">
        <f aca="false">IF(B1335="","",IF(SUMPRODUCT(MAX((A$1:A1334=A1335)*(B$1:B1334=B1335)*ROW(A$1:A1334)))=0,C1335&amp;"",IF(C1335="",INDEX(I$1:I1334,SUMPRODUCT(MAX((A$1:A1334=A1335)*(B$1:B1334=B1335)*ROW(A$1:A1334)))),IF(INDEX(I$1:I1334,SUMPRODUCT(MAX((A$1:A1334=A1335)*(B$1:B1334=B1335)*ROW(A$1:A1334))))="",C1335&amp;"",INDEX(I$1:I1334,SUMPRODUCT(MAX((A$1:A1334=A1335)*(B$1:B1334=B1335)*ROW(A$1:A1334))))&amp;"; "&amp;C1335))))</f>
        <v/>
      </c>
      <c r="J1335" s="18" t="str">
        <f aca="false">IF(A1335="","",A1335&amp;"|"&amp;COUNTIF(A$2:A1335,A1335))</f>
        <v/>
      </c>
      <c r="K1335" s="18" t="n">
        <f aca="false">IF(OR(A1335="",B1335=""),0,IF(COUNTIFS(A$2:A1335,A1335,B$2:B1335,B1335)=1,1,0))</f>
        <v>0</v>
      </c>
    </row>
    <row r="1336" customFormat="false" ht="15" hidden="false" customHeight="false" outlineLevel="0" collapsed="false">
      <c r="A1336" s="15"/>
      <c r="B1336" s="15"/>
      <c r="C1336" s="15"/>
      <c r="D1336" s="15"/>
      <c r="F1336" s="18" t="str">
        <f aca="false">IF(B1336="","",IFERROR(INDEX(Materials!$B$2:$B$201,MATCH(B1336,Materials!$A$2:$A$201,0)),""))</f>
        <v/>
      </c>
      <c r="G1336" s="18" t="str">
        <f aca="true">IF(AND(A1336="",B1336=""),"",IF(A1336="","Missing product",IF(B1336="","Missing material",IF(COUNTIF(ProductList,A1336)=0,"Product not in Products list",IF(COUNTIF(MaterialList,B1336)=0,"Material not in Materials list","OK")))))</f>
        <v/>
      </c>
      <c r="H1336" s="18" t="str">
        <f aca="false">IF(F1336="Active",A1336&amp;"|"&amp;COUNTIFS(A$2:A1336,A1336,F$2:F1336,"Active"),"")</f>
        <v/>
      </c>
      <c r="I1336" s="18" t="str">
        <f aca="false">IF(B1336="","",IF(SUMPRODUCT(MAX((A$1:A1335=A1336)*(B$1:B1335=B1336)*ROW(A$1:A1335)))=0,C1336&amp;"",IF(C1336="",INDEX(I$1:I1335,SUMPRODUCT(MAX((A$1:A1335=A1336)*(B$1:B1335=B1336)*ROW(A$1:A1335)))),IF(INDEX(I$1:I1335,SUMPRODUCT(MAX((A$1:A1335=A1336)*(B$1:B1335=B1336)*ROW(A$1:A1335))))="",C1336&amp;"",INDEX(I$1:I1335,SUMPRODUCT(MAX((A$1:A1335=A1336)*(B$1:B1335=B1336)*ROW(A$1:A1335))))&amp;"; "&amp;C1336))))</f>
        <v/>
      </c>
      <c r="J1336" s="18" t="str">
        <f aca="false">IF(A1336="","",A1336&amp;"|"&amp;COUNTIF(A$2:A1336,A1336))</f>
        <v/>
      </c>
      <c r="K1336" s="18" t="n">
        <f aca="false">IF(OR(A1336="",B1336=""),0,IF(COUNTIFS(A$2:A1336,A1336,B$2:B1336,B1336)=1,1,0))</f>
        <v>0</v>
      </c>
    </row>
    <row r="1337" customFormat="false" ht="15" hidden="false" customHeight="false" outlineLevel="0" collapsed="false">
      <c r="A1337" s="15"/>
      <c r="B1337" s="15"/>
      <c r="C1337" s="15"/>
      <c r="D1337" s="15"/>
      <c r="F1337" s="18" t="str">
        <f aca="false">IF(B1337="","",IFERROR(INDEX(Materials!$B$2:$B$201,MATCH(B1337,Materials!$A$2:$A$201,0)),""))</f>
        <v/>
      </c>
      <c r="G1337" s="18" t="str">
        <f aca="true">IF(AND(A1337="",B1337=""),"",IF(A1337="","Missing product",IF(B1337="","Missing material",IF(COUNTIF(ProductList,A1337)=0,"Product not in Products list",IF(COUNTIF(MaterialList,B1337)=0,"Material not in Materials list","OK")))))</f>
        <v/>
      </c>
      <c r="H1337" s="18" t="str">
        <f aca="false">IF(F1337="Active",A1337&amp;"|"&amp;COUNTIFS(A$2:A1337,A1337,F$2:F1337,"Active"),"")</f>
        <v/>
      </c>
      <c r="I1337" s="18" t="str">
        <f aca="false">IF(B1337="","",IF(SUMPRODUCT(MAX((A$1:A1336=A1337)*(B$1:B1336=B1337)*ROW(A$1:A1336)))=0,C1337&amp;"",IF(C1337="",INDEX(I$1:I1336,SUMPRODUCT(MAX((A$1:A1336=A1337)*(B$1:B1336=B1337)*ROW(A$1:A1336)))),IF(INDEX(I$1:I1336,SUMPRODUCT(MAX((A$1:A1336=A1337)*(B$1:B1336=B1337)*ROW(A$1:A1336))))="",C1337&amp;"",INDEX(I$1:I1336,SUMPRODUCT(MAX((A$1:A1336=A1337)*(B$1:B1336=B1337)*ROW(A$1:A1336))))&amp;"; "&amp;C1337))))</f>
        <v/>
      </c>
      <c r="J1337" s="18" t="str">
        <f aca="false">IF(A1337="","",A1337&amp;"|"&amp;COUNTIF(A$2:A1337,A1337))</f>
        <v/>
      </c>
      <c r="K1337" s="18" t="n">
        <f aca="false">IF(OR(A1337="",B1337=""),0,IF(COUNTIFS(A$2:A1337,A1337,B$2:B1337,B1337)=1,1,0))</f>
        <v>0</v>
      </c>
    </row>
    <row r="1338" customFormat="false" ht="15" hidden="false" customHeight="false" outlineLevel="0" collapsed="false">
      <c r="A1338" s="15"/>
      <c r="B1338" s="15"/>
      <c r="C1338" s="15"/>
      <c r="D1338" s="15"/>
      <c r="F1338" s="18" t="str">
        <f aca="false">IF(B1338="","",IFERROR(INDEX(Materials!$B$2:$B$201,MATCH(B1338,Materials!$A$2:$A$201,0)),""))</f>
        <v/>
      </c>
      <c r="G1338" s="18" t="str">
        <f aca="true">IF(AND(A1338="",B1338=""),"",IF(A1338="","Missing product",IF(B1338="","Missing material",IF(COUNTIF(ProductList,A1338)=0,"Product not in Products list",IF(COUNTIF(MaterialList,B1338)=0,"Material not in Materials list","OK")))))</f>
        <v/>
      </c>
      <c r="H1338" s="18" t="str">
        <f aca="false">IF(F1338="Active",A1338&amp;"|"&amp;COUNTIFS(A$2:A1338,A1338,F$2:F1338,"Active"),"")</f>
        <v/>
      </c>
      <c r="I1338" s="18" t="str">
        <f aca="false">IF(B1338="","",IF(SUMPRODUCT(MAX((A$1:A1337=A1338)*(B$1:B1337=B1338)*ROW(A$1:A1337)))=0,C1338&amp;"",IF(C1338="",INDEX(I$1:I1337,SUMPRODUCT(MAX((A$1:A1337=A1338)*(B$1:B1337=B1338)*ROW(A$1:A1337)))),IF(INDEX(I$1:I1337,SUMPRODUCT(MAX((A$1:A1337=A1338)*(B$1:B1337=B1338)*ROW(A$1:A1337))))="",C1338&amp;"",INDEX(I$1:I1337,SUMPRODUCT(MAX((A$1:A1337=A1338)*(B$1:B1337=B1338)*ROW(A$1:A1337))))&amp;"; "&amp;C1338))))</f>
        <v/>
      </c>
      <c r="J1338" s="18" t="str">
        <f aca="false">IF(A1338="","",A1338&amp;"|"&amp;COUNTIF(A$2:A1338,A1338))</f>
        <v/>
      </c>
      <c r="K1338" s="18" t="n">
        <f aca="false">IF(OR(A1338="",B1338=""),0,IF(COUNTIFS(A$2:A1338,A1338,B$2:B1338,B1338)=1,1,0))</f>
        <v>0</v>
      </c>
    </row>
    <row r="1339" customFormat="false" ht="15" hidden="false" customHeight="false" outlineLevel="0" collapsed="false">
      <c r="A1339" s="15"/>
      <c r="B1339" s="15"/>
      <c r="C1339" s="15"/>
      <c r="D1339" s="15"/>
      <c r="F1339" s="18" t="str">
        <f aca="false">IF(B1339="","",IFERROR(INDEX(Materials!$B$2:$B$201,MATCH(B1339,Materials!$A$2:$A$201,0)),""))</f>
        <v/>
      </c>
      <c r="G1339" s="18" t="str">
        <f aca="true">IF(AND(A1339="",B1339=""),"",IF(A1339="","Missing product",IF(B1339="","Missing material",IF(COUNTIF(ProductList,A1339)=0,"Product not in Products list",IF(COUNTIF(MaterialList,B1339)=0,"Material not in Materials list","OK")))))</f>
        <v/>
      </c>
      <c r="H1339" s="18" t="str">
        <f aca="false">IF(F1339="Active",A1339&amp;"|"&amp;COUNTIFS(A$2:A1339,A1339,F$2:F1339,"Active"),"")</f>
        <v/>
      </c>
      <c r="I1339" s="18" t="str">
        <f aca="false">IF(B1339="","",IF(SUMPRODUCT(MAX((A$1:A1338=A1339)*(B$1:B1338=B1339)*ROW(A$1:A1338)))=0,C1339&amp;"",IF(C1339="",INDEX(I$1:I1338,SUMPRODUCT(MAX((A$1:A1338=A1339)*(B$1:B1338=B1339)*ROW(A$1:A1338)))),IF(INDEX(I$1:I1338,SUMPRODUCT(MAX((A$1:A1338=A1339)*(B$1:B1338=B1339)*ROW(A$1:A1338))))="",C1339&amp;"",INDEX(I$1:I1338,SUMPRODUCT(MAX((A$1:A1338=A1339)*(B$1:B1338=B1339)*ROW(A$1:A1338))))&amp;"; "&amp;C1339))))</f>
        <v/>
      </c>
      <c r="J1339" s="18" t="str">
        <f aca="false">IF(A1339="","",A1339&amp;"|"&amp;COUNTIF(A$2:A1339,A1339))</f>
        <v/>
      </c>
      <c r="K1339" s="18" t="n">
        <f aca="false">IF(OR(A1339="",B1339=""),0,IF(COUNTIFS(A$2:A1339,A1339,B$2:B1339,B1339)=1,1,0))</f>
        <v>0</v>
      </c>
    </row>
    <row r="1340" customFormat="false" ht="15" hidden="false" customHeight="false" outlineLevel="0" collapsed="false">
      <c r="A1340" s="15"/>
      <c r="B1340" s="15"/>
      <c r="C1340" s="15"/>
      <c r="D1340" s="15"/>
      <c r="F1340" s="18" t="str">
        <f aca="false">IF(B1340="","",IFERROR(INDEX(Materials!$B$2:$B$201,MATCH(B1340,Materials!$A$2:$A$201,0)),""))</f>
        <v/>
      </c>
      <c r="G1340" s="18" t="str">
        <f aca="true">IF(AND(A1340="",B1340=""),"",IF(A1340="","Missing product",IF(B1340="","Missing material",IF(COUNTIF(ProductList,A1340)=0,"Product not in Products list",IF(COUNTIF(MaterialList,B1340)=0,"Material not in Materials list","OK")))))</f>
        <v/>
      </c>
      <c r="H1340" s="18" t="str">
        <f aca="false">IF(F1340="Active",A1340&amp;"|"&amp;COUNTIFS(A$2:A1340,A1340,F$2:F1340,"Active"),"")</f>
        <v/>
      </c>
      <c r="I1340" s="18" t="str">
        <f aca="false">IF(B1340="","",IF(SUMPRODUCT(MAX((A$1:A1339=A1340)*(B$1:B1339=B1340)*ROW(A$1:A1339)))=0,C1340&amp;"",IF(C1340="",INDEX(I$1:I1339,SUMPRODUCT(MAX((A$1:A1339=A1340)*(B$1:B1339=B1340)*ROW(A$1:A1339)))),IF(INDEX(I$1:I1339,SUMPRODUCT(MAX((A$1:A1339=A1340)*(B$1:B1339=B1340)*ROW(A$1:A1339))))="",C1340&amp;"",INDEX(I$1:I1339,SUMPRODUCT(MAX((A$1:A1339=A1340)*(B$1:B1339=B1340)*ROW(A$1:A1339))))&amp;"; "&amp;C1340))))</f>
        <v/>
      </c>
      <c r="J1340" s="18" t="str">
        <f aca="false">IF(A1340="","",A1340&amp;"|"&amp;COUNTIF(A$2:A1340,A1340))</f>
        <v/>
      </c>
      <c r="K1340" s="18" t="n">
        <f aca="false">IF(OR(A1340="",B1340=""),0,IF(COUNTIFS(A$2:A1340,A1340,B$2:B1340,B1340)=1,1,0))</f>
        <v>0</v>
      </c>
    </row>
    <row r="1341" customFormat="false" ht="15" hidden="false" customHeight="false" outlineLevel="0" collapsed="false">
      <c r="A1341" s="15"/>
      <c r="B1341" s="15"/>
      <c r="C1341" s="15"/>
      <c r="D1341" s="15"/>
      <c r="F1341" s="18" t="str">
        <f aca="false">IF(B1341="","",IFERROR(INDEX(Materials!$B$2:$B$201,MATCH(B1341,Materials!$A$2:$A$201,0)),""))</f>
        <v/>
      </c>
      <c r="G1341" s="18" t="str">
        <f aca="true">IF(AND(A1341="",B1341=""),"",IF(A1341="","Missing product",IF(B1341="","Missing material",IF(COUNTIF(ProductList,A1341)=0,"Product not in Products list",IF(COUNTIF(MaterialList,B1341)=0,"Material not in Materials list","OK")))))</f>
        <v/>
      </c>
      <c r="H1341" s="18" t="str">
        <f aca="false">IF(F1341="Active",A1341&amp;"|"&amp;COUNTIFS(A$2:A1341,A1341,F$2:F1341,"Active"),"")</f>
        <v/>
      </c>
      <c r="I1341" s="18" t="str">
        <f aca="false">IF(B1341="","",IF(SUMPRODUCT(MAX((A$1:A1340=A1341)*(B$1:B1340=B1341)*ROW(A$1:A1340)))=0,C1341&amp;"",IF(C1341="",INDEX(I$1:I1340,SUMPRODUCT(MAX((A$1:A1340=A1341)*(B$1:B1340=B1341)*ROW(A$1:A1340)))),IF(INDEX(I$1:I1340,SUMPRODUCT(MAX((A$1:A1340=A1341)*(B$1:B1340=B1341)*ROW(A$1:A1340))))="",C1341&amp;"",INDEX(I$1:I1340,SUMPRODUCT(MAX((A$1:A1340=A1341)*(B$1:B1340=B1341)*ROW(A$1:A1340))))&amp;"; "&amp;C1341))))</f>
        <v/>
      </c>
      <c r="J1341" s="18" t="str">
        <f aca="false">IF(A1341="","",A1341&amp;"|"&amp;COUNTIF(A$2:A1341,A1341))</f>
        <v/>
      </c>
      <c r="K1341" s="18" t="n">
        <f aca="false">IF(OR(A1341="",B1341=""),0,IF(COUNTIFS(A$2:A1341,A1341,B$2:B1341,B1341)=1,1,0))</f>
        <v>0</v>
      </c>
    </row>
    <row r="1342" customFormat="false" ht="15" hidden="false" customHeight="false" outlineLevel="0" collapsed="false">
      <c r="A1342" s="15"/>
      <c r="B1342" s="15"/>
      <c r="C1342" s="15"/>
      <c r="D1342" s="15"/>
      <c r="F1342" s="18" t="str">
        <f aca="false">IF(B1342="","",IFERROR(INDEX(Materials!$B$2:$B$201,MATCH(B1342,Materials!$A$2:$A$201,0)),""))</f>
        <v/>
      </c>
      <c r="G1342" s="18" t="str">
        <f aca="true">IF(AND(A1342="",B1342=""),"",IF(A1342="","Missing product",IF(B1342="","Missing material",IF(COUNTIF(ProductList,A1342)=0,"Product not in Products list",IF(COUNTIF(MaterialList,B1342)=0,"Material not in Materials list","OK")))))</f>
        <v/>
      </c>
      <c r="H1342" s="18" t="str">
        <f aca="false">IF(F1342="Active",A1342&amp;"|"&amp;COUNTIFS(A$2:A1342,A1342,F$2:F1342,"Active"),"")</f>
        <v/>
      </c>
      <c r="I1342" s="18" t="str">
        <f aca="false">IF(B1342="","",IF(SUMPRODUCT(MAX((A$1:A1341=A1342)*(B$1:B1341=B1342)*ROW(A$1:A1341)))=0,C1342&amp;"",IF(C1342="",INDEX(I$1:I1341,SUMPRODUCT(MAX((A$1:A1341=A1342)*(B$1:B1341=B1342)*ROW(A$1:A1341)))),IF(INDEX(I$1:I1341,SUMPRODUCT(MAX((A$1:A1341=A1342)*(B$1:B1341=B1342)*ROW(A$1:A1341))))="",C1342&amp;"",INDEX(I$1:I1341,SUMPRODUCT(MAX((A$1:A1341=A1342)*(B$1:B1341=B1342)*ROW(A$1:A1341))))&amp;"; "&amp;C1342))))</f>
        <v/>
      </c>
      <c r="J1342" s="18" t="str">
        <f aca="false">IF(A1342="","",A1342&amp;"|"&amp;COUNTIF(A$2:A1342,A1342))</f>
        <v/>
      </c>
      <c r="K1342" s="18" t="n">
        <f aca="false">IF(OR(A1342="",B1342=""),0,IF(COUNTIFS(A$2:A1342,A1342,B$2:B1342,B1342)=1,1,0))</f>
        <v>0</v>
      </c>
    </row>
    <row r="1343" customFormat="false" ht="15" hidden="false" customHeight="false" outlineLevel="0" collapsed="false">
      <c r="A1343" s="15"/>
      <c r="B1343" s="15"/>
      <c r="C1343" s="15"/>
      <c r="D1343" s="15"/>
      <c r="F1343" s="18" t="str">
        <f aca="false">IF(B1343="","",IFERROR(INDEX(Materials!$B$2:$B$201,MATCH(B1343,Materials!$A$2:$A$201,0)),""))</f>
        <v/>
      </c>
      <c r="G1343" s="18" t="str">
        <f aca="true">IF(AND(A1343="",B1343=""),"",IF(A1343="","Missing product",IF(B1343="","Missing material",IF(COUNTIF(ProductList,A1343)=0,"Product not in Products list",IF(COUNTIF(MaterialList,B1343)=0,"Material not in Materials list","OK")))))</f>
        <v/>
      </c>
      <c r="H1343" s="18" t="str">
        <f aca="false">IF(F1343="Active",A1343&amp;"|"&amp;COUNTIFS(A$2:A1343,A1343,F$2:F1343,"Active"),"")</f>
        <v/>
      </c>
      <c r="I1343" s="18" t="str">
        <f aca="false">IF(B1343="","",IF(SUMPRODUCT(MAX((A$1:A1342=A1343)*(B$1:B1342=B1343)*ROW(A$1:A1342)))=0,C1343&amp;"",IF(C1343="",INDEX(I$1:I1342,SUMPRODUCT(MAX((A$1:A1342=A1343)*(B$1:B1342=B1343)*ROW(A$1:A1342)))),IF(INDEX(I$1:I1342,SUMPRODUCT(MAX((A$1:A1342=A1343)*(B$1:B1342=B1343)*ROW(A$1:A1342))))="",C1343&amp;"",INDEX(I$1:I1342,SUMPRODUCT(MAX((A$1:A1342=A1343)*(B$1:B1342=B1343)*ROW(A$1:A1342))))&amp;"; "&amp;C1343))))</f>
        <v/>
      </c>
      <c r="J1343" s="18" t="str">
        <f aca="false">IF(A1343="","",A1343&amp;"|"&amp;COUNTIF(A$2:A1343,A1343))</f>
        <v/>
      </c>
      <c r="K1343" s="18" t="n">
        <f aca="false">IF(OR(A1343="",B1343=""),0,IF(COUNTIFS(A$2:A1343,A1343,B$2:B1343,B1343)=1,1,0))</f>
        <v>0</v>
      </c>
    </row>
    <row r="1344" customFormat="false" ht="15" hidden="false" customHeight="false" outlineLevel="0" collapsed="false">
      <c r="A1344" s="15"/>
      <c r="B1344" s="15"/>
      <c r="C1344" s="15"/>
      <c r="D1344" s="15"/>
      <c r="F1344" s="18" t="str">
        <f aca="false">IF(B1344="","",IFERROR(INDEX(Materials!$B$2:$B$201,MATCH(B1344,Materials!$A$2:$A$201,0)),""))</f>
        <v/>
      </c>
      <c r="G1344" s="18" t="str">
        <f aca="true">IF(AND(A1344="",B1344=""),"",IF(A1344="","Missing product",IF(B1344="","Missing material",IF(COUNTIF(ProductList,A1344)=0,"Product not in Products list",IF(COUNTIF(MaterialList,B1344)=0,"Material not in Materials list","OK")))))</f>
        <v/>
      </c>
      <c r="H1344" s="18" t="str">
        <f aca="false">IF(F1344="Active",A1344&amp;"|"&amp;COUNTIFS(A$2:A1344,A1344,F$2:F1344,"Active"),"")</f>
        <v/>
      </c>
      <c r="I1344" s="18" t="str">
        <f aca="false">IF(B1344="","",IF(SUMPRODUCT(MAX((A$1:A1343=A1344)*(B$1:B1343=B1344)*ROW(A$1:A1343)))=0,C1344&amp;"",IF(C1344="",INDEX(I$1:I1343,SUMPRODUCT(MAX((A$1:A1343=A1344)*(B$1:B1343=B1344)*ROW(A$1:A1343)))),IF(INDEX(I$1:I1343,SUMPRODUCT(MAX((A$1:A1343=A1344)*(B$1:B1343=B1344)*ROW(A$1:A1343))))="",C1344&amp;"",INDEX(I$1:I1343,SUMPRODUCT(MAX((A$1:A1343=A1344)*(B$1:B1343=B1344)*ROW(A$1:A1343))))&amp;"; "&amp;C1344))))</f>
        <v/>
      </c>
      <c r="J1344" s="18" t="str">
        <f aca="false">IF(A1344="","",A1344&amp;"|"&amp;COUNTIF(A$2:A1344,A1344))</f>
        <v/>
      </c>
      <c r="K1344" s="18" t="n">
        <f aca="false">IF(OR(A1344="",B1344=""),0,IF(COUNTIFS(A$2:A1344,A1344,B$2:B1344,B1344)=1,1,0))</f>
        <v>0</v>
      </c>
    </row>
    <row r="1345" customFormat="false" ht="15" hidden="false" customHeight="false" outlineLevel="0" collapsed="false">
      <c r="A1345" s="15"/>
      <c r="B1345" s="15"/>
      <c r="C1345" s="15"/>
      <c r="D1345" s="15"/>
      <c r="F1345" s="18" t="str">
        <f aca="false">IF(B1345="","",IFERROR(INDEX(Materials!$B$2:$B$201,MATCH(B1345,Materials!$A$2:$A$201,0)),""))</f>
        <v/>
      </c>
      <c r="G1345" s="18" t="str">
        <f aca="true">IF(AND(A1345="",B1345=""),"",IF(A1345="","Missing product",IF(B1345="","Missing material",IF(COUNTIF(ProductList,A1345)=0,"Product not in Products list",IF(COUNTIF(MaterialList,B1345)=0,"Material not in Materials list","OK")))))</f>
        <v/>
      </c>
      <c r="H1345" s="18" t="str">
        <f aca="false">IF(F1345="Active",A1345&amp;"|"&amp;COUNTIFS(A$2:A1345,A1345,F$2:F1345,"Active"),"")</f>
        <v/>
      </c>
      <c r="I1345" s="18" t="str">
        <f aca="false">IF(B1345="","",IF(SUMPRODUCT(MAX((A$1:A1344=A1345)*(B$1:B1344=B1345)*ROW(A$1:A1344)))=0,C1345&amp;"",IF(C1345="",INDEX(I$1:I1344,SUMPRODUCT(MAX((A$1:A1344=A1345)*(B$1:B1344=B1345)*ROW(A$1:A1344)))),IF(INDEX(I$1:I1344,SUMPRODUCT(MAX((A$1:A1344=A1345)*(B$1:B1344=B1345)*ROW(A$1:A1344))))="",C1345&amp;"",INDEX(I$1:I1344,SUMPRODUCT(MAX((A$1:A1344=A1345)*(B$1:B1344=B1345)*ROW(A$1:A1344))))&amp;"; "&amp;C1345))))</f>
        <v/>
      </c>
      <c r="J1345" s="18" t="str">
        <f aca="false">IF(A1345="","",A1345&amp;"|"&amp;COUNTIF(A$2:A1345,A1345))</f>
        <v/>
      </c>
      <c r="K1345" s="18" t="n">
        <f aca="false">IF(OR(A1345="",B1345=""),0,IF(COUNTIFS(A$2:A1345,A1345,B$2:B1345,B1345)=1,1,0))</f>
        <v>0</v>
      </c>
    </row>
    <row r="1346" customFormat="false" ht="15" hidden="false" customHeight="false" outlineLevel="0" collapsed="false">
      <c r="A1346" s="15"/>
      <c r="B1346" s="15"/>
      <c r="C1346" s="15"/>
      <c r="D1346" s="15"/>
      <c r="F1346" s="18" t="str">
        <f aca="false">IF(B1346="","",IFERROR(INDEX(Materials!$B$2:$B$201,MATCH(B1346,Materials!$A$2:$A$201,0)),""))</f>
        <v/>
      </c>
      <c r="G1346" s="18" t="str">
        <f aca="true">IF(AND(A1346="",B1346=""),"",IF(A1346="","Missing product",IF(B1346="","Missing material",IF(COUNTIF(ProductList,A1346)=0,"Product not in Products list",IF(COUNTIF(MaterialList,B1346)=0,"Material not in Materials list","OK")))))</f>
        <v/>
      </c>
      <c r="H1346" s="18" t="str">
        <f aca="false">IF(F1346="Active",A1346&amp;"|"&amp;COUNTIFS(A$2:A1346,A1346,F$2:F1346,"Active"),"")</f>
        <v/>
      </c>
      <c r="I1346" s="18" t="str">
        <f aca="false">IF(B1346="","",IF(SUMPRODUCT(MAX((A$1:A1345=A1346)*(B$1:B1345=B1346)*ROW(A$1:A1345)))=0,C1346&amp;"",IF(C1346="",INDEX(I$1:I1345,SUMPRODUCT(MAX((A$1:A1345=A1346)*(B$1:B1345=B1346)*ROW(A$1:A1345)))),IF(INDEX(I$1:I1345,SUMPRODUCT(MAX((A$1:A1345=A1346)*(B$1:B1345=B1346)*ROW(A$1:A1345))))="",C1346&amp;"",INDEX(I$1:I1345,SUMPRODUCT(MAX((A$1:A1345=A1346)*(B$1:B1345=B1346)*ROW(A$1:A1345))))&amp;"; "&amp;C1346))))</f>
        <v/>
      </c>
      <c r="J1346" s="18" t="str">
        <f aca="false">IF(A1346="","",A1346&amp;"|"&amp;COUNTIF(A$2:A1346,A1346))</f>
        <v/>
      </c>
      <c r="K1346" s="18" t="n">
        <f aca="false">IF(OR(A1346="",B1346=""),0,IF(COUNTIFS(A$2:A1346,A1346,B$2:B1346,B1346)=1,1,0))</f>
        <v>0</v>
      </c>
    </row>
    <row r="1347" customFormat="false" ht="15" hidden="false" customHeight="false" outlineLevel="0" collapsed="false">
      <c r="A1347" s="15"/>
      <c r="B1347" s="15"/>
      <c r="C1347" s="15"/>
      <c r="D1347" s="15"/>
      <c r="F1347" s="18" t="str">
        <f aca="false">IF(B1347="","",IFERROR(INDEX(Materials!$B$2:$B$201,MATCH(B1347,Materials!$A$2:$A$201,0)),""))</f>
        <v/>
      </c>
      <c r="G1347" s="18" t="str">
        <f aca="true">IF(AND(A1347="",B1347=""),"",IF(A1347="","Missing product",IF(B1347="","Missing material",IF(COUNTIF(ProductList,A1347)=0,"Product not in Products list",IF(COUNTIF(MaterialList,B1347)=0,"Material not in Materials list","OK")))))</f>
        <v/>
      </c>
      <c r="H1347" s="18" t="str">
        <f aca="false">IF(F1347="Active",A1347&amp;"|"&amp;COUNTIFS(A$2:A1347,A1347,F$2:F1347,"Active"),"")</f>
        <v/>
      </c>
      <c r="I1347" s="18" t="str">
        <f aca="false">IF(B1347="","",IF(SUMPRODUCT(MAX((A$1:A1346=A1347)*(B$1:B1346=B1347)*ROW(A$1:A1346)))=0,C1347&amp;"",IF(C1347="",INDEX(I$1:I1346,SUMPRODUCT(MAX((A$1:A1346=A1347)*(B$1:B1346=B1347)*ROW(A$1:A1346)))),IF(INDEX(I$1:I1346,SUMPRODUCT(MAX((A$1:A1346=A1347)*(B$1:B1346=B1347)*ROW(A$1:A1346))))="",C1347&amp;"",INDEX(I$1:I1346,SUMPRODUCT(MAX((A$1:A1346=A1347)*(B$1:B1346=B1347)*ROW(A$1:A1346))))&amp;"; "&amp;C1347))))</f>
        <v/>
      </c>
      <c r="J1347" s="18" t="str">
        <f aca="false">IF(A1347="","",A1347&amp;"|"&amp;COUNTIF(A$2:A1347,A1347))</f>
        <v/>
      </c>
      <c r="K1347" s="18" t="n">
        <f aca="false">IF(OR(A1347="",B1347=""),0,IF(COUNTIFS(A$2:A1347,A1347,B$2:B1347,B1347)=1,1,0))</f>
        <v>0</v>
      </c>
    </row>
    <row r="1348" customFormat="false" ht="15" hidden="false" customHeight="false" outlineLevel="0" collapsed="false">
      <c r="A1348" s="15"/>
      <c r="B1348" s="15"/>
      <c r="C1348" s="15"/>
      <c r="D1348" s="15"/>
      <c r="F1348" s="18" t="str">
        <f aca="false">IF(B1348="","",IFERROR(INDEX(Materials!$B$2:$B$201,MATCH(B1348,Materials!$A$2:$A$201,0)),""))</f>
        <v/>
      </c>
      <c r="G1348" s="18" t="str">
        <f aca="true">IF(AND(A1348="",B1348=""),"",IF(A1348="","Missing product",IF(B1348="","Missing material",IF(COUNTIF(ProductList,A1348)=0,"Product not in Products list",IF(COUNTIF(MaterialList,B1348)=0,"Material not in Materials list","OK")))))</f>
        <v/>
      </c>
      <c r="H1348" s="18" t="str">
        <f aca="false">IF(F1348="Active",A1348&amp;"|"&amp;COUNTIFS(A$2:A1348,A1348,F$2:F1348,"Active"),"")</f>
        <v/>
      </c>
      <c r="I1348" s="18" t="str">
        <f aca="false">IF(B1348="","",IF(SUMPRODUCT(MAX((A$1:A1347=A1348)*(B$1:B1347=B1348)*ROW(A$1:A1347)))=0,C1348&amp;"",IF(C1348="",INDEX(I$1:I1347,SUMPRODUCT(MAX((A$1:A1347=A1348)*(B$1:B1347=B1348)*ROW(A$1:A1347)))),IF(INDEX(I$1:I1347,SUMPRODUCT(MAX((A$1:A1347=A1348)*(B$1:B1347=B1348)*ROW(A$1:A1347))))="",C1348&amp;"",INDEX(I$1:I1347,SUMPRODUCT(MAX((A$1:A1347=A1348)*(B$1:B1347=B1348)*ROW(A$1:A1347))))&amp;"; "&amp;C1348))))</f>
        <v/>
      </c>
      <c r="J1348" s="18" t="str">
        <f aca="false">IF(A1348="","",A1348&amp;"|"&amp;COUNTIF(A$2:A1348,A1348))</f>
        <v/>
      </c>
      <c r="K1348" s="18" t="n">
        <f aca="false">IF(OR(A1348="",B1348=""),0,IF(COUNTIFS(A$2:A1348,A1348,B$2:B1348,B1348)=1,1,0))</f>
        <v>0</v>
      </c>
    </row>
    <row r="1349" customFormat="false" ht="15" hidden="false" customHeight="false" outlineLevel="0" collapsed="false">
      <c r="A1349" s="15"/>
      <c r="B1349" s="15"/>
      <c r="C1349" s="15"/>
      <c r="D1349" s="15"/>
      <c r="F1349" s="18" t="str">
        <f aca="false">IF(B1349="","",IFERROR(INDEX(Materials!$B$2:$B$201,MATCH(B1349,Materials!$A$2:$A$201,0)),""))</f>
        <v/>
      </c>
      <c r="G1349" s="18" t="str">
        <f aca="true">IF(AND(A1349="",B1349=""),"",IF(A1349="","Missing product",IF(B1349="","Missing material",IF(COUNTIF(ProductList,A1349)=0,"Product not in Products list",IF(COUNTIF(MaterialList,B1349)=0,"Material not in Materials list","OK")))))</f>
        <v/>
      </c>
      <c r="H1349" s="18" t="str">
        <f aca="false">IF(F1349="Active",A1349&amp;"|"&amp;COUNTIFS(A$2:A1349,A1349,F$2:F1349,"Active"),"")</f>
        <v/>
      </c>
      <c r="I1349" s="18" t="str">
        <f aca="false">IF(B1349="","",IF(SUMPRODUCT(MAX((A$1:A1348=A1349)*(B$1:B1348=B1349)*ROW(A$1:A1348)))=0,C1349&amp;"",IF(C1349="",INDEX(I$1:I1348,SUMPRODUCT(MAX((A$1:A1348=A1349)*(B$1:B1348=B1349)*ROW(A$1:A1348)))),IF(INDEX(I$1:I1348,SUMPRODUCT(MAX((A$1:A1348=A1349)*(B$1:B1348=B1349)*ROW(A$1:A1348))))="",C1349&amp;"",INDEX(I$1:I1348,SUMPRODUCT(MAX((A$1:A1348=A1349)*(B$1:B1348=B1349)*ROW(A$1:A1348))))&amp;"; "&amp;C1349))))</f>
        <v/>
      </c>
      <c r="J1349" s="18" t="str">
        <f aca="false">IF(A1349="","",A1349&amp;"|"&amp;COUNTIF(A$2:A1349,A1349))</f>
        <v/>
      </c>
      <c r="K1349" s="18" t="n">
        <f aca="false">IF(OR(A1349="",B1349=""),0,IF(COUNTIFS(A$2:A1349,A1349,B$2:B1349,B1349)=1,1,0))</f>
        <v>0</v>
      </c>
    </row>
    <row r="1350" customFormat="false" ht="15" hidden="false" customHeight="false" outlineLevel="0" collapsed="false">
      <c r="A1350" s="15"/>
      <c r="B1350" s="15"/>
      <c r="C1350" s="15"/>
      <c r="D1350" s="15"/>
      <c r="F1350" s="18" t="str">
        <f aca="false">IF(B1350="","",IFERROR(INDEX(Materials!$B$2:$B$201,MATCH(B1350,Materials!$A$2:$A$201,0)),""))</f>
        <v/>
      </c>
      <c r="G1350" s="18" t="str">
        <f aca="true">IF(AND(A1350="",B1350=""),"",IF(A1350="","Missing product",IF(B1350="","Missing material",IF(COUNTIF(ProductList,A1350)=0,"Product not in Products list",IF(COUNTIF(MaterialList,B1350)=0,"Material not in Materials list","OK")))))</f>
        <v/>
      </c>
      <c r="H1350" s="18" t="str">
        <f aca="false">IF(F1350="Active",A1350&amp;"|"&amp;COUNTIFS(A$2:A1350,A1350,F$2:F1350,"Active"),"")</f>
        <v/>
      </c>
      <c r="I1350" s="18" t="str">
        <f aca="false">IF(B1350="","",IF(SUMPRODUCT(MAX((A$1:A1349=A1350)*(B$1:B1349=B1350)*ROW(A$1:A1349)))=0,C1350&amp;"",IF(C1350="",INDEX(I$1:I1349,SUMPRODUCT(MAX((A$1:A1349=A1350)*(B$1:B1349=B1350)*ROW(A$1:A1349)))),IF(INDEX(I$1:I1349,SUMPRODUCT(MAX((A$1:A1349=A1350)*(B$1:B1349=B1350)*ROW(A$1:A1349))))="",C1350&amp;"",INDEX(I$1:I1349,SUMPRODUCT(MAX((A$1:A1349=A1350)*(B$1:B1349=B1350)*ROW(A$1:A1349))))&amp;"; "&amp;C1350))))</f>
        <v/>
      </c>
      <c r="J1350" s="18" t="str">
        <f aca="false">IF(A1350="","",A1350&amp;"|"&amp;COUNTIF(A$2:A1350,A1350))</f>
        <v/>
      </c>
      <c r="K1350" s="18" t="n">
        <f aca="false">IF(OR(A1350="",B1350=""),0,IF(COUNTIFS(A$2:A1350,A1350,B$2:B1350,B1350)=1,1,0))</f>
        <v>0</v>
      </c>
    </row>
    <row r="1351" customFormat="false" ht="15" hidden="false" customHeight="false" outlineLevel="0" collapsed="false">
      <c r="A1351" s="15"/>
      <c r="B1351" s="15"/>
      <c r="C1351" s="15"/>
      <c r="D1351" s="15"/>
      <c r="F1351" s="18" t="str">
        <f aca="false">IF(B1351="","",IFERROR(INDEX(Materials!$B$2:$B$201,MATCH(B1351,Materials!$A$2:$A$201,0)),""))</f>
        <v/>
      </c>
      <c r="G1351" s="18" t="str">
        <f aca="true">IF(AND(A1351="",B1351=""),"",IF(A1351="","Missing product",IF(B1351="","Missing material",IF(COUNTIF(ProductList,A1351)=0,"Product not in Products list",IF(COUNTIF(MaterialList,B1351)=0,"Material not in Materials list","OK")))))</f>
        <v/>
      </c>
      <c r="H1351" s="18" t="str">
        <f aca="false">IF(F1351="Active",A1351&amp;"|"&amp;COUNTIFS(A$2:A1351,A1351,F$2:F1351,"Active"),"")</f>
        <v/>
      </c>
      <c r="I1351" s="18" t="str">
        <f aca="false">IF(B1351="","",IF(SUMPRODUCT(MAX((A$1:A1350=A1351)*(B$1:B1350=B1351)*ROW(A$1:A1350)))=0,C1351&amp;"",IF(C1351="",INDEX(I$1:I1350,SUMPRODUCT(MAX((A$1:A1350=A1351)*(B$1:B1350=B1351)*ROW(A$1:A1350)))),IF(INDEX(I$1:I1350,SUMPRODUCT(MAX((A$1:A1350=A1351)*(B$1:B1350=B1351)*ROW(A$1:A1350))))="",C1351&amp;"",INDEX(I$1:I1350,SUMPRODUCT(MAX((A$1:A1350=A1351)*(B$1:B1350=B1351)*ROW(A$1:A1350))))&amp;"; "&amp;C1351))))</f>
        <v/>
      </c>
      <c r="J1351" s="18" t="str">
        <f aca="false">IF(A1351="","",A1351&amp;"|"&amp;COUNTIF(A$2:A1351,A1351))</f>
        <v/>
      </c>
      <c r="K1351" s="18" t="n">
        <f aca="false">IF(OR(A1351="",B1351=""),0,IF(COUNTIFS(A$2:A1351,A1351,B$2:B1351,B1351)=1,1,0))</f>
        <v>0</v>
      </c>
    </row>
    <row r="1352" customFormat="false" ht="15" hidden="false" customHeight="false" outlineLevel="0" collapsed="false">
      <c r="A1352" s="15"/>
      <c r="B1352" s="15"/>
      <c r="C1352" s="15"/>
      <c r="D1352" s="15"/>
      <c r="F1352" s="18" t="str">
        <f aca="false">IF(B1352="","",IFERROR(INDEX(Materials!$B$2:$B$201,MATCH(B1352,Materials!$A$2:$A$201,0)),""))</f>
        <v/>
      </c>
      <c r="G1352" s="18" t="str">
        <f aca="true">IF(AND(A1352="",B1352=""),"",IF(A1352="","Missing product",IF(B1352="","Missing material",IF(COUNTIF(ProductList,A1352)=0,"Product not in Products list",IF(COUNTIF(MaterialList,B1352)=0,"Material not in Materials list","OK")))))</f>
        <v/>
      </c>
      <c r="H1352" s="18" t="str">
        <f aca="false">IF(F1352="Active",A1352&amp;"|"&amp;COUNTIFS(A$2:A1352,A1352,F$2:F1352,"Active"),"")</f>
        <v/>
      </c>
      <c r="I1352" s="18" t="str">
        <f aca="false">IF(B1352="","",IF(SUMPRODUCT(MAX((A$1:A1351=A1352)*(B$1:B1351=B1352)*ROW(A$1:A1351)))=0,C1352&amp;"",IF(C1352="",INDEX(I$1:I1351,SUMPRODUCT(MAX((A$1:A1351=A1352)*(B$1:B1351=B1352)*ROW(A$1:A1351)))),IF(INDEX(I$1:I1351,SUMPRODUCT(MAX((A$1:A1351=A1352)*(B$1:B1351=B1352)*ROW(A$1:A1351))))="",C1352&amp;"",INDEX(I$1:I1351,SUMPRODUCT(MAX((A$1:A1351=A1352)*(B$1:B1351=B1352)*ROW(A$1:A1351))))&amp;"; "&amp;C1352))))</f>
        <v/>
      </c>
      <c r="J1352" s="18" t="str">
        <f aca="false">IF(A1352="","",A1352&amp;"|"&amp;COUNTIF(A$2:A1352,A1352))</f>
        <v/>
      </c>
      <c r="K1352" s="18" t="n">
        <f aca="false">IF(OR(A1352="",B1352=""),0,IF(COUNTIFS(A$2:A1352,A1352,B$2:B1352,B1352)=1,1,0))</f>
        <v>0</v>
      </c>
    </row>
    <row r="1353" customFormat="false" ht="15" hidden="false" customHeight="false" outlineLevel="0" collapsed="false">
      <c r="A1353" s="15"/>
      <c r="B1353" s="15"/>
      <c r="C1353" s="15"/>
      <c r="D1353" s="15"/>
      <c r="F1353" s="18" t="str">
        <f aca="false">IF(B1353="","",IFERROR(INDEX(Materials!$B$2:$B$201,MATCH(B1353,Materials!$A$2:$A$201,0)),""))</f>
        <v/>
      </c>
      <c r="G1353" s="18" t="str">
        <f aca="true">IF(AND(A1353="",B1353=""),"",IF(A1353="","Missing product",IF(B1353="","Missing material",IF(COUNTIF(ProductList,A1353)=0,"Product not in Products list",IF(COUNTIF(MaterialList,B1353)=0,"Material not in Materials list","OK")))))</f>
        <v/>
      </c>
      <c r="H1353" s="18" t="str">
        <f aca="false">IF(F1353="Active",A1353&amp;"|"&amp;COUNTIFS(A$2:A1353,A1353,F$2:F1353,"Active"),"")</f>
        <v/>
      </c>
      <c r="I1353" s="18" t="str">
        <f aca="false">IF(B1353="","",IF(SUMPRODUCT(MAX((A$1:A1352=A1353)*(B$1:B1352=B1353)*ROW(A$1:A1352)))=0,C1353&amp;"",IF(C1353="",INDEX(I$1:I1352,SUMPRODUCT(MAX((A$1:A1352=A1353)*(B$1:B1352=B1353)*ROW(A$1:A1352)))),IF(INDEX(I$1:I1352,SUMPRODUCT(MAX((A$1:A1352=A1353)*(B$1:B1352=B1353)*ROW(A$1:A1352))))="",C1353&amp;"",INDEX(I$1:I1352,SUMPRODUCT(MAX((A$1:A1352=A1353)*(B$1:B1352=B1353)*ROW(A$1:A1352))))&amp;"; "&amp;C1353))))</f>
        <v/>
      </c>
      <c r="J1353" s="18" t="str">
        <f aca="false">IF(A1353="","",A1353&amp;"|"&amp;COUNTIF(A$2:A1353,A1353))</f>
        <v/>
      </c>
      <c r="K1353" s="18" t="n">
        <f aca="false">IF(OR(A1353="",B1353=""),0,IF(COUNTIFS(A$2:A1353,A1353,B$2:B1353,B1353)=1,1,0))</f>
        <v>0</v>
      </c>
    </row>
    <row r="1354" customFormat="false" ht="15" hidden="false" customHeight="false" outlineLevel="0" collapsed="false">
      <c r="A1354" s="15"/>
      <c r="B1354" s="15"/>
      <c r="C1354" s="15"/>
      <c r="D1354" s="15"/>
      <c r="F1354" s="18" t="str">
        <f aca="false">IF(B1354="","",IFERROR(INDEX(Materials!$B$2:$B$201,MATCH(B1354,Materials!$A$2:$A$201,0)),""))</f>
        <v/>
      </c>
      <c r="G1354" s="18" t="str">
        <f aca="true">IF(AND(A1354="",B1354=""),"",IF(A1354="","Missing product",IF(B1354="","Missing material",IF(COUNTIF(ProductList,A1354)=0,"Product not in Products list",IF(COUNTIF(MaterialList,B1354)=0,"Material not in Materials list","OK")))))</f>
        <v/>
      </c>
      <c r="H1354" s="18" t="str">
        <f aca="false">IF(F1354="Active",A1354&amp;"|"&amp;COUNTIFS(A$2:A1354,A1354,F$2:F1354,"Active"),"")</f>
        <v/>
      </c>
      <c r="I1354" s="18" t="str">
        <f aca="false">IF(B1354="","",IF(SUMPRODUCT(MAX((A$1:A1353=A1354)*(B$1:B1353=B1354)*ROW(A$1:A1353)))=0,C1354&amp;"",IF(C1354="",INDEX(I$1:I1353,SUMPRODUCT(MAX((A$1:A1353=A1354)*(B$1:B1353=B1354)*ROW(A$1:A1353)))),IF(INDEX(I$1:I1353,SUMPRODUCT(MAX((A$1:A1353=A1354)*(B$1:B1353=B1354)*ROW(A$1:A1353))))="",C1354&amp;"",INDEX(I$1:I1353,SUMPRODUCT(MAX((A$1:A1353=A1354)*(B$1:B1353=B1354)*ROW(A$1:A1353))))&amp;"; "&amp;C1354))))</f>
        <v/>
      </c>
      <c r="J1354" s="18" t="str">
        <f aca="false">IF(A1354="","",A1354&amp;"|"&amp;COUNTIF(A$2:A1354,A1354))</f>
        <v/>
      </c>
      <c r="K1354" s="18" t="n">
        <f aca="false">IF(OR(A1354="",B1354=""),0,IF(COUNTIFS(A$2:A1354,A1354,B$2:B1354,B1354)=1,1,0))</f>
        <v>0</v>
      </c>
    </row>
    <row r="1355" customFormat="false" ht="15" hidden="false" customHeight="false" outlineLevel="0" collapsed="false">
      <c r="A1355" s="15"/>
      <c r="B1355" s="15"/>
      <c r="C1355" s="15"/>
      <c r="D1355" s="15"/>
      <c r="F1355" s="18" t="str">
        <f aca="false">IF(B1355="","",IFERROR(INDEX(Materials!$B$2:$B$201,MATCH(B1355,Materials!$A$2:$A$201,0)),""))</f>
        <v/>
      </c>
      <c r="G1355" s="18" t="str">
        <f aca="true">IF(AND(A1355="",B1355=""),"",IF(A1355="","Missing product",IF(B1355="","Missing material",IF(COUNTIF(ProductList,A1355)=0,"Product not in Products list",IF(COUNTIF(MaterialList,B1355)=0,"Material not in Materials list","OK")))))</f>
        <v/>
      </c>
      <c r="H1355" s="18" t="str">
        <f aca="false">IF(F1355="Active",A1355&amp;"|"&amp;COUNTIFS(A$2:A1355,A1355,F$2:F1355,"Active"),"")</f>
        <v/>
      </c>
      <c r="I1355" s="18" t="str">
        <f aca="false">IF(B1355="","",IF(SUMPRODUCT(MAX((A$1:A1354=A1355)*(B$1:B1354=B1355)*ROW(A$1:A1354)))=0,C1355&amp;"",IF(C1355="",INDEX(I$1:I1354,SUMPRODUCT(MAX((A$1:A1354=A1355)*(B$1:B1354=B1355)*ROW(A$1:A1354)))),IF(INDEX(I$1:I1354,SUMPRODUCT(MAX((A$1:A1354=A1355)*(B$1:B1354=B1355)*ROW(A$1:A1354))))="",C1355&amp;"",INDEX(I$1:I1354,SUMPRODUCT(MAX((A$1:A1354=A1355)*(B$1:B1354=B1355)*ROW(A$1:A1354))))&amp;"; "&amp;C1355))))</f>
        <v/>
      </c>
      <c r="J1355" s="18" t="str">
        <f aca="false">IF(A1355="","",A1355&amp;"|"&amp;COUNTIF(A$2:A1355,A1355))</f>
        <v/>
      </c>
      <c r="K1355" s="18" t="n">
        <f aca="false">IF(OR(A1355="",B1355=""),0,IF(COUNTIFS(A$2:A1355,A1355,B$2:B1355,B1355)=1,1,0))</f>
        <v>0</v>
      </c>
    </row>
    <row r="1356" customFormat="false" ht="15" hidden="false" customHeight="false" outlineLevel="0" collapsed="false">
      <c r="A1356" s="15"/>
      <c r="B1356" s="15"/>
      <c r="C1356" s="15"/>
      <c r="D1356" s="15"/>
      <c r="F1356" s="18" t="str">
        <f aca="false">IF(B1356="","",IFERROR(INDEX(Materials!$B$2:$B$201,MATCH(B1356,Materials!$A$2:$A$201,0)),""))</f>
        <v/>
      </c>
      <c r="G1356" s="18" t="str">
        <f aca="true">IF(AND(A1356="",B1356=""),"",IF(A1356="","Missing product",IF(B1356="","Missing material",IF(COUNTIF(ProductList,A1356)=0,"Product not in Products list",IF(COUNTIF(MaterialList,B1356)=0,"Material not in Materials list","OK")))))</f>
        <v/>
      </c>
      <c r="H1356" s="18" t="str">
        <f aca="false">IF(F1356="Active",A1356&amp;"|"&amp;COUNTIFS(A$2:A1356,A1356,F$2:F1356,"Active"),"")</f>
        <v/>
      </c>
      <c r="I1356" s="18" t="str">
        <f aca="false">IF(B1356="","",IF(SUMPRODUCT(MAX((A$1:A1355=A1356)*(B$1:B1355=B1356)*ROW(A$1:A1355)))=0,C1356&amp;"",IF(C1356="",INDEX(I$1:I1355,SUMPRODUCT(MAX((A$1:A1355=A1356)*(B$1:B1355=B1356)*ROW(A$1:A1355)))),IF(INDEX(I$1:I1355,SUMPRODUCT(MAX((A$1:A1355=A1356)*(B$1:B1355=B1356)*ROW(A$1:A1355))))="",C1356&amp;"",INDEX(I$1:I1355,SUMPRODUCT(MAX((A$1:A1355=A1356)*(B$1:B1355=B1356)*ROW(A$1:A1355))))&amp;"; "&amp;C1356))))</f>
        <v/>
      </c>
      <c r="J1356" s="18" t="str">
        <f aca="false">IF(A1356="","",A1356&amp;"|"&amp;COUNTIF(A$2:A1356,A1356))</f>
        <v/>
      </c>
      <c r="K1356" s="18" t="n">
        <f aca="false">IF(OR(A1356="",B1356=""),0,IF(COUNTIFS(A$2:A1356,A1356,B$2:B1356,B1356)=1,1,0))</f>
        <v>0</v>
      </c>
    </row>
    <row r="1357" customFormat="false" ht="15" hidden="false" customHeight="false" outlineLevel="0" collapsed="false">
      <c r="A1357" s="15"/>
      <c r="B1357" s="15"/>
      <c r="C1357" s="15"/>
      <c r="D1357" s="15"/>
      <c r="F1357" s="18" t="str">
        <f aca="false">IF(B1357="","",IFERROR(INDEX(Materials!$B$2:$B$201,MATCH(B1357,Materials!$A$2:$A$201,0)),""))</f>
        <v/>
      </c>
      <c r="G1357" s="18" t="str">
        <f aca="true">IF(AND(A1357="",B1357=""),"",IF(A1357="","Missing product",IF(B1357="","Missing material",IF(COUNTIF(ProductList,A1357)=0,"Product not in Products list",IF(COUNTIF(MaterialList,B1357)=0,"Material not in Materials list","OK")))))</f>
        <v/>
      </c>
      <c r="H1357" s="18" t="str">
        <f aca="false">IF(F1357="Active",A1357&amp;"|"&amp;COUNTIFS(A$2:A1357,A1357,F$2:F1357,"Active"),"")</f>
        <v/>
      </c>
      <c r="I1357" s="18" t="str">
        <f aca="false">IF(B1357="","",IF(SUMPRODUCT(MAX((A$1:A1356=A1357)*(B$1:B1356=B1357)*ROW(A$1:A1356)))=0,C1357&amp;"",IF(C1357="",INDEX(I$1:I1356,SUMPRODUCT(MAX((A$1:A1356=A1357)*(B$1:B1356=B1357)*ROW(A$1:A1356)))),IF(INDEX(I$1:I1356,SUMPRODUCT(MAX((A$1:A1356=A1357)*(B$1:B1356=B1357)*ROW(A$1:A1356))))="",C1357&amp;"",INDEX(I$1:I1356,SUMPRODUCT(MAX((A$1:A1356=A1357)*(B$1:B1356=B1357)*ROW(A$1:A1356))))&amp;"; "&amp;C1357))))</f>
        <v/>
      </c>
      <c r="J1357" s="18" t="str">
        <f aca="false">IF(A1357="","",A1357&amp;"|"&amp;COUNTIF(A$2:A1357,A1357))</f>
        <v/>
      </c>
      <c r="K1357" s="18" t="n">
        <f aca="false">IF(OR(A1357="",B1357=""),0,IF(COUNTIFS(A$2:A1357,A1357,B$2:B1357,B1357)=1,1,0))</f>
        <v>0</v>
      </c>
    </row>
    <row r="1358" customFormat="false" ht="15" hidden="false" customHeight="false" outlineLevel="0" collapsed="false">
      <c r="A1358" s="15"/>
      <c r="B1358" s="15"/>
      <c r="C1358" s="15"/>
      <c r="D1358" s="15"/>
      <c r="F1358" s="18" t="str">
        <f aca="false">IF(B1358="","",IFERROR(INDEX(Materials!$B$2:$B$201,MATCH(B1358,Materials!$A$2:$A$201,0)),""))</f>
        <v/>
      </c>
      <c r="G1358" s="18" t="str">
        <f aca="true">IF(AND(A1358="",B1358=""),"",IF(A1358="","Missing product",IF(B1358="","Missing material",IF(COUNTIF(ProductList,A1358)=0,"Product not in Products list",IF(COUNTIF(MaterialList,B1358)=0,"Material not in Materials list","OK")))))</f>
        <v/>
      </c>
      <c r="H1358" s="18" t="str">
        <f aca="false">IF(F1358="Active",A1358&amp;"|"&amp;COUNTIFS(A$2:A1358,A1358,F$2:F1358,"Active"),"")</f>
        <v/>
      </c>
      <c r="I1358" s="18" t="str">
        <f aca="false">IF(B1358="","",IF(SUMPRODUCT(MAX((A$1:A1357=A1358)*(B$1:B1357=B1358)*ROW(A$1:A1357)))=0,C1358&amp;"",IF(C1358="",INDEX(I$1:I1357,SUMPRODUCT(MAX((A$1:A1357=A1358)*(B$1:B1357=B1358)*ROW(A$1:A1357)))),IF(INDEX(I$1:I1357,SUMPRODUCT(MAX((A$1:A1357=A1358)*(B$1:B1357=B1358)*ROW(A$1:A1357))))="",C1358&amp;"",INDEX(I$1:I1357,SUMPRODUCT(MAX((A$1:A1357=A1358)*(B$1:B1357=B1358)*ROW(A$1:A1357))))&amp;"; "&amp;C1358))))</f>
        <v/>
      </c>
      <c r="J1358" s="18" t="str">
        <f aca="false">IF(A1358="","",A1358&amp;"|"&amp;COUNTIF(A$2:A1358,A1358))</f>
        <v/>
      </c>
      <c r="K1358" s="18" t="n">
        <f aca="false">IF(OR(A1358="",B1358=""),0,IF(COUNTIFS(A$2:A1358,A1358,B$2:B1358,B1358)=1,1,0))</f>
        <v>0</v>
      </c>
    </row>
    <row r="1359" customFormat="false" ht="15" hidden="false" customHeight="false" outlineLevel="0" collapsed="false">
      <c r="A1359" s="15"/>
      <c r="B1359" s="15"/>
      <c r="C1359" s="15"/>
      <c r="D1359" s="15"/>
      <c r="F1359" s="18" t="str">
        <f aca="false">IF(B1359="","",IFERROR(INDEX(Materials!$B$2:$B$201,MATCH(B1359,Materials!$A$2:$A$201,0)),""))</f>
        <v/>
      </c>
      <c r="G1359" s="18" t="str">
        <f aca="true">IF(AND(A1359="",B1359=""),"",IF(A1359="","Missing product",IF(B1359="","Missing material",IF(COUNTIF(ProductList,A1359)=0,"Product not in Products list",IF(COUNTIF(MaterialList,B1359)=0,"Material not in Materials list","OK")))))</f>
        <v/>
      </c>
      <c r="H1359" s="18" t="str">
        <f aca="false">IF(F1359="Active",A1359&amp;"|"&amp;COUNTIFS(A$2:A1359,A1359,F$2:F1359,"Active"),"")</f>
        <v/>
      </c>
      <c r="I1359" s="18" t="str">
        <f aca="false">IF(B1359="","",IF(SUMPRODUCT(MAX((A$1:A1358=A1359)*(B$1:B1358=B1359)*ROW(A$1:A1358)))=0,C1359&amp;"",IF(C1359="",INDEX(I$1:I1358,SUMPRODUCT(MAX((A$1:A1358=A1359)*(B$1:B1358=B1359)*ROW(A$1:A1358)))),IF(INDEX(I$1:I1358,SUMPRODUCT(MAX((A$1:A1358=A1359)*(B$1:B1358=B1359)*ROW(A$1:A1358))))="",C1359&amp;"",INDEX(I$1:I1358,SUMPRODUCT(MAX((A$1:A1358=A1359)*(B$1:B1358=B1359)*ROW(A$1:A1358))))&amp;"; "&amp;C1359))))</f>
        <v/>
      </c>
      <c r="J1359" s="18" t="str">
        <f aca="false">IF(A1359="","",A1359&amp;"|"&amp;COUNTIF(A$2:A1359,A1359))</f>
        <v/>
      </c>
      <c r="K1359" s="18" t="n">
        <f aca="false">IF(OR(A1359="",B1359=""),0,IF(COUNTIFS(A$2:A1359,A1359,B$2:B1359,B1359)=1,1,0))</f>
        <v>0</v>
      </c>
    </row>
    <row r="1360" customFormat="false" ht="15" hidden="false" customHeight="false" outlineLevel="0" collapsed="false">
      <c r="A1360" s="15"/>
      <c r="B1360" s="15"/>
      <c r="C1360" s="15"/>
      <c r="D1360" s="15"/>
      <c r="F1360" s="18" t="str">
        <f aca="false">IF(B1360="","",IFERROR(INDEX(Materials!$B$2:$B$201,MATCH(B1360,Materials!$A$2:$A$201,0)),""))</f>
        <v/>
      </c>
      <c r="G1360" s="18" t="str">
        <f aca="true">IF(AND(A1360="",B1360=""),"",IF(A1360="","Missing product",IF(B1360="","Missing material",IF(COUNTIF(ProductList,A1360)=0,"Product not in Products list",IF(COUNTIF(MaterialList,B1360)=0,"Material not in Materials list","OK")))))</f>
        <v/>
      </c>
      <c r="H1360" s="18" t="str">
        <f aca="false">IF(F1360="Active",A1360&amp;"|"&amp;COUNTIFS(A$2:A1360,A1360,F$2:F1360,"Active"),"")</f>
        <v/>
      </c>
      <c r="I1360" s="18" t="str">
        <f aca="false">IF(B1360="","",IF(SUMPRODUCT(MAX((A$1:A1359=A1360)*(B$1:B1359=B1360)*ROW(A$1:A1359)))=0,C1360&amp;"",IF(C1360="",INDEX(I$1:I1359,SUMPRODUCT(MAX((A$1:A1359=A1360)*(B$1:B1359=B1360)*ROW(A$1:A1359)))),IF(INDEX(I$1:I1359,SUMPRODUCT(MAX((A$1:A1359=A1360)*(B$1:B1359=B1360)*ROW(A$1:A1359))))="",C1360&amp;"",INDEX(I$1:I1359,SUMPRODUCT(MAX((A$1:A1359=A1360)*(B$1:B1359=B1360)*ROW(A$1:A1359))))&amp;"; "&amp;C1360))))</f>
        <v/>
      </c>
      <c r="J1360" s="18" t="str">
        <f aca="false">IF(A1360="","",A1360&amp;"|"&amp;COUNTIF(A$2:A1360,A1360))</f>
        <v/>
      </c>
      <c r="K1360" s="18" t="n">
        <f aca="false">IF(OR(A1360="",B1360=""),0,IF(COUNTIFS(A$2:A1360,A1360,B$2:B1360,B1360)=1,1,0))</f>
        <v>0</v>
      </c>
    </row>
    <row r="1361" customFormat="false" ht="15" hidden="false" customHeight="false" outlineLevel="0" collapsed="false">
      <c r="A1361" s="15"/>
      <c r="B1361" s="15"/>
      <c r="C1361" s="15"/>
      <c r="D1361" s="15"/>
      <c r="F1361" s="18" t="str">
        <f aca="false">IF(B1361="","",IFERROR(INDEX(Materials!$B$2:$B$201,MATCH(B1361,Materials!$A$2:$A$201,0)),""))</f>
        <v/>
      </c>
      <c r="G1361" s="18" t="str">
        <f aca="true">IF(AND(A1361="",B1361=""),"",IF(A1361="","Missing product",IF(B1361="","Missing material",IF(COUNTIF(ProductList,A1361)=0,"Product not in Products list",IF(COUNTIF(MaterialList,B1361)=0,"Material not in Materials list","OK")))))</f>
        <v/>
      </c>
      <c r="H1361" s="18" t="str">
        <f aca="false">IF(F1361="Active",A1361&amp;"|"&amp;COUNTIFS(A$2:A1361,A1361,F$2:F1361,"Active"),"")</f>
        <v/>
      </c>
      <c r="I1361" s="18" t="str">
        <f aca="false">IF(B1361="","",IF(SUMPRODUCT(MAX((A$1:A1360=A1361)*(B$1:B1360=B1361)*ROW(A$1:A1360)))=0,C1361&amp;"",IF(C1361="",INDEX(I$1:I1360,SUMPRODUCT(MAX((A$1:A1360=A1361)*(B$1:B1360=B1361)*ROW(A$1:A1360)))),IF(INDEX(I$1:I1360,SUMPRODUCT(MAX((A$1:A1360=A1361)*(B$1:B1360=B1361)*ROW(A$1:A1360))))="",C1361&amp;"",INDEX(I$1:I1360,SUMPRODUCT(MAX((A$1:A1360=A1361)*(B$1:B1360=B1361)*ROW(A$1:A1360))))&amp;"; "&amp;C1361))))</f>
        <v/>
      </c>
      <c r="J1361" s="18" t="str">
        <f aca="false">IF(A1361="","",A1361&amp;"|"&amp;COUNTIF(A$2:A1361,A1361))</f>
        <v/>
      </c>
      <c r="K1361" s="18" t="n">
        <f aca="false">IF(OR(A1361="",B1361=""),0,IF(COUNTIFS(A$2:A1361,A1361,B$2:B1361,B1361)=1,1,0))</f>
        <v>0</v>
      </c>
    </row>
    <row r="1362" customFormat="false" ht="15" hidden="false" customHeight="false" outlineLevel="0" collapsed="false">
      <c r="A1362" s="15"/>
      <c r="B1362" s="15"/>
      <c r="C1362" s="15"/>
      <c r="D1362" s="15"/>
      <c r="F1362" s="18" t="str">
        <f aca="false">IF(B1362="","",IFERROR(INDEX(Materials!$B$2:$B$201,MATCH(B1362,Materials!$A$2:$A$201,0)),""))</f>
        <v/>
      </c>
      <c r="G1362" s="18" t="str">
        <f aca="true">IF(AND(A1362="",B1362=""),"",IF(A1362="","Missing product",IF(B1362="","Missing material",IF(COUNTIF(ProductList,A1362)=0,"Product not in Products list",IF(COUNTIF(MaterialList,B1362)=0,"Material not in Materials list","OK")))))</f>
        <v/>
      </c>
      <c r="H1362" s="18" t="str">
        <f aca="false">IF(F1362="Active",A1362&amp;"|"&amp;COUNTIFS(A$2:A1362,A1362,F$2:F1362,"Active"),"")</f>
        <v/>
      </c>
      <c r="I1362" s="18" t="str">
        <f aca="false">IF(B1362="","",IF(SUMPRODUCT(MAX((A$1:A1361=A1362)*(B$1:B1361=B1362)*ROW(A$1:A1361)))=0,C1362&amp;"",IF(C1362="",INDEX(I$1:I1361,SUMPRODUCT(MAX((A$1:A1361=A1362)*(B$1:B1361=B1362)*ROW(A$1:A1361)))),IF(INDEX(I$1:I1361,SUMPRODUCT(MAX((A$1:A1361=A1362)*(B$1:B1361=B1362)*ROW(A$1:A1361))))="",C1362&amp;"",INDEX(I$1:I1361,SUMPRODUCT(MAX((A$1:A1361=A1362)*(B$1:B1361=B1362)*ROW(A$1:A1361))))&amp;"; "&amp;C1362))))</f>
        <v/>
      </c>
      <c r="J1362" s="18" t="str">
        <f aca="false">IF(A1362="","",A1362&amp;"|"&amp;COUNTIF(A$2:A1362,A1362))</f>
        <v/>
      </c>
      <c r="K1362" s="18" t="n">
        <f aca="false">IF(OR(A1362="",B1362=""),0,IF(COUNTIFS(A$2:A1362,A1362,B$2:B1362,B1362)=1,1,0))</f>
        <v>0</v>
      </c>
    </row>
    <row r="1363" customFormat="false" ht="15" hidden="false" customHeight="false" outlineLevel="0" collapsed="false">
      <c r="A1363" s="15"/>
      <c r="B1363" s="15"/>
      <c r="C1363" s="15"/>
      <c r="D1363" s="15"/>
      <c r="F1363" s="18" t="str">
        <f aca="false">IF(B1363="","",IFERROR(INDEX(Materials!$B$2:$B$201,MATCH(B1363,Materials!$A$2:$A$201,0)),""))</f>
        <v/>
      </c>
      <c r="G1363" s="18" t="str">
        <f aca="true">IF(AND(A1363="",B1363=""),"",IF(A1363="","Missing product",IF(B1363="","Missing material",IF(COUNTIF(ProductList,A1363)=0,"Product not in Products list",IF(COUNTIF(MaterialList,B1363)=0,"Material not in Materials list","OK")))))</f>
        <v/>
      </c>
      <c r="H1363" s="18" t="str">
        <f aca="false">IF(F1363="Active",A1363&amp;"|"&amp;COUNTIFS(A$2:A1363,A1363,F$2:F1363,"Active"),"")</f>
        <v/>
      </c>
      <c r="I1363" s="18" t="str">
        <f aca="false">IF(B1363="","",IF(SUMPRODUCT(MAX((A$1:A1362=A1363)*(B$1:B1362=B1363)*ROW(A$1:A1362)))=0,C1363&amp;"",IF(C1363="",INDEX(I$1:I1362,SUMPRODUCT(MAX((A$1:A1362=A1363)*(B$1:B1362=B1363)*ROW(A$1:A1362)))),IF(INDEX(I$1:I1362,SUMPRODUCT(MAX((A$1:A1362=A1363)*(B$1:B1362=B1363)*ROW(A$1:A1362))))="",C1363&amp;"",INDEX(I$1:I1362,SUMPRODUCT(MAX((A$1:A1362=A1363)*(B$1:B1362=B1363)*ROW(A$1:A1362))))&amp;"; "&amp;C1363))))</f>
        <v/>
      </c>
      <c r="J1363" s="18" t="str">
        <f aca="false">IF(A1363="","",A1363&amp;"|"&amp;COUNTIF(A$2:A1363,A1363))</f>
        <v/>
      </c>
      <c r="K1363" s="18" t="n">
        <f aca="false">IF(OR(A1363="",B1363=""),0,IF(COUNTIFS(A$2:A1363,A1363,B$2:B1363,B1363)=1,1,0))</f>
        <v>0</v>
      </c>
    </row>
    <row r="1364" customFormat="false" ht="15" hidden="false" customHeight="false" outlineLevel="0" collapsed="false">
      <c r="A1364" s="15"/>
      <c r="B1364" s="15"/>
      <c r="C1364" s="15"/>
      <c r="D1364" s="15"/>
      <c r="F1364" s="18" t="str">
        <f aca="false">IF(B1364="","",IFERROR(INDEX(Materials!$B$2:$B$201,MATCH(B1364,Materials!$A$2:$A$201,0)),""))</f>
        <v/>
      </c>
      <c r="G1364" s="18" t="str">
        <f aca="true">IF(AND(A1364="",B1364=""),"",IF(A1364="","Missing product",IF(B1364="","Missing material",IF(COUNTIF(ProductList,A1364)=0,"Product not in Products list",IF(COUNTIF(MaterialList,B1364)=0,"Material not in Materials list","OK")))))</f>
        <v/>
      </c>
      <c r="H1364" s="18" t="str">
        <f aca="false">IF(F1364="Active",A1364&amp;"|"&amp;COUNTIFS(A$2:A1364,A1364,F$2:F1364,"Active"),"")</f>
        <v/>
      </c>
      <c r="I1364" s="18" t="str">
        <f aca="false">IF(B1364="","",IF(SUMPRODUCT(MAX((A$1:A1363=A1364)*(B$1:B1363=B1364)*ROW(A$1:A1363)))=0,C1364&amp;"",IF(C1364="",INDEX(I$1:I1363,SUMPRODUCT(MAX((A$1:A1363=A1364)*(B$1:B1363=B1364)*ROW(A$1:A1363)))),IF(INDEX(I$1:I1363,SUMPRODUCT(MAX((A$1:A1363=A1364)*(B$1:B1363=B1364)*ROW(A$1:A1363))))="",C1364&amp;"",INDEX(I$1:I1363,SUMPRODUCT(MAX((A$1:A1363=A1364)*(B$1:B1363=B1364)*ROW(A$1:A1363))))&amp;"; "&amp;C1364))))</f>
        <v/>
      </c>
      <c r="J1364" s="18" t="str">
        <f aca="false">IF(A1364="","",A1364&amp;"|"&amp;COUNTIF(A$2:A1364,A1364))</f>
        <v/>
      </c>
      <c r="K1364" s="18" t="n">
        <f aca="false">IF(OR(A1364="",B1364=""),0,IF(COUNTIFS(A$2:A1364,A1364,B$2:B1364,B1364)=1,1,0))</f>
        <v>0</v>
      </c>
    </row>
    <row r="1365" customFormat="false" ht="15" hidden="false" customHeight="false" outlineLevel="0" collapsed="false">
      <c r="A1365" s="15"/>
      <c r="B1365" s="15"/>
      <c r="C1365" s="15"/>
      <c r="D1365" s="15"/>
      <c r="F1365" s="18" t="str">
        <f aca="false">IF(B1365="","",IFERROR(INDEX(Materials!$B$2:$B$201,MATCH(B1365,Materials!$A$2:$A$201,0)),""))</f>
        <v/>
      </c>
      <c r="G1365" s="18" t="str">
        <f aca="true">IF(AND(A1365="",B1365=""),"",IF(A1365="","Missing product",IF(B1365="","Missing material",IF(COUNTIF(ProductList,A1365)=0,"Product not in Products list",IF(COUNTIF(MaterialList,B1365)=0,"Material not in Materials list","OK")))))</f>
        <v/>
      </c>
      <c r="H1365" s="18" t="str">
        <f aca="false">IF(F1365="Active",A1365&amp;"|"&amp;COUNTIFS(A$2:A1365,A1365,F$2:F1365,"Active"),"")</f>
        <v/>
      </c>
      <c r="I1365" s="18" t="str">
        <f aca="false">IF(B1365="","",IF(SUMPRODUCT(MAX((A$1:A1364=A1365)*(B$1:B1364=B1365)*ROW(A$1:A1364)))=0,C1365&amp;"",IF(C1365="",INDEX(I$1:I1364,SUMPRODUCT(MAX((A$1:A1364=A1365)*(B$1:B1364=B1365)*ROW(A$1:A1364)))),IF(INDEX(I$1:I1364,SUMPRODUCT(MAX((A$1:A1364=A1365)*(B$1:B1364=B1365)*ROW(A$1:A1364))))="",C1365&amp;"",INDEX(I$1:I1364,SUMPRODUCT(MAX((A$1:A1364=A1365)*(B$1:B1364=B1365)*ROW(A$1:A1364))))&amp;"; "&amp;C1365))))</f>
        <v/>
      </c>
      <c r="J1365" s="18" t="str">
        <f aca="false">IF(A1365="","",A1365&amp;"|"&amp;COUNTIF(A$2:A1365,A1365))</f>
        <v/>
      </c>
      <c r="K1365" s="18" t="n">
        <f aca="false">IF(OR(A1365="",B1365=""),0,IF(COUNTIFS(A$2:A1365,A1365,B$2:B1365,B1365)=1,1,0))</f>
        <v>0</v>
      </c>
    </row>
    <row r="1366" customFormat="false" ht="15" hidden="false" customHeight="false" outlineLevel="0" collapsed="false">
      <c r="A1366" s="15"/>
      <c r="B1366" s="15"/>
      <c r="C1366" s="15"/>
      <c r="D1366" s="15"/>
      <c r="F1366" s="18" t="str">
        <f aca="false">IF(B1366="","",IFERROR(INDEX(Materials!$B$2:$B$201,MATCH(B1366,Materials!$A$2:$A$201,0)),""))</f>
        <v/>
      </c>
      <c r="G1366" s="18" t="str">
        <f aca="true">IF(AND(A1366="",B1366=""),"",IF(A1366="","Missing product",IF(B1366="","Missing material",IF(COUNTIF(ProductList,A1366)=0,"Product not in Products list",IF(COUNTIF(MaterialList,B1366)=0,"Material not in Materials list","OK")))))</f>
        <v/>
      </c>
      <c r="H1366" s="18" t="str">
        <f aca="false">IF(F1366="Active",A1366&amp;"|"&amp;COUNTIFS(A$2:A1366,A1366,F$2:F1366,"Active"),"")</f>
        <v/>
      </c>
      <c r="I1366" s="18" t="str">
        <f aca="false">IF(B1366="","",IF(SUMPRODUCT(MAX((A$1:A1365=A1366)*(B$1:B1365=B1366)*ROW(A$1:A1365)))=0,C1366&amp;"",IF(C1366="",INDEX(I$1:I1365,SUMPRODUCT(MAX((A$1:A1365=A1366)*(B$1:B1365=B1366)*ROW(A$1:A1365)))),IF(INDEX(I$1:I1365,SUMPRODUCT(MAX((A$1:A1365=A1366)*(B$1:B1365=B1366)*ROW(A$1:A1365))))="",C1366&amp;"",INDEX(I$1:I1365,SUMPRODUCT(MAX((A$1:A1365=A1366)*(B$1:B1365=B1366)*ROW(A$1:A1365))))&amp;"; "&amp;C1366))))</f>
        <v/>
      </c>
      <c r="J1366" s="18" t="str">
        <f aca="false">IF(A1366="","",A1366&amp;"|"&amp;COUNTIF(A$2:A1366,A1366))</f>
        <v/>
      </c>
      <c r="K1366" s="18" t="n">
        <f aca="false">IF(OR(A1366="",B1366=""),0,IF(COUNTIFS(A$2:A1366,A1366,B$2:B1366,B1366)=1,1,0))</f>
        <v>0</v>
      </c>
    </row>
    <row r="1367" customFormat="false" ht="15" hidden="false" customHeight="false" outlineLevel="0" collapsed="false">
      <c r="A1367" s="15"/>
      <c r="B1367" s="15"/>
      <c r="C1367" s="15"/>
      <c r="D1367" s="15"/>
      <c r="F1367" s="18" t="str">
        <f aca="false">IF(B1367="","",IFERROR(INDEX(Materials!$B$2:$B$201,MATCH(B1367,Materials!$A$2:$A$201,0)),""))</f>
        <v/>
      </c>
      <c r="G1367" s="18" t="str">
        <f aca="true">IF(AND(A1367="",B1367=""),"",IF(A1367="","Missing product",IF(B1367="","Missing material",IF(COUNTIF(ProductList,A1367)=0,"Product not in Products list",IF(COUNTIF(MaterialList,B1367)=0,"Material not in Materials list","OK")))))</f>
        <v/>
      </c>
      <c r="H1367" s="18" t="str">
        <f aca="false">IF(F1367="Active",A1367&amp;"|"&amp;COUNTIFS(A$2:A1367,A1367,F$2:F1367,"Active"),"")</f>
        <v/>
      </c>
      <c r="I1367" s="18" t="str">
        <f aca="false">IF(B1367="","",IF(SUMPRODUCT(MAX((A$1:A1366=A1367)*(B$1:B1366=B1367)*ROW(A$1:A1366)))=0,C1367&amp;"",IF(C1367="",INDEX(I$1:I1366,SUMPRODUCT(MAX((A$1:A1366=A1367)*(B$1:B1366=B1367)*ROW(A$1:A1366)))),IF(INDEX(I$1:I1366,SUMPRODUCT(MAX((A$1:A1366=A1367)*(B$1:B1366=B1367)*ROW(A$1:A1366))))="",C1367&amp;"",INDEX(I$1:I1366,SUMPRODUCT(MAX((A$1:A1366=A1367)*(B$1:B1366=B1367)*ROW(A$1:A1366))))&amp;"; "&amp;C1367))))</f>
        <v/>
      </c>
      <c r="J1367" s="18" t="str">
        <f aca="false">IF(A1367="","",A1367&amp;"|"&amp;COUNTIF(A$2:A1367,A1367))</f>
        <v/>
      </c>
      <c r="K1367" s="18" t="n">
        <f aca="false">IF(OR(A1367="",B1367=""),0,IF(COUNTIFS(A$2:A1367,A1367,B$2:B1367,B1367)=1,1,0))</f>
        <v>0</v>
      </c>
    </row>
    <row r="1368" customFormat="false" ht="15" hidden="false" customHeight="false" outlineLevel="0" collapsed="false">
      <c r="A1368" s="15"/>
      <c r="B1368" s="15"/>
      <c r="C1368" s="15"/>
      <c r="D1368" s="15"/>
      <c r="F1368" s="18" t="str">
        <f aca="false">IF(B1368="","",IFERROR(INDEX(Materials!$B$2:$B$201,MATCH(B1368,Materials!$A$2:$A$201,0)),""))</f>
        <v/>
      </c>
      <c r="G1368" s="18" t="str">
        <f aca="true">IF(AND(A1368="",B1368=""),"",IF(A1368="","Missing product",IF(B1368="","Missing material",IF(COUNTIF(ProductList,A1368)=0,"Product not in Products list",IF(COUNTIF(MaterialList,B1368)=0,"Material not in Materials list","OK")))))</f>
        <v/>
      </c>
      <c r="H1368" s="18" t="str">
        <f aca="false">IF(F1368="Active",A1368&amp;"|"&amp;COUNTIFS(A$2:A1368,A1368,F$2:F1368,"Active"),"")</f>
        <v/>
      </c>
      <c r="I1368" s="18" t="str">
        <f aca="false">IF(B1368="","",IF(SUMPRODUCT(MAX((A$1:A1367=A1368)*(B$1:B1367=B1368)*ROW(A$1:A1367)))=0,C1368&amp;"",IF(C1368="",INDEX(I$1:I1367,SUMPRODUCT(MAX((A$1:A1367=A1368)*(B$1:B1367=B1368)*ROW(A$1:A1367)))),IF(INDEX(I$1:I1367,SUMPRODUCT(MAX((A$1:A1367=A1368)*(B$1:B1367=B1368)*ROW(A$1:A1367))))="",C1368&amp;"",INDEX(I$1:I1367,SUMPRODUCT(MAX((A$1:A1367=A1368)*(B$1:B1367=B1368)*ROW(A$1:A1367))))&amp;"; "&amp;C1368))))</f>
        <v/>
      </c>
      <c r="J1368" s="18" t="str">
        <f aca="false">IF(A1368="","",A1368&amp;"|"&amp;COUNTIF(A$2:A1368,A1368))</f>
        <v/>
      </c>
      <c r="K1368" s="18" t="n">
        <f aca="false">IF(OR(A1368="",B1368=""),0,IF(COUNTIFS(A$2:A1368,A1368,B$2:B1368,B1368)=1,1,0))</f>
        <v>0</v>
      </c>
    </row>
    <row r="1369" customFormat="false" ht="15" hidden="false" customHeight="false" outlineLevel="0" collapsed="false">
      <c r="A1369" s="15"/>
      <c r="B1369" s="15"/>
      <c r="C1369" s="15"/>
      <c r="D1369" s="15"/>
      <c r="F1369" s="18" t="str">
        <f aca="false">IF(B1369="","",IFERROR(INDEX(Materials!$B$2:$B$201,MATCH(B1369,Materials!$A$2:$A$201,0)),""))</f>
        <v/>
      </c>
      <c r="G1369" s="18" t="str">
        <f aca="true">IF(AND(A1369="",B1369=""),"",IF(A1369="","Missing product",IF(B1369="","Missing material",IF(COUNTIF(ProductList,A1369)=0,"Product not in Products list",IF(COUNTIF(MaterialList,B1369)=0,"Material not in Materials list","OK")))))</f>
        <v/>
      </c>
      <c r="H1369" s="18" t="str">
        <f aca="false">IF(F1369="Active",A1369&amp;"|"&amp;COUNTIFS(A$2:A1369,A1369,F$2:F1369,"Active"),"")</f>
        <v/>
      </c>
      <c r="I1369" s="18" t="str">
        <f aca="false">IF(B1369="","",IF(SUMPRODUCT(MAX((A$1:A1368=A1369)*(B$1:B1368=B1369)*ROW(A$1:A1368)))=0,C1369&amp;"",IF(C1369="",INDEX(I$1:I1368,SUMPRODUCT(MAX((A$1:A1368=A1369)*(B$1:B1368=B1369)*ROW(A$1:A1368)))),IF(INDEX(I$1:I1368,SUMPRODUCT(MAX((A$1:A1368=A1369)*(B$1:B1368=B1369)*ROW(A$1:A1368))))="",C1369&amp;"",INDEX(I$1:I1368,SUMPRODUCT(MAX((A$1:A1368=A1369)*(B$1:B1368=B1369)*ROW(A$1:A1368))))&amp;"; "&amp;C1369))))</f>
        <v/>
      </c>
      <c r="J1369" s="18" t="str">
        <f aca="false">IF(A1369="","",A1369&amp;"|"&amp;COUNTIF(A$2:A1369,A1369))</f>
        <v/>
      </c>
      <c r="K1369" s="18" t="n">
        <f aca="false">IF(OR(A1369="",B1369=""),0,IF(COUNTIFS(A$2:A1369,A1369,B$2:B1369,B1369)=1,1,0))</f>
        <v>0</v>
      </c>
    </row>
    <row r="1370" customFormat="false" ht="15" hidden="false" customHeight="false" outlineLevel="0" collapsed="false">
      <c r="A1370" s="15"/>
      <c r="B1370" s="15"/>
      <c r="C1370" s="15"/>
      <c r="D1370" s="15"/>
      <c r="F1370" s="18" t="str">
        <f aca="false">IF(B1370="","",IFERROR(INDEX(Materials!$B$2:$B$201,MATCH(B1370,Materials!$A$2:$A$201,0)),""))</f>
        <v/>
      </c>
      <c r="G1370" s="18" t="str">
        <f aca="true">IF(AND(A1370="",B1370=""),"",IF(A1370="","Missing product",IF(B1370="","Missing material",IF(COUNTIF(ProductList,A1370)=0,"Product not in Products list",IF(COUNTIF(MaterialList,B1370)=0,"Material not in Materials list","OK")))))</f>
        <v/>
      </c>
      <c r="H1370" s="18" t="str">
        <f aca="false">IF(F1370="Active",A1370&amp;"|"&amp;COUNTIFS(A$2:A1370,A1370,F$2:F1370,"Active"),"")</f>
        <v/>
      </c>
      <c r="I1370" s="18" t="str">
        <f aca="false">IF(B1370="","",IF(SUMPRODUCT(MAX((A$1:A1369=A1370)*(B$1:B1369=B1370)*ROW(A$1:A1369)))=0,C1370&amp;"",IF(C1370="",INDEX(I$1:I1369,SUMPRODUCT(MAX((A$1:A1369=A1370)*(B$1:B1369=B1370)*ROW(A$1:A1369)))),IF(INDEX(I$1:I1369,SUMPRODUCT(MAX((A$1:A1369=A1370)*(B$1:B1369=B1370)*ROW(A$1:A1369))))="",C1370&amp;"",INDEX(I$1:I1369,SUMPRODUCT(MAX((A$1:A1369=A1370)*(B$1:B1369=B1370)*ROW(A$1:A1369))))&amp;"; "&amp;C1370))))</f>
        <v/>
      </c>
      <c r="J1370" s="18" t="str">
        <f aca="false">IF(A1370="","",A1370&amp;"|"&amp;COUNTIF(A$2:A1370,A1370))</f>
        <v/>
      </c>
      <c r="K1370" s="18" t="n">
        <f aca="false">IF(OR(A1370="",B1370=""),0,IF(COUNTIFS(A$2:A1370,A1370,B$2:B1370,B1370)=1,1,0))</f>
        <v>0</v>
      </c>
    </row>
    <row r="1371" customFormat="false" ht="15" hidden="false" customHeight="false" outlineLevel="0" collapsed="false">
      <c r="A1371" s="15"/>
      <c r="B1371" s="15"/>
      <c r="C1371" s="15"/>
      <c r="D1371" s="15"/>
      <c r="F1371" s="18" t="str">
        <f aca="false">IF(B1371="","",IFERROR(INDEX(Materials!$B$2:$B$201,MATCH(B1371,Materials!$A$2:$A$201,0)),""))</f>
        <v/>
      </c>
      <c r="G1371" s="18" t="str">
        <f aca="true">IF(AND(A1371="",B1371=""),"",IF(A1371="","Missing product",IF(B1371="","Missing material",IF(COUNTIF(ProductList,A1371)=0,"Product not in Products list",IF(COUNTIF(MaterialList,B1371)=0,"Material not in Materials list","OK")))))</f>
        <v/>
      </c>
      <c r="H1371" s="18" t="str">
        <f aca="false">IF(F1371="Active",A1371&amp;"|"&amp;COUNTIFS(A$2:A1371,A1371,F$2:F1371,"Active"),"")</f>
        <v/>
      </c>
      <c r="I1371" s="18" t="str">
        <f aca="false">IF(B1371="","",IF(SUMPRODUCT(MAX((A$1:A1370=A1371)*(B$1:B1370=B1371)*ROW(A$1:A1370)))=0,C1371&amp;"",IF(C1371="",INDEX(I$1:I1370,SUMPRODUCT(MAX((A$1:A1370=A1371)*(B$1:B1370=B1371)*ROW(A$1:A1370)))),IF(INDEX(I$1:I1370,SUMPRODUCT(MAX((A$1:A1370=A1371)*(B$1:B1370=B1371)*ROW(A$1:A1370))))="",C1371&amp;"",INDEX(I$1:I1370,SUMPRODUCT(MAX((A$1:A1370=A1371)*(B$1:B1370=B1371)*ROW(A$1:A1370))))&amp;"; "&amp;C1371))))</f>
        <v/>
      </c>
      <c r="J1371" s="18" t="str">
        <f aca="false">IF(A1371="","",A1371&amp;"|"&amp;COUNTIF(A$2:A1371,A1371))</f>
        <v/>
      </c>
      <c r="K1371" s="18" t="n">
        <f aca="false">IF(OR(A1371="",B1371=""),0,IF(COUNTIFS(A$2:A1371,A1371,B$2:B1371,B1371)=1,1,0))</f>
        <v>0</v>
      </c>
    </row>
    <row r="1372" customFormat="false" ht="15" hidden="false" customHeight="false" outlineLevel="0" collapsed="false">
      <c r="A1372" s="15"/>
      <c r="B1372" s="15"/>
      <c r="C1372" s="15"/>
      <c r="D1372" s="15"/>
      <c r="F1372" s="18" t="str">
        <f aca="false">IF(B1372="","",IFERROR(INDEX(Materials!$B$2:$B$201,MATCH(B1372,Materials!$A$2:$A$201,0)),""))</f>
        <v/>
      </c>
      <c r="G1372" s="18" t="str">
        <f aca="true">IF(AND(A1372="",B1372=""),"",IF(A1372="","Missing product",IF(B1372="","Missing material",IF(COUNTIF(ProductList,A1372)=0,"Product not in Products list",IF(COUNTIF(MaterialList,B1372)=0,"Material not in Materials list","OK")))))</f>
        <v/>
      </c>
      <c r="H1372" s="18" t="str">
        <f aca="false">IF(F1372="Active",A1372&amp;"|"&amp;COUNTIFS(A$2:A1372,A1372,F$2:F1372,"Active"),"")</f>
        <v/>
      </c>
      <c r="I1372" s="18" t="str">
        <f aca="false">IF(B1372="","",IF(SUMPRODUCT(MAX((A$1:A1371=A1372)*(B$1:B1371=B1372)*ROW(A$1:A1371)))=0,C1372&amp;"",IF(C1372="",INDEX(I$1:I1371,SUMPRODUCT(MAX((A$1:A1371=A1372)*(B$1:B1371=B1372)*ROW(A$1:A1371)))),IF(INDEX(I$1:I1371,SUMPRODUCT(MAX((A$1:A1371=A1372)*(B$1:B1371=B1372)*ROW(A$1:A1371))))="",C1372&amp;"",INDEX(I$1:I1371,SUMPRODUCT(MAX((A$1:A1371=A1372)*(B$1:B1371=B1372)*ROW(A$1:A1371))))&amp;"; "&amp;C1372))))</f>
        <v/>
      </c>
      <c r="J1372" s="18" t="str">
        <f aca="false">IF(A1372="","",A1372&amp;"|"&amp;COUNTIF(A$2:A1372,A1372))</f>
        <v/>
      </c>
      <c r="K1372" s="18" t="n">
        <f aca="false">IF(OR(A1372="",B1372=""),0,IF(COUNTIFS(A$2:A1372,A1372,B$2:B1372,B1372)=1,1,0))</f>
        <v>0</v>
      </c>
    </row>
    <row r="1373" customFormat="false" ht="15" hidden="false" customHeight="false" outlineLevel="0" collapsed="false">
      <c r="A1373" s="15"/>
      <c r="B1373" s="15"/>
      <c r="C1373" s="15"/>
      <c r="D1373" s="15"/>
      <c r="F1373" s="18" t="str">
        <f aca="false">IF(B1373="","",IFERROR(INDEX(Materials!$B$2:$B$201,MATCH(B1373,Materials!$A$2:$A$201,0)),""))</f>
        <v/>
      </c>
      <c r="G1373" s="18" t="str">
        <f aca="true">IF(AND(A1373="",B1373=""),"",IF(A1373="","Missing product",IF(B1373="","Missing material",IF(COUNTIF(ProductList,A1373)=0,"Product not in Products list",IF(COUNTIF(MaterialList,B1373)=0,"Material not in Materials list","OK")))))</f>
        <v/>
      </c>
      <c r="H1373" s="18" t="str">
        <f aca="false">IF(F1373="Active",A1373&amp;"|"&amp;COUNTIFS(A$2:A1373,A1373,F$2:F1373,"Active"),"")</f>
        <v/>
      </c>
      <c r="I1373" s="18" t="str">
        <f aca="false">IF(B1373="","",IF(SUMPRODUCT(MAX((A$1:A1372=A1373)*(B$1:B1372=B1373)*ROW(A$1:A1372)))=0,C1373&amp;"",IF(C1373="",INDEX(I$1:I1372,SUMPRODUCT(MAX((A$1:A1372=A1373)*(B$1:B1372=B1373)*ROW(A$1:A1372)))),IF(INDEX(I$1:I1372,SUMPRODUCT(MAX((A$1:A1372=A1373)*(B$1:B1372=B1373)*ROW(A$1:A1372))))="",C1373&amp;"",INDEX(I$1:I1372,SUMPRODUCT(MAX((A$1:A1372=A1373)*(B$1:B1372=B1373)*ROW(A$1:A1372))))&amp;"; "&amp;C1373))))</f>
        <v/>
      </c>
      <c r="J1373" s="18" t="str">
        <f aca="false">IF(A1373="","",A1373&amp;"|"&amp;COUNTIF(A$2:A1373,A1373))</f>
        <v/>
      </c>
      <c r="K1373" s="18" t="n">
        <f aca="false">IF(OR(A1373="",B1373=""),0,IF(COUNTIFS(A$2:A1373,A1373,B$2:B1373,B1373)=1,1,0))</f>
        <v>0</v>
      </c>
    </row>
    <row r="1374" customFormat="false" ht="15" hidden="false" customHeight="false" outlineLevel="0" collapsed="false">
      <c r="A1374" s="15"/>
      <c r="B1374" s="15"/>
      <c r="C1374" s="15"/>
      <c r="D1374" s="15"/>
      <c r="F1374" s="18" t="str">
        <f aca="false">IF(B1374="","",IFERROR(INDEX(Materials!$B$2:$B$201,MATCH(B1374,Materials!$A$2:$A$201,0)),""))</f>
        <v/>
      </c>
      <c r="G1374" s="18" t="str">
        <f aca="true">IF(AND(A1374="",B1374=""),"",IF(A1374="","Missing product",IF(B1374="","Missing material",IF(COUNTIF(ProductList,A1374)=0,"Product not in Products list",IF(COUNTIF(MaterialList,B1374)=0,"Material not in Materials list","OK")))))</f>
        <v/>
      </c>
      <c r="H1374" s="18" t="str">
        <f aca="false">IF(F1374="Active",A1374&amp;"|"&amp;COUNTIFS(A$2:A1374,A1374,F$2:F1374,"Active"),"")</f>
        <v/>
      </c>
      <c r="I1374" s="18" t="str">
        <f aca="false">IF(B1374="","",IF(SUMPRODUCT(MAX((A$1:A1373=A1374)*(B$1:B1373=B1374)*ROW(A$1:A1373)))=0,C1374&amp;"",IF(C1374="",INDEX(I$1:I1373,SUMPRODUCT(MAX((A$1:A1373=A1374)*(B$1:B1373=B1374)*ROW(A$1:A1373)))),IF(INDEX(I$1:I1373,SUMPRODUCT(MAX((A$1:A1373=A1374)*(B$1:B1373=B1374)*ROW(A$1:A1373))))="",C1374&amp;"",INDEX(I$1:I1373,SUMPRODUCT(MAX((A$1:A1373=A1374)*(B$1:B1373=B1374)*ROW(A$1:A1373))))&amp;"; "&amp;C1374))))</f>
        <v/>
      </c>
      <c r="J1374" s="18" t="str">
        <f aca="false">IF(A1374="","",A1374&amp;"|"&amp;COUNTIF(A$2:A1374,A1374))</f>
        <v/>
      </c>
      <c r="K1374" s="18" t="n">
        <f aca="false">IF(OR(A1374="",B1374=""),0,IF(COUNTIFS(A$2:A1374,A1374,B$2:B1374,B1374)=1,1,0))</f>
        <v>0</v>
      </c>
    </row>
    <row r="1375" customFormat="false" ht="15" hidden="false" customHeight="false" outlineLevel="0" collapsed="false">
      <c r="A1375" s="15"/>
      <c r="B1375" s="15"/>
      <c r="C1375" s="15"/>
      <c r="D1375" s="15"/>
      <c r="F1375" s="18" t="str">
        <f aca="false">IF(B1375="","",IFERROR(INDEX(Materials!$B$2:$B$201,MATCH(B1375,Materials!$A$2:$A$201,0)),""))</f>
        <v/>
      </c>
      <c r="G1375" s="18" t="str">
        <f aca="true">IF(AND(A1375="",B1375=""),"",IF(A1375="","Missing product",IF(B1375="","Missing material",IF(COUNTIF(ProductList,A1375)=0,"Product not in Products list",IF(COUNTIF(MaterialList,B1375)=0,"Material not in Materials list","OK")))))</f>
        <v/>
      </c>
      <c r="H1375" s="18" t="str">
        <f aca="false">IF(F1375="Active",A1375&amp;"|"&amp;COUNTIFS(A$2:A1375,A1375,F$2:F1375,"Active"),"")</f>
        <v/>
      </c>
      <c r="I1375" s="18" t="str">
        <f aca="false">IF(B1375="","",IF(SUMPRODUCT(MAX((A$1:A1374=A1375)*(B$1:B1374=B1375)*ROW(A$1:A1374)))=0,C1375&amp;"",IF(C1375="",INDEX(I$1:I1374,SUMPRODUCT(MAX((A$1:A1374=A1375)*(B$1:B1374=B1375)*ROW(A$1:A1374)))),IF(INDEX(I$1:I1374,SUMPRODUCT(MAX((A$1:A1374=A1375)*(B$1:B1374=B1375)*ROW(A$1:A1374))))="",C1375&amp;"",INDEX(I$1:I1374,SUMPRODUCT(MAX((A$1:A1374=A1375)*(B$1:B1374=B1375)*ROW(A$1:A1374))))&amp;"; "&amp;C1375))))</f>
        <v/>
      </c>
      <c r="J1375" s="18" t="str">
        <f aca="false">IF(A1375="","",A1375&amp;"|"&amp;COUNTIF(A$2:A1375,A1375))</f>
        <v/>
      </c>
      <c r="K1375" s="18" t="n">
        <f aca="false">IF(OR(A1375="",B1375=""),0,IF(COUNTIFS(A$2:A1375,A1375,B$2:B1375,B1375)=1,1,0))</f>
        <v>0</v>
      </c>
    </row>
    <row r="1376" customFormat="false" ht="15" hidden="false" customHeight="false" outlineLevel="0" collapsed="false">
      <c r="A1376" s="15"/>
      <c r="B1376" s="15"/>
      <c r="C1376" s="15"/>
      <c r="D1376" s="15"/>
      <c r="F1376" s="18" t="str">
        <f aca="false">IF(B1376="","",IFERROR(INDEX(Materials!$B$2:$B$201,MATCH(B1376,Materials!$A$2:$A$201,0)),""))</f>
        <v/>
      </c>
      <c r="G1376" s="18" t="str">
        <f aca="true">IF(AND(A1376="",B1376=""),"",IF(A1376="","Missing product",IF(B1376="","Missing material",IF(COUNTIF(ProductList,A1376)=0,"Product not in Products list",IF(COUNTIF(MaterialList,B1376)=0,"Material not in Materials list","OK")))))</f>
        <v/>
      </c>
      <c r="H1376" s="18" t="str">
        <f aca="false">IF(F1376="Active",A1376&amp;"|"&amp;COUNTIFS(A$2:A1376,A1376,F$2:F1376,"Active"),"")</f>
        <v/>
      </c>
      <c r="I1376" s="18" t="str">
        <f aca="false">IF(B1376="","",IF(SUMPRODUCT(MAX((A$1:A1375=A1376)*(B$1:B1375=B1376)*ROW(A$1:A1375)))=0,C1376&amp;"",IF(C1376="",INDEX(I$1:I1375,SUMPRODUCT(MAX((A$1:A1375=A1376)*(B$1:B1375=B1376)*ROW(A$1:A1375)))),IF(INDEX(I$1:I1375,SUMPRODUCT(MAX((A$1:A1375=A1376)*(B$1:B1375=B1376)*ROW(A$1:A1375))))="",C1376&amp;"",INDEX(I$1:I1375,SUMPRODUCT(MAX((A$1:A1375=A1376)*(B$1:B1375=B1376)*ROW(A$1:A1375))))&amp;"; "&amp;C1376))))</f>
        <v/>
      </c>
      <c r="J1376" s="18" t="str">
        <f aca="false">IF(A1376="","",A1376&amp;"|"&amp;COUNTIF(A$2:A1376,A1376))</f>
        <v/>
      </c>
      <c r="K1376" s="18" t="n">
        <f aca="false">IF(OR(A1376="",B1376=""),0,IF(COUNTIFS(A$2:A1376,A1376,B$2:B1376,B1376)=1,1,0))</f>
        <v>0</v>
      </c>
    </row>
    <row r="1377" customFormat="false" ht="15" hidden="false" customHeight="false" outlineLevel="0" collapsed="false">
      <c r="A1377" s="15"/>
      <c r="B1377" s="15"/>
      <c r="C1377" s="15"/>
      <c r="D1377" s="15"/>
      <c r="F1377" s="18" t="str">
        <f aca="false">IF(B1377="","",IFERROR(INDEX(Materials!$B$2:$B$201,MATCH(B1377,Materials!$A$2:$A$201,0)),""))</f>
        <v/>
      </c>
      <c r="G1377" s="18" t="str">
        <f aca="true">IF(AND(A1377="",B1377=""),"",IF(A1377="","Missing product",IF(B1377="","Missing material",IF(COUNTIF(ProductList,A1377)=0,"Product not in Products list",IF(COUNTIF(MaterialList,B1377)=0,"Material not in Materials list","OK")))))</f>
        <v/>
      </c>
      <c r="H1377" s="18" t="str">
        <f aca="false">IF(F1377="Active",A1377&amp;"|"&amp;COUNTIFS(A$2:A1377,A1377,F$2:F1377,"Active"),"")</f>
        <v/>
      </c>
      <c r="I1377" s="18" t="str">
        <f aca="false">IF(B1377="","",IF(SUMPRODUCT(MAX((A$1:A1376=A1377)*(B$1:B1376=B1377)*ROW(A$1:A1376)))=0,C1377&amp;"",IF(C1377="",INDEX(I$1:I1376,SUMPRODUCT(MAX((A$1:A1376=A1377)*(B$1:B1376=B1377)*ROW(A$1:A1376)))),IF(INDEX(I$1:I1376,SUMPRODUCT(MAX((A$1:A1376=A1377)*(B$1:B1376=B1377)*ROW(A$1:A1376))))="",C1377&amp;"",INDEX(I$1:I1376,SUMPRODUCT(MAX((A$1:A1376=A1377)*(B$1:B1376=B1377)*ROW(A$1:A1376))))&amp;"; "&amp;C1377))))</f>
        <v/>
      </c>
      <c r="J1377" s="18" t="str">
        <f aca="false">IF(A1377="","",A1377&amp;"|"&amp;COUNTIF(A$2:A1377,A1377))</f>
        <v/>
      </c>
      <c r="K1377" s="18" t="n">
        <f aca="false">IF(OR(A1377="",B1377=""),0,IF(COUNTIFS(A$2:A1377,A1377,B$2:B1377,B1377)=1,1,0))</f>
        <v>0</v>
      </c>
    </row>
    <row r="1378" customFormat="false" ht="15" hidden="false" customHeight="false" outlineLevel="0" collapsed="false">
      <c r="A1378" s="15"/>
      <c r="B1378" s="15"/>
      <c r="C1378" s="15"/>
      <c r="D1378" s="15"/>
      <c r="F1378" s="18" t="str">
        <f aca="false">IF(B1378="","",IFERROR(INDEX(Materials!$B$2:$B$201,MATCH(B1378,Materials!$A$2:$A$201,0)),""))</f>
        <v/>
      </c>
      <c r="G1378" s="18" t="str">
        <f aca="true">IF(AND(A1378="",B1378=""),"",IF(A1378="","Missing product",IF(B1378="","Missing material",IF(COUNTIF(ProductList,A1378)=0,"Product not in Products list",IF(COUNTIF(MaterialList,B1378)=0,"Material not in Materials list","OK")))))</f>
        <v/>
      </c>
      <c r="H1378" s="18" t="str">
        <f aca="false">IF(F1378="Active",A1378&amp;"|"&amp;COUNTIFS(A$2:A1378,A1378,F$2:F1378,"Active"),"")</f>
        <v/>
      </c>
      <c r="I1378" s="18" t="str">
        <f aca="false">IF(B1378="","",IF(SUMPRODUCT(MAX((A$1:A1377=A1378)*(B$1:B1377=B1378)*ROW(A$1:A1377)))=0,C1378&amp;"",IF(C1378="",INDEX(I$1:I1377,SUMPRODUCT(MAX((A$1:A1377=A1378)*(B$1:B1377=B1378)*ROW(A$1:A1377)))),IF(INDEX(I$1:I1377,SUMPRODUCT(MAX((A$1:A1377=A1378)*(B$1:B1377=B1378)*ROW(A$1:A1377))))="",C1378&amp;"",INDEX(I$1:I1377,SUMPRODUCT(MAX((A$1:A1377=A1378)*(B$1:B1377=B1378)*ROW(A$1:A1377))))&amp;"; "&amp;C1378))))</f>
        <v/>
      </c>
      <c r="J1378" s="18" t="str">
        <f aca="false">IF(A1378="","",A1378&amp;"|"&amp;COUNTIF(A$2:A1378,A1378))</f>
        <v/>
      </c>
      <c r="K1378" s="18" t="n">
        <f aca="false">IF(OR(A1378="",B1378=""),0,IF(COUNTIFS(A$2:A1378,A1378,B$2:B1378,B1378)=1,1,0))</f>
        <v>0</v>
      </c>
    </row>
    <row r="1379" customFormat="false" ht="15" hidden="false" customHeight="false" outlineLevel="0" collapsed="false">
      <c r="A1379" s="15"/>
      <c r="B1379" s="15"/>
      <c r="C1379" s="15"/>
      <c r="D1379" s="15"/>
      <c r="F1379" s="18" t="str">
        <f aca="false">IF(B1379="","",IFERROR(INDEX(Materials!$B$2:$B$201,MATCH(B1379,Materials!$A$2:$A$201,0)),""))</f>
        <v/>
      </c>
      <c r="G1379" s="18" t="str">
        <f aca="true">IF(AND(A1379="",B1379=""),"",IF(A1379="","Missing product",IF(B1379="","Missing material",IF(COUNTIF(ProductList,A1379)=0,"Product not in Products list",IF(COUNTIF(MaterialList,B1379)=0,"Material not in Materials list","OK")))))</f>
        <v/>
      </c>
      <c r="H1379" s="18" t="str">
        <f aca="false">IF(F1379="Active",A1379&amp;"|"&amp;COUNTIFS(A$2:A1379,A1379,F$2:F1379,"Active"),"")</f>
        <v/>
      </c>
      <c r="I1379" s="18" t="str">
        <f aca="false">IF(B1379="","",IF(SUMPRODUCT(MAX((A$1:A1378=A1379)*(B$1:B1378=B1379)*ROW(A$1:A1378)))=0,C1379&amp;"",IF(C1379="",INDEX(I$1:I1378,SUMPRODUCT(MAX((A$1:A1378=A1379)*(B$1:B1378=B1379)*ROW(A$1:A1378)))),IF(INDEX(I$1:I1378,SUMPRODUCT(MAX((A$1:A1378=A1379)*(B$1:B1378=B1379)*ROW(A$1:A1378))))="",C1379&amp;"",INDEX(I$1:I1378,SUMPRODUCT(MAX((A$1:A1378=A1379)*(B$1:B1378=B1379)*ROW(A$1:A1378))))&amp;"; "&amp;C1379))))</f>
        <v/>
      </c>
      <c r="J1379" s="18" t="str">
        <f aca="false">IF(A1379="","",A1379&amp;"|"&amp;COUNTIF(A$2:A1379,A1379))</f>
        <v/>
      </c>
      <c r="K1379" s="18" t="n">
        <f aca="false">IF(OR(A1379="",B1379=""),0,IF(COUNTIFS(A$2:A1379,A1379,B$2:B1379,B1379)=1,1,0))</f>
        <v>0</v>
      </c>
    </row>
    <row r="1380" customFormat="false" ht="15" hidden="false" customHeight="false" outlineLevel="0" collapsed="false">
      <c r="A1380" s="15"/>
      <c r="B1380" s="15"/>
      <c r="C1380" s="15"/>
      <c r="D1380" s="15"/>
      <c r="F1380" s="18" t="str">
        <f aca="false">IF(B1380="","",IFERROR(INDEX(Materials!$B$2:$B$201,MATCH(B1380,Materials!$A$2:$A$201,0)),""))</f>
        <v/>
      </c>
      <c r="G1380" s="18" t="str">
        <f aca="true">IF(AND(A1380="",B1380=""),"",IF(A1380="","Missing product",IF(B1380="","Missing material",IF(COUNTIF(ProductList,A1380)=0,"Product not in Products list",IF(COUNTIF(MaterialList,B1380)=0,"Material not in Materials list","OK")))))</f>
        <v/>
      </c>
      <c r="H1380" s="18" t="str">
        <f aca="false">IF(F1380="Active",A1380&amp;"|"&amp;COUNTIFS(A$2:A1380,A1380,F$2:F1380,"Active"),"")</f>
        <v/>
      </c>
      <c r="I1380" s="18" t="str">
        <f aca="false">IF(B1380="","",IF(SUMPRODUCT(MAX((A$1:A1379=A1380)*(B$1:B1379=B1380)*ROW(A$1:A1379)))=0,C1380&amp;"",IF(C1380="",INDEX(I$1:I1379,SUMPRODUCT(MAX((A$1:A1379=A1380)*(B$1:B1379=B1380)*ROW(A$1:A1379)))),IF(INDEX(I$1:I1379,SUMPRODUCT(MAX((A$1:A1379=A1380)*(B$1:B1379=B1380)*ROW(A$1:A1379))))="",C1380&amp;"",INDEX(I$1:I1379,SUMPRODUCT(MAX((A$1:A1379=A1380)*(B$1:B1379=B1380)*ROW(A$1:A1379))))&amp;"; "&amp;C1380))))</f>
        <v/>
      </c>
      <c r="J1380" s="18" t="str">
        <f aca="false">IF(A1380="","",A1380&amp;"|"&amp;COUNTIF(A$2:A1380,A1380))</f>
        <v/>
      </c>
      <c r="K1380" s="18" t="n">
        <f aca="false">IF(OR(A1380="",B1380=""),0,IF(COUNTIFS(A$2:A1380,A1380,B$2:B1380,B1380)=1,1,0))</f>
        <v>0</v>
      </c>
    </row>
    <row r="1381" customFormat="false" ht="15" hidden="false" customHeight="false" outlineLevel="0" collapsed="false">
      <c r="A1381" s="15"/>
      <c r="B1381" s="15"/>
      <c r="C1381" s="15"/>
      <c r="D1381" s="15"/>
      <c r="F1381" s="18" t="str">
        <f aca="false">IF(B1381="","",IFERROR(INDEX(Materials!$B$2:$B$201,MATCH(B1381,Materials!$A$2:$A$201,0)),""))</f>
        <v/>
      </c>
      <c r="G1381" s="18" t="str">
        <f aca="true">IF(AND(A1381="",B1381=""),"",IF(A1381="","Missing product",IF(B1381="","Missing material",IF(COUNTIF(ProductList,A1381)=0,"Product not in Products list",IF(COUNTIF(MaterialList,B1381)=0,"Material not in Materials list","OK")))))</f>
        <v/>
      </c>
      <c r="H1381" s="18" t="str">
        <f aca="false">IF(F1381="Active",A1381&amp;"|"&amp;COUNTIFS(A$2:A1381,A1381,F$2:F1381,"Active"),"")</f>
        <v/>
      </c>
      <c r="I1381" s="18" t="str">
        <f aca="false">IF(B1381="","",IF(SUMPRODUCT(MAX((A$1:A1380=A1381)*(B$1:B1380=B1381)*ROW(A$1:A1380)))=0,C1381&amp;"",IF(C1381="",INDEX(I$1:I1380,SUMPRODUCT(MAX((A$1:A1380=A1381)*(B$1:B1380=B1381)*ROW(A$1:A1380)))),IF(INDEX(I$1:I1380,SUMPRODUCT(MAX((A$1:A1380=A1381)*(B$1:B1380=B1381)*ROW(A$1:A1380))))="",C1381&amp;"",INDEX(I$1:I1380,SUMPRODUCT(MAX((A$1:A1380=A1381)*(B$1:B1380=B1381)*ROW(A$1:A1380))))&amp;"; "&amp;C1381))))</f>
        <v/>
      </c>
      <c r="J1381" s="18" t="str">
        <f aca="false">IF(A1381="","",A1381&amp;"|"&amp;COUNTIF(A$2:A1381,A1381))</f>
        <v/>
      </c>
      <c r="K1381" s="18" t="n">
        <f aca="false">IF(OR(A1381="",B1381=""),0,IF(COUNTIFS(A$2:A1381,A1381,B$2:B1381,B1381)=1,1,0))</f>
        <v>0</v>
      </c>
    </row>
    <row r="1382" customFormat="false" ht="15" hidden="false" customHeight="false" outlineLevel="0" collapsed="false">
      <c r="A1382" s="15"/>
      <c r="B1382" s="15"/>
      <c r="C1382" s="15"/>
      <c r="D1382" s="15"/>
      <c r="F1382" s="18" t="str">
        <f aca="false">IF(B1382="","",IFERROR(INDEX(Materials!$B$2:$B$201,MATCH(B1382,Materials!$A$2:$A$201,0)),""))</f>
        <v/>
      </c>
      <c r="G1382" s="18" t="str">
        <f aca="true">IF(AND(A1382="",B1382=""),"",IF(A1382="","Missing product",IF(B1382="","Missing material",IF(COUNTIF(ProductList,A1382)=0,"Product not in Products list",IF(COUNTIF(MaterialList,B1382)=0,"Material not in Materials list","OK")))))</f>
        <v/>
      </c>
      <c r="H1382" s="18" t="str">
        <f aca="false">IF(F1382="Active",A1382&amp;"|"&amp;COUNTIFS(A$2:A1382,A1382,F$2:F1382,"Active"),"")</f>
        <v/>
      </c>
      <c r="I1382" s="18" t="str">
        <f aca="false">IF(B1382="","",IF(SUMPRODUCT(MAX((A$1:A1381=A1382)*(B$1:B1381=B1382)*ROW(A$1:A1381)))=0,C1382&amp;"",IF(C1382="",INDEX(I$1:I1381,SUMPRODUCT(MAX((A$1:A1381=A1382)*(B$1:B1381=B1382)*ROW(A$1:A1381)))),IF(INDEX(I$1:I1381,SUMPRODUCT(MAX((A$1:A1381=A1382)*(B$1:B1381=B1382)*ROW(A$1:A1381))))="",C1382&amp;"",INDEX(I$1:I1381,SUMPRODUCT(MAX((A$1:A1381=A1382)*(B$1:B1381=B1382)*ROW(A$1:A1381))))&amp;"; "&amp;C1382))))</f>
        <v/>
      </c>
      <c r="J1382" s="18" t="str">
        <f aca="false">IF(A1382="","",A1382&amp;"|"&amp;COUNTIF(A$2:A1382,A1382))</f>
        <v/>
      </c>
      <c r="K1382" s="18" t="n">
        <f aca="false">IF(OR(A1382="",B1382=""),0,IF(COUNTIFS(A$2:A1382,A1382,B$2:B1382,B1382)=1,1,0))</f>
        <v>0</v>
      </c>
    </row>
    <row r="1383" customFormat="false" ht="15" hidden="false" customHeight="false" outlineLevel="0" collapsed="false">
      <c r="A1383" s="15"/>
      <c r="B1383" s="15"/>
      <c r="C1383" s="15"/>
      <c r="D1383" s="15"/>
      <c r="F1383" s="18" t="str">
        <f aca="false">IF(B1383="","",IFERROR(INDEX(Materials!$B$2:$B$201,MATCH(B1383,Materials!$A$2:$A$201,0)),""))</f>
        <v/>
      </c>
      <c r="G1383" s="18" t="str">
        <f aca="true">IF(AND(A1383="",B1383=""),"",IF(A1383="","Missing product",IF(B1383="","Missing material",IF(COUNTIF(ProductList,A1383)=0,"Product not in Products list",IF(COUNTIF(MaterialList,B1383)=0,"Material not in Materials list","OK")))))</f>
        <v/>
      </c>
      <c r="H1383" s="18" t="str">
        <f aca="false">IF(F1383="Active",A1383&amp;"|"&amp;COUNTIFS(A$2:A1383,A1383,F$2:F1383,"Active"),"")</f>
        <v/>
      </c>
      <c r="I1383" s="18" t="str">
        <f aca="false">IF(B1383="","",IF(SUMPRODUCT(MAX((A$1:A1382=A1383)*(B$1:B1382=B1383)*ROW(A$1:A1382)))=0,C1383&amp;"",IF(C1383="",INDEX(I$1:I1382,SUMPRODUCT(MAX((A$1:A1382=A1383)*(B$1:B1382=B1383)*ROW(A$1:A1382)))),IF(INDEX(I$1:I1382,SUMPRODUCT(MAX((A$1:A1382=A1383)*(B$1:B1382=B1383)*ROW(A$1:A1382))))="",C1383&amp;"",INDEX(I$1:I1382,SUMPRODUCT(MAX((A$1:A1382=A1383)*(B$1:B1382=B1383)*ROW(A$1:A1382))))&amp;"; "&amp;C1383))))</f>
        <v/>
      </c>
      <c r="J1383" s="18" t="str">
        <f aca="false">IF(A1383="","",A1383&amp;"|"&amp;COUNTIF(A$2:A1383,A1383))</f>
        <v/>
      </c>
      <c r="K1383" s="18" t="n">
        <f aca="false">IF(OR(A1383="",B1383=""),0,IF(COUNTIFS(A$2:A1383,A1383,B$2:B1383,B1383)=1,1,0))</f>
        <v>0</v>
      </c>
    </row>
    <row r="1384" customFormat="false" ht="15" hidden="false" customHeight="false" outlineLevel="0" collapsed="false">
      <c r="A1384" s="15"/>
      <c r="B1384" s="15"/>
      <c r="C1384" s="15"/>
      <c r="D1384" s="15"/>
      <c r="F1384" s="18" t="str">
        <f aca="false">IF(B1384="","",IFERROR(INDEX(Materials!$B$2:$B$201,MATCH(B1384,Materials!$A$2:$A$201,0)),""))</f>
        <v/>
      </c>
      <c r="G1384" s="18" t="str">
        <f aca="true">IF(AND(A1384="",B1384=""),"",IF(A1384="","Missing product",IF(B1384="","Missing material",IF(COUNTIF(ProductList,A1384)=0,"Product not in Products list",IF(COUNTIF(MaterialList,B1384)=0,"Material not in Materials list","OK")))))</f>
        <v/>
      </c>
      <c r="H1384" s="18" t="str">
        <f aca="false">IF(F1384="Active",A1384&amp;"|"&amp;COUNTIFS(A$2:A1384,A1384,F$2:F1384,"Active"),"")</f>
        <v/>
      </c>
      <c r="I1384" s="18" t="str">
        <f aca="false">IF(B1384="","",IF(SUMPRODUCT(MAX((A$1:A1383=A1384)*(B$1:B1383=B1384)*ROW(A$1:A1383)))=0,C1384&amp;"",IF(C1384="",INDEX(I$1:I1383,SUMPRODUCT(MAX((A$1:A1383=A1384)*(B$1:B1383=B1384)*ROW(A$1:A1383)))),IF(INDEX(I$1:I1383,SUMPRODUCT(MAX((A$1:A1383=A1384)*(B$1:B1383=B1384)*ROW(A$1:A1383))))="",C1384&amp;"",INDEX(I$1:I1383,SUMPRODUCT(MAX((A$1:A1383=A1384)*(B$1:B1383=B1384)*ROW(A$1:A1383))))&amp;"; "&amp;C1384))))</f>
        <v/>
      </c>
      <c r="J1384" s="18" t="str">
        <f aca="false">IF(A1384="","",A1384&amp;"|"&amp;COUNTIF(A$2:A1384,A1384))</f>
        <v/>
      </c>
      <c r="K1384" s="18" t="n">
        <f aca="false">IF(OR(A1384="",B1384=""),0,IF(COUNTIFS(A$2:A1384,A1384,B$2:B1384,B1384)=1,1,0))</f>
        <v>0</v>
      </c>
    </row>
    <row r="1385" customFormat="false" ht="15" hidden="false" customHeight="false" outlineLevel="0" collapsed="false">
      <c r="A1385" s="15"/>
      <c r="B1385" s="15"/>
      <c r="C1385" s="15"/>
      <c r="D1385" s="15"/>
      <c r="F1385" s="18" t="str">
        <f aca="false">IF(B1385="","",IFERROR(INDEX(Materials!$B$2:$B$201,MATCH(B1385,Materials!$A$2:$A$201,0)),""))</f>
        <v/>
      </c>
      <c r="G1385" s="18" t="str">
        <f aca="true">IF(AND(A1385="",B1385=""),"",IF(A1385="","Missing product",IF(B1385="","Missing material",IF(COUNTIF(ProductList,A1385)=0,"Product not in Products list",IF(COUNTIF(MaterialList,B1385)=0,"Material not in Materials list","OK")))))</f>
        <v/>
      </c>
      <c r="H1385" s="18" t="str">
        <f aca="false">IF(F1385="Active",A1385&amp;"|"&amp;COUNTIFS(A$2:A1385,A1385,F$2:F1385,"Active"),"")</f>
        <v/>
      </c>
      <c r="I1385" s="18" t="str">
        <f aca="false">IF(B1385="","",IF(SUMPRODUCT(MAX((A$1:A1384=A1385)*(B$1:B1384=B1385)*ROW(A$1:A1384)))=0,C1385&amp;"",IF(C1385="",INDEX(I$1:I1384,SUMPRODUCT(MAX((A$1:A1384=A1385)*(B$1:B1384=B1385)*ROW(A$1:A1384)))),IF(INDEX(I$1:I1384,SUMPRODUCT(MAX((A$1:A1384=A1385)*(B$1:B1384=B1385)*ROW(A$1:A1384))))="",C1385&amp;"",INDEX(I$1:I1384,SUMPRODUCT(MAX((A$1:A1384=A1385)*(B$1:B1384=B1385)*ROW(A$1:A1384))))&amp;"; "&amp;C1385))))</f>
        <v/>
      </c>
      <c r="J1385" s="18" t="str">
        <f aca="false">IF(A1385="","",A1385&amp;"|"&amp;COUNTIF(A$2:A1385,A1385))</f>
        <v/>
      </c>
      <c r="K1385" s="18" t="n">
        <f aca="false">IF(OR(A1385="",B1385=""),0,IF(COUNTIFS(A$2:A1385,A1385,B$2:B1385,B1385)=1,1,0))</f>
        <v>0</v>
      </c>
    </row>
    <row r="1386" customFormat="false" ht="15" hidden="false" customHeight="false" outlineLevel="0" collapsed="false">
      <c r="A1386" s="15"/>
      <c r="B1386" s="15"/>
      <c r="C1386" s="15"/>
      <c r="D1386" s="15"/>
      <c r="F1386" s="18" t="str">
        <f aca="false">IF(B1386="","",IFERROR(INDEX(Materials!$B$2:$B$201,MATCH(B1386,Materials!$A$2:$A$201,0)),""))</f>
        <v/>
      </c>
      <c r="G1386" s="18" t="str">
        <f aca="true">IF(AND(A1386="",B1386=""),"",IF(A1386="","Missing product",IF(B1386="","Missing material",IF(COUNTIF(ProductList,A1386)=0,"Product not in Products list",IF(COUNTIF(MaterialList,B1386)=0,"Material not in Materials list","OK")))))</f>
        <v/>
      </c>
      <c r="H1386" s="18" t="str">
        <f aca="false">IF(F1386="Active",A1386&amp;"|"&amp;COUNTIFS(A$2:A1386,A1386,F$2:F1386,"Active"),"")</f>
        <v/>
      </c>
      <c r="I1386" s="18" t="str">
        <f aca="false">IF(B1386="","",IF(SUMPRODUCT(MAX((A$1:A1385=A1386)*(B$1:B1385=B1386)*ROW(A$1:A1385)))=0,C1386&amp;"",IF(C1386="",INDEX(I$1:I1385,SUMPRODUCT(MAX((A$1:A1385=A1386)*(B$1:B1385=B1386)*ROW(A$1:A1385)))),IF(INDEX(I$1:I1385,SUMPRODUCT(MAX((A$1:A1385=A1386)*(B$1:B1385=B1386)*ROW(A$1:A1385))))="",C1386&amp;"",INDEX(I$1:I1385,SUMPRODUCT(MAX((A$1:A1385=A1386)*(B$1:B1385=B1386)*ROW(A$1:A1385))))&amp;"; "&amp;C1386))))</f>
        <v/>
      </c>
      <c r="J1386" s="18" t="str">
        <f aca="false">IF(A1386="","",A1386&amp;"|"&amp;COUNTIF(A$2:A1386,A1386))</f>
        <v/>
      </c>
      <c r="K1386" s="18" t="n">
        <f aca="false">IF(OR(A1386="",B1386=""),0,IF(COUNTIFS(A$2:A1386,A1386,B$2:B1386,B1386)=1,1,0))</f>
        <v>0</v>
      </c>
    </row>
    <row r="1387" customFormat="false" ht="15" hidden="false" customHeight="false" outlineLevel="0" collapsed="false">
      <c r="A1387" s="15"/>
      <c r="B1387" s="15"/>
      <c r="C1387" s="15"/>
      <c r="D1387" s="15"/>
      <c r="F1387" s="18" t="str">
        <f aca="false">IF(B1387="","",IFERROR(INDEX(Materials!$B$2:$B$201,MATCH(B1387,Materials!$A$2:$A$201,0)),""))</f>
        <v/>
      </c>
      <c r="G1387" s="18" t="str">
        <f aca="true">IF(AND(A1387="",B1387=""),"",IF(A1387="","Missing product",IF(B1387="","Missing material",IF(COUNTIF(ProductList,A1387)=0,"Product not in Products list",IF(COUNTIF(MaterialList,B1387)=0,"Material not in Materials list","OK")))))</f>
        <v/>
      </c>
      <c r="H1387" s="18" t="str">
        <f aca="false">IF(F1387="Active",A1387&amp;"|"&amp;COUNTIFS(A$2:A1387,A1387,F$2:F1387,"Active"),"")</f>
        <v/>
      </c>
      <c r="I1387" s="18" t="str">
        <f aca="false">IF(B1387="","",IF(SUMPRODUCT(MAX((A$1:A1386=A1387)*(B$1:B1386=B1387)*ROW(A$1:A1386)))=0,C1387&amp;"",IF(C1387="",INDEX(I$1:I1386,SUMPRODUCT(MAX((A$1:A1386=A1387)*(B$1:B1386=B1387)*ROW(A$1:A1386)))),IF(INDEX(I$1:I1386,SUMPRODUCT(MAX((A$1:A1386=A1387)*(B$1:B1386=B1387)*ROW(A$1:A1386))))="",C1387&amp;"",INDEX(I$1:I1386,SUMPRODUCT(MAX((A$1:A1386=A1387)*(B$1:B1386=B1387)*ROW(A$1:A1386))))&amp;"; "&amp;C1387))))</f>
        <v/>
      </c>
      <c r="J1387" s="18" t="str">
        <f aca="false">IF(A1387="","",A1387&amp;"|"&amp;COUNTIF(A$2:A1387,A1387))</f>
        <v/>
      </c>
      <c r="K1387" s="18" t="n">
        <f aca="false">IF(OR(A1387="",B1387=""),0,IF(COUNTIFS(A$2:A1387,A1387,B$2:B1387,B1387)=1,1,0))</f>
        <v>0</v>
      </c>
    </row>
    <row r="1388" customFormat="false" ht="15" hidden="false" customHeight="false" outlineLevel="0" collapsed="false">
      <c r="A1388" s="15"/>
      <c r="B1388" s="15"/>
      <c r="C1388" s="15"/>
      <c r="D1388" s="15"/>
      <c r="F1388" s="18" t="str">
        <f aca="false">IF(B1388="","",IFERROR(INDEX(Materials!$B$2:$B$201,MATCH(B1388,Materials!$A$2:$A$201,0)),""))</f>
        <v/>
      </c>
      <c r="G1388" s="18" t="str">
        <f aca="true">IF(AND(A1388="",B1388=""),"",IF(A1388="","Missing product",IF(B1388="","Missing material",IF(COUNTIF(ProductList,A1388)=0,"Product not in Products list",IF(COUNTIF(MaterialList,B1388)=0,"Material not in Materials list","OK")))))</f>
        <v/>
      </c>
      <c r="H1388" s="18" t="str">
        <f aca="false">IF(F1388="Active",A1388&amp;"|"&amp;COUNTIFS(A$2:A1388,A1388,F$2:F1388,"Active"),"")</f>
        <v/>
      </c>
      <c r="I1388" s="18" t="str">
        <f aca="false">IF(B1388="","",IF(SUMPRODUCT(MAX((A$1:A1387=A1388)*(B$1:B1387=B1388)*ROW(A$1:A1387)))=0,C1388&amp;"",IF(C1388="",INDEX(I$1:I1387,SUMPRODUCT(MAX((A$1:A1387=A1388)*(B$1:B1387=B1388)*ROW(A$1:A1387)))),IF(INDEX(I$1:I1387,SUMPRODUCT(MAX((A$1:A1387=A1388)*(B$1:B1387=B1388)*ROW(A$1:A1387))))="",C1388&amp;"",INDEX(I$1:I1387,SUMPRODUCT(MAX((A$1:A1387=A1388)*(B$1:B1387=B1388)*ROW(A$1:A1387))))&amp;"; "&amp;C1388))))</f>
        <v/>
      </c>
      <c r="J1388" s="18" t="str">
        <f aca="false">IF(A1388="","",A1388&amp;"|"&amp;COUNTIF(A$2:A1388,A1388))</f>
        <v/>
      </c>
      <c r="K1388" s="18" t="n">
        <f aca="false">IF(OR(A1388="",B1388=""),0,IF(COUNTIFS(A$2:A1388,A1388,B$2:B1388,B1388)=1,1,0))</f>
        <v>0</v>
      </c>
    </row>
    <row r="1389" customFormat="false" ht="15" hidden="false" customHeight="false" outlineLevel="0" collapsed="false">
      <c r="A1389" s="15"/>
      <c r="B1389" s="15"/>
      <c r="C1389" s="15"/>
      <c r="D1389" s="15"/>
      <c r="F1389" s="18" t="str">
        <f aca="false">IF(B1389="","",IFERROR(INDEX(Materials!$B$2:$B$201,MATCH(B1389,Materials!$A$2:$A$201,0)),""))</f>
        <v/>
      </c>
      <c r="G1389" s="18" t="str">
        <f aca="true">IF(AND(A1389="",B1389=""),"",IF(A1389="","Missing product",IF(B1389="","Missing material",IF(COUNTIF(ProductList,A1389)=0,"Product not in Products list",IF(COUNTIF(MaterialList,B1389)=0,"Material not in Materials list","OK")))))</f>
        <v/>
      </c>
      <c r="H1389" s="18" t="str">
        <f aca="false">IF(F1389="Active",A1389&amp;"|"&amp;COUNTIFS(A$2:A1389,A1389,F$2:F1389,"Active"),"")</f>
        <v/>
      </c>
      <c r="I1389" s="18" t="str">
        <f aca="false">IF(B1389="","",IF(SUMPRODUCT(MAX((A$1:A1388=A1389)*(B$1:B1388=B1389)*ROW(A$1:A1388)))=0,C1389&amp;"",IF(C1389="",INDEX(I$1:I1388,SUMPRODUCT(MAX((A$1:A1388=A1389)*(B$1:B1388=B1389)*ROW(A$1:A1388)))),IF(INDEX(I$1:I1388,SUMPRODUCT(MAX((A$1:A1388=A1389)*(B$1:B1388=B1389)*ROW(A$1:A1388))))="",C1389&amp;"",INDEX(I$1:I1388,SUMPRODUCT(MAX((A$1:A1388=A1389)*(B$1:B1388=B1389)*ROW(A$1:A1388))))&amp;"; "&amp;C1389))))</f>
        <v/>
      </c>
      <c r="J1389" s="18" t="str">
        <f aca="false">IF(A1389="","",A1389&amp;"|"&amp;COUNTIF(A$2:A1389,A1389))</f>
        <v/>
      </c>
      <c r="K1389" s="18" t="n">
        <f aca="false">IF(OR(A1389="",B1389=""),0,IF(COUNTIFS(A$2:A1389,A1389,B$2:B1389,B1389)=1,1,0))</f>
        <v>0</v>
      </c>
    </row>
    <row r="1390" customFormat="false" ht="15" hidden="false" customHeight="false" outlineLevel="0" collapsed="false">
      <c r="A1390" s="15"/>
      <c r="B1390" s="15"/>
      <c r="C1390" s="15"/>
      <c r="D1390" s="15"/>
      <c r="F1390" s="18" t="str">
        <f aca="false">IF(B1390="","",IFERROR(INDEX(Materials!$B$2:$B$201,MATCH(B1390,Materials!$A$2:$A$201,0)),""))</f>
        <v/>
      </c>
      <c r="G1390" s="18" t="str">
        <f aca="true">IF(AND(A1390="",B1390=""),"",IF(A1390="","Missing product",IF(B1390="","Missing material",IF(COUNTIF(ProductList,A1390)=0,"Product not in Products list",IF(COUNTIF(MaterialList,B1390)=0,"Material not in Materials list","OK")))))</f>
        <v/>
      </c>
      <c r="H1390" s="18" t="str">
        <f aca="false">IF(F1390="Active",A1390&amp;"|"&amp;COUNTIFS(A$2:A1390,A1390,F$2:F1390,"Active"),"")</f>
        <v/>
      </c>
      <c r="I1390" s="18" t="str">
        <f aca="false">IF(B1390="","",IF(SUMPRODUCT(MAX((A$1:A1389=A1390)*(B$1:B1389=B1390)*ROW(A$1:A1389)))=0,C1390&amp;"",IF(C1390="",INDEX(I$1:I1389,SUMPRODUCT(MAX((A$1:A1389=A1390)*(B$1:B1389=B1390)*ROW(A$1:A1389)))),IF(INDEX(I$1:I1389,SUMPRODUCT(MAX((A$1:A1389=A1390)*(B$1:B1389=B1390)*ROW(A$1:A1389))))="",C1390&amp;"",INDEX(I$1:I1389,SUMPRODUCT(MAX((A$1:A1389=A1390)*(B$1:B1389=B1390)*ROW(A$1:A1389))))&amp;"; "&amp;C1390))))</f>
        <v/>
      </c>
      <c r="J1390" s="18" t="str">
        <f aca="false">IF(A1390="","",A1390&amp;"|"&amp;COUNTIF(A$2:A1390,A1390))</f>
        <v/>
      </c>
      <c r="K1390" s="18" t="n">
        <f aca="false">IF(OR(A1390="",B1390=""),0,IF(COUNTIFS(A$2:A1390,A1390,B$2:B1390,B1390)=1,1,0))</f>
        <v>0</v>
      </c>
    </row>
    <row r="1391" customFormat="false" ht="15" hidden="false" customHeight="false" outlineLevel="0" collapsed="false">
      <c r="A1391" s="15"/>
      <c r="B1391" s="15"/>
      <c r="C1391" s="15"/>
      <c r="D1391" s="15"/>
      <c r="F1391" s="18" t="str">
        <f aca="false">IF(B1391="","",IFERROR(INDEX(Materials!$B$2:$B$201,MATCH(B1391,Materials!$A$2:$A$201,0)),""))</f>
        <v/>
      </c>
      <c r="G1391" s="18" t="str">
        <f aca="true">IF(AND(A1391="",B1391=""),"",IF(A1391="","Missing product",IF(B1391="","Missing material",IF(COUNTIF(ProductList,A1391)=0,"Product not in Products list",IF(COUNTIF(MaterialList,B1391)=0,"Material not in Materials list","OK")))))</f>
        <v/>
      </c>
      <c r="H1391" s="18" t="str">
        <f aca="false">IF(F1391="Active",A1391&amp;"|"&amp;COUNTIFS(A$2:A1391,A1391,F$2:F1391,"Active"),"")</f>
        <v/>
      </c>
      <c r="I1391" s="18" t="str">
        <f aca="false">IF(B1391="","",IF(SUMPRODUCT(MAX((A$1:A1390=A1391)*(B$1:B1390=B1391)*ROW(A$1:A1390)))=0,C1391&amp;"",IF(C1391="",INDEX(I$1:I1390,SUMPRODUCT(MAX((A$1:A1390=A1391)*(B$1:B1390=B1391)*ROW(A$1:A1390)))),IF(INDEX(I$1:I1390,SUMPRODUCT(MAX((A$1:A1390=A1391)*(B$1:B1390=B1391)*ROW(A$1:A1390))))="",C1391&amp;"",INDEX(I$1:I1390,SUMPRODUCT(MAX((A$1:A1390=A1391)*(B$1:B1390=B1391)*ROW(A$1:A1390))))&amp;"; "&amp;C1391))))</f>
        <v/>
      </c>
      <c r="J1391" s="18" t="str">
        <f aca="false">IF(A1391="","",A1391&amp;"|"&amp;COUNTIF(A$2:A1391,A1391))</f>
        <v/>
      </c>
      <c r="K1391" s="18" t="n">
        <f aca="false">IF(OR(A1391="",B1391=""),0,IF(COUNTIFS(A$2:A1391,A1391,B$2:B1391,B1391)=1,1,0))</f>
        <v>0</v>
      </c>
    </row>
    <row r="1392" customFormat="false" ht="15" hidden="false" customHeight="false" outlineLevel="0" collapsed="false">
      <c r="A1392" s="15"/>
      <c r="B1392" s="15"/>
      <c r="C1392" s="15"/>
      <c r="D1392" s="15"/>
      <c r="F1392" s="18" t="str">
        <f aca="false">IF(B1392="","",IFERROR(INDEX(Materials!$B$2:$B$201,MATCH(B1392,Materials!$A$2:$A$201,0)),""))</f>
        <v/>
      </c>
      <c r="G1392" s="18" t="str">
        <f aca="true">IF(AND(A1392="",B1392=""),"",IF(A1392="","Missing product",IF(B1392="","Missing material",IF(COUNTIF(ProductList,A1392)=0,"Product not in Products list",IF(COUNTIF(MaterialList,B1392)=0,"Material not in Materials list","OK")))))</f>
        <v/>
      </c>
      <c r="H1392" s="18" t="str">
        <f aca="false">IF(F1392="Active",A1392&amp;"|"&amp;COUNTIFS(A$2:A1392,A1392,F$2:F1392,"Active"),"")</f>
        <v/>
      </c>
      <c r="I1392" s="18" t="str">
        <f aca="false">IF(B1392="","",IF(SUMPRODUCT(MAX((A$1:A1391=A1392)*(B$1:B1391=B1392)*ROW(A$1:A1391)))=0,C1392&amp;"",IF(C1392="",INDEX(I$1:I1391,SUMPRODUCT(MAX((A$1:A1391=A1392)*(B$1:B1391=B1392)*ROW(A$1:A1391)))),IF(INDEX(I$1:I1391,SUMPRODUCT(MAX((A$1:A1391=A1392)*(B$1:B1391=B1392)*ROW(A$1:A1391))))="",C1392&amp;"",INDEX(I$1:I1391,SUMPRODUCT(MAX((A$1:A1391=A1392)*(B$1:B1391=B1392)*ROW(A$1:A1391))))&amp;"; "&amp;C1392))))</f>
        <v/>
      </c>
      <c r="J1392" s="18" t="str">
        <f aca="false">IF(A1392="","",A1392&amp;"|"&amp;COUNTIF(A$2:A1392,A1392))</f>
        <v/>
      </c>
      <c r="K1392" s="18" t="n">
        <f aca="false">IF(OR(A1392="",B1392=""),0,IF(COUNTIFS(A$2:A1392,A1392,B$2:B1392,B1392)=1,1,0))</f>
        <v>0</v>
      </c>
    </row>
    <row r="1393" customFormat="false" ht="15" hidden="false" customHeight="false" outlineLevel="0" collapsed="false">
      <c r="A1393" s="15"/>
      <c r="B1393" s="15"/>
      <c r="C1393" s="15"/>
      <c r="D1393" s="15"/>
      <c r="F1393" s="18" t="str">
        <f aca="false">IF(B1393="","",IFERROR(INDEX(Materials!$B$2:$B$201,MATCH(B1393,Materials!$A$2:$A$201,0)),""))</f>
        <v/>
      </c>
      <c r="G1393" s="18" t="str">
        <f aca="true">IF(AND(A1393="",B1393=""),"",IF(A1393="","Missing product",IF(B1393="","Missing material",IF(COUNTIF(ProductList,A1393)=0,"Product not in Products list",IF(COUNTIF(MaterialList,B1393)=0,"Material not in Materials list","OK")))))</f>
        <v/>
      </c>
      <c r="H1393" s="18" t="str">
        <f aca="false">IF(F1393="Active",A1393&amp;"|"&amp;COUNTIFS(A$2:A1393,A1393,F$2:F1393,"Active"),"")</f>
        <v/>
      </c>
      <c r="I1393" s="18" t="str">
        <f aca="false">IF(B1393="","",IF(SUMPRODUCT(MAX((A$1:A1392=A1393)*(B$1:B1392=B1393)*ROW(A$1:A1392)))=0,C1393&amp;"",IF(C1393="",INDEX(I$1:I1392,SUMPRODUCT(MAX((A$1:A1392=A1393)*(B$1:B1392=B1393)*ROW(A$1:A1392)))),IF(INDEX(I$1:I1392,SUMPRODUCT(MAX((A$1:A1392=A1393)*(B$1:B1392=B1393)*ROW(A$1:A1392))))="",C1393&amp;"",INDEX(I$1:I1392,SUMPRODUCT(MAX((A$1:A1392=A1393)*(B$1:B1392=B1393)*ROW(A$1:A1392))))&amp;"; "&amp;C1393))))</f>
        <v/>
      </c>
      <c r="J1393" s="18" t="str">
        <f aca="false">IF(A1393="","",A1393&amp;"|"&amp;COUNTIF(A$2:A1393,A1393))</f>
        <v/>
      </c>
      <c r="K1393" s="18" t="n">
        <f aca="false">IF(OR(A1393="",B1393=""),0,IF(COUNTIFS(A$2:A1393,A1393,B$2:B1393,B1393)=1,1,0))</f>
        <v>0</v>
      </c>
    </row>
    <row r="1394" customFormat="false" ht="15" hidden="false" customHeight="false" outlineLevel="0" collapsed="false">
      <c r="A1394" s="15"/>
      <c r="B1394" s="15"/>
      <c r="C1394" s="15"/>
      <c r="D1394" s="15"/>
      <c r="F1394" s="18" t="str">
        <f aca="false">IF(B1394="","",IFERROR(INDEX(Materials!$B$2:$B$201,MATCH(B1394,Materials!$A$2:$A$201,0)),""))</f>
        <v/>
      </c>
      <c r="G1394" s="18" t="str">
        <f aca="true">IF(AND(A1394="",B1394=""),"",IF(A1394="","Missing product",IF(B1394="","Missing material",IF(COUNTIF(ProductList,A1394)=0,"Product not in Products list",IF(COUNTIF(MaterialList,B1394)=0,"Material not in Materials list","OK")))))</f>
        <v/>
      </c>
      <c r="H1394" s="18" t="str">
        <f aca="false">IF(F1394="Active",A1394&amp;"|"&amp;COUNTIFS(A$2:A1394,A1394,F$2:F1394,"Active"),"")</f>
        <v/>
      </c>
      <c r="I1394" s="18" t="str">
        <f aca="false">IF(B1394="","",IF(SUMPRODUCT(MAX((A$1:A1393=A1394)*(B$1:B1393=B1394)*ROW(A$1:A1393)))=0,C1394&amp;"",IF(C1394="",INDEX(I$1:I1393,SUMPRODUCT(MAX((A$1:A1393=A1394)*(B$1:B1393=B1394)*ROW(A$1:A1393)))),IF(INDEX(I$1:I1393,SUMPRODUCT(MAX((A$1:A1393=A1394)*(B$1:B1393=B1394)*ROW(A$1:A1393))))="",C1394&amp;"",INDEX(I$1:I1393,SUMPRODUCT(MAX((A$1:A1393=A1394)*(B$1:B1393=B1394)*ROW(A$1:A1393))))&amp;"; "&amp;C1394))))</f>
        <v/>
      </c>
      <c r="J1394" s="18" t="str">
        <f aca="false">IF(A1394="","",A1394&amp;"|"&amp;COUNTIF(A$2:A1394,A1394))</f>
        <v/>
      </c>
      <c r="K1394" s="18" t="n">
        <f aca="false">IF(OR(A1394="",B1394=""),0,IF(COUNTIFS(A$2:A1394,A1394,B$2:B1394,B1394)=1,1,0))</f>
        <v>0</v>
      </c>
    </row>
    <row r="1395" customFormat="false" ht="15" hidden="false" customHeight="false" outlineLevel="0" collapsed="false">
      <c r="A1395" s="15"/>
      <c r="B1395" s="15"/>
      <c r="C1395" s="15"/>
      <c r="D1395" s="15"/>
      <c r="F1395" s="18" t="str">
        <f aca="false">IF(B1395="","",IFERROR(INDEX(Materials!$B$2:$B$201,MATCH(B1395,Materials!$A$2:$A$201,0)),""))</f>
        <v/>
      </c>
      <c r="G1395" s="18" t="str">
        <f aca="true">IF(AND(A1395="",B1395=""),"",IF(A1395="","Missing product",IF(B1395="","Missing material",IF(COUNTIF(ProductList,A1395)=0,"Product not in Products list",IF(COUNTIF(MaterialList,B1395)=0,"Material not in Materials list","OK")))))</f>
        <v/>
      </c>
      <c r="H1395" s="18" t="str">
        <f aca="false">IF(F1395="Active",A1395&amp;"|"&amp;COUNTIFS(A$2:A1395,A1395,F$2:F1395,"Active"),"")</f>
        <v/>
      </c>
      <c r="I1395" s="18" t="str">
        <f aca="false">IF(B1395="","",IF(SUMPRODUCT(MAX((A$1:A1394=A1395)*(B$1:B1394=B1395)*ROW(A$1:A1394)))=0,C1395&amp;"",IF(C1395="",INDEX(I$1:I1394,SUMPRODUCT(MAX((A$1:A1394=A1395)*(B$1:B1394=B1395)*ROW(A$1:A1394)))),IF(INDEX(I$1:I1394,SUMPRODUCT(MAX((A$1:A1394=A1395)*(B$1:B1394=B1395)*ROW(A$1:A1394))))="",C1395&amp;"",INDEX(I$1:I1394,SUMPRODUCT(MAX((A$1:A1394=A1395)*(B$1:B1394=B1395)*ROW(A$1:A1394))))&amp;"; "&amp;C1395))))</f>
        <v/>
      </c>
      <c r="J1395" s="18" t="str">
        <f aca="false">IF(A1395="","",A1395&amp;"|"&amp;COUNTIF(A$2:A1395,A1395))</f>
        <v/>
      </c>
      <c r="K1395" s="18" t="n">
        <f aca="false">IF(OR(A1395="",B1395=""),0,IF(COUNTIFS(A$2:A1395,A1395,B$2:B1395,B1395)=1,1,0))</f>
        <v>0</v>
      </c>
    </row>
    <row r="1396" customFormat="false" ht="15" hidden="false" customHeight="false" outlineLevel="0" collapsed="false">
      <c r="A1396" s="15"/>
      <c r="B1396" s="15"/>
      <c r="C1396" s="15"/>
      <c r="D1396" s="15"/>
      <c r="F1396" s="18" t="str">
        <f aca="false">IF(B1396="","",IFERROR(INDEX(Materials!$B$2:$B$201,MATCH(B1396,Materials!$A$2:$A$201,0)),""))</f>
        <v/>
      </c>
      <c r="G1396" s="18" t="str">
        <f aca="true">IF(AND(A1396="",B1396=""),"",IF(A1396="","Missing product",IF(B1396="","Missing material",IF(COUNTIF(ProductList,A1396)=0,"Product not in Products list",IF(COUNTIF(MaterialList,B1396)=0,"Material not in Materials list","OK")))))</f>
        <v/>
      </c>
      <c r="H1396" s="18" t="str">
        <f aca="false">IF(F1396="Active",A1396&amp;"|"&amp;COUNTIFS(A$2:A1396,A1396,F$2:F1396,"Active"),"")</f>
        <v/>
      </c>
      <c r="I1396" s="18" t="str">
        <f aca="false">IF(B1396="","",IF(SUMPRODUCT(MAX((A$1:A1395=A1396)*(B$1:B1395=B1396)*ROW(A$1:A1395)))=0,C1396&amp;"",IF(C1396="",INDEX(I$1:I1395,SUMPRODUCT(MAX((A$1:A1395=A1396)*(B$1:B1395=B1396)*ROW(A$1:A1395)))),IF(INDEX(I$1:I1395,SUMPRODUCT(MAX((A$1:A1395=A1396)*(B$1:B1395=B1396)*ROW(A$1:A1395))))="",C1396&amp;"",INDEX(I$1:I1395,SUMPRODUCT(MAX((A$1:A1395=A1396)*(B$1:B1395=B1396)*ROW(A$1:A1395))))&amp;"; "&amp;C1396))))</f>
        <v/>
      </c>
      <c r="J1396" s="18" t="str">
        <f aca="false">IF(A1396="","",A1396&amp;"|"&amp;COUNTIF(A$2:A1396,A1396))</f>
        <v/>
      </c>
      <c r="K1396" s="18" t="n">
        <f aca="false">IF(OR(A1396="",B1396=""),0,IF(COUNTIFS(A$2:A1396,A1396,B$2:B1396,B1396)=1,1,0))</f>
        <v>0</v>
      </c>
    </row>
    <row r="1397" customFormat="false" ht="15" hidden="false" customHeight="false" outlineLevel="0" collapsed="false">
      <c r="A1397" s="15"/>
      <c r="B1397" s="15"/>
      <c r="C1397" s="15"/>
      <c r="D1397" s="15"/>
      <c r="F1397" s="18" t="str">
        <f aca="false">IF(B1397="","",IFERROR(INDEX(Materials!$B$2:$B$201,MATCH(B1397,Materials!$A$2:$A$201,0)),""))</f>
        <v/>
      </c>
      <c r="G1397" s="18" t="str">
        <f aca="true">IF(AND(A1397="",B1397=""),"",IF(A1397="","Missing product",IF(B1397="","Missing material",IF(COUNTIF(ProductList,A1397)=0,"Product not in Products list",IF(COUNTIF(MaterialList,B1397)=0,"Material not in Materials list","OK")))))</f>
        <v/>
      </c>
      <c r="H1397" s="18" t="str">
        <f aca="false">IF(F1397="Active",A1397&amp;"|"&amp;COUNTIFS(A$2:A1397,A1397,F$2:F1397,"Active"),"")</f>
        <v/>
      </c>
      <c r="I1397" s="18" t="str">
        <f aca="false">IF(B1397="","",IF(SUMPRODUCT(MAX((A$1:A1396=A1397)*(B$1:B1396=B1397)*ROW(A$1:A1396)))=0,C1397&amp;"",IF(C1397="",INDEX(I$1:I1396,SUMPRODUCT(MAX((A$1:A1396=A1397)*(B$1:B1396=B1397)*ROW(A$1:A1396)))),IF(INDEX(I$1:I1396,SUMPRODUCT(MAX((A$1:A1396=A1397)*(B$1:B1396=B1397)*ROW(A$1:A1396))))="",C1397&amp;"",INDEX(I$1:I1396,SUMPRODUCT(MAX((A$1:A1396=A1397)*(B$1:B1396=B1397)*ROW(A$1:A1396))))&amp;"; "&amp;C1397))))</f>
        <v/>
      </c>
      <c r="J1397" s="18" t="str">
        <f aca="false">IF(A1397="","",A1397&amp;"|"&amp;COUNTIF(A$2:A1397,A1397))</f>
        <v/>
      </c>
      <c r="K1397" s="18" t="n">
        <f aca="false">IF(OR(A1397="",B1397=""),0,IF(COUNTIFS(A$2:A1397,A1397,B$2:B1397,B1397)=1,1,0))</f>
        <v>0</v>
      </c>
    </row>
    <row r="1398" customFormat="false" ht="15" hidden="false" customHeight="false" outlineLevel="0" collapsed="false">
      <c r="A1398" s="15"/>
      <c r="B1398" s="15"/>
      <c r="C1398" s="15"/>
      <c r="D1398" s="15"/>
      <c r="F1398" s="18" t="str">
        <f aca="false">IF(B1398="","",IFERROR(INDEX(Materials!$B$2:$B$201,MATCH(B1398,Materials!$A$2:$A$201,0)),""))</f>
        <v/>
      </c>
      <c r="G1398" s="18" t="str">
        <f aca="true">IF(AND(A1398="",B1398=""),"",IF(A1398="","Missing product",IF(B1398="","Missing material",IF(COUNTIF(ProductList,A1398)=0,"Product not in Products list",IF(COUNTIF(MaterialList,B1398)=0,"Material not in Materials list","OK")))))</f>
        <v/>
      </c>
      <c r="H1398" s="18" t="str">
        <f aca="false">IF(F1398="Active",A1398&amp;"|"&amp;COUNTIFS(A$2:A1398,A1398,F$2:F1398,"Active"),"")</f>
        <v/>
      </c>
      <c r="I1398" s="18" t="str">
        <f aca="false">IF(B1398="","",IF(SUMPRODUCT(MAX((A$1:A1397=A1398)*(B$1:B1397=B1398)*ROW(A$1:A1397)))=0,C1398&amp;"",IF(C1398="",INDEX(I$1:I1397,SUMPRODUCT(MAX((A$1:A1397=A1398)*(B$1:B1397=B1398)*ROW(A$1:A1397)))),IF(INDEX(I$1:I1397,SUMPRODUCT(MAX((A$1:A1397=A1398)*(B$1:B1397=B1398)*ROW(A$1:A1397))))="",C1398&amp;"",INDEX(I$1:I1397,SUMPRODUCT(MAX((A$1:A1397=A1398)*(B$1:B1397=B1398)*ROW(A$1:A1397))))&amp;"; "&amp;C1398))))</f>
        <v/>
      </c>
      <c r="J1398" s="18" t="str">
        <f aca="false">IF(A1398="","",A1398&amp;"|"&amp;COUNTIF(A$2:A1398,A1398))</f>
        <v/>
      </c>
      <c r="K1398" s="18" t="n">
        <f aca="false">IF(OR(A1398="",B1398=""),0,IF(COUNTIFS(A$2:A1398,A1398,B$2:B1398,B1398)=1,1,0))</f>
        <v>0</v>
      </c>
    </row>
    <row r="1399" customFormat="false" ht="15" hidden="false" customHeight="false" outlineLevel="0" collapsed="false">
      <c r="A1399" s="15"/>
      <c r="B1399" s="15"/>
      <c r="C1399" s="15"/>
      <c r="D1399" s="15"/>
      <c r="F1399" s="18" t="str">
        <f aca="false">IF(B1399="","",IFERROR(INDEX(Materials!$B$2:$B$201,MATCH(B1399,Materials!$A$2:$A$201,0)),""))</f>
        <v/>
      </c>
      <c r="G1399" s="18" t="str">
        <f aca="true">IF(AND(A1399="",B1399=""),"",IF(A1399="","Missing product",IF(B1399="","Missing material",IF(COUNTIF(ProductList,A1399)=0,"Product not in Products list",IF(COUNTIF(MaterialList,B1399)=0,"Material not in Materials list","OK")))))</f>
        <v/>
      </c>
      <c r="H1399" s="18" t="str">
        <f aca="false">IF(F1399="Active",A1399&amp;"|"&amp;COUNTIFS(A$2:A1399,A1399,F$2:F1399,"Active"),"")</f>
        <v/>
      </c>
      <c r="I1399" s="18" t="str">
        <f aca="false">IF(B1399="","",IF(SUMPRODUCT(MAX((A$1:A1398=A1399)*(B$1:B1398=B1399)*ROW(A$1:A1398)))=0,C1399&amp;"",IF(C1399="",INDEX(I$1:I1398,SUMPRODUCT(MAX((A$1:A1398=A1399)*(B$1:B1398=B1399)*ROW(A$1:A1398)))),IF(INDEX(I$1:I1398,SUMPRODUCT(MAX((A$1:A1398=A1399)*(B$1:B1398=B1399)*ROW(A$1:A1398))))="",C1399&amp;"",INDEX(I$1:I1398,SUMPRODUCT(MAX((A$1:A1398=A1399)*(B$1:B1398=B1399)*ROW(A$1:A1398))))&amp;"; "&amp;C1399))))</f>
        <v/>
      </c>
      <c r="J1399" s="18" t="str">
        <f aca="false">IF(A1399="","",A1399&amp;"|"&amp;COUNTIF(A$2:A1399,A1399))</f>
        <v/>
      </c>
      <c r="K1399" s="18" t="n">
        <f aca="false">IF(OR(A1399="",B1399=""),0,IF(COUNTIFS(A$2:A1399,A1399,B$2:B1399,B1399)=1,1,0))</f>
        <v>0</v>
      </c>
    </row>
    <row r="1400" customFormat="false" ht="15" hidden="false" customHeight="false" outlineLevel="0" collapsed="false">
      <c r="A1400" s="15"/>
      <c r="B1400" s="15"/>
      <c r="C1400" s="15"/>
      <c r="D1400" s="15"/>
      <c r="F1400" s="18" t="str">
        <f aca="false">IF(B1400="","",IFERROR(INDEX(Materials!$B$2:$B$201,MATCH(B1400,Materials!$A$2:$A$201,0)),""))</f>
        <v/>
      </c>
      <c r="G1400" s="18" t="str">
        <f aca="true">IF(AND(A1400="",B1400=""),"",IF(A1400="","Missing product",IF(B1400="","Missing material",IF(COUNTIF(ProductList,A1400)=0,"Product not in Products list",IF(COUNTIF(MaterialList,B1400)=0,"Material not in Materials list","OK")))))</f>
        <v/>
      </c>
      <c r="H1400" s="18" t="str">
        <f aca="false">IF(F1400="Active",A1400&amp;"|"&amp;COUNTIFS(A$2:A1400,A1400,F$2:F1400,"Active"),"")</f>
        <v/>
      </c>
      <c r="I1400" s="18" t="str">
        <f aca="false">IF(B1400="","",IF(SUMPRODUCT(MAX((A$1:A1399=A1400)*(B$1:B1399=B1400)*ROW(A$1:A1399)))=0,C1400&amp;"",IF(C1400="",INDEX(I$1:I1399,SUMPRODUCT(MAX((A$1:A1399=A1400)*(B$1:B1399=B1400)*ROW(A$1:A1399)))),IF(INDEX(I$1:I1399,SUMPRODUCT(MAX((A$1:A1399=A1400)*(B$1:B1399=B1400)*ROW(A$1:A1399))))="",C1400&amp;"",INDEX(I$1:I1399,SUMPRODUCT(MAX((A$1:A1399=A1400)*(B$1:B1399=B1400)*ROW(A$1:A1399))))&amp;"; "&amp;C1400))))</f>
        <v/>
      </c>
      <c r="J1400" s="18" t="str">
        <f aca="false">IF(A1400="","",A1400&amp;"|"&amp;COUNTIF(A$2:A1400,A1400))</f>
        <v/>
      </c>
      <c r="K1400" s="18" t="n">
        <f aca="false">IF(OR(A1400="",B1400=""),0,IF(COUNTIFS(A$2:A1400,A1400,B$2:B1400,B1400)=1,1,0))</f>
        <v>0</v>
      </c>
    </row>
    <row r="1401" customFormat="false" ht="15" hidden="false" customHeight="false" outlineLevel="0" collapsed="false">
      <c r="A1401" s="15"/>
      <c r="B1401" s="15"/>
      <c r="C1401" s="15"/>
      <c r="D1401" s="15"/>
      <c r="F1401" s="18" t="str">
        <f aca="false">IF(B1401="","",IFERROR(INDEX(Materials!$B$2:$B$201,MATCH(B1401,Materials!$A$2:$A$201,0)),""))</f>
        <v/>
      </c>
      <c r="G1401" s="18" t="str">
        <f aca="true">IF(AND(A1401="",B1401=""),"",IF(A1401="","Missing product",IF(B1401="","Missing material",IF(COUNTIF(ProductList,A1401)=0,"Product not in Products list",IF(COUNTIF(MaterialList,B1401)=0,"Material not in Materials list","OK")))))</f>
        <v/>
      </c>
      <c r="H1401" s="18" t="str">
        <f aca="false">IF(F1401="Active",A1401&amp;"|"&amp;COUNTIFS(A$2:A1401,A1401,F$2:F1401,"Active"),"")</f>
        <v/>
      </c>
      <c r="I1401" s="18" t="str">
        <f aca="false">IF(B1401="","",IF(SUMPRODUCT(MAX((A$1:A1400=A1401)*(B$1:B1400=B1401)*ROW(A$1:A1400)))=0,C1401&amp;"",IF(C1401="",INDEX(I$1:I1400,SUMPRODUCT(MAX((A$1:A1400=A1401)*(B$1:B1400=B1401)*ROW(A$1:A1400)))),IF(INDEX(I$1:I1400,SUMPRODUCT(MAX((A$1:A1400=A1401)*(B$1:B1400=B1401)*ROW(A$1:A1400))))="",C1401&amp;"",INDEX(I$1:I1400,SUMPRODUCT(MAX((A$1:A1400=A1401)*(B$1:B1400=B1401)*ROW(A$1:A1400))))&amp;"; "&amp;C1401))))</f>
        <v/>
      </c>
      <c r="J1401" s="18" t="str">
        <f aca="false">IF(A1401="","",A1401&amp;"|"&amp;COUNTIF(A$2:A1401,A1401))</f>
        <v/>
      </c>
      <c r="K1401" s="18" t="n">
        <f aca="false">IF(OR(A1401="",B1401=""),0,IF(COUNTIFS(A$2:A1401,A1401,B$2:B1401,B1401)=1,1,0))</f>
        <v>0</v>
      </c>
    </row>
    <row r="1402" customFormat="false" ht="15" hidden="false" customHeight="false" outlineLevel="0" collapsed="false">
      <c r="A1402" s="15"/>
      <c r="B1402" s="15"/>
      <c r="C1402" s="15"/>
      <c r="D1402" s="15"/>
      <c r="F1402" s="18" t="str">
        <f aca="false">IF(B1402="","",IFERROR(INDEX(Materials!$B$2:$B$201,MATCH(B1402,Materials!$A$2:$A$201,0)),""))</f>
        <v/>
      </c>
      <c r="G1402" s="18" t="str">
        <f aca="true">IF(AND(A1402="",B1402=""),"",IF(A1402="","Missing product",IF(B1402="","Missing material",IF(COUNTIF(ProductList,A1402)=0,"Product not in Products list",IF(COUNTIF(MaterialList,B1402)=0,"Material not in Materials list","OK")))))</f>
        <v/>
      </c>
      <c r="H1402" s="18" t="str">
        <f aca="false">IF(F1402="Active",A1402&amp;"|"&amp;COUNTIFS(A$2:A1402,A1402,F$2:F1402,"Active"),"")</f>
        <v/>
      </c>
      <c r="I1402" s="18" t="str">
        <f aca="false">IF(B1402="","",IF(SUMPRODUCT(MAX((A$1:A1401=A1402)*(B$1:B1401=B1402)*ROW(A$1:A1401)))=0,C1402&amp;"",IF(C1402="",INDEX(I$1:I1401,SUMPRODUCT(MAX((A$1:A1401=A1402)*(B$1:B1401=B1402)*ROW(A$1:A1401)))),IF(INDEX(I$1:I1401,SUMPRODUCT(MAX((A$1:A1401=A1402)*(B$1:B1401=B1402)*ROW(A$1:A1401))))="",C1402&amp;"",INDEX(I$1:I1401,SUMPRODUCT(MAX((A$1:A1401=A1402)*(B$1:B1401=B1402)*ROW(A$1:A1401))))&amp;"; "&amp;C1402))))</f>
        <v/>
      </c>
      <c r="J1402" s="18" t="str">
        <f aca="false">IF(A1402="","",A1402&amp;"|"&amp;COUNTIF(A$2:A1402,A1402))</f>
        <v/>
      </c>
      <c r="K1402" s="18" t="n">
        <f aca="false">IF(OR(A1402="",B1402=""),0,IF(COUNTIFS(A$2:A1402,A1402,B$2:B1402,B1402)=1,1,0))</f>
        <v>0</v>
      </c>
    </row>
    <row r="1403" customFormat="false" ht="15" hidden="false" customHeight="false" outlineLevel="0" collapsed="false">
      <c r="A1403" s="15"/>
      <c r="B1403" s="15"/>
      <c r="C1403" s="15"/>
      <c r="D1403" s="15"/>
      <c r="F1403" s="18" t="str">
        <f aca="false">IF(B1403="","",IFERROR(INDEX(Materials!$B$2:$B$201,MATCH(B1403,Materials!$A$2:$A$201,0)),""))</f>
        <v/>
      </c>
      <c r="G1403" s="18" t="str">
        <f aca="true">IF(AND(A1403="",B1403=""),"",IF(A1403="","Missing product",IF(B1403="","Missing material",IF(COUNTIF(ProductList,A1403)=0,"Product not in Products list",IF(COUNTIF(MaterialList,B1403)=0,"Material not in Materials list","OK")))))</f>
        <v/>
      </c>
      <c r="H1403" s="18" t="str">
        <f aca="false">IF(F1403="Active",A1403&amp;"|"&amp;COUNTIFS(A$2:A1403,A1403,F$2:F1403,"Active"),"")</f>
        <v/>
      </c>
      <c r="I1403" s="18" t="str">
        <f aca="false">IF(B1403="","",IF(SUMPRODUCT(MAX((A$1:A1402=A1403)*(B$1:B1402=B1403)*ROW(A$1:A1402)))=0,C1403&amp;"",IF(C1403="",INDEX(I$1:I1402,SUMPRODUCT(MAX((A$1:A1402=A1403)*(B$1:B1402=B1403)*ROW(A$1:A1402)))),IF(INDEX(I$1:I1402,SUMPRODUCT(MAX((A$1:A1402=A1403)*(B$1:B1402=B1403)*ROW(A$1:A1402))))="",C1403&amp;"",INDEX(I$1:I1402,SUMPRODUCT(MAX((A$1:A1402=A1403)*(B$1:B1402=B1403)*ROW(A$1:A1402))))&amp;"; "&amp;C1403))))</f>
        <v/>
      </c>
      <c r="J1403" s="18" t="str">
        <f aca="false">IF(A1403="","",A1403&amp;"|"&amp;COUNTIF(A$2:A1403,A1403))</f>
        <v/>
      </c>
      <c r="K1403" s="18" t="n">
        <f aca="false">IF(OR(A1403="",B1403=""),0,IF(COUNTIFS(A$2:A1403,A1403,B$2:B1403,B1403)=1,1,0))</f>
        <v>0</v>
      </c>
    </row>
    <row r="1404" customFormat="false" ht="15" hidden="false" customHeight="false" outlineLevel="0" collapsed="false">
      <c r="A1404" s="15"/>
      <c r="B1404" s="15"/>
      <c r="C1404" s="15"/>
      <c r="D1404" s="15"/>
      <c r="F1404" s="18" t="str">
        <f aca="false">IF(B1404="","",IFERROR(INDEX(Materials!$B$2:$B$201,MATCH(B1404,Materials!$A$2:$A$201,0)),""))</f>
        <v/>
      </c>
      <c r="G1404" s="18" t="str">
        <f aca="true">IF(AND(A1404="",B1404=""),"",IF(A1404="","Missing product",IF(B1404="","Missing material",IF(COUNTIF(ProductList,A1404)=0,"Product not in Products list",IF(COUNTIF(MaterialList,B1404)=0,"Material not in Materials list","OK")))))</f>
        <v/>
      </c>
      <c r="H1404" s="18" t="str">
        <f aca="false">IF(F1404="Active",A1404&amp;"|"&amp;COUNTIFS(A$2:A1404,A1404,F$2:F1404,"Active"),"")</f>
        <v/>
      </c>
      <c r="I1404" s="18" t="str">
        <f aca="false">IF(B1404="","",IF(SUMPRODUCT(MAX((A$1:A1403=A1404)*(B$1:B1403=B1404)*ROW(A$1:A1403)))=0,C1404&amp;"",IF(C1404="",INDEX(I$1:I1403,SUMPRODUCT(MAX((A$1:A1403=A1404)*(B$1:B1403=B1404)*ROW(A$1:A1403)))),IF(INDEX(I$1:I1403,SUMPRODUCT(MAX((A$1:A1403=A1404)*(B$1:B1403=B1404)*ROW(A$1:A1403))))="",C1404&amp;"",INDEX(I$1:I1403,SUMPRODUCT(MAX((A$1:A1403=A1404)*(B$1:B1403=B1404)*ROW(A$1:A1403))))&amp;"; "&amp;C1404))))</f>
        <v/>
      </c>
      <c r="J1404" s="18" t="str">
        <f aca="false">IF(A1404="","",A1404&amp;"|"&amp;COUNTIF(A$2:A1404,A1404))</f>
        <v/>
      </c>
      <c r="K1404" s="18" t="n">
        <f aca="false">IF(OR(A1404="",B1404=""),0,IF(COUNTIFS(A$2:A1404,A1404,B$2:B1404,B1404)=1,1,0))</f>
        <v>0</v>
      </c>
    </row>
    <row r="1405" customFormat="false" ht="15" hidden="false" customHeight="false" outlineLevel="0" collapsed="false">
      <c r="A1405" s="15"/>
      <c r="B1405" s="15"/>
      <c r="C1405" s="15"/>
      <c r="D1405" s="15"/>
      <c r="F1405" s="18" t="str">
        <f aca="false">IF(B1405="","",IFERROR(INDEX(Materials!$B$2:$B$201,MATCH(B1405,Materials!$A$2:$A$201,0)),""))</f>
        <v/>
      </c>
      <c r="G1405" s="18" t="str">
        <f aca="true">IF(AND(A1405="",B1405=""),"",IF(A1405="","Missing product",IF(B1405="","Missing material",IF(COUNTIF(ProductList,A1405)=0,"Product not in Products list",IF(COUNTIF(MaterialList,B1405)=0,"Material not in Materials list","OK")))))</f>
        <v/>
      </c>
      <c r="H1405" s="18" t="str">
        <f aca="false">IF(F1405="Active",A1405&amp;"|"&amp;COUNTIFS(A$2:A1405,A1405,F$2:F1405,"Active"),"")</f>
        <v/>
      </c>
      <c r="I1405" s="18" t="str">
        <f aca="false">IF(B1405="","",IF(SUMPRODUCT(MAX((A$1:A1404=A1405)*(B$1:B1404=B1405)*ROW(A$1:A1404)))=0,C1405&amp;"",IF(C1405="",INDEX(I$1:I1404,SUMPRODUCT(MAX((A$1:A1404=A1405)*(B$1:B1404=B1405)*ROW(A$1:A1404)))),IF(INDEX(I$1:I1404,SUMPRODUCT(MAX((A$1:A1404=A1405)*(B$1:B1404=B1405)*ROW(A$1:A1404))))="",C1405&amp;"",INDEX(I$1:I1404,SUMPRODUCT(MAX((A$1:A1404=A1405)*(B$1:B1404=B1405)*ROW(A$1:A1404))))&amp;"; "&amp;C1405))))</f>
        <v/>
      </c>
      <c r="J1405" s="18" t="str">
        <f aca="false">IF(A1405="","",A1405&amp;"|"&amp;COUNTIF(A$2:A1405,A1405))</f>
        <v/>
      </c>
      <c r="K1405" s="18" t="n">
        <f aca="false">IF(OR(A1405="",B1405=""),0,IF(COUNTIFS(A$2:A1405,A1405,B$2:B1405,B1405)=1,1,0))</f>
        <v>0</v>
      </c>
    </row>
    <row r="1406" customFormat="false" ht="15" hidden="false" customHeight="false" outlineLevel="0" collapsed="false">
      <c r="A1406" s="15"/>
      <c r="B1406" s="15"/>
      <c r="C1406" s="15"/>
      <c r="D1406" s="15"/>
      <c r="F1406" s="18" t="str">
        <f aca="false">IF(B1406="","",IFERROR(INDEX(Materials!$B$2:$B$201,MATCH(B1406,Materials!$A$2:$A$201,0)),""))</f>
        <v/>
      </c>
      <c r="G1406" s="18" t="str">
        <f aca="true">IF(AND(A1406="",B1406=""),"",IF(A1406="","Missing product",IF(B1406="","Missing material",IF(COUNTIF(ProductList,A1406)=0,"Product not in Products list",IF(COUNTIF(MaterialList,B1406)=0,"Material not in Materials list","OK")))))</f>
        <v/>
      </c>
      <c r="H1406" s="18" t="str">
        <f aca="false">IF(F1406="Active",A1406&amp;"|"&amp;COUNTIFS(A$2:A1406,A1406,F$2:F1406,"Active"),"")</f>
        <v/>
      </c>
      <c r="I1406" s="18" t="str">
        <f aca="false">IF(B1406="","",IF(SUMPRODUCT(MAX((A$1:A1405=A1406)*(B$1:B1405=B1406)*ROW(A$1:A1405)))=0,C1406&amp;"",IF(C1406="",INDEX(I$1:I1405,SUMPRODUCT(MAX((A$1:A1405=A1406)*(B$1:B1405=B1406)*ROW(A$1:A1405)))),IF(INDEX(I$1:I1405,SUMPRODUCT(MAX((A$1:A1405=A1406)*(B$1:B1405=B1406)*ROW(A$1:A1405))))="",C1406&amp;"",INDEX(I$1:I1405,SUMPRODUCT(MAX((A$1:A1405=A1406)*(B$1:B1405=B1406)*ROW(A$1:A1405))))&amp;"; "&amp;C1406))))</f>
        <v/>
      </c>
      <c r="J1406" s="18" t="str">
        <f aca="false">IF(A1406="","",A1406&amp;"|"&amp;COUNTIF(A$2:A1406,A1406))</f>
        <v/>
      </c>
      <c r="K1406" s="18" t="n">
        <f aca="false">IF(OR(A1406="",B1406=""),0,IF(COUNTIFS(A$2:A1406,A1406,B$2:B1406,B1406)=1,1,0))</f>
        <v>0</v>
      </c>
    </row>
    <row r="1407" customFormat="false" ht="15" hidden="false" customHeight="false" outlineLevel="0" collapsed="false">
      <c r="A1407" s="15"/>
      <c r="B1407" s="15"/>
      <c r="C1407" s="15"/>
      <c r="D1407" s="15"/>
      <c r="F1407" s="18" t="str">
        <f aca="false">IF(B1407="","",IFERROR(INDEX(Materials!$B$2:$B$201,MATCH(B1407,Materials!$A$2:$A$201,0)),""))</f>
        <v/>
      </c>
      <c r="G1407" s="18" t="str">
        <f aca="true">IF(AND(A1407="",B1407=""),"",IF(A1407="","Missing product",IF(B1407="","Missing material",IF(COUNTIF(ProductList,A1407)=0,"Product not in Products list",IF(COUNTIF(MaterialList,B1407)=0,"Material not in Materials list","OK")))))</f>
        <v/>
      </c>
      <c r="H1407" s="18" t="str">
        <f aca="false">IF(F1407="Active",A1407&amp;"|"&amp;COUNTIFS(A$2:A1407,A1407,F$2:F1407,"Active"),"")</f>
        <v/>
      </c>
      <c r="I1407" s="18" t="str">
        <f aca="false">IF(B1407="","",IF(SUMPRODUCT(MAX((A$1:A1406=A1407)*(B$1:B1406=B1407)*ROW(A$1:A1406)))=0,C1407&amp;"",IF(C1407="",INDEX(I$1:I1406,SUMPRODUCT(MAX((A$1:A1406=A1407)*(B$1:B1406=B1407)*ROW(A$1:A1406)))),IF(INDEX(I$1:I1406,SUMPRODUCT(MAX((A$1:A1406=A1407)*(B$1:B1406=B1407)*ROW(A$1:A1406))))="",C1407&amp;"",INDEX(I$1:I1406,SUMPRODUCT(MAX((A$1:A1406=A1407)*(B$1:B1406=B1407)*ROW(A$1:A1406))))&amp;"; "&amp;C1407))))</f>
        <v/>
      </c>
      <c r="J1407" s="18" t="str">
        <f aca="false">IF(A1407="","",A1407&amp;"|"&amp;COUNTIF(A$2:A1407,A1407))</f>
        <v/>
      </c>
      <c r="K1407" s="18" t="n">
        <f aca="false">IF(OR(A1407="",B1407=""),0,IF(COUNTIFS(A$2:A1407,A1407,B$2:B1407,B1407)=1,1,0))</f>
        <v>0</v>
      </c>
    </row>
    <row r="1408" customFormat="false" ht="15" hidden="false" customHeight="false" outlineLevel="0" collapsed="false">
      <c r="A1408" s="15"/>
      <c r="B1408" s="15"/>
      <c r="C1408" s="15"/>
      <c r="D1408" s="15"/>
      <c r="F1408" s="18" t="str">
        <f aca="false">IF(B1408="","",IFERROR(INDEX(Materials!$B$2:$B$201,MATCH(B1408,Materials!$A$2:$A$201,0)),""))</f>
        <v/>
      </c>
      <c r="G1408" s="18" t="str">
        <f aca="true">IF(AND(A1408="",B1408=""),"",IF(A1408="","Missing product",IF(B1408="","Missing material",IF(COUNTIF(ProductList,A1408)=0,"Product not in Products list",IF(COUNTIF(MaterialList,B1408)=0,"Material not in Materials list","OK")))))</f>
        <v/>
      </c>
      <c r="H1408" s="18" t="str">
        <f aca="false">IF(F1408="Active",A1408&amp;"|"&amp;COUNTIFS(A$2:A1408,A1408,F$2:F1408,"Active"),"")</f>
        <v/>
      </c>
      <c r="I1408" s="18" t="str">
        <f aca="false">IF(B1408="","",IF(SUMPRODUCT(MAX((A$1:A1407=A1408)*(B$1:B1407=B1408)*ROW(A$1:A1407)))=0,C1408&amp;"",IF(C1408="",INDEX(I$1:I1407,SUMPRODUCT(MAX((A$1:A1407=A1408)*(B$1:B1407=B1408)*ROW(A$1:A1407)))),IF(INDEX(I$1:I1407,SUMPRODUCT(MAX((A$1:A1407=A1408)*(B$1:B1407=B1408)*ROW(A$1:A1407))))="",C1408&amp;"",INDEX(I$1:I1407,SUMPRODUCT(MAX((A$1:A1407=A1408)*(B$1:B1407=B1408)*ROW(A$1:A1407))))&amp;"; "&amp;C1408))))</f>
        <v/>
      </c>
      <c r="J1408" s="18" t="str">
        <f aca="false">IF(A1408="","",A1408&amp;"|"&amp;COUNTIF(A$2:A1408,A1408))</f>
        <v/>
      </c>
      <c r="K1408" s="18" t="n">
        <f aca="false">IF(OR(A1408="",B1408=""),0,IF(COUNTIFS(A$2:A1408,A1408,B$2:B1408,B1408)=1,1,0))</f>
        <v>0</v>
      </c>
    </row>
    <row r="1409" customFormat="false" ht="15" hidden="false" customHeight="false" outlineLevel="0" collapsed="false">
      <c r="A1409" s="15"/>
      <c r="B1409" s="15"/>
      <c r="C1409" s="15"/>
      <c r="D1409" s="15"/>
      <c r="F1409" s="18" t="str">
        <f aca="false">IF(B1409="","",IFERROR(INDEX(Materials!$B$2:$B$201,MATCH(B1409,Materials!$A$2:$A$201,0)),""))</f>
        <v/>
      </c>
      <c r="G1409" s="18" t="str">
        <f aca="true">IF(AND(A1409="",B1409=""),"",IF(A1409="","Missing product",IF(B1409="","Missing material",IF(COUNTIF(ProductList,A1409)=0,"Product not in Products list",IF(COUNTIF(MaterialList,B1409)=0,"Material not in Materials list","OK")))))</f>
        <v/>
      </c>
      <c r="H1409" s="18" t="str">
        <f aca="false">IF(F1409="Active",A1409&amp;"|"&amp;COUNTIFS(A$2:A1409,A1409,F$2:F1409,"Active"),"")</f>
        <v/>
      </c>
      <c r="I1409" s="18" t="str">
        <f aca="false">IF(B1409="","",IF(SUMPRODUCT(MAX((A$1:A1408=A1409)*(B$1:B1408=B1409)*ROW(A$1:A1408)))=0,C1409&amp;"",IF(C1409="",INDEX(I$1:I1408,SUMPRODUCT(MAX((A$1:A1408=A1409)*(B$1:B1408=B1409)*ROW(A$1:A1408)))),IF(INDEX(I$1:I1408,SUMPRODUCT(MAX((A$1:A1408=A1409)*(B$1:B1408=B1409)*ROW(A$1:A1408))))="",C1409&amp;"",INDEX(I$1:I1408,SUMPRODUCT(MAX((A$1:A1408=A1409)*(B$1:B1408=B1409)*ROW(A$1:A1408))))&amp;"; "&amp;C1409))))</f>
        <v/>
      </c>
      <c r="J1409" s="18" t="str">
        <f aca="false">IF(A1409="","",A1409&amp;"|"&amp;COUNTIF(A$2:A1409,A1409))</f>
        <v/>
      </c>
      <c r="K1409" s="18" t="n">
        <f aca="false">IF(OR(A1409="",B1409=""),0,IF(COUNTIFS(A$2:A1409,A1409,B$2:B1409,B1409)=1,1,0))</f>
        <v>0</v>
      </c>
    </row>
    <row r="1410" customFormat="false" ht="15" hidden="false" customHeight="false" outlineLevel="0" collapsed="false">
      <c r="A1410" s="15"/>
      <c r="B1410" s="15"/>
      <c r="C1410" s="15"/>
      <c r="D1410" s="15"/>
      <c r="F1410" s="18" t="str">
        <f aca="false">IF(B1410="","",IFERROR(INDEX(Materials!$B$2:$B$201,MATCH(B1410,Materials!$A$2:$A$201,0)),""))</f>
        <v/>
      </c>
      <c r="G1410" s="18" t="str">
        <f aca="true">IF(AND(A1410="",B1410=""),"",IF(A1410="","Missing product",IF(B1410="","Missing material",IF(COUNTIF(ProductList,A1410)=0,"Product not in Products list",IF(COUNTIF(MaterialList,B1410)=0,"Material not in Materials list","OK")))))</f>
        <v/>
      </c>
      <c r="H1410" s="18" t="str">
        <f aca="false">IF(F1410="Active",A1410&amp;"|"&amp;COUNTIFS(A$2:A1410,A1410,F$2:F1410,"Active"),"")</f>
        <v/>
      </c>
      <c r="I1410" s="18" t="str">
        <f aca="false">IF(B1410="","",IF(SUMPRODUCT(MAX((A$1:A1409=A1410)*(B$1:B1409=B1410)*ROW(A$1:A1409)))=0,C1410&amp;"",IF(C1410="",INDEX(I$1:I1409,SUMPRODUCT(MAX((A$1:A1409=A1410)*(B$1:B1409=B1410)*ROW(A$1:A1409)))),IF(INDEX(I$1:I1409,SUMPRODUCT(MAX((A$1:A1409=A1410)*(B$1:B1409=B1410)*ROW(A$1:A1409))))="",C1410&amp;"",INDEX(I$1:I1409,SUMPRODUCT(MAX((A$1:A1409=A1410)*(B$1:B1409=B1410)*ROW(A$1:A1409))))&amp;"; "&amp;C1410))))</f>
        <v/>
      </c>
      <c r="J1410" s="18" t="str">
        <f aca="false">IF(A1410="","",A1410&amp;"|"&amp;COUNTIF(A$2:A1410,A1410))</f>
        <v/>
      </c>
      <c r="K1410" s="18" t="n">
        <f aca="false">IF(OR(A1410="",B1410=""),0,IF(COUNTIFS(A$2:A1410,A1410,B$2:B1410,B1410)=1,1,0))</f>
        <v>0</v>
      </c>
    </row>
    <row r="1411" customFormat="false" ht="15" hidden="false" customHeight="false" outlineLevel="0" collapsed="false">
      <c r="A1411" s="15"/>
      <c r="B1411" s="15"/>
      <c r="C1411" s="15"/>
      <c r="D1411" s="15"/>
      <c r="F1411" s="18" t="str">
        <f aca="false">IF(B1411="","",IFERROR(INDEX(Materials!$B$2:$B$201,MATCH(B1411,Materials!$A$2:$A$201,0)),""))</f>
        <v/>
      </c>
      <c r="G1411" s="18" t="str">
        <f aca="true">IF(AND(A1411="",B1411=""),"",IF(A1411="","Missing product",IF(B1411="","Missing material",IF(COUNTIF(ProductList,A1411)=0,"Product not in Products list",IF(COUNTIF(MaterialList,B1411)=0,"Material not in Materials list","OK")))))</f>
        <v/>
      </c>
      <c r="H1411" s="18" t="str">
        <f aca="false">IF(F1411="Active",A1411&amp;"|"&amp;COUNTIFS(A$2:A1411,A1411,F$2:F1411,"Active"),"")</f>
        <v/>
      </c>
      <c r="I1411" s="18" t="str">
        <f aca="false">IF(B1411="","",IF(SUMPRODUCT(MAX((A$1:A1410=A1411)*(B$1:B1410=B1411)*ROW(A$1:A1410)))=0,C1411&amp;"",IF(C1411="",INDEX(I$1:I1410,SUMPRODUCT(MAX((A$1:A1410=A1411)*(B$1:B1410=B1411)*ROW(A$1:A1410)))),IF(INDEX(I$1:I1410,SUMPRODUCT(MAX((A$1:A1410=A1411)*(B$1:B1410=B1411)*ROW(A$1:A1410))))="",C1411&amp;"",INDEX(I$1:I1410,SUMPRODUCT(MAX((A$1:A1410=A1411)*(B$1:B1410=B1411)*ROW(A$1:A1410))))&amp;"; "&amp;C1411))))</f>
        <v/>
      </c>
      <c r="J1411" s="18" t="str">
        <f aca="false">IF(A1411="","",A1411&amp;"|"&amp;COUNTIF(A$2:A1411,A1411))</f>
        <v/>
      </c>
      <c r="K1411" s="18" t="n">
        <f aca="false">IF(OR(A1411="",B1411=""),0,IF(COUNTIFS(A$2:A1411,A1411,B$2:B1411,B1411)=1,1,0))</f>
        <v>0</v>
      </c>
    </row>
    <row r="1412" customFormat="false" ht="15" hidden="false" customHeight="false" outlineLevel="0" collapsed="false">
      <c r="A1412" s="15"/>
      <c r="B1412" s="15"/>
      <c r="C1412" s="15"/>
      <c r="D1412" s="15"/>
      <c r="F1412" s="18" t="str">
        <f aca="false">IF(B1412="","",IFERROR(INDEX(Materials!$B$2:$B$201,MATCH(B1412,Materials!$A$2:$A$201,0)),""))</f>
        <v/>
      </c>
      <c r="G1412" s="18" t="str">
        <f aca="true">IF(AND(A1412="",B1412=""),"",IF(A1412="","Missing product",IF(B1412="","Missing material",IF(COUNTIF(ProductList,A1412)=0,"Product not in Products list",IF(COUNTIF(MaterialList,B1412)=0,"Material not in Materials list","OK")))))</f>
        <v/>
      </c>
      <c r="H1412" s="18" t="str">
        <f aca="false">IF(F1412="Active",A1412&amp;"|"&amp;COUNTIFS(A$2:A1412,A1412,F$2:F1412,"Active"),"")</f>
        <v/>
      </c>
      <c r="I1412" s="18" t="str">
        <f aca="false">IF(B1412="","",IF(SUMPRODUCT(MAX((A$1:A1411=A1412)*(B$1:B1411=B1412)*ROW(A$1:A1411)))=0,C1412&amp;"",IF(C1412="",INDEX(I$1:I1411,SUMPRODUCT(MAX((A$1:A1411=A1412)*(B$1:B1411=B1412)*ROW(A$1:A1411)))),IF(INDEX(I$1:I1411,SUMPRODUCT(MAX((A$1:A1411=A1412)*(B$1:B1411=B1412)*ROW(A$1:A1411))))="",C1412&amp;"",INDEX(I$1:I1411,SUMPRODUCT(MAX((A$1:A1411=A1412)*(B$1:B1411=B1412)*ROW(A$1:A1411))))&amp;"; "&amp;C1412))))</f>
        <v/>
      </c>
      <c r="J1412" s="18" t="str">
        <f aca="false">IF(A1412="","",A1412&amp;"|"&amp;COUNTIF(A$2:A1412,A1412))</f>
        <v/>
      </c>
      <c r="K1412" s="18" t="n">
        <f aca="false">IF(OR(A1412="",B1412=""),0,IF(COUNTIFS(A$2:A1412,A1412,B$2:B1412,B1412)=1,1,0))</f>
        <v>0</v>
      </c>
    </row>
    <row r="1413" customFormat="false" ht="15" hidden="false" customHeight="false" outlineLevel="0" collapsed="false">
      <c r="A1413" s="15"/>
      <c r="B1413" s="15"/>
      <c r="C1413" s="15"/>
      <c r="D1413" s="15"/>
      <c r="F1413" s="18" t="str">
        <f aca="false">IF(B1413="","",IFERROR(INDEX(Materials!$B$2:$B$201,MATCH(B1413,Materials!$A$2:$A$201,0)),""))</f>
        <v/>
      </c>
      <c r="G1413" s="18" t="str">
        <f aca="true">IF(AND(A1413="",B1413=""),"",IF(A1413="","Missing product",IF(B1413="","Missing material",IF(COUNTIF(ProductList,A1413)=0,"Product not in Products list",IF(COUNTIF(MaterialList,B1413)=0,"Material not in Materials list","OK")))))</f>
        <v/>
      </c>
      <c r="H1413" s="18" t="str">
        <f aca="false">IF(F1413="Active",A1413&amp;"|"&amp;COUNTIFS(A$2:A1413,A1413,F$2:F1413,"Active"),"")</f>
        <v/>
      </c>
      <c r="I1413" s="18" t="str">
        <f aca="false">IF(B1413="","",IF(SUMPRODUCT(MAX((A$1:A1412=A1413)*(B$1:B1412=B1413)*ROW(A$1:A1412)))=0,C1413&amp;"",IF(C1413="",INDEX(I$1:I1412,SUMPRODUCT(MAX((A$1:A1412=A1413)*(B$1:B1412=B1413)*ROW(A$1:A1412)))),IF(INDEX(I$1:I1412,SUMPRODUCT(MAX((A$1:A1412=A1413)*(B$1:B1412=B1413)*ROW(A$1:A1412))))="",C1413&amp;"",INDEX(I$1:I1412,SUMPRODUCT(MAX((A$1:A1412=A1413)*(B$1:B1412=B1413)*ROW(A$1:A1412))))&amp;"; "&amp;C1413))))</f>
        <v/>
      </c>
      <c r="J1413" s="18" t="str">
        <f aca="false">IF(A1413="","",A1413&amp;"|"&amp;COUNTIF(A$2:A1413,A1413))</f>
        <v/>
      </c>
      <c r="K1413" s="18" t="n">
        <f aca="false">IF(OR(A1413="",B1413=""),0,IF(COUNTIFS(A$2:A1413,A1413,B$2:B1413,B1413)=1,1,0))</f>
        <v>0</v>
      </c>
    </row>
    <row r="1414" customFormat="false" ht="15" hidden="false" customHeight="false" outlineLevel="0" collapsed="false">
      <c r="A1414" s="15"/>
      <c r="B1414" s="15"/>
      <c r="C1414" s="15"/>
      <c r="D1414" s="15"/>
      <c r="F1414" s="18" t="str">
        <f aca="false">IF(B1414="","",IFERROR(INDEX(Materials!$B$2:$B$201,MATCH(B1414,Materials!$A$2:$A$201,0)),""))</f>
        <v/>
      </c>
      <c r="G1414" s="18" t="str">
        <f aca="true">IF(AND(A1414="",B1414=""),"",IF(A1414="","Missing product",IF(B1414="","Missing material",IF(COUNTIF(ProductList,A1414)=0,"Product not in Products list",IF(COUNTIF(MaterialList,B1414)=0,"Material not in Materials list","OK")))))</f>
        <v/>
      </c>
      <c r="H1414" s="18" t="str">
        <f aca="false">IF(F1414="Active",A1414&amp;"|"&amp;COUNTIFS(A$2:A1414,A1414,F$2:F1414,"Active"),"")</f>
        <v/>
      </c>
      <c r="I1414" s="18" t="str">
        <f aca="false">IF(B1414="","",IF(SUMPRODUCT(MAX((A$1:A1413=A1414)*(B$1:B1413=B1414)*ROW(A$1:A1413)))=0,C1414&amp;"",IF(C1414="",INDEX(I$1:I1413,SUMPRODUCT(MAX((A$1:A1413=A1414)*(B$1:B1413=B1414)*ROW(A$1:A1413)))),IF(INDEX(I$1:I1413,SUMPRODUCT(MAX((A$1:A1413=A1414)*(B$1:B1413=B1414)*ROW(A$1:A1413))))="",C1414&amp;"",INDEX(I$1:I1413,SUMPRODUCT(MAX((A$1:A1413=A1414)*(B$1:B1413=B1414)*ROW(A$1:A1413))))&amp;"; "&amp;C1414))))</f>
        <v/>
      </c>
      <c r="J1414" s="18" t="str">
        <f aca="false">IF(A1414="","",A1414&amp;"|"&amp;COUNTIF(A$2:A1414,A1414))</f>
        <v/>
      </c>
      <c r="K1414" s="18" t="n">
        <f aca="false">IF(OR(A1414="",B1414=""),0,IF(COUNTIFS(A$2:A1414,A1414,B$2:B1414,B1414)=1,1,0))</f>
        <v>0</v>
      </c>
    </row>
    <row r="1415" customFormat="false" ht="15" hidden="false" customHeight="false" outlineLevel="0" collapsed="false">
      <c r="A1415" s="15"/>
      <c r="B1415" s="15"/>
      <c r="C1415" s="15"/>
      <c r="D1415" s="15"/>
      <c r="F1415" s="18" t="str">
        <f aca="false">IF(B1415="","",IFERROR(INDEX(Materials!$B$2:$B$201,MATCH(B1415,Materials!$A$2:$A$201,0)),""))</f>
        <v/>
      </c>
      <c r="G1415" s="18" t="str">
        <f aca="true">IF(AND(A1415="",B1415=""),"",IF(A1415="","Missing product",IF(B1415="","Missing material",IF(COUNTIF(ProductList,A1415)=0,"Product not in Products list",IF(COUNTIF(MaterialList,B1415)=0,"Material not in Materials list","OK")))))</f>
        <v/>
      </c>
      <c r="H1415" s="18" t="str">
        <f aca="false">IF(F1415="Active",A1415&amp;"|"&amp;COUNTIFS(A$2:A1415,A1415,F$2:F1415,"Active"),"")</f>
        <v/>
      </c>
      <c r="I1415" s="18" t="str">
        <f aca="false">IF(B1415="","",IF(SUMPRODUCT(MAX((A$1:A1414=A1415)*(B$1:B1414=B1415)*ROW(A$1:A1414)))=0,C1415&amp;"",IF(C1415="",INDEX(I$1:I1414,SUMPRODUCT(MAX((A$1:A1414=A1415)*(B$1:B1414=B1415)*ROW(A$1:A1414)))),IF(INDEX(I$1:I1414,SUMPRODUCT(MAX((A$1:A1414=A1415)*(B$1:B1414=B1415)*ROW(A$1:A1414))))="",C1415&amp;"",INDEX(I$1:I1414,SUMPRODUCT(MAX((A$1:A1414=A1415)*(B$1:B1414=B1415)*ROW(A$1:A1414))))&amp;"; "&amp;C1415))))</f>
        <v/>
      </c>
      <c r="J1415" s="18" t="str">
        <f aca="false">IF(A1415="","",A1415&amp;"|"&amp;COUNTIF(A$2:A1415,A1415))</f>
        <v/>
      </c>
      <c r="K1415" s="18" t="n">
        <f aca="false">IF(OR(A1415="",B1415=""),0,IF(COUNTIFS(A$2:A1415,A1415,B$2:B1415,B1415)=1,1,0))</f>
        <v>0</v>
      </c>
    </row>
    <row r="1416" customFormat="false" ht="15" hidden="false" customHeight="false" outlineLevel="0" collapsed="false">
      <c r="A1416" s="15"/>
      <c r="B1416" s="15"/>
      <c r="C1416" s="15"/>
      <c r="D1416" s="15"/>
      <c r="F1416" s="18" t="str">
        <f aca="false">IF(B1416="","",IFERROR(INDEX(Materials!$B$2:$B$201,MATCH(B1416,Materials!$A$2:$A$201,0)),""))</f>
        <v/>
      </c>
      <c r="G1416" s="18" t="str">
        <f aca="true">IF(AND(A1416="",B1416=""),"",IF(A1416="","Missing product",IF(B1416="","Missing material",IF(COUNTIF(ProductList,A1416)=0,"Product not in Products list",IF(COUNTIF(MaterialList,B1416)=0,"Material not in Materials list","OK")))))</f>
        <v/>
      </c>
      <c r="H1416" s="18" t="str">
        <f aca="false">IF(F1416="Active",A1416&amp;"|"&amp;COUNTIFS(A$2:A1416,A1416,F$2:F1416,"Active"),"")</f>
        <v/>
      </c>
      <c r="I1416" s="18" t="str">
        <f aca="false">IF(B1416="","",IF(SUMPRODUCT(MAX((A$1:A1415=A1416)*(B$1:B1415=B1416)*ROW(A$1:A1415)))=0,C1416&amp;"",IF(C1416="",INDEX(I$1:I1415,SUMPRODUCT(MAX((A$1:A1415=A1416)*(B$1:B1415=B1416)*ROW(A$1:A1415)))),IF(INDEX(I$1:I1415,SUMPRODUCT(MAX((A$1:A1415=A1416)*(B$1:B1415=B1416)*ROW(A$1:A1415))))="",C1416&amp;"",INDEX(I$1:I1415,SUMPRODUCT(MAX((A$1:A1415=A1416)*(B$1:B1415=B1416)*ROW(A$1:A1415))))&amp;"; "&amp;C1416))))</f>
        <v/>
      </c>
      <c r="J1416" s="18" t="str">
        <f aca="false">IF(A1416="","",A1416&amp;"|"&amp;COUNTIF(A$2:A1416,A1416))</f>
        <v/>
      </c>
      <c r="K1416" s="18" t="n">
        <f aca="false">IF(OR(A1416="",B1416=""),0,IF(COUNTIFS(A$2:A1416,A1416,B$2:B1416,B1416)=1,1,0))</f>
        <v>0</v>
      </c>
    </row>
    <row r="1417" customFormat="false" ht="15" hidden="false" customHeight="false" outlineLevel="0" collapsed="false">
      <c r="A1417" s="15"/>
      <c r="B1417" s="15"/>
      <c r="C1417" s="15"/>
      <c r="D1417" s="15"/>
      <c r="F1417" s="18" t="str">
        <f aca="false">IF(B1417="","",IFERROR(INDEX(Materials!$B$2:$B$201,MATCH(B1417,Materials!$A$2:$A$201,0)),""))</f>
        <v/>
      </c>
      <c r="G1417" s="18" t="str">
        <f aca="true">IF(AND(A1417="",B1417=""),"",IF(A1417="","Missing product",IF(B1417="","Missing material",IF(COUNTIF(ProductList,A1417)=0,"Product not in Products list",IF(COUNTIF(MaterialList,B1417)=0,"Material not in Materials list","OK")))))</f>
        <v/>
      </c>
      <c r="H1417" s="18" t="str">
        <f aca="false">IF(F1417="Active",A1417&amp;"|"&amp;COUNTIFS(A$2:A1417,A1417,F$2:F1417,"Active"),"")</f>
        <v/>
      </c>
      <c r="I1417" s="18" t="str">
        <f aca="false">IF(B1417="","",IF(SUMPRODUCT(MAX((A$1:A1416=A1417)*(B$1:B1416=B1417)*ROW(A$1:A1416)))=0,C1417&amp;"",IF(C1417="",INDEX(I$1:I1416,SUMPRODUCT(MAX((A$1:A1416=A1417)*(B$1:B1416=B1417)*ROW(A$1:A1416)))),IF(INDEX(I$1:I1416,SUMPRODUCT(MAX((A$1:A1416=A1417)*(B$1:B1416=B1417)*ROW(A$1:A1416))))="",C1417&amp;"",INDEX(I$1:I1416,SUMPRODUCT(MAX((A$1:A1416=A1417)*(B$1:B1416=B1417)*ROW(A$1:A1416))))&amp;"; "&amp;C1417))))</f>
        <v/>
      </c>
      <c r="J1417" s="18" t="str">
        <f aca="false">IF(A1417="","",A1417&amp;"|"&amp;COUNTIF(A$2:A1417,A1417))</f>
        <v/>
      </c>
      <c r="K1417" s="18" t="n">
        <f aca="false">IF(OR(A1417="",B1417=""),0,IF(COUNTIFS(A$2:A1417,A1417,B$2:B1417,B1417)=1,1,0))</f>
        <v>0</v>
      </c>
    </row>
    <row r="1418" customFormat="false" ht="15" hidden="false" customHeight="false" outlineLevel="0" collapsed="false">
      <c r="A1418" s="15"/>
      <c r="B1418" s="15"/>
      <c r="C1418" s="15"/>
      <c r="D1418" s="15"/>
      <c r="F1418" s="18" t="str">
        <f aca="false">IF(B1418="","",IFERROR(INDEX(Materials!$B$2:$B$201,MATCH(B1418,Materials!$A$2:$A$201,0)),""))</f>
        <v/>
      </c>
      <c r="G1418" s="18" t="str">
        <f aca="true">IF(AND(A1418="",B1418=""),"",IF(A1418="","Missing product",IF(B1418="","Missing material",IF(COUNTIF(ProductList,A1418)=0,"Product not in Products list",IF(COUNTIF(MaterialList,B1418)=0,"Material not in Materials list","OK")))))</f>
        <v/>
      </c>
      <c r="H1418" s="18" t="str">
        <f aca="false">IF(F1418="Active",A1418&amp;"|"&amp;COUNTIFS(A$2:A1418,A1418,F$2:F1418,"Active"),"")</f>
        <v/>
      </c>
      <c r="I1418" s="18" t="str">
        <f aca="false">IF(B1418="","",IF(SUMPRODUCT(MAX((A$1:A1417=A1418)*(B$1:B1417=B1418)*ROW(A$1:A1417)))=0,C1418&amp;"",IF(C1418="",INDEX(I$1:I1417,SUMPRODUCT(MAX((A$1:A1417=A1418)*(B$1:B1417=B1418)*ROW(A$1:A1417)))),IF(INDEX(I$1:I1417,SUMPRODUCT(MAX((A$1:A1417=A1418)*(B$1:B1417=B1418)*ROW(A$1:A1417))))="",C1418&amp;"",INDEX(I$1:I1417,SUMPRODUCT(MAX((A$1:A1417=A1418)*(B$1:B1417=B1418)*ROW(A$1:A1417))))&amp;"; "&amp;C1418))))</f>
        <v/>
      </c>
      <c r="J1418" s="18" t="str">
        <f aca="false">IF(A1418="","",A1418&amp;"|"&amp;COUNTIF(A$2:A1418,A1418))</f>
        <v/>
      </c>
      <c r="K1418" s="18" t="n">
        <f aca="false">IF(OR(A1418="",B1418=""),0,IF(COUNTIFS(A$2:A1418,A1418,B$2:B1418,B1418)=1,1,0))</f>
        <v>0</v>
      </c>
    </row>
    <row r="1419" customFormat="false" ht="15" hidden="false" customHeight="false" outlineLevel="0" collapsed="false">
      <c r="A1419" s="15"/>
      <c r="B1419" s="15"/>
      <c r="C1419" s="15"/>
      <c r="D1419" s="15"/>
      <c r="F1419" s="18" t="str">
        <f aca="false">IF(B1419="","",IFERROR(INDEX(Materials!$B$2:$B$201,MATCH(B1419,Materials!$A$2:$A$201,0)),""))</f>
        <v/>
      </c>
      <c r="G1419" s="18" t="str">
        <f aca="true">IF(AND(A1419="",B1419=""),"",IF(A1419="","Missing product",IF(B1419="","Missing material",IF(COUNTIF(ProductList,A1419)=0,"Product not in Products list",IF(COUNTIF(MaterialList,B1419)=0,"Material not in Materials list","OK")))))</f>
        <v/>
      </c>
      <c r="H1419" s="18" t="str">
        <f aca="false">IF(F1419="Active",A1419&amp;"|"&amp;COUNTIFS(A$2:A1419,A1419,F$2:F1419,"Active"),"")</f>
        <v/>
      </c>
      <c r="I1419" s="18" t="str">
        <f aca="false">IF(B1419="","",IF(SUMPRODUCT(MAX((A$1:A1418=A1419)*(B$1:B1418=B1419)*ROW(A$1:A1418)))=0,C1419&amp;"",IF(C1419="",INDEX(I$1:I1418,SUMPRODUCT(MAX((A$1:A1418=A1419)*(B$1:B1418=B1419)*ROW(A$1:A1418)))),IF(INDEX(I$1:I1418,SUMPRODUCT(MAX((A$1:A1418=A1419)*(B$1:B1418=B1419)*ROW(A$1:A1418))))="",C1419&amp;"",INDEX(I$1:I1418,SUMPRODUCT(MAX((A$1:A1418=A1419)*(B$1:B1418=B1419)*ROW(A$1:A1418))))&amp;"; "&amp;C1419))))</f>
        <v/>
      </c>
      <c r="J1419" s="18" t="str">
        <f aca="false">IF(A1419="","",A1419&amp;"|"&amp;COUNTIF(A$2:A1419,A1419))</f>
        <v/>
      </c>
      <c r="K1419" s="18" t="n">
        <f aca="false">IF(OR(A1419="",B1419=""),0,IF(COUNTIFS(A$2:A1419,A1419,B$2:B1419,B1419)=1,1,0))</f>
        <v>0</v>
      </c>
    </row>
    <row r="1420" customFormat="false" ht="15" hidden="false" customHeight="false" outlineLevel="0" collapsed="false">
      <c r="A1420" s="15"/>
      <c r="B1420" s="15"/>
      <c r="C1420" s="15"/>
      <c r="D1420" s="15"/>
      <c r="F1420" s="18" t="str">
        <f aca="false">IF(B1420="","",IFERROR(INDEX(Materials!$B$2:$B$201,MATCH(B1420,Materials!$A$2:$A$201,0)),""))</f>
        <v/>
      </c>
      <c r="G1420" s="18" t="str">
        <f aca="true">IF(AND(A1420="",B1420=""),"",IF(A1420="","Missing product",IF(B1420="","Missing material",IF(COUNTIF(ProductList,A1420)=0,"Product not in Products list",IF(COUNTIF(MaterialList,B1420)=0,"Material not in Materials list","OK")))))</f>
        <v/>
      </c>
      <c r="H1420" s="18" t="str">
        <f aca="false">IF(F1420="Active",A1420&amp;"|"&amp;COUNTIFS(A$2:A1420,A1420,F$2:F1420,"Active"),"")</f>
        <v/>
      </c>
      <c r="I1420" s="18" t="str">
        <f aca="false">IF(B1420="","",IF(SUMPRODUCT(MAX((A$1:A1419=A1420)*(B$1:B1419=B1420)*ROW(A$1:A1419)))=0,C1420&amp;"",IF(C1420="",INDEX(I$1:I1419,SUMPRODUCT(MAX((A$1:A1419=A1420)*(B$1:B1419=B1420)*ROW(A$1:A1419)))),IF(INDEX(I$1:I1419,SUMPRODUCT(MAX((A$1:A1419=A1420)*(B$1:B1419=B1420)*ROW(A$1:A1419))))="",C1420&amp;"",INDEX(I$1:I1419,SUMPRODUCT(MAX((A$1:A1419=A1420)*(B$1:B1419=B1420)*ROW(A$1:A1419))))&amp;"; "&amp;C1420))))</f>
        <v/>
      </c>
      <c r="J1420" s="18" t="str">
        <f aca="false">IF(A1420="","",A1420&amp;"|"&amp;COUNTIF(A$2:A1420,A1420))</f>
        <v/>
      </c>
      <c r="K1420" s="18" t="n">
        <f aca="false">IF(OR(A1420="",B1420=""),0,IF(COUNTIFS(A$2:A1420,A1420,B$2:B1420,B1420)=1,1,0))</f>
        <v>0</v>
      </c>
    </row>
    <row r="1421" customFormat="false" ht="15" hidden="false" customHeight="false" outlineLevel="0" collapsed="false">
      <c r="A1421" s="15"/>
      <c r="B1421" s="15"/>
      <c r="C1421" s="15"/>
      <c r="D1421" s="15"/>
      <c r="F1421" s="18" t="str">
        <f aca="false">IF(B1421="","",IFERROR(INDEX(Materials!$B$2:$B$201,MATCH(B1421,Materials!$A$2:$A$201,0)),""))</f>
        <v/>
      </c>
      <c r="G1421" s="18" t="str">
        <f aca="true">IF(AND(A1421="",B1421=""),"",IF(A1421="","Missing product",IF(B1421="","Missing material",IF(COUNTIF(ProductList,A1421)=0,"Product not in Products list",IF(COUNTIF(MaterialList,B1421)=0,"Material not in Materials list","OK")))))</f>
        <v/>
      </c>
      <c r="H1421" s="18" t="str">
        <f aca="false">IF(F1421="Active",A1421&amp;"|"&amp;COUNTIFS(A$2:A1421,A1421,F$2:F1421,"Active"),"")</f>
        <v/>
      </c>
      <c r="I1421" s="18" t="str">
        <f aca="false">IF(B1421="","",IF(SUMPRODUCT(MAX((A$1:A1420=A1421)*(B$1:B1420=B1421)*ROW(A$1:A1420)))=0,C1421&amp;"",IF(C1421="",INDEX(I$1:I1420,SUMPRODUCT(MAX((A$1:A1420=A1421)*(B$1:B1420=B1421)*ROW(A$1:A1420)))),IF(INDEX(I$1:I1420,SUMPRODUCT(MAX((A$1:A1420=A1421)*(B$1:B1420=B1421)*ROW(A$1:A1420))))="",C1421&amp;"",INDEX(I$1:I1420,SUMPRODUCT(MAX((A$1:A1420=A1421)*(B$1:B1420=B1421)*ROW(A$1:A1420))))&amp;"; "&amp;C1421))))</f>
        <v/>
      </c>
      <c r="J1421" s="18" t="str">
        <f aca="false">IF(A1421="","",A1421&amp;"|"&amp;COUNTIF(A$2:A1421,A1421))</f>
        <v/>
      </c>
      <c r="K1421" s="18" t="n">
        <f aca="false">IF(OR(A1421="",B1421=""),0,IF(COUNTIFS(A$2:A1421,A1421,B$2:B1421,B1421)=1,1,0))</f>
        <v>0</v>
      </c>
    </row>
    <row r="1422" customFormat="false" ht="15" hidden="false" customHeight="false" outlineLevel="0" collapsed="false">
      <c r="A1422" s="15"/>
      <c r="B1422" s="15"/>
      <c r="C1422" s="15"/>
      <c r="D1422" s="15"/>
      <c r="F1422" s="18" t="str">
        <f aca="false">IF(B1422="","",IFERROR(INDEX(Materials!$B$2:$B$201,MATCH(B1422,Materials!$A$2:$A$201,0)),""))</f>
        <v/>
      </c>
      <c r="G1422" s="18" t="str">
        <f aca="true">IF(AND(A1422="",B1422=""),"",IF(A1422="","Missing product",IF(B1422="","Missing material",IF(COUNTIF(ProductList,A1422)=0,"Product not in Products list",IF(COUNTIF(MaterialList,B1422)=0,"Material not in Materials list","OK")))))</f>
        <v/>
      </c>
      <c r="H1422" s="18" t="str">
        <f aca="false">IF(F1422="Active",A1422&amp;"|"&amp;COUNTIFS(A$2:A1422,A1422,F$2:F1422,"Active"),"")</f>
        <v/>
      </c>
      <c r="I1422" s="18" t="str">
        <f aca="false">IF(B1422="","",IF(SUMPRODUCT(MAX((A$1:A1421=A1422)*(B$1:B1421=B1422)*ROW(A$1:A1421)))=0,C1422&amp;"",IF(C1422="",INDEX(I$1:I1421,SUMPRODUCT(MAX((A$1:A1421=A1422)*(B$1:B1421=B1422)*ROW(A$1:A1421)))),IF(INDEX(I$1:I1421,SUMPRODUCT(MAX((A$1:A1421=A1422)*(B$1:B1421=B1422)*ROW(A$1:A1421))))="",C1422&amp;"",INDEX(I$1:I1421,SUMPRODUCT(MAX((A$1:A1421=A1422)*(B$1:B1421=B1422)*ROW(A$1:A1421))))&amp;"; "&amp;C1422))))</f>
        <v/>
      </c>
      <c r="J1422" s="18" t="str">
        <f aca="false">IF(A1422="","",A1422&amp;"|"&amp;COUNTIF(A$2:A1422,A1422))</f>
        <v/>
      </c>
      <c r="K1422" s="18" t="n">
        <f aca="false">IF(OR(A1422="",B1422=""),0,IF(COUNTIFS(A$2:A1422,A1422,B$2:B1422,B1422)=1,1,0))</f>
        <v>0</v>
      </c>
    </row>
    <row r="1423" customFormat="false" ht="15" hidden="false" customHeight="false" outlineLevel="0" collapsed="false">
      <c r="A1423" s="15"/>
      <c r="B1423" s="15"/>
      <c r="C1423" s="15"/>
      <c r="D1423" s="15"/>
      <c r="F1423" s="18" t="str">
        <f aca="false">IF(B1423="","",IFERROR(INDEX(Materials!$B$2:$B$201,MATCH(B1423,Materials!$A$2:$A$201,0)),""))</f>
        <v/>
      </c>
      <c r="G1423" s="18" t="str">
        <f aca="true">IF(AND(A1423="",B1423=""),"",IF(A1423="","Missing product",IF(B1423="","Missing material",IF(COUNTIF(ProductList,A1423)=0,"Product not in Products list",IF(COUNTIF(MaterialList,B1423)=0,"Material not in Materials list","OK")))))</f>
        <v/>
      </c>
      <c r="H1423" s="18" t="str">
        <f aca="false">IF(F1423="Active",A1423&amp;"|"&amp;COUNTIFS(A$2:A1423,A1423,F$2:F1423,"Active"),"")</f>
        <v/>
      </c>
      <c r="I1423" s="18" t="str">
        <f aca="false">IF(B1423="","",IF(SUMPRODUCT(MAX((A$1:A1422=A1423)*(B$1:B1422=B1423)*ROW(A$1:A1422)))=0,C1423&amp;"",IF(C1423="",INDEX(I$1:I1422,SUMPRODUCT(MAX((A$1:A1422=A1423)*(B$1:B1422=B1423)*ROW(A$1:A1422)))),IF(INDEX(I$1:I1422,SUMPRODUCT(MAX((A$1:A1422=A1423)*(B$1:B1422=B1423)*ROW(A$1:A1422))))="",C1423&amp;"",INDEX(I$1:I1422,SUMPRODUCT(MAX((A$1:A1422=A1423)*(B$1:B1422=B1423)*ROW(A$1:A1422))))&amp;"; "&amp;C1423))))</f>
        <v/>
      </c>
      <c r="J1423" s="18" t="str">
        <f aca="false">IF(A1423="","",A1423&amp;"|"&amp;COUNTIF(A$2:A1423,A1423))</f>
        <v/>
      </c>
      <c r="K1423" s="18" t="n">
        <f aca="false">IF(OR(A1423="",B1423=""),0,IF(COUNTIFS(A$2:A1423,A1423,B$2:B1423,B1423)=1,1,0))</f>
        <v>0</v>
      </c>
    </row>
    <row r="1424" customFormat="false" ht="15" hidden="false" customHeight="false" outlineLevel="0" collapsed="false">
      <c r="A1424" s="15"/>
      <c r="B1424" s="15"/>
      <c r="C1424" s="15"/>
      <c r="D1424" s="15"/>
      <c r="F1424" s="18" t="str">
        <f aca="false">IF(B1424="","",IFERROR(INDEX(Materials!$B$2:$B$201,MATCH(B1424,Materials!$A$2:$A$201,0)),""))</f>
        <v/>
      </c>
      <c r="G1424" s="18" t="str">
        <f aca="true">IF(AND(A1424="",B1424=""),"",IF(A1424="","Missing product",IF(B1424="","Missing material",IF(COUNTIF(ProductList,A1424)=0,"Product not in Products list",IF(COUNTIF(MaterialList,B1424)=0,"Material not in Materials list","OK")))))</f>
        <v/>
      </c>
      <c r="H1424" s="18" t="str">
        <f aca="false">IF(F1424="Active",A1424&amp;"|"&amp;COUNTIFS(A$2:A1424,A1424,F$2:F1424,"Active"),"")</f>
        <v/>
      </c>
      <c r="I1424" s="18" t="str">
        <f aca="false">IF(B1424="","",IF(SUMPRODUCT(MAX((A$1:A1423=A1424)*(B$1:B1423=B1424)*ROW(A$1:A1423)))=0,C1424&amp;"",IF(C1424="",INDEX(I$1:I1423,SUMPRODUCT(MAX((A$1:A1423=A1424)*(B$1:B1423=B1424)*ROW(A$1:A1423)))),IF(INDEX(I$1:I1423,SUMPRODUCT(MAX((A$1:A1423=A1424)*(B$1:B1423=B1424)*ROW(A$1:A1423))))="",C1424&amp;"",INDEX(I$1:I1423,SUMPRODUCT(MAX((A$1:A1423=A1424)*(B$1:B1423=B1424)*ROW(A$1:A1423))))&amp;"; "&amp;C1424))))</f>
        <v/>
      </c>
      <c r="J1424" s="18" t="str">
        <f aca="false">IF(A1424="","",A1424&amp;"|"&amp;COUNTIF(A$2:A1424,A1424))</f>
        <v/>
      </c>
      <c r="K1424" s="18" t="n">
        <f aca="false">IF(OR(A1424="",B1424=""),0,IF(COUNTIFS(A$2:A1424,A1424,B$2:B1424,B1424)=1,1,0))</f>
        <v>0</v>
      </c>
    </row>
    <row r="1425" customFormat="false" ht="15" hidden="false" customHeight="false" outlineLevel="0" collapsed="false">
      <c r="A1425" s="15"/>
      <c r="B1425" s="15"/>
      <c r="C1425" s="15"/>
      <c r="D1425" s="15"/>
      <c r="F1425" s="18" t="str">
        <f aca="false">IF(B1425="","",IFERROR(INDEX(Materials!$B$2:$B$201,MATCH(B1425,Materials!$A$2:$A$201,0)),""))</f>
        <v/>
      </c>
      <c r="G1425" s="18" t="str">
        <f aca="true">IF(AND(A1425="",B1425=""),"",IF(A1425="","Missing product",IF(B1425="","Missing material",IF(COUNTIF(ProductList,A1425)=0,"Product not in Products list",IF(COUNTIF(MaterialList,B1425)=0,"Material not in Materials list","OK")))))</f>
        <v/>
      </c>
      <c r="H1425" s="18" t="str">
        <f aca="false">IF(F1425="Active",A1425&amp;"|"&amp;COUNTIFS(A$2:A1425,A1425,F$2:F1425,"Active"),"")</f>
        <v/>
      </c>
      <c r="I1425" s="18" t="str">
        <f aca="false">IF(B1425="","",IF(SUMPRODUCT(MAX((A$1:A1424=A1425)*(B$1:B1424=B1425)*ROW(A$1:A1424)))=0,C1425&amp;"",IF(C1425="",INDEX(I$1:I1424,SUMPRODUCT(MAX((A$1:A1424=A1425)*(B$1:B1424=B1425)*ROW(A$1:A1424)))),IF(INDEX(I$1:I1424,SUMPRODUCT(MAX((A$1:A1424=A1425)*(B$1:B1424=B1425)*ROW(A$1:A1424))))="",C1425&amp;"",INDEX(I$1:I1424,SUMPRODUCT(MAX((A$1:A1424=A1425)*(B$1:B1424=B1425)*ROW(A$1:A1424))))&amp;"; "&amp;C1425))))</f>
        <v/>
      </c>
      <c r="J1425" s="18" t="str">
        <f aca="false">IF(A1425="","",A1425&amp;"|"&amp;COUNTIF(A$2:A1425,A1425))</f>
        <v/>
      </c>
      <c r="K1425" s="18" t="n">
        <f aca="false">IF(OR(A1425="",B1425=""),0,IF(COUNTIFS(A$2:A1425,A1425,B$2:B1425,B1425)=1,1,0))</f>
        <v>0</v>
      </c>
    </row>
    <row r="1426" customFormat="false" ht="15" hidden="false" customHeight="false" outlineLevel="0" collapsed="false">
      <c r="A1426" s="15"/>
      <c r="B1426" s="15"/>
      <c r="C1426" s="15"/>
      <c r="D1426" s="15"/>
      <c r="F1426" s="18" t="str">
        <f aca="false">IF(B1426="","",IFERROR(INDEX(Materials!$B$2:$B$201,MATCH(B1426,Materials!$A$2:$A$201,0)),""))</f>
        <v/>
      </c>
      <c r="G1426" s="18" t="str">
        <f aca="true">IF(AND(A1426="",B1426=""),"",IF(A1426="","Missing product",IF(B1426="","Missing material",IF(COUNTIF(ProductList,A1426)=0,"Product not in Products list",IF(COUNTIF(MaterialList,B1426)=0,"Material not in Materials list","OK")))))</f>
        <v/>
      </c>
      <c r="H1426" s="18" t="str">
        <f aca="false">IF(F1426="Active",A1426&amp;"|"&amp;COUNTIFS(A$2:A1426,A1426,F$2:F1426,"Active"),"")</f>
        <v/>
      </c>
      <c r="I1426" s="18" t="str">
        <f aca="false">IF(B1426="","",IF(SUMPRODUCT(MAX((A$1:A1425=A1426)*(B$1:B1425=B1426)*ROW(A$1:A1425)))=0,C1426&amp;"",IF(C1426="",INDEX(I$1:I1425,SUMPRODUCT(MAX((A$1:A1425=A1426)*(B$1:B1425=B1426)*ROW(A$1:A1425)))),IF(INDEX(I$1:I1425,SUMPRODUCT(MAX((A$1:A1425=A1426)*(B$1:B1425=B1426)*ROW(A$1:A1425))))="",C1426&amp;"",INDEX(I$1:I1425,SUMPRODUCT(MAX((A$1:A1425=A1426)*(B$1:B1425=B1426)*ROW(A$1:A1425))))&amp;"; "&amp;C1426))))</f>
        <v/>
      </c>
      <c r="J1426" s="18" t="str">
        <f aca="false">IF(A1426="","",A1426&amp;"|"&amp;COUNTIF(A$2:A1426,A1426))</f>
        <v/>
      </c>
      <c r="K1426" s="18" t="n">
        <f aca="false">IF(OR(A1426="",B1426=""),0,IF(COUNTIFS(A$2:A1426,A1426,B$2:B1426,B1426)=1,1,0))</f>
        <v>0</v>
      </c>
    </row>
    <row r="1427" customFormat="false" ht="15" hidden="false" customHeight="false" outlineLevel="0" collapsed="false">
      <c r="A1427" s="15"/>
      <c r="B1427" s="15"/>
      <c r="C1427" s="15"/>
      <c r="D1427" s="15"/>
      <c r="F1427" s="18" t="str">
        <f aca="false">IF(B1427="","",IFERROR(INDEX(Materials!$B$2:$B$201,MATCH(B1427,Materials!$A$2:$A$201,0)),""))</f>
        <v/>
      </c>
      <c r="G1427" s="18" t="str">
        <f aca="true">IF(AND(A1427="",B1427=""),"",IF(A1427="","Missing product",IF(B1427="","Missing material",IF(COUNTIF(ProductList,A1427)=0,"Product not in Products list",IF(COUNTIF(MaterialList,B1427)=0,"Material not in Materials list","OK")))))</f>
        <v/>
      </c>
      <c r="H1427" s="18" t="str">
        <f aca="false">IF(F1427="Active",A1427&amp;"|"&amp;COUNTIFS(A$2:A1427,A1427,F$2:F1427,"Active"),"")</f>
        <v/>
      </c>
      <c r="I1427" s="18" t="str">
        <f aca="false">IF(B1427="","",IF(SUMPRODUCT(MAX((A$1:A1426=A1427)*(B$1:B1426=B1427)*ROW(A$1:A1426)))=0,C1427&amp;"",IF(C1427="",INDEX(I$1:I1426,SUMPRODUCT(MAX((A$1:A1426=A1427)*(B$1:B1426=B1427)*ROW(A$1:A1426)))),IF(INDEX(I$1:I1426,SUMPRODUCT(MAX((A$1:A1426=A1427)*(B$1:B1426=B1427)*ROW(A$1:A1426))))="",C1427&amp;"",INDEX(I$1:I1426,SUMPRODUCT(MAX((A$1:A1426=A1427)*(B$1:B1426=B1427)*ROW(A$1:A1426))))&amp;"; "&amp;C1427))))</f>
        <v/>
      </c>
      <c r="J1427" s="18" t="str">
        <f aca="false">IF(A1427="","",A1427&amp;"|"&amp;COUNTIF(A$2:A1427,A1427))</f>
        <v/>
      </c>
      <c r="K1427" s="18" t="n">
        <f aca="false">IF(OR(A1427="",B1427=""),0,IF(COUNTIFS(A$2:A1427,A1427,B$2:B1427,B1427)=1,1,0))</f>
        <v>0</v>
      </c>
    </row>
    <row r="1428" customFormat="false" ht="15" hidden="false" customHeight="false" outlineLevel="0" collapsed="false">
      <c r="A1428" s="15"/>
      <c r="B1428" s="15"/>
      <c r="C1428" s="15"/>
      <c r="D1428" s="15"/>
      <c r="F1428" s="18" t="str">
        <f aca="false">IF(B1428="","",IFERROR(INDEX(Materials!$B$2:$B$201,MATCH(B1428,Materials!$A$2:$A$201,0)),""))</f>
        <v/>
      </c>
      <c r="G1428" s="18" t="str">
        <f aca="true">IF(AND(A1428="",B1428=""),"",IF(A1428="","Missing product",IF(B1428="","Missing material",IF(COUNTIF(ProductList,A1428)=0,"Product not in Products list",IF(COUNTIF(MaterialList,B1428)=0,"Material not in Materials list","OK")))))</f>
        <v/>
      </c>
      <c r="H1428" s="18" t="str">
        <f aca="false">IF(F1428="Active",A1428&amp;"|"&amp;COUNTIFS(A$2:A1428,A1428,F$2:F1428,"Active"),"")</f>
        <v/>
      </c>
      <c r="I1428" s="18" t="str">
        <f aca="false">IF(B1428="","",IF(SUMPRODUCT(MAX((A$1:A1427=A1428)*(B$1:B1427=B1428)*ROW(A$1:A1427)))=0,C1428&amp;"",IF(C1428="",INDEX(I$1:I1427,SUMPRODUCT(MAX((A$1:A1427=A1428)*(B$1:B1427=B1428)*ROW(A$1:A1427)))),IF(INDEX(I$1:I1427,SUMPRODUCT(MAX((A$1:A1427=A1428)*(B$1:B1427=B1428)*ROW(A$1:A1427))))="",C1428&amp;"",INDEX(I$1:I1427,SUMPRODUCT(MAX((A$1:A1427=A1428)*(B$1:B1427=B1428)*ROW(A$1:A1427))))&amp;"; "&amp;C1428))))</f>
        <v/>
      </c>
      <c r="J1428" s="18" t="str">
        <f aca="false">IF(A1428="","",A1428&amp;"|"&amp;COUNTIF(A$2:A1428,A1428))</f>
        <v/>
      </c>
      <c r="K1428" s="18" t="n">
        <f aca="false">IF(OR(A1428="",B1428=""),0,IF(COUNTIFS(A$2:A1428,A1428,B$2:B1428,B1428)=1,1,0))</f>
        <v>0</v>
      </c>
    </row>
    <row r="1429" customFormat="false" ht="15" hidden="false" customHeight="false" outlineLevel="0" collapsed="false">
      <c r="A1429" s="15"/>
      <c r="B1429" s="15"/>
      <c r="C1429" s="15"/>
      <c r="D1429" s="15"/>
      <c r="F1429" s="18" t="str">
        <f aca="false">IF(B1429="","",IFERROR(INDEX(Materials!$B$2:$B$201,MATCH(B1429,Materials!$A$2:$A$201,0)),""))</f>
        <v/>
      </c>
      <c r="G1429" s="18" t="str">
        <f aca="true">IF(AND(A1429="",B1429=""),"",IF(A1429="","Missing product",IF(B1429="","Missing material",IF(COUNTIF(ProductList,A1429)=0,"Product not in Products list",IF(COUNTIF(MaterialList,B1429)=0,"Material not in Materials list","OK")))))</f>
        <v/>
      </c>
      <c r="H1429" s="18" t="str">
        <f aca="false">IF(F1429="Active",A1429&amp;"|"&amp;COUNTIFS(A$2:A1429,A1429,F$2:F1429,"Active"),"")</f>
        <v/>
      </c>
      <c r="I1429" s="18" t="str">
        <f aca="false">IF(B1429="","",IF(SUMPRODUCT(MAX((A$1:A1428=A1429)*(B$1:B1428=B1429)*ROW(A$1:A1428)))=0,C1429&amp;"",IF(C1429="",INDEX(I$1:I1428,SUMPRODUCT(MAX((A$1:A1428=A1429)*(B$1:B1428=B1429)*ROW(A$1:A1428)))),IF(INDEX(I$1:I1428,SUMPRODUCT(MAX((A$1:A1428=A1429)*(B$1:B1428=B1429)*ROW(A$1:A1428))))="",C1429&amp;"",INDEX(I$1:I1428,SUMPRODUCT(MAX((A$1:A1428=A1429)*(B$1:B1428=B1429)*ROW(A$1:A1428))))&amp;"; "&amp;C1429))))</f>
        <v/>
      </c>
      <c r="J1429" s="18" t="str">
        <f aca="false">IF(A1429="","",A1429&amp;"|"&amp;COUNTIF(A$2:A1429,A1429))</f>
        <v/>
      </c>
      <c r="K1429" s="18" t="n">
        <f aca="false">IF(OR(A1429="",B1429=""),0,IF(COUNTIFS(A$2:A1429,A1429,B$2:B1429,B1429)=1,1,0))</f>
        <v>0</v>
      </c>
    </row>
    <row r="1430" customFormat="false" ht="15" hidden="false" customHeight="false" outlineLevel="0" collapsed="false">
      <c r="A1430" s="15"/>
      <c r="B1430" s="15"/>
      <c r="C1430" s="15"/>
      <c r="D1430" s="15"/>
      <c r="F1430" s="18" t="str">
        <f aca="false">IF(B1430="","",IFERROR(INDEX(Materials!$B$2:$B$201,MATCH(B1430,Materials!$A$2:$A$201,0)),""))</f>
        <v/>
      </c>
      <c r="G1430" s="18" t="str">
        <f aca="true">IF(AND(A1430="",B1430=""),"",IF(A1430="","Missing product",IF(B1430="","Missing material",IF(COUNTIF(ProductList,A1430)=0,"Product not in Products list",IF(COUNTIF(MaterialList,B1430)=0,"Material not in Materials list","OK")))))</f>
        <v/>
      </c>
      <c r="H1430" s="18" t="str">
        <f aca="false">IF(F1430="Active",A1430&amp;"|"&amp;COUNTIFS(A$2:A1430,A1430,F$2:F1430,"Active"),"")</f>
        <v/>
      </c>
      <c r="I1430" s="18" t="str">
        <f aca="false">IF(B1430="","",IF(SUMPRODUCT(MAX((A$1:A1429=A1430)*(B$1:B1429=B1430)*ROW(A$1:A1429)))=0,C1430&amp;"",IF(C1430="",INDEX(I$1:I1429,SUMPRODUCT(MAX((A$1:A1429=A1430)*(B$1:B1429=B1430)*ROW(A$1:A1429)))),IF(INDEX(I$1:I1429,SUMPRODUCT(MAX((A$1:A1429=A1430)*(B$1:B1429=B1430)*ROW(A$1:A1429))))="",C1430&amp;"",INDEX(I$1:I1429,SUMPRODUCT(MAX((A$1:A1429=A1430)*(B$1:B1429=B1430)*ROW(A$1:A1429))))&amp;"; "&amp;C1430))))</f>
        <v/>
      </c>
      <c r="J1430" s="18" t="str">
        <f aca="false">IF(A1430="","",A1430&amp;"|"&amp;COUNTIF(A$2:A1430,A1430))</f>
        <v/>
      </c>
      <c r="K1430" s="18" t="n">
        <f aca="false">IF(OR(A1430="",B1430=""),0,IF(COUNTIFS(A$2:A1430,A1430,B$2:B1430,B1430)=1,1,0))</f>
        <v>0</v>
      </c>
    </row>
    <row r="1431" customFormat="false" ht="15" hidden="false" customHeight="false" outlineLevel="0" collapsed="false">
      <c r="A1431" s="15"/>
      <c r="B1431" s="15"/>
      <c r="C1431" s="15"/>
      <c r="D1431" s="15"/>
      <c r="F1431" s="18" t="str">
        <f aca="false">IF(B1431="","",IFERROR(INDEX(Materials!$B$2:$B$201,MATCH(B1431,Materials!$A$2:$A$201,0)),""))</f>
        <v/>
      </c>
      <c r="G1431" s="18" t="str">
        <f aca="true">IF(AND(A1431="",B1431=""),"",IF(A1431="","Missing product",IF(B1431="","Missing material",IF(COUNTIF(ProductList,A1431)=0,"Product not in Products list",IF(COUNTIF(MaterialList,B1431)=0,"Material not in Materials list","OK")))))</f>
        <v/>
      </c>
      <c r="H1431" s="18" t="str">
        <f aca="false">IF(F1431="Active",A1431&amp;"|"&amp;COUNTIFS(A$2:A1431,A1431,F$2:F1431,"Active"),"")</f>
        <v/>
      </c>
      <c r="I1431" s="18" t="str">
        <f aca="false">IF(B1431="","",IF(SUMPRODUCT(MAX((A$1:A1430=A1431)*(B$1:B1430=B1431)*ROW(A$1:A1430)))=0,C1431&amp;"",IF(C1431="",INDEX(I$1:I1430,SUMPRODUCT(MAX((A$1:A1430=A1431)*(B$1:B1430=B1431)*ROW(A$1:A1430)))),IF(INDEX(I$1:I1430,SUMPRODUCT(MAX((A$1:A1430=A1431)*(B$1:B1430=B1431)*ROW(A$1:A1430))))="",C1431&amp;"",INDEX(I$1:I1430,SUMPRODUCT(MAX((A$1:A1430=A1431)*(B$1:B1430=B1431)*ROW(A$1:A1430))))&amp;"; "&amp;C1431))))</f>
        <v/>
      </c>
      <c r="J1431" s="18" t="str">
        <f aca="false">IF(A1431="","",A1431&amp;"|"&amp;COUNTIF(A$2:A1431,A1431))</f>
        <v/>
      </c>
      <c r="K1431" s="18" t="n">
        <f aca="false">IF(OR(A1431="",B1431=""),0,IF(COUNTIFS(A$2:A1431,A1431,B$2:B1431,B1431)=1,1,0))</f>
        <v>0</v>
      </c>
    </row>
    <row r="1432" customFormat="false" ht="15" hidden="false" customHeight="false" outlineLevel="0" collapsed="false">
      <c r="A1432" s="15"/>
      <c r="B1432" s="15"/>
      <c r="C1432" s="15"/>
      <c r="D1432" s="15"/>
      <c r="F1432" s="18" t="str">
        <f aca="false">IF(B1432="","",IFERROR(INDEX(Materials!$B$2:$B$201,MATCH(B1432,Materials!$A$2:$A$201,0)),""))</f>
        <v/>
      </c>
      <c r="G1432" s="18" t="str">
        <f aca="true">IF(AND(A1432="",B1432=""),"",IF(A1432="","Missing product",IF(B1432="","Missing material",IF(COUNTIF(ProductList,A1432)=0,"Product not in Products list",IF(COUNTIF(MaterialList,B1432)=0,"Material not in Materials list","OK")))))</f>
        <v/>
      </c>
      <c r="H1432" s="18" t="str">
        <f aca="false">IF(F1432="Active",A1432&amp;"|"&amp;COUNTIFS(A$2:A1432,A1432,F$2:F1432,"Active"),"")</f>
        <v/>
      </c>
      <c r="I1432" s="18" t="str">
        <f aca="false">IF(B1432="","",IF(SUMPRODUCT(MAX((A$1:A1431=A1432)*(B$1:B1431=B1432)*ROW(A$1:A1431)))=0,C1432&amp;"",IF(C1432="",INDEX(I$1:I1431,SUMPRODUCT(MAX((A$1:A1431=A1432)*(B$1:B1431=B1432)*ROW(A$1:A1431)))),IF(INDEX(I$1:I1431,SUMPRODUCT(MAX((A$1:A1431=A1432)*(B$1:B1431=B1432)*ROW(A$1:A1431))))="",C1432&amp;"",INDEX(I$1:I1431,SUMPRODUCT(MAX((A$1:A1431=A1432)*(B$1:B1431=B1432)*ROW(A$1:A1431))))&amp;"; "&amp;C1432))))</f>
        <v/>
      </c>
      <c r="J1432" s="18" t="str">
        <f aca="false">IF(A1432="","",A1432&amp;"|"&amp;COUNTIF(A$2:A1432,A1432))</f>
        <v/>
      </c>
      <c r="K1432" s="18" t="n">
        <f aca="false">IF(OR(A1432="",B1432=""),0,IF(COUNTIFS(A$2:A1432,A1432,B$2:B1432,B1432)=1,1,0))</f>
        <v>0</v>
      </c>
    </row>
    <row r="1433" customFormat="false" ht="15" hidden="false" customHeight="false" outlineLevel="0" collapsed="false">
      <c r="A1433" s="15"/>
      <c r="B1433" s="15"/>
      <c r="C1433" s="15"/>
      <c r="D1433" s="15"/>
      <c r="F1433" s="18" t="str">
        <f aca="false">IF(B1433="","",IFERROR(INDEX(Materials!$B$2:$B$201,MATCH(B1433,Materials!$A$2:$A$201,0)),""))</f>
        <v/>
      </c>
      <c r="G1433" s="18" t="str">
        <f aca="true">IF(AND(A1433="",B1433=""),"",IF(A1433="","Missing product",IF(B1433="","Missing material",IF(COUNTIF(ProductList,A1433)=0,"Product not in Products list",IF(COUNTIF(MaterialList,B1433)=0,"Material not in Materials list","OK")))))</f>
        <v/>
      </c>
      <c r="H1433" s="18" t="str">
        <f aca="false">IF(F1433="Active",A1433&amp;"|"&amp;COUNTIFS(A$2:A1433,A1433,F$2:F1433,"Active"),"")</f>
        <v/>
      </c>
      <c r="I1433" s="18" t="str">
        <f aca="false">IF(B1433="","",IF(SUMPRODUCT(MAX((A$1:A1432=A1433)*(B$1:B1432=B1433)*ROW(A$1:A1432)))=0,C1433&amp;"",IF(C1433="",INDEX(I$1:I1432,SUMPRODUCT(MAX((A$1:A1432=A1433)*(B$1:B1432=B1433)*ROW(A$1:A1432)))),IF(INDEX(I$1:I1432,SUMPRODUCT(MAX((A$1:A1432=A1433)*(B$1:B1432=B1433)*ROW(A$1:A1432))))="",C1433&amp;"",INDEX(I$1:I1432,SUMPRODUCT(MAX((A$1:A1432=A1433)*(B$1:B1432=B1433)*ROW(A$1:A1432))))&amp;"; "&amp;C1433))))</f>
        <v/>
      </c>
      <c r="J1433" s="18" t="str">
        <f aca="false">IF(A1433="","",A1433&amp;"|"&amp;COUNTIF(A$2:A1433,A1433))</f>
        <v/>
      </c>
      <c r="K1433" s="18" t="n">
        <f aca="false">IF(OR(A1433="",B1433=""),0,IF(COUNTIFS(A$2:A1433,A1433,B$2:B1433,B1433)=1,1,0))</f>
        <v>0</v>
      </c>
    </row>
    <row r="1434" customFormat="false" ht="15" hidden="false" customHeight="false" outlineLevel="0" collapsed="false">
      <c r="A1434" s="15"/>
      <c r="B1434" s="15"/>
      <c r="C1434" s="15"/>
      <c r="D1434" s="15"/>
      <c r="F1434" s="18" t="str">
        <f aca="false">IF(B1434="","",IFERROR(INDEX(Materials!$B$2:$B$201,MATCH(B1434,Materials!$A$2:$A$201,0)),""))</f>
        <v/>
      </c>
      <c r="G1434" s="18" t="str">
        <f aca="true">IF(AND(A1434="",B1434=""),"",IF(A1434="","Missing product",IF(B1434="","Missing material",IF(COUNTIF(ProductList,A1434)=0,"Product not in Products list",IF(COUNTIF(MaterialList,B1434)=0,"Material not in Materials list","OK")))))</f>
        <v/>
      </c>
      <c r="H1434" s="18" t="str">
        <f aca="false">IF(F1434="Active",A1434&amp;"|"&amp;COUNTIFS(A$2:A1434,A1434,F$2:F1434,"Active"),"")</f>
        <v/>
      </c>
      <c r="I1434" s="18" t="str">
        <f aca="false">IF(B1434="","",IF(SUMPRODUCT(MAX((A$1:A1433=A1434)*(B$1:B1433=B1434)*ROW(A$1:A1433)))=0,C1434&amp;"",IF(C1434="",INDEX(I$1:I1433,SUMPRODUCT(MAX((A$1:A1433=A1434)*(B$1:B1433=B1434)*ROW(A$1:A1433)))),IF(INDEX(I$1:I1433,SUMPRODUCT(MAX((A$1:A1433=A1434)*(B$1:B1433=B1434)*ROW(A$1:A1433))))="",C1434&amp;"",INDEX(I$1:I1433,SUMPRODUCT(MAX((A$1:A1433=A1434)*(B$1:B1433=B1434)*ROW(A$1:A1433))))&amp;"; "&amp;C1434))))</f>
        <v/>
      </c>
      <c r="J1434" s="18" t="str">
        <f aca="false">IF(A1434="","",A1434&amp;"|"&amp;COUNTIF(A$2:A1434,A1434))</f>
        <v/>
      </c>
      <c r="K1434" s="18" t="n">
        <f aca="false">IF(OR(A1434="",B1434=""),0,IF(COUNTIFS(A$2:A1434,A1434,B$2:B1434,B1434)=1,1,0))</f>
        <v>0</v>
      </c>
    </row>
    <row r="1435" customFormat="false" ht="15" hidden="false" customHeight="false" outlineLevel="0" collapsed="false">
      <c r="A1435" s="15"/>
      <c r="B1435" s="15"/>
      <c r="C1435" s="15"/>
      <c r="D1435" s="15"/>
      <c r="F1435" s="18" t="str">
        <f aca="false">IF(B1435="","",IFERROR(INDEX(Materials!$B$2:$B$201,MATCH(B1435,Materials!$A$2:$A$201,0)),""))</f>
        <v/>
      </c>
      <c r="G1435" s="18" t="str">
        <f aca="true">IF(AND(A1435="",B1435=""),"",IF(A1435="","Missing product",IF(B1435="","Missing material",IF(COUNTIF(ProductList,A1435)=0,"Product not in Products list",IF(COUNTIF(MaterialList,B1435)=0,"Material not in Materials list","OK")))))</f>
        <v/>
      </c>
      <c r="H1435" s="18" t="str">
        <f aca="false">IF(F1435="Active",A1435&amp;"|"&amp;COUNTIFS(A$2:A1435,A1435,F$2:F1435,"Active"),"")</f>
        <v/>
      </c>
      <c r="I1435" s="18" t="str">
        <f aca="false">IF(B1435="","",IF(SUMPRODUCT(MAX((A$1:A1434=A1435)*(B$1:B1434=B1435)*ROW(A$1:A1434)))=0,C1435&amp;"",IF(C1435="",INDEX(I$1:I1434,SUMPRODUCT(MAX((A$1:A1434=A1435)*(B$1:B1434=B1435)*ROW(A$1:A1434)))),IF(INDEX(I$1:I1434,SUMPRODUCT(MAX((A$1:A1434=A1435)*(B$1:B1434=B1435)*ROW(A$1:A1434))))="",C1435&amp;"",INDEX(I$1:I1434,SUMPRODUCT(MAX((A$1:A1434=A1435)*(B$1:B1434=B1435)*ROW(A$1:A1434))))&amp;"; "&amp;C1435))))</f>
        <v/>
      </c>
      <c r="J1435" s="18" t="str">
        <f aca="false">IF(A1435="","",A1435&amp;"|"&amp;COUNTIF(A$2:A1435,A1435))</f>
        <v/>
      </c>
      <c r="K1435" s="18" t="n">
        <f aca="false">IF(OR(A1435="",B1435=""),0,IF(COUNTIFS(A$2:A1435,A1435,B$2:B1435,B1435)=1,1,0))</f>
        <v>0</v>
      </c>
    </row>
    <row r="1436" customFormat="false" ht="15" hidden="false" customHeight="false" outlineLevel="0" collapsed="false">
      <c r="A1436" s="15"/>
      <c r="B1436" s="15"/>
      <c r="C1436" s="15"/>
      <c r="D1436" s="15"/>
      <c r="F1436" s="18" t="str">
        <f aca="false">IF(B1436="","",IFERROR(INDEX(Materials!$B$2:$B$201,MATCH(B1436,Materials!$A$2:$A$201,0)),""))</f>
        <v/>
      </c>
      <c r="G1436" s="18" t="str">
        <f aca="true">IF(AND(A1436="",B1436=""),"",IF(A1436="","Missing product",IF(B1436="","Missing material",IF(COUNTIF(ProductList,A1436)=0,"Product not in Products list",IF(COUNTIF(MaterialList,B1436)=0,"Material not in Materials list","OK")))))</f>
        <v/>
      </c>
      <c r="H1436" s="18" t="str">
        <f aca="false">IF(F1436="Active",A1436&amp;"|"&amp;COUNTIFS(A$2:A1436,A1436,F$2:F1436,"Active"),"")</f>
        <v/>
      </c>
      <c r="I1436" s="18" t="str">
        <f aca="false">IF(B1436="","",IF(SUMPRODUCT(MAX((A$1:A1435=A1436)*(B$1:B1435=B1436)*ROW(A$1:A1435)))=0,C1436&amp;"",IF(C1436="",INDEX(I$1:I1435,SUMPRODUCT(MAX((A$1:A1435=A1436)*(B$1:B1435=B1436)*ROW(A$1:A1435)))),IF(INDEX(I$1:I1435,SUMPRODUCT(MAX((A$1:A1435=A1436)*(B$1:B1435=B1436)*ROW(A$1:A1435))))="",C1436&amp;"",INDEX(I$1:I1435,SUMPRODUCT(MAX((A$1:A1435=A1436)*(B$1:B1435=B1436)*ROW(A$1:A1435))))&amp;"; "&amp;C1436))))</f>
        <v/>
      </c>
      <c r="J1436" s="18" t="str">
        <f aca="false">IF(A1436="","",A1436&amp;"|"&amp;COUNTIF(A$2:A1436,A1436))</f>
        <v/>
      </c>
      <c r="K1436" s="18" t="n">
        <f aca="false">IF(OR(A1436="",B1436=""),0,IF(COUNTIFS(A$2:A1436,A1436,B$2:B1436,B1436)=1,1,0))</f>
        <v>0</v>
      </c>
    </row>
    <row r="1437" customFormat="false" ht="15" hidden="false" customHeight="false" outlineLevel="0" collapsed="false">
      <c r="A1437" s="15"/>
      <c r="B1437" s="15"/>
      <c r="C1437" s="15"/>
      <c r="D1437" s="15"/>
      <c r="F1437" s="18" t="str">
        <f aca="false">IF(B1437="","",IFERROR(INDEX(Materials!$B$2:$B$201,MATCH(B1437,Materials!$A$2:$A$201,0)),""))</f>
        <v/>
      </c>
      <c r="G1437" s="18" t="str">
        <f aca="true">IF(AND(A1437="",B1437=""),"",IF(A1437="","Missing product",IF(B1437="","Missing material",IF(COUNTIF(ProductList,A1437)=0,"Product not in Products list",IF(COUNTIF(MaterialList,B1437)=0,"Material not in Materials list","OK")))))</f>
        <v/>
      </c>
      <c r="H1437" s="18" t="str">
        <f aca="false">IF(F1437="Active",A1437&amp;"|"&amp;COUNTIFS(A$2:A1437,A1437,F$2:F1437,"Active"),"")</f>
        <v/>
      </c>
      <c r="I1437" s="18" t="str">
        <f aca="false">IF(B1437="","",IF(SUMPRODUCT(MAX((A$1:A1436=A1437)*(B$1:B1436=B1437)*ROW(A$1:A1436)))=0,C1437&amp;"",IF(C1437="",INDEX(I$1:I1436,SUMPRODUCT(MAX((A$1:A1436=A1437)*(B$1:B1436=B1437)*ROW(A$1:A1436)))),IF(INDEX(I$1:I1436,SUMPRODUCT(MAX((A$1:A1436=A1437)*(B$1:B1436=B1437)*ROW(A$1:A1436))))="",C1437&amp;"",INDEX(I$1:I1436,SUMPRODUCT(MAX((A$1:A1436=A1437)*(B$1:B1436=B1437)*ROW(A$1:A1436))))&amp;"; "&amp;C1437))))</f>
        <v/>
      </c>
      <c r="J1437" s="18" t="str">
        <f aca="false">IF(A1437="","",A1437&amp;"|"&amp;COUNTIF(A$2:A1437,A1437))</f>
        <v/>
      </c>
      <c r="K1437" s="18" t="n">
        <f aca="false">IF(OR(A1437="",B1437=""),0,IF(COUNTIFS(A$2:A1437,A1437,B$2:B1437,B1437)=1,1,0))</f>
        <v>0</v>
      </c>
    </row>
    <row r="1438" customFormat="false" ht="15" hidden="false" customHeight="false" outlineLevel="0" collapsed="false">
      <c r="A1438" s="15"/>
      <c r="B1438" s="15"/>
      <c r="C1438" s="15"/>
      <c r="D1438" s="15"/>
      <c r="F1438" s="18" t="str">
        <f aca="false">IF(B1438="","",IFERROR(INDEX(Materials!$B$2:$B$201,MATCH(B1438,Materials!$A$2:$A$201,0)),""))</f>
        <v/>
      </c>
      <c r="G1438" s="18" t="str">
        <f aca="true">IF(AND(A1438="",B1438=""),"",IF(A1438="","Missing product",IF(B1438="","Missing material",IF(COUNTIF(ProductList,A1438)=0,"Product not in Products list",IF(COUNTIF(MaterialList,B1438)=0,"Material not in Materials list","OK")))))</f>
        <v/>
      </c>
      <c r="H1438" s="18" t="str">
        <f aca="false">IF(F1438="Active",A1438&amp;"|"&amp;COUNTIFS(A$2:A1438,A1438,F$2:F1438,"Active"),"")</f>
        <v/>
      </c>
      <c r="I1438" s="18" t="str">
        <f aca="false">IF(B1438="","",IF(SUMPRODUCT(MAX((A$1:A1437=A1438)*(B$1:B1437=B1438)*ROW(A$1:A1437)))=0,C1438&amp;"",IF(C1438="",INDEX(I$1:I1437,SUMPRODUCT(MAX((A$1:A1437=A1438)*(B$1:B1437=B1438)*ROW(A$1:A1437)))),IF(INDEX(I$1:I1437,SUMPRODUCT(MAX((A$1:A1437=A1438)*(B$1:B1437=B1438)*ROW(A$1:A1437))))="",C1438&amp;"",INDEX(I$1:I1437,SUMPRODUCT(MAX((A$1:A1437=A1438)*(B$1:B1437=B1438)*ROW(A$1:A1437))))&amp;"; "&amp;C1438))))</f>
        <v/>
      </c>
      <c r="J1438" s="18" t="str">
        <f aca="false">IF(A1438="","",A1438&amp;"|"&amp;COUNTIF(A$2:A1438,A1438))</f>
        <v/>
      </c>
      <c r="K1438" s="18" t="n">
        <f aca="false">IF(OR(A1438="",B1438=""),0,IF(COUNTIFS(A$2:A1438,A1438,B$2:B1438,B1438)=1,1,0))</f>
        <v>0</v>
      </c>
    </row>
    <row r="1439" customFormat="false" ht="15" hidden="false" customHeight="false" outlineLevel="0" collapsed="false">
      <c r="A1439" s="15"/>
      <c r="B1439" s="15"/>
      <c r="C1439" s="15"/>
      <c r="D1439" s="15"/>
      <c r="F1439" s="18" t="str">
        <f aca="false">IF(B1439="","",IFERROR(INDEX(Materials!$B$2:$B$201,MATCH(B1439,Materials!$A$2:$A$201,0)),""))</f>
        <v/>
      </c>
      <c r="G1439" s="18" t="str">
        <f aca="true">IF(AND(A1439="",B1439=""),"",IF(A1439="","Missing product",IF(B1439="","Missing material",IF(COUNTIF(ProductList,A1439)=0,"Product not in Products list",IF(COUNTIF(MaterialList,B1439)=0,"Material not in Materials list","OK")))))</f>
        <v/>
      </c>
      <c r="H1439" s="18" t="str">
        <f aca="false">IF(F1439="Active",A1439&amp;"|"&amp;COUNTIFS(A$2:A1439,A1439,F$2:F1439,"Active"),"")</f>
        <v/>
      </c>
      <c r="I1439" s="18" t="str">
        <f aca="false">IF(B1439="","",IF(SUMPRODUCT(MAX((A$1:A1438=A1439)*(B$1:B1438=B1439)*ROW(A$1:A1438)))=0,C1439&amp;"",IF(C1439="",INDEX(I$1:I1438,SUMPRODUCT(MAX((A$1:A1438=A1439)*(B$1:B1438=B1439)*ROW(A$1:A1438)))),IF(INDEX(I$1:I1438,SUMPRODUCT(MAX((A$1:A1438=A1439)*(B$1:B1438=B1439)*ROW(A$1:A1438))))="",C1439&amp;"",INDEX(I$1:I1438,SUMPRODUCT(MAX((A$1:A1438=A1439)*(B$1:B1438=B1439)*ROW(A$1:A1438))))&amp;"; "&amp;C1439))))</f>
        <v/>
      </c>
      <c r="J1439" s="18" t="str">
        <f aca="false">IF(A1439="","",A1439&amp;"|"&amp;COUNTIF(A$2:A1439,A1439))</f>
        <v/>
      </c>
      <c r="K1439" s="18" t="n">
        <f aca="false">IF(OR(A1439="",B1439=""),0,IF(COUNTIFS(A$2:A1439,A1439,B$2:B1439,B1439)=1,1,0))</f>
        <v>0</v>
      </c>
    </row>
    <row r="1440" customFormat="false" ht="15" hidden="false" customHeight="false" outlineLevel="0" collapsed="false">
      <c r="A1440" s="15"/>
      <c r="B1440" s="15"/>
      <c r="C1440" s="15"/>
      <c r="D1440" s="15"/>
      <c r="F1440" s="18" t="str">
        <f aca="false">IF(B1440="","",IFERROR(INDEX(Materials!$B$2:$B$201,MATCH(B1440,Materials!$A$2:$A$201,0)),""))</f>
        <v/>
      </c>
      <c r="G1440" s="18" t="str">
        <f aca="true">IF(AND(A1440="",B1440=""),"",IF(A1440="","Missing product",IF(B1440="","Missing material",IF(COUNTIF(ProductList,A1440)=0,"Product not in Products list",IF(COUNTIF(MaterialList,B1440)=0,"Material not in Materials list","OK")))))</f>
        <v/>
      </c>
      <c r="H1440" s="18" t="str">
        <f aca="false">IF(F1440="Active",A1440&amp;"|"&amp;COUNTIFS(A$2:A1440,A1440,F$2:F1440,"Active"),"")</f>
        <v/>
      </c>
      <c r="I1440" s="18" t="str">
        <f aca="false">IF(B1440="","",IF(SUMPRODUCT(MAX((A$1:A1439=A1440)*(B$1:B1439=B1440)*ROW(A$1:A1439)))=0,C1440&amp;"",IF(C1440="",INDEX(I$1:I1439,SUMPRODUCT(MAX((A$1:A1439=A1440)*(B$1:B1439=B1440)*ROW(A$1:A1439)))),IF(INDEX(I$1:I1439,SUMPRODUCT(MAX((A$1:A1439=A1440)*(B$1:B1439=B1440)*ROW(A$1:A1439))))="",C1440&amp;"",INDEX(I$1:I1439,SUMPRODUCT(MAX((A$1:A1439=A1440)*(B$1:B1439=B1440)*ROW(A$1:A1439))))&amp;"; "&amp;C1440))))</f>
        <v/>
      </c>
      <c r="J1440" s="18" t="str">
        <f aca="false">IF(A1440="","",A1440&amp;"|"&amp;COUNTIF(A$2:A1440,A1440))</f>
        <v/>
      </c>
      <c r="K1440" s="18" t="n">
        <f aca="false">IF(OR(A1440="",B1440=""),0,IF(COUNTIFS(A$2:A1440,A1440,B$2:B1440,B1440)=1,1,0))</f>
        <v>0</v>
      </c>
    </row>
    <row r="1441" customFormat="false" ht="15" hidden="false" customHeight="false" outlineLevel="0" collapsed="false">
      <c r="A1441" s="15"/>
      <c r="B1441" s="15"/>
      <c r="C1441" s="15"/>
      <c r="D1441" s="15"/>
      <c r="F1441" s="18" t="str">
        <f aca="false">IF(B1441="","",IFERROR(INDEX(Materials!$B$2:$B$201,MATCH(B1441,Materials!$A$2:$A$201,0)),""))</f>
        <v/>
      </c>
      <c r="G1441" s="18" t="str">
        <f aca="true">IF(AND(A1441="",B1441=""),"",IF(A1441="","Missing product",IF(B1441="","Missing material",IF(COUNTIF(ProductList,A1441)=0,"Product not in Products list",IF(COUNTIF(MaterialList,B1441)=0,"Material not in Materials list","OK")))))</f>
        <v/>
      </c>
      <c r="H1441" s="18" t="str">
        <f aca="false">IF(F1441="Active",A1441&amp;"|"&amp;COUNTIFS(A$2:A1441,A1441,F$2:F1441,"Active"),"")</f>
        <v/>
      </c>
      <c r="I1441" s="18" t="str">
        <f aca="false">IF(B1441="","",IF(SUMPRODUCT(MAX((A$1:A1440=A1441)*(B$1:B1440=B1441)*ROW(A$1:A1440)))=0,C1441&amp;"",IF(C1441="",INDEX(I$1:I1440,SUMPRODUCT(MAX((A$1:A1440=A1441)*(B$1:B1440=B1441)*ROW(A$1:A1440)))),IF(INDEX(I$1:I1440,SUMPRODUCT(MAX((A$1:A1440=A1441)*(B$1:B1440=B1441)*ROW(A$1:A1440))))="",C1441&amp;"",INDEX(I$1:I1440,SUMPRODUCT(MAX((A$1:A1440=A1441)*(B$1:B1440=B1441)*ROW(A$1:A1440))))&amp;"; "&amp;C1441))))</f>
        <v/>
      </c>
      <c r="J1441" s="18" t="str">
        <f aca="false">IF(A1441="","",A1441&amp;"|"&amp;COUNTIF(A$2:A1441,A1441))</f>
        <v/>
      </c>
      <c r="K1441" s="18" t="n">
        <f aca="false">IF(OR(A1441="",B1441=""),0,IF(COUNTIFS(A$2:A1441,A1441,B$2:B1441,B1441)=1,1,0))</f>
        <v>0</v>
      </c>
    </row>
    <row r="1442" customFormat="false" ht="15" hidden="false" customHeight="false" outlineLevel="0" collapsed="false">
      <c r="A1442" s="15"/>
      <c r="B1442" s="15"/>
      <c r="C1442" s="15"/>
      <c r="D1442" s="15"/>
      <c r="F1442" s="18" t="str">
        <f aca="false">IF(B1442="","",IFERROR(INDEX(Materials!$B$2:$B$201,MATCH(B1442,Materials!$A$2:$A$201,0)),""))</f>
        <v/>
      </c>
      <c r="G1442" s="18" t="str">
        <f aca="true">IF(AND(A1442="",B1442=""),"",IF(A1442="","Missing product",IF(B1442="","Missing material",IF(COUNTIF(ProductList,A1442)=0,"Product not in Products list",IF(COUNTIF(MaterialList,B1442)=0,"Material not in Materials list","OK")))))</f>
        <v/>
      </c>
      <c r="H1442" s="18" t="str">
        <f aca="false">IF(F1442="Active",A1442&amp;"|"&amp;COUNTIFS(A$2:A1442,A1442,F$2:F1442,"Active"),"")</f>
        <v/>
      </c>
      <c r="I1442" s="18" t="str">
        <f aca="false">IF(B1442="","",IF(SUMPRODUCT(MAX((A$1:A1441=A1442)*(B$1:B1441=B1442)*ROW(A$1:A1441)))=0,C1442&amp;"",IF(C1442="",INDEX(I$1:I1441,SUMPRODUCT(MAX((A$1:A1441=A1442)*(B$1:B1441=B1442)*ROW(A$1:A1441)))),IF(INDEX(I$1:I1441,SUMPRODUCT(MAX((A$1:A1441=A1442)*(B$1:B1441=B1442)*ROW(A$1:A1441))))="",C1442&amp;"",INDEX(I$1:I1441,SUMPRODUCT(MAX((A$1:A1441=A1442)*(B$1:B1441=B1442)*ROW(A$1:A1441))))&amp;"; "&amp;C1442))))</f>
        <v/>
      </c>
      <c r="J1442" s="18" t="str">
        <f aca="false">IF(A1442="","",A1442&amp;"|"&amp;COUNTIF(A$2:A1442,A1442))</f>
        <v/>
      </c>
      <c r="K1442" s="18" t="n">
        <f aca="false">IF(OR(A1442="",B1442=""),0,IF(COUNTIFS(A$2:A1442,A1442,B$2:B1442,B1442)=1,1,0))</f>
        <v>0</v>
      </c>
    </row>
    <row r="1443" customFormat="false" ht="15" hidden="false" customHeight="false" outlineLevel="0" collapsed="false">
      <c r="A1443" s="15"/>
      <c r="B1443" s="15"/>
      <c r="C1443" s="15"/>
      <c r="D1443" s="15"/>
      <c r="F1443" s="18" t="str">
        <f aca="false">IF(B1443="","",IFERROR(INDEX(Materials!$B$2:$B$201,MATCH(B1443,Materials!$A$2:$A$201,0)),""))</f>
        <v/>
      </c>
      <c r="G1443" s="18" t="str">
        <f aca="true">IF(AND(A1443="",B1443=""),"",IF(A1443="","Missing product",IF(B1443="","Missing material",IF(COUNTIF(ProductList,A1443)=0,"Product not in Products list",IF(COUNTIF(MaterialList,B1443)=0,"Material not in Materials list","OK")))))</f>
        <v/>
      </c>
      <c r="H1443" s="18" t="str">
        <f aca="false">IF(F1443="Active",A1443&amp;"|"&amp;COUNTIFS(A$2:A1443,A1443,F$2:F1443,"Active"),"")</f>
        <v/>
      </c>
      <c r="I1443" s="18" t="str">
        <f aca="false">IF(B1443="","",IF(SUMPRODUCT(MAX((A$1:A1442=A1443)*(B$1:B1442=B1443)*ROW(A$1:A1442)))=0,C1443&amp;"",IF(C1443="",INDEX(I$1:I1442,SUMPRODUCT(MAX((A$1:A1442=A1443)*(B$1:B1442=B1443)*ROW(A$1:A1442)))),IF(INDEX(I$1:I1442,SUMPRODUCT(MAX((A$1:A1442=A1443)*(B$1:B1442=B1443)*ROW(A$1:A1442))))="",C1443&amp;"",INDEX(I$1:I1442,SUMPRODUCT(MAX((A$1:A1442=A1443)*(B$1:B1442=B1443)*ROW(A$1:A1442))))&amp;"; "&amp;C1443))))</f>
        <v/>
      </c>
      <c r="J1443" s="18" t="str">
        <f aca="false">IF(A1443="","",A1443&amp;"|"&amp;COUNTIF(A$2:A1443,A1443))</f>
        <v/>
      </c>
      <c r="K1443" s="18" t="n">
        <f aca="false">IF(OR(A1443="",B1443=""),0,IF(COUNTIFS(A$2:A1443,A1443,B$2:B1443,B1443)=1,1,0))</f>
        <v>0</v>
      </c>
    </row>
    <row r="1444" customFormat="false" ht="15" hidden="false" customHeight="false" outlineLevel="0" collapsed="false">
      <c r="A1444" s="15"/>
      <c r="B1444" s="15"/>
      <c r="C1444" s="15"/>
      <c r="D1444" s="15"/>
      <c r="F1444" s="18" t="str">
        <f aca="false">IF(B1444="","",IFERROR(INDEX(Materials!$B$2:$B$201,MATCH(B1444,Materials!$A$2:$A$201,0)),""))</f>
        <v/>
      </c>
      <c r="G1444" s="18" t="str">
        <f aca="true">IF(AND(A1444="",B1444=""),"",IF(A1444="","Missing product",IF(B1444="","Missing material",IF(COUNTIF(ProductList,A1444)=0,"Product not in Products list",IF(COUNTIF(MaterialList,B1444)=0,"Material not in Materials list","OK")))))</f>
        <v/>
      </c>
      <c r="H1444" s="18" t="str">
        <f aca="false">IF(F1444="Active",A1444&amp;"|"&amp;COUNTIFS(A$2:A1444,A1444,F$2:F1444,"Active"),"")</f>
        <v/>
      </c>
      <c r="I1444" s="18" t="str">
        <f aca="false">IF(B1444="","",IF(SUMPRODUCT(MAX((A$1:A1443=A1444)*(B$1:B1443=B1444)*ROW(A$1:A1443)))=0,C1444&amp;"",IF(C1444="",INDEX(I$1:I1443,SUMPRODUCT(MAX((A$1:A1443=A1444)*(B$1:B1443=B1444)*ROW(A$1:A1443)))),IF(INDEX(I$1:I1443,SUMPRODUCT(MAX((A$1:A1443=A1444)*(B$1:B1443=B1444)*ROW(A$1:A1443))))="",C1444&amp;"",INDEX(I$1:I1443,SUMPRODUCT(MAX((A$1:A1443=A1444)*(B$1:B1443=B1444)*ROW(A$1:A1443))))&amp;"; "&amp;C1444))))</f>
        <v/>
      </c>
      <c r="J1444" s="18" t="str">
        <f aca="false">IF(A1444="","",A1444&amp;"|"&amp;COUNTIF(A$2:A1444,A1444))</f>
        <v/>
      </c>
      <c r="K1444" s="18" t="n">
        <f aca="false">IF(OR(A1444="",B1444=""),0,IF(COUNTIFS(A$2:A1444,A1444,B$2:B1444,B1444)=1,1,0))</f>
        <v>0</v>
      </c>
    </row>
    <row r="1445" customFormat="false" ht="15" hidden="false" customHeight="false" outlineLevel="0" collapsed="false">
      <c r="A1445" s="15"/>
      <c r="B1445" s="15"/>
      <c r="C1445" s="15"/>
      <c r="D1445" s="15"/>
      <c r="F1445" s="18" t="str">
        <f aca="false">IF(B1445="","",IFERROR(INDEX(Materials!$B$2:$B$201,MATCH(B1445,Materials!$A$2:$A$201,0)),""))</f>
        <v/>
      </c>
      <c r="G1445" s="18" t="str">
        <f aca="true">IF(AND(A1445="",B1445=""),"",IF(A1445="","Missing product",IF(B1445="","Missing material",IF(COUNTIF(ProductList,A1445)=0,"Product not in Products list",IF(COUNTIF(MaterialList,B1445)=0,"Material not in Materials list","OK")))))</f>
        <v/>
      </c>
      <c r="H1445" s="18" t="str">
        <f aca="false">IF(F1445="Active",A1445&amp;"|"&amp;COUNTIFS(A$2:A1445,A1445,F$2:F1445,"Active"),"")</f>
        <v/>
      </c>
      <c r="I1445" s="18" t="str">
        <f aca="false">IF(B1445="","",IF(SUMPRODUCT(MAX((A$1:A1444=A1445)*(B$1:B1444=B1445)*ROW(A$1:A1444)))=0,C1445&amp;"",IF(C1445="",INDEX(I$1:I1444,SUMPRODUCT(MAX((A$1:A1444=A1445)*(B$1:B1444=B1445)*ROW(A$1:A1444)))),IF(INDEX(I$1:I1444,SUMPRODUCT(MAX((A$1:A1444=A1445)*(B$1:B1444=B1445)*ROW(A$1:A1444))))="",C1445&amp;"",INDEX(I$1:I1444,SUMPRODUCT(MAX((A$1:A1444=A1445)*(B$1:B1444=B1445)*ROW(A$1:A1444))))&amp;"; "&amp;C1445))))</f>
        <v/>
      </c>
      <c r="J1445" s="18" t="str">
        <f aca="false">IF(A1445="","",A1445&amp;"|"&amp;COUNTIF(A$2:A1445,A1445))</f>
        <v/>
      </c>
      <c r="K1445" s="18" t="n">
        <f aca="false">IF(OR(A1445="",B1445=""),0,IF(COUNTIFS(A$2:A1445,A1445,B$2:B1445,B1445)=1,1,0))</f>
        <v>0</v>
      </c>
    </row>
    <row r="1446" customFormat="false" ht="15" hidden="false" customHeight="false" outlineLevel="0" collapsed="false">
      <c r="A1446" s="15"/>
      <c r="B1446" s="15"/>
      <c r="C1446" s="15"/>
      <c r="D1446" s="15"/>
      <c r="F1446" s="18" t="str">
        <f aca="false">IF(B1446="","",IFERROR(INDEX(Materials!$B$2:$B$201,MATCH(B1446,Materials!$A$2:$A$201,0)),""))</f>
        <v/>
      </c>
      <c r="G1446" s="18" t="str">
        <f aca="true">IF(AND(A1446="",B1446=""),"",IF(A1446="","Missing product",IF(B1446="","Missing material",IF(COUNTIF(ProductList,A1446)=0,"Product not in Products list",IF(COUNTIF(MaterialList,B1446)=0,"Material not in Materials list","OK")))))</f>
        <v/>
      </c>
      <c r="H1446" s="18" t="str">
        <f aca="false">IF(F1446="Active",A1446&amp;"|"&amp;COUNTIFS(A$2:A1446,A1446,F$2:F1446,"Active"),"")</f>
        <v/>
      </c>
      <c r="I1446" s="18" t="str">
        <f aca="false">IF(B1446="","",IF(SUMPRODUCT(MAX((A$1:A1445=A1446)*(B$1:B1445=B1446)*ROW(A$1:A1445)))=0,C1446&amp;"",IF(C1446="",INDEX(I$1:I1445,SUMPRODUCT(MAX((A$1:A1445=A1446)*(B$1:B1445=B1446)*ROW(A$1:A1445)))),IF(INDEX(I$1:I1445,SUMPRODUCT(MAX((A$1:A1445=A1446)*(B$1:B1445=B1446)*ROW(A$1:A1445))))="",C1446&amp;"",INDEX(I$1:I1445,SUMPRODUCT(MAX((A$1:A1445=A1446)*(B$1:B1445=B1446)*ROW(A$1:A1445))))&amp;"; "&amp;C1446))))</f>
        <v/>
      </c>
      <c r="J1446" s="18" t="str">
        <f aca="false">IF(A1446="","",A1446&amp;"|"&amp;COUNTIF(A$2:A1446,A1446))</f>
        <v/>
      </c>
      <c r="K1446" s="18" t="n">
        <f aca="false">IF(OR(A1446="",B1446=""),0,IF(COUNTIFS(A$2:A1446,A1446,B$2:B1446,B1446)=1,1,0))</f>
        <v>0</v>
      </c>
    </row>
    <row r="1447" customFormat="false" ht="15" hidden="false" customHeight="false" outlineLevel="0" collapsed="false">
      <c r="A1447" s="15"/>
      <c r="B1447" s="15"/>
      <c r="C1447" s="15"/>
      <c r="D1447" s="15"/>
      <c r="F1447" s="18" t="str">
        <f aca="false">IF(B1447="","",IFERROR(INDEX(Materials!$B$2:$B$201,MATCH(B1447,Materials!$A$2:$A$201,0)),""))</f>
        <v/>
      </c>
      <c r="G1447" s="18" t="str">
        <f aca="true">IF(AND(A1447="",B1447=""),"",IF(A1447="","Missing product",IF(B1447="","Missing material",IF(COUNTIF(ProductList,A1447)=0,"Product not in Products list",IF(COUNTIF(MaterialList,B1447)=0,"Material not in Materials list","OK")))))</f>
        <v/>
      </c>
      <c r="H1447" s="18" t="str">
        <f aca="false">IF(F1447="Active",A1447&amp;"|"&amp;COUNTIFS(A$2:A1447,A1447,F$2:F1447,"Active"),"")</f>
        <v/>
      </c>
      <c r="I1447" s="18" t="str">
        <f aca="false">IF(B1447="","",IF(SUMPRODUCT(MAX((A$1:A1446=A1447)*(B$1:B1446=B1447)*ROW(A$1:A1446)))=0,C1447&amp;"",IF(C1447="",INDEX(I$1:I1446,SUMPRODUCT(MAX((A$1:A1446=A1447)*(B$1:B1446=B1447)*ROW(A$1:A1446)))),IF(INDEX(I$1:I1446,SUMPRODUCT(MAX((A$1:A1446=A1447)*(B$1:B1446=B1447)*ROW(A$1:A1446))))="",C1447&amp;"",INDEX(I$1:I1446,SUMPRODUCT(MAX((A$1:A1446=A1447)*(B$1:B1446=B1447)*ROW(A$1:A1446))))&amp;"; "&amp;C1447))))</f>
        <v/>
      </c>
      <c r="J1447" s="18" t="str">
        <f aca="false">IF(A1447="","",A1447&amp;"|"&amp;COUNTIF(A$2:A1447,A1447))</f>
        <v/>
      </c>
      <c r="K1447" s="18" t="n">
        <f aca="false">IF(OR(A1447="",B1447=""),0,IF(COUNTIFS(A$2:A1447,A1447,B$2:B1447,B1447)=1,1,0))</f>
        <v>0</v>
      </c>
    </row>
    <row r="1448" customFormat="false" ht="15" hidden="false" customHeight="false" outlineLevel="0" collapsed="false">
      <c r="A1448" s="15"/>
      <c r="B1448" s="15"/>
      <c r="C1448" s="15"/>
      <c r="D1448" s="15"/>
      <c r="F1448" s="18" t="str">
        <f aca="false">IF(B1448="","",IFERROR(INDEX(Materials!$B$2:$B$201,MATCH(B1448,Materials!$A$2:$A$201,0)),""))</f>
        <v/>
      </c>
      <c r="G1448" s="18" t="str">
        <f aca="true">IF(AND(A1448="",B1448=""),"",IF(A1448="","Missing product",IF(B1448="","Missing material",IF(COUNTIF(ProductList,A1448)=0,"Product not in Products list",IF(COUNTIF(MaterialList,B1448)=0,"Material not in Materials list","OK")))))</f>
        <v/>
      </c>
      <c r="H1448" s="18" t="str">
        <f aca="false">IF(F1448="Active",A1448&amp;"|"&amp;COUNTIFS(A$2:A1448,A1448,F$2:F1448,"Active"),"")</f>
        <v/>
      </c>
      <c r="I1448" s="18" t="str">
        <f aca="false">IF(B1448="","",IF(SUMPRODUCT(MAX((A$1:A1447=A1448)*(B$1:B1447=B1448)*ROW(A$1:A1447)))=0,C1448&amp;"",IF(C1448="",INDEX(I$1:I1447,SUMPRODUCT(MAX((A$1:A1447=A1448)*(B$1:B1447=B1448)*ROW(A$1:A1447)))),IF(INDEX(I$1:I1447,SUMPRODUCT(MAX((A$1:A1447=A1448)*(B$1:B1447=B1448)*ROW(A$1:A1447))))="",C1448&amp;"",INDEX(I$1:I1447,SUMPRODUCT(MAX((A$1:A1447=A1448)*(B$1:B1447=B1448)*ROW(A$1:A1447))))&amp;"; "&amp;C1448))))</f>
        <v/>
      </c>
      <c r="J1448" s="18" t="str">
        <f aca="false">IF(A1448="","",A1448&amp;"|"&amp;COUNTIF(A$2:A1448,A1448))</f>
        <v/>
      </c>
      <c r="K1448" s="18" t="n">
        <f aca="false">IF(OR(A1448="",B1448=""),0,IF(COUNTIFS(A$2:A1448,A1448,B$2:B1448,B1448)=1,1,0))</f>
        <v>0</v>
      </c>
    </row>
    <row r="1449" customFormat="false" ht="15" hidden="false" customHeight="false" outlineLevel="0" collapsed="false">
      <c r="A1449" s="15"/>
      <c r="B1449" s="15"/>
      <c r="C1449" s="15"/>
      <c r="D1449" s="15"/>
      <c r="F1449" s="18" t="str">
        <f aca="false">IF(B1449="","",IFERROR(INDEX(Materials!$B$2:$B$201,MATCH(B1449,Materials!$A$2:$A$201,0)),""))</f>
        <v/>
      </c>
      <c r="G1449" s="18" t="str">
        <f aca="true">IF(AND(A1449="",B1449=""),"",IF(A1449="","Missing product",IF(B1449="","Missing material",IF(COUNTIF(ProductList,A1449)=0,"Product not in Products list",IF(COUNTIF(MaterialList,B1449)=0,"Material not in Materials list","OK")))))</f>
        <v/>
      </c>
      <c r="H1449" s="18" t="str">
        <f aca="false">IF(F1449="Active",A1449&amp;"|"&amp;COUNTIFS(A$2:A1449,A1449,F$2:F1449,"Active"),"")</f>
        <v/>
      </c>
      <c r="I1449" s="18" t="str">
        <f aca="false">IF(B1449="","",IF(SUMPRODUCT(MAX((A$1:A1448=A1449)*(B$1:B1448=B1449)*ROW(A$1:A1448)))=0,C1449&amp;"",IF(C1449="",INDEX(I$1:I1448,SUMPRODUCT(MAX((A$1:A1448=A1449)*(B$1:B1448=B1449)*ROW(A$1:A1448)))),IF(INDEX(I$1:I1448,SUMPRODUCT(MAX((A$1:A1448=A1449)*(B$1:B1448=B1449)*ROW(A$1:A1448))))="",C1449&amp;"",INDEX(I$1:I1448,SUMPRODUCT(MAX((A$1:A1448=A1449)*(B$1:B1448=B1449)*ROW(A$1:A1448))))&amp;"; "&amp;C1449))))</f>
        <v/>
      </c>
      <c r="J1449" s="18" t="str">
        <f aca="false">IF(A1449="","",A1449&amp;"|"&amp;COUNTIF(A$2:A1449,A1449))</f>
        <v/>
      </c>
      <c r="K1449" s="18" t="n">
        <f aca="false">IF(OR(A1449="",B1449=""),0,IF(COUNTIFS(A$2:A1449,A1449,B$2:B1449,B1449)=1,1,0))</f>
        <v>0</v>
      </c>
    </row>
    <row r="1450" customFormat="false" ht="15" hidden="false" customHeight="false" outlineLevel="0" collapsed="false">
      <c r="A1450" s="15"/>
      <c r="B1450" s="15"/>
      <c r="C1450" s="15"/>
      <c r="D1450" s="15"/>
      <c r="F1450" s="18" t="str">
        <f aca="false">IF(B1450="","",IFERROR(INDEX(Materials!$B$2:$B$201,MATCH(B1450,Materials!$A$2:$A$201,0)),""))</f>
        <v/>
      </c>
      <c r="G1450" s="18" t="str">
        <f aca="true">IF(AND(A1450="",B1450=""),"",IF(A1450="","Missing product",IF(B1450="","Missing material",IF(COUNTIF(ProductList,A1450)=0,"Product not in Products list",IF(COUNTIF(MaterialList,B1450)=0,"Material not in Materials list","OK")))))</f>
        <v/>
      </c>
      <c r="H1450" s="18" t="str">
        <f aca="false">IF(F1450="Active",A1450&amp;"|"&amp;COUNTIFS(A$2:A1450,A1450,F$2:F1450,"Active"),"")</f>
        <v/>
      </c>
      <c r="I1450" s="18" t="str">
        <f aca="false">IF(B1450="","",IF(SUMPRODUCT(MAX((A$1:A1449=A1450)*(B$1:B1449=B1450)*ROW(A$1:A1449)))=0,C1450&amp;"",IF(C1450="",INDEX(I$1:I1449,SUMPRODUCT(MAX((A$1:A1449=A1450)*(B$1:B1449=B1450)*ROW(A$1:A1449)))),IF(INDEX(I$1:I1449,SUMPRODUCT(MAX((A$1:A1449=A1450)*(B$1:B1449=B1450)*ROW(A$1:A1449))))="",C1450&amp;"",INDEX(I$1:I1449,SUMPRODUCT(MAX((A$1:A1449=A1450)*(B$1:B1449=B1450)*ROW(A$1:A1449))))&amp;"; "&amp;C1450))))</f>
        <v/>
      </c>
      <c r="J1450" s="18" t="str">
        <f aca="false">IF(A1450="","",A1450&amp;"|"&amp;COUNTIF(A$2:A1450,A1450))</f>
        <v/>
      </c>
      <c r="K1450" s="18" t="n">
        <f aca="false">IF(OR(A1450="",B1450=""),0,IF(COUNTIFS(A$2:A1450,A1450,B$2:B1450,B1450)=1,1,0))</f>
        <v>0</v>
      </c>
    </row>
    <row r="1451" customFormat="false" ht="15" hidden="false" customHeight="false" outlineLevel="0" collapsed="false">
      <c r="A1451" s="15"/>
      <c r="B1451" s="15"/>
      <c r="C1451" s="15"/>
      <c r="D1451" s="15"/>
      <c r="F1451" s="18" t="str">
        <f aca="false">IF(B1451="","",IFERROR(INDEX(Materials!$B$2:$B$201,MATCH(B1451,Materials!$A$2:$A$201,0)),""))</f>
        <v/>
      </c>
      <c r="G1451" s="18" t="str">
        <f aca="true">IF(AND(A1451="",B1451=""),"",IF(A1451="","Missing product",IF(B1451="","Missing material",IF(COUNTIF(ProductList,A1451)=0,"Product not in Products list",IF(COUNTIF(MaterialList,B1451)=0,"Material not in Materials list","OK")))))</f>
        <v/>
      </c>
      <c r="H1451" s="18" t="str">
        <f aca="false">IF(F1451="Active",A1451&amp;"|"&amp;COUNTIFS(A$2:A1451,A1451,F$2:F1451,"Active"),"")</f>
        <v/>
      </c>
      <c r="I1451" s="18" t="str">
        <f aca="false">IF(B1451="","",IF(SUMPRODUCT(MAX((A$1:A1450=A1451)*(B$1:B1450=B1451)*ROW(A$1:A1450)))=0,C1451&amp;"",IF(C1451="",INDEX(I$1:I1450,SUMPRODUCT(MAX((A$1:A1450=A1451)*(B$1:B1450=B1451)*ROW(A$1:A1450)))),IF(INDEX(I$1:I1450,SUMPRODUCT(MAX((A$1:A1450=A1451)*(B$1:B1450=B1451)*ROW(A$1:A1450))))="",C1451&amp;"",INDEX(I$1:I1450,SUMPRODUCT(MAX((A$1:A1450=A1451)*(B$1:B1450=B1451)*ROW(A$1:A1450))))&amp;"; "&amp;C1451))))</f>
        <v/>
      </c>
      <c r="J1451" s="18" t="str">
        <f aca="false">IF(A1451="","",A1451&amp;"|"&amp;COUNTIF(A$2:A1451,A1451))</f>
        <v/>
      </c>
      <c r="K1451" s="18" t="n">
        <f aca="false">IF(OR(A1451="",B1451=""),0,IF(COUNTIFS(A$2:A1451,A1451,B$2:B1451,B1451)=1,1,0))</f>
        <v>0</v>
      </c>
    </row>
    <row r="1452" customFormat="false" ht="15" hidden="false" customHeight="false" outlineLevel="0" collapsed="false">
      <c r="A1452" s="15"/>
      <c r="B1452" s="15"/>
      <c r="C1452" s="15"/>
      <c r="D1452" s="15"/>
      <c r="F1452" s="18" t="str">
        <f aca="false">IF(B1452="","",IFERROR(INDEX(Materials!$B$2:$B$201,MATCH(B1452,Materials!$A$2:$A$201,0)),""))</f>
        <v/>
      </c>
      <c r="G1452" s="18" t="str">
        <f aca="true">IF(AND(A1452="",B1452=""),"",IF(A1452="","Missing product",IF(B1452="","Missing material",IF(COUNTIF(ProductList,A1452)=0,"Product not in Products list",IF(COUNTIF(MaterialList,B1452)=0,"Material not in Materials list","OK")))))</f>
        <v/>
      </c>
      <c r="H1452" s="18" t="str">
        <f aca="false">IF(F1452="Active",A1452&amp;"|"&amp;COUNTIFS(A$2:A1452,A1452,F$2:F1452,"Active"),"")</f>
        <v/>
      </c>
      <c r="I1452" s="18" t="str">
        <f aca="false">IF(B1452="","",IF(SUMPRODUCT(MAX((A$1:A1451=A1452)*(B$1:B1451=B1452)*ROW(A$1:A1451)))=0,C1452&amp;"",IF(C1452="",INDEX(I$1:I1451,SUMPRODUCT(MAX((A$1:A1451=A1452)*(B$1:B1451=B1452)*ROW(A$1:A1451)))),IF(INDEX(I$1:I1451,SUMPRODUCT(MAX((A$1:A1451=A1452)*(B$1:B1451=B1452)*ROW(A$1:A1451))))="",C1452&amp;"",INDEX(I$1:I1451,SUMPRODUCT(MAX((A$1:A1451=A1452)*(B$1:B1451=B1452)*ROW(A$1:A1451))))&amp;"; "&amp;C1452))))</f>
        <v/>
      </c>
      <c r="J1452" s="18" t="str">
        <f aca="false">IF(A1452="","",A1452&amp;"|"&amp;COUNTIF(A$2:A1452,A1452))</f>
        <v/>
      </c>
      <c r="K1452" s="18" t="n">
        <f aca="false">IF(OR(A1452="",B1452=""),0,IF(COUNTIFS(A$2:A1452,A1452,B$2:B1452,B1452)=1,1,0))</f>
        <v>0</v>
      </c>
    </row>
    <row r="1453" customFormat="false" ht="15" hidden="false" customHeight="false" outlineLevel="0" collapsed="false">
      <c r="A1453" s="15"/>
      <c r="B1453" s="15"/>
      <c r="C1453" s="15"/>
      <c r="D1453" s="15"/>
      <c r="F1453" s="18" t="str">
        <f aca="false">IF(B1453="","",IFERROR(INDEX(Materials!$B$2:$B$201,MATCH(B1453,Materials!$A$2:$A$201,0)),""))</f>
        <v/>
      </c>
      <c r="G1453" s="18" t="str">
        <f aca="true">IF(AND(A1453="",B1453=""),"",IF(A1453="","Missing product",IF(B1453="","Missing material",IF(COUNTIF(ProductList,A1453)=0,"Product not in Products list",IF(COUNTIF(MaterialList,B1453)=0,"Material not in Materials list","OK")))))</f>
        <v/>
      </c>
      <c r="H1453" s="18" t="str">
        <f aca="false">IF(F1453="Active",A1453&amp;"|"&amp;COUNTIFS(A$2:A1453,A1453,F$2:F1453,"Active"),"")</f>
        <v/>
      </c>
      <c r="I1453" s="18" t="str">
        <f aca="false">IF(B1453="","",IF(SUMPRODUCT(MAX((A$1:A1452=A1453)*(B$1:B1452=B1453)*ROW(A$1:A1452)))=0,C1453&amp;"",IF(C1453="",INDEX(I$1:I1452,SUMPRODUCT(MAX((A$1:A1452=A1453)*(B$1:B1452=B1453)*ROW(A$1:A1452)))),IF(INDEX(I$1:I1452,SUMPRODUCT(MAX((A$1:A1452=A1453)*(B$1:B1452=B1453)*ROW(A$1:A1452))))="",C1453&amp;"",INDEX(I$1:I1452,SUMPRODUCT(MAX((A$1:A1452=A1453)*(B$1:B1452=B1453)*ROW(A$1:A1452))))&amp;"; "&amp;C1453))))</f>
        <v/>
      </c>
      <c r="J1453" s="18" t="str">
        <f aca="false">IF(A1453="","",A1453&amp;"|"&amp;COUNTIF(A$2:A1453,A1453))</f>
        <v/>
      </c>
      <c r="K1453" s="18" t="n">
        <f aca="false">IF(OR(A1453="",B1453=""),0,IF(COUNTIFS(A$2:A1453,A1453,B$2:B1453,B1453)=1,1,0))</f>
        <v>0</v>
      </c>
    </row>
    <row r="1454" customFormat="false" ht="15" hidden="false" customHeight="false" outlineLevel="0" collapsed="false">
      <c r="A1454" s="15"/>
      <c r="B1454" s="15"/>
      <c r="C1454" s="15"/>
      <c r="D1454" s="15"/>
      <c r="F1454" s="18" t="str">
        <f aca="false">IF(B1454="","",IFERROR(INDEX(Materials!$B$2:$B$201,MATCH(B1454,Materials!$A$2:$A$201,0)),""))</f>
        <v/>
      </c>
      <c r="G1454" s="18" t="str">
        <f aca="true">IF(AND(A1454="",B1454=""),"",IF(A1454="","Missing product",IF(B1454="","Missing material",IF(COUNTIF(ProductList,A1454)=0,"Product not in Products list",IF(COUNTIF(MaterialList,B1454)=0,"Material not in Materials list","OK")))))</f>
        <v/>
      </c>
      <c r="H1454" s="18" t="str">
        <f aca="false">IF(F1454="Active",A1454&amp;"|"&amp;COUNTIFS(A$2:A1454,A1454,F$2:F1454,"Active"),"")</f>
        <v/>
      </c>
      <c r="I1454" s="18" t="str">
        <f aca="false">IF(B1454="","",IF(SUMPRODUCT(MAX((A$1:A1453=A1454)*(B$1:B1453=B1454)*ROW(A$1:A1453)))=0,C1454&amp;"",IF(C1454="",INDEX(I$1:I1453,SUMPRODUCT(MAX((A$1:A1453=A1454)*(B$1:B1453=B1454)*ROW(A$1:A1453)))),IF(INDEX(I$1:I1453,SUMPRODUCT(MAX((A$1:A1453=A1454)*(B$1:B1453=B1454)*ROW(A$1:A1453))))="",C1454&amp;"",INDEX(I$1:I1453,SUMPRODUCT(MAX((A$1:A1453=A1454)*(B$1:B1453=B1454)*ROW(A$1:A1453))))&amp;"; "&amp;C1454))))</f>
        <v/>
      </c>
      <c r="J1454" s="18" t="str">
        <f aca="false">IF(A1454="","",A1454&amp;"|"&amp;COUNTIF(A$2:A1454,A1454))</f>
        <v/>
      </c>
      <c r="K1454" s="18" t="n">
        <f aca="false">IF(OR(A1454="",B1454=""),0,IF(COUNTIFS(A$2:A1454,A1454,B$2:B1454,B1454)=1,1,0))</f>
        <v>0</v>
      </c>
    </row>
    <row r="1455" customFormat="false" ht="15" hidden="false" customHeight="false" outlineLevel="0" collapsed="false">
      <c r="A1455" s="15"/>
      <c r="B1455" s="15"/>
      <c r="C1455" s="15"/>
      <c r="D1455" s="15"/>
      <c r="F1455" s="18" t="str">
        <f aca="false">IF(B1455="","",IFERROR(INDEX(Materials!$B$2:$B$201,MATCH(B1455,Materials!$A$2:$A$201,0)),""))</f>
        <v/>
      </c>
      <c r="G1455" s="18" t="str">
        <f aca="true">IF(AND(A1455="",B1455=""),"",IF(A1455="","Missing product",IF(B1455="","Missing material",IF(COUNTIF(ProductList,A1455)=0,"Product not in Products list",IF(COUNTIF(MaterialList,B1455)=0,"Material not in Materials list","OK")))))</f>
        <v/>
      </c>
      <c r="H1455" s="18" t="str">
        <f aca="false">IF(F1455="Active",A1455&amp;"|"&amp;COUNTIFS(A$2:A1455,A1455,F$2:F1455,"Active"),"")</f>
        <v/>
      </c>
      <c r="I1455" s="18" t="str">
        <f aca="false">IF(B1455="","",IF(SUMPRODUCT(MAX((A$1:A1454=A1455)*(B$1:B1454=B1455)*ROW(A$1:A1454)))=0,C1455&amp;"",IF(C1455="",INDEX(I$1:I1454,SUMPRODUCT(MAX((A$1:A1454=A1455)*(B$1:B1454=B1455)*ROW(A$1:A1454)))),IF(INDEX(I$1:I1454,SUMPRODUCT(MAX((A$1:A1454=A1455)*(B$1:B1454=B1455)*ROW(A$1:A1454))))="",C1455&amp;"",INDEX(I$1:I1454,SUMPRODUCT(MAX((A$1:A1454=A1455)*(B$1:B1454=B1455)*ROW(A$1:A1454))))&amp;"; "&amp;C1455))))</f>
        <v/>
      </c>
      <c r="J1455" s="18" t="str">
        <f aca="false">IF(A1455="","",A1455&amp;"|"&amp;COUNTIF(A$2:A1455,A1455))</f>
        <v/>
      </c>
      <c r="K1455" s="18" t="n">
        <f aca="false">IF(OR(A1455="",B1455=""),0,IF(COUNTIFS(A$2:A1455,A1455,B$2:B1455,B1455)=1,1,0))</f>
        <v>0</v>
      </c>
    </row>
    <row r="1456" customFormat="false" ht="15" hidden="false" customHeight="false" outlineLevel="0" collapsed="false">
      <c r="A1456" s="15"/>
      <c r="B1456" s="15"/>
      <c r="C1456" s="15"/>
      <c r="D1456" s="15"/>
      <c r="F1456" s="18" t="str">
        <f aca="false">IF(B1456="","",IFERROR(INDEX(Materials!$B$2:$B$201,MATCH(B1456,Materials!$A$2:$A$201,0)),""))</f>
        <v/>
      </c>
      <c r="G1456" s="18" t="str">
        <f aca="true">IF(AND(A1456="",B1456=""),"",IF(A1456="","Missing product",IF(B1456="","Missing material",IF(COUNTIF(ProductList,A1456)=0,"Product not in Products list",IF(COUNTIF(MaterialList,B1456)=0,"Material not in Materials list","OK")))))</f>
        <v/>
      </c>
      <c r="H1456" s="18" t="str">
        <f aca="false">IF(F1456="Active",A1456&amp;"|"&amp;COUNTIFS(A$2:A1456,A1456,F$2:F1456,"Active"),"")</f>
        <v/>
      </c>
      <c r="I1456" s="18" t="str">
        <f aca="false">IF(B1456="","",IF(SUMPRODUCT(MAX((A$1:A1455=A1456)*(B$1:B1455=B1456)*ROW(A$1:A1455)))=0,C1456&amp;"",IF(C1456="",INDEX(I$1:I1455,SUMPRODUCT(MAX((A$1:A1455=A1456)*(B$1:B1455=B1456)*ROW(A$1:A1455)))),IF(INDEX(I$1:I1455,SUMPRODUCT(MAX((A$1:A1455=A1456)*(B$1:B1455=B1456)*ROW(A$1:A1455))))="",C1456&amp;"",INDEX(I$1:I1455,SUMPRODUCT(MAX((A$1:A1455=A1456)*(B$1:B1455=B1456)*ROW(A$1:A1455))))&amp;"; "&amp;C1456))))</f>
        <v/>
      </c>
      <c r="J1456" s="18" t="str">
        <f aca="false">IF(A1456="","",A1456&amp;"|"&amp;COUNTIF(A$2:A1456,A1456))</f>
        <v/>
      </c>
      <c r="K1456" s="18" t="n">
        <f aca="false">IF(OR(A1456="",B1456=""),0,IF(COUNTIFS(A$2:A1456,A1456,B$2:B1456,B1456)=1,1,0))</f>
        <v>0</v>
      </c>
    </row>
    <row r="1457" customFormat="false" ht="15" hidden="false" customHeight="false" outlineLevel="0" collapsed="false">
      <c r="A1457" s="15"/>
      <c r="B1457" s="15"/>
      <c r="C1457" s="15"/>
      <c r="D1457" s="15"/>
      <c r="F1457" s="18" t="str">
        <f aca="false">IF(B1457="","",IFERROR(INDEX(Materials!$B$2:$B$201,MATCH(B1457,Materials!$A$2:$A$201,0)),""))</f>
        <v/>
      </c>
      <c r="G1457" s="18" t="str">
        <f aca="true">IF(AND(A1457="",B1457=""),"",IF(A1457="","Missing product",IF(B1457="","Missing material",IF(COUNTIF(ProductList,A1457)=0,"Product not in Products list",IF(COUNTIF(MaterialList,B1457)=0,"Material not in Materials list","OK")))))</f>
        <v/>
      </c>
      <c r="H1457" s="18" t="str">
        <f aca="false">IF(F1457="Active",A1457&amp;"|"&amp;COUNTIFS(A$2:A1457,A1457,F$2:F1457,"Active"),"")</f>
        <v/>
      </c>
      <c r="I1457" s="18" t="str">
        <f aca="false">IF(B1457="","",IF(SUMPRODUCT(MAX((A$1:A1456=A1457)*(B$1:B1456=B1457)*ROW(A$1:A1456)))=0,C1457&amp;"",IF(C1457="",INDEX(I$1:I1456,SUMPRODUCT(MAX((A$1:A1456=A1457)*(B$1:B1456=B1457)*ROW(A$1:A1456)))),IF(INDEX(I$1:I1456,SUMPRODUCT(MAX((A$1:A1456=A1457)*(B$1:B1456=B1457)*ROW(A$1:A1456))))="",C1457&amp;"",INDEX(I$1:I1456,SUMPRODUCT(MAX((A$1:A1456=A1457)*(B$1:B1456=B1457)*ROW(A$1:A1456))))&amp;"; "&amp;C1457))))</f>
        <v/>
      </c>
      <c r="J1457" s="18" t="str">
        <f aca="false">IF(A1457="","",A1457&amp;"|"&amp;COUNTIF(A$2:A1457,A1457))</f>
        <v/>
      </c>
      <c r="K1457" s="18" t="n">
        <f aca="false">IF(OR(A1457="",B1457=""),0,IF(COUNTIFS(A$2:A1457,A1457,B$2:B1457,B1457)=1,1,0))</f>
        <v>0</v>
      </c>
    </row>
    <row r="1458" customFormat="false" ht="15" hidden="false" customHeight="false" outlineLevel="0" collapsed="false">
      <c r="A1458" s="15"/>
      <c r="B1458" s="15"/>
      <c r="C1458" s="15"/>
      <c r="D1458" s="15"/>
      <c r="F1458" s="18" t="str">
        <f aca="false">IF(B1458="","",IFERROR(INDEX(Materials!$B$2:$B$201,MATCH(B1458,Materials!$A$2:$A$201,0)),""))</f>
        <v/>
      </c>
      <c r="G1458" s="18" t="str">
        <f aca="true">IF(AND(A1458="",B1458=""),"",IF(A1458="","Missing product",IF(B1458="","Missing material",IF(COUNTIF(ProductList,A1458)=0,"Product not in Products list",IF(COUNTIF(MaterialList,B1458)=0,"Material not in Materials list","OK")))))</f>
        <v/>
      </c>
      <c r="H1458" s="18" t="str">
        <f aca="false">IF(F1458="Active",A1458&amp;"|"&amp;COUNTIFS(A$2:A1458,A1458,F$2:F1458,"Active"),"")</f>
        <v/>
      </c>
      <c r="I1458" s="18" t="str">
        <f aca="false">IF(B1458="","",IF(SUMPRODUCT(MAX((A$1:A1457=A1458)*(B$1:B1457=B1458)*ROW(A$1:A1457)))=0,C1458&amp;"",IF(C1458="",INDEX(I$1:I1457,SUMPRODUCT(MAX((A$1:A1457=A1458)*(B$1:B1457=B1458)*ROW(A$1:A1457)))),IF(INDEX(I$1:I1457,SUMPRODUCT(MAX((A$1:A1457=A1458)*(B$1:B1457=B1458)*ROW(A$1:A1457))))="",C1458&amp;"",INDEX(I$1:I1457,SUMPRODUCT(MAX((A$1:A1457=A1458)*(B$1:B1457=B1458)*ROW(A$1:A1457))))&amp;"; "&amp;C1458))))</f>
        <v/>
      </c>
      <c r="J1458" s="18" t="str">
        <f aca="false">IF(A1458="","",A1458&amp;"|"&amp;COUNTIF(A$2:A1458,A1458))</f>
        <v/>
      </c>
      <c r="K1458" s="18" t="n">
        <f aca="false">IF(OR(A1458="",B1458=""),0,IF(COUNTIFS(A$2:A1458,A1458,B$2:B1458,B1458)=1,1,0))</f>
        <v>0</v>
      </c>
    </row>
    <row r="1459" customFormat="false" ht="15" hidden="false" customHeight="false" outlineLevel="0" collapsed="false">
      <c r="A1459" s="15"/>
      <c r="B1459" s="15"/>
      <c r="C1459" s="15"/>
      <c r="D1459" s="15"/>
      <c r="F1459" s="18" t="str">
        <f aca="false">IF(B1459="","",IFERROR(INDEX(Materials!$B$2:$B$201,MATCH(B1459,Materials!$A$2:$A$201,0)),""))</f>
        <v/>
      </c>
      <c r="G1459" s="18" t="str">
        <f aca="true">IF(AND(A1459="",B1459=""),"",IF(A1459="","Missing product",IF(B1459="","Missing material",IF(COUNTIF(ProductList,A1459)=0,"Product not in Products list",IF(COUNTIF(MaterialList,B1459)=0,"Material not in Materials list","OK")))))</f>
        <v/>
      </c>
      <c r="H1459" s="18" t="str">
        <f aca="false">IF(F1459="Active",A1459&amp;"|"&amp;COUNTIFS(A$2:A1459,A1459,F$2:F1459,"Active"),"")</f>
        <v/>
      </c>
      <c r="I1459" s="18" t="str">
        <f aca="false">IF(B1459="","",IF(SUMPRODUCT(MAX((A$1:A1458=A1459)*(B$1:B1458=B1459)*ROW(A$1:A1458)))=0,C1459&amp;"",IF(C1459="",INDEX(I$1:I1458,SUMPRODUCT(MAX((A$1:A1458=A1459)*(B$1:B1458=B1459)*ROW(A$1:A1458)))),IF(INDEX(I$1:I1458,SUMPRODUCT(MAX((A$1:A1458=A1459)*(B$1:B1458=B1459)*ROW(A$1:A1458))))="",C1459&amp;"",INDEX(I$1:I1458,SUMPRODUCT(MAX((A$1:A1458=A1459)*(B$1:B1458=B1459)*ROW(A$1:A1458))))&amp;"; "&amp;C1459))))</f>
        <v/>
      </c>
      <c r="J1459" s="18" t="str">
        <f aca="false">IF(A1459="","",A1459&amp;"|"&amp;COUNTIF(A$2:A1459,A1459))</f>
        <v/>
      </c>
      <c r="K1459" s="18" t="n">
        <f aca="false">IF(OR(A1459="",B1459=""),0,IF(COUNTIFS(A$2:A1459,A1459,B$2:B1459,B1459)=1,1,0))</f>
        <v>0</v>
      </c>
    </row>
    <row r="1460" customFormat="false" ht="15" hidden="false" customHeight="false" outlineLevel="0" collapsed="false">
      <c r="A1460" s="15"/>
      <c r="B1460" s="15"/>
      <c r="C1460" s="15"/>
      <c r="D1460" s="15"/>
      <c r="F1460" s="18" t="str">
        <f aca="false">IF(B1460="","",IFERROR(INDEX(Materials!$B$2:$B$201,MATCH(B1460,Materials!$A$2:$A$201,0)),""))</f>
        <v/>
      </c>
      <c r="G1460" s="18" t="str">
        <f aca="true">IF(AND(A1460="",B1460=""),"",IF(A1460="","Missing product",IF(B1460="","Missing material",IF(COUNTIF(ProductList,A1460)=0,"Product not in Products list",IF(COUNTIF(MaterialList,B1460)=0,"Material not in Materials list","OK")))))</f>
        <v/>
      </c>
      <c r="H1460" s="18" t="str">
        <f aca="false">IF(F1460="Active",A1460&amp;"|"&amp;COUNTIFS(A$2:A1460,A1460,F$2:F1460,"Active"),"")</f>
        <v/>
      </c>
      <c r="I1460" s="18" t="str">
        <f aca="false">IF(B1460="","",IF(SUMPRODUCT(MAX((A$1:A1459=A1460)*(B$1:B1459=B1460)*ROW(A$1:A1459)))=0,C1460&amp;"",IF(C1460="",INDEX(I$1:I1459,SUMPRODUCT(MAX((A$1:A1459=A1460)*(B$1:B1459=B1460)*ROW(A$1:A1459)))),IF(INDEX(I$1:I1459,SUMPRODUCT(MAX((A$1:A1459=A1460)*(B$1:B1459=B1460)*ROW(A$1:A1459))))="",C1460&amp;"",INDEX(I$1:I1459,SUMPRODUCT(MAX((A$1:A1459=A1460)*(B$1:B1459=B1460)*ROW(A$1:A1459))))&amp;"; "&amp;C1460))))</f>
        <v/>
      </c>
      <c r="J1460" s="18" t="str">
        <f aca="false">IF(A1460="","",A1460&amp;"|"&amp;COUNTIF(A$2:A1460,A1460))</f>
        <v/>
      </c>
      <c r="K1460" s="18" t="n">
        <f aca="false">IF(OR(A1460="",B1460=""),0,IF(COUNTIFS(A$2:A1460,A1460,B$2:B1460,B1460)=1,1,0))</f>
        <v>0</v>
      </c>
    </row>
    <row r="1461" customFormat="false" ht="15" hidden="false" customHeight="false" outlineLevel="0" collapsed="false">
      <c r="A1461" s="15"/>
      <c r="B1461" s="15"/>
      <c r="C1461" s="15"/>
      <c r="D1461" s="15"/>
      <c r="F1461" s="18" t="str">
        <f aca="false">IF(B1461="","",IFERROR(INDEX(Materials!$B$2:$B$201,MATCH(B1461,Materials!$A$2:$A$201,0)),""))</f>
        <v/>
      </c>
      <c r="G1461" s="18" t="str">
        <f aca="true">IF(AND(A1461="",B1461=""),"",IF(A1461="","Missing product",IF(B1461="","Missing material",IF(COUNTIF(ProductList,A1461)=0,"Product not in Products list",IF(COUNTIF(MaterialList,B1461)=0,"Material not in Materials list","OK")))))</f>
        <v/>
      </c>
      <c r="H1461" s="18" t="str">
        <f aca="false">IF(F1461="Active",A1461&amp;"|"&amp;COUNTIFS(A$2:A1461,A1461,F$2:F1461,"Active"),"")</f>
        <v/>
      </c>
      <c r="I1461" s="18" t="str">
        <f aca="false">IF(B1461="","",IF(SUMPRODUCT(MAX((A$1:A1460=A1461)*(B$1:B1460=B1461)*ROW(A$1:A1460)))=0,C1461&amp;"",IF(C1461="",INDEX(I$1:I1460,SUMPRODUCT(MAX((A$1:A1460=A1461)*(B$1:B1460=B1461)*ROW(A$1:A1460)))),IF(INDEX(I$1:I1460,SUMPRODUCT(MAX((A$1:A1460=A1461)*(B$1:B1460=B1461)*ROW(A$1:A1460))))="",C1461&amp;"",INDEX(I$1:I1460,SUMPRODUCT(MAX((A$1:A1460=A1461)*(B$1:B1460=B1461)*ROW(A$1:A1460))))&amp;"; "&amp;C1461))))</f>
        <v/>
      </c>
      <c r="J1461" s="18" t="str">
        <f aca="false">IF(A1461="","",A1461&amp;"|"&amp;COUNTIF(A$2:A1461,A1461))</f>
        <v/>
      </c>
      <c r="K1461" s="18" t="n">
        <f aca="false">IF(OR(A1461="",B1461=""),0,IF(COUNTIFS(A$2:A1461,A1461,B$2:B1461,B1461)=1,1,0))</f>
        <v>0</v>
      </c>
    </row>
    <row r="1462" customFormat="false" ht="15" hidden="false" customHeight="false" outlineLevel="0" collapsed="false">
      <c r="A1462" s="15"/>
      <c r="B1462" s="15"/>
      <c r="C1462" s="15"/>
      <c r="D1462" s="15"/>
      <c r="F1462" s="18" t="str">
        <f aca="false">IF(B1462="","",IFERROR(INDEX(Materials!$B$2:$B$201,MATCH(B1462,Materials!$A$2:$A$201,0)),""))</f>
        <v/>
      </c>
      <c r="G1462" s="18" t="str">
        <f aca="true">IF(AND(A1462="",B1462=""),"",IF(A1462="","Missing product",IF(B1462="","Missing material",IF(COUNTIF(ProductList,A1462)=0,"Product not in Products list",IF(COUNTIF(MaterialList,B1462)=0,"Material not in Materials list","OK")))))</f>
        <v/>
      </c>
      <c r="H1462" s="18" t="str">
        <f aca="false">IF(F1462="Active",A1462&amp;"|"&amp;COUNTIFS(A$2:A1462,A1462,F$2:F1462,"Active"),"")</f>
        <v/>
      </c>
      <c r="I1462" s="18" t="str">
        <f aca="false">IF(B1462="","",IF(SUMPRODUCT(MAX((A$1:A1461=A1462)*(B$1:B1461=B1462)*ROW(A$1:A1461)))=0,C1462&amp;"",IF(C1462="",INDEX(I$1:I1461,SUMPRODUCT(MAX((A$1:A1461=A1462)*(B$1:B1461=B1462)*ROW(A$1:A1461)))),IF(INDEX(I$1:I1461,SUMPRODUCT(MAX((A$1:A1461=A1462)*(B$1:B1461=B1462)*ROW(A$1:A1461))))="",C1462&amp;"",INDEX(I$1:I1461,SUMPRODUCT(MAX((A$1:A1461=A1462)*(B$1:B1461=B1462)*ROW(A$1:A1461))))&amp;"; "&amp;C1462))))</f>
        <v/>
      </c>
      <c r="J1462" s="18" t="str">
        <f aca="false">IF(A1462="","",A1462&amp;"|"&amp;COUNTIF(A$2:A1462,A1462))</f>
        <v/>
      </c>
      <c r="K1462" s="18" t="n">
        <f aca="false">IF(OR(A1462="",B1462=""),0,IF(COUNTIFS(A$2:A1462,A1462,B$2:B1462,B1462)=1,1,0))</f>
        <v>0</v>
      </c>
    </row>
    <row r="1463" customFormat="false" ht="15" hidden="false" customHeight="false" outlineLevel="0" collapsed="false">
      <c r="A1463" s="15"/>
      <c r="B1463" s="15"/>
      <c r="C1463" s="15"/>
      <c r="D1463" s="15"/>
      <c r="F1463" s="18" t="str">
        <f aca="false">IF(B1463="","",IFERROR(INDEX(Materials!$B$2:$B$201,MATCH(B1463,Materials!$A$2:$A$201,0)),""))</f>
        <v/>
      </c>
      <c r="G1463" s="18" t="str">
        <f aca="true">IF(AND(A1463="",B1463=""),"",IF(A1463="","Missing product",IF(B1463="","Missing material",IF(COUNTIF(ProductList,A1463)=0,"Product not in Products list",IF(COUNTIF(MaterialList,B1463)=0,"Material not in Materials list","OK")))))</f>
        <v/>
      </c>
      <c r="H1463" s="18" t="str">
        <f aca="false">IF(F1463="Active",A1463&amp;"|"&amp;COUNTIFS(A$2:A1463,A1463,F$2:F1463,"Active"),"")</f>
        <v/>
      </c>
      <c r="I1463" s="18" t="str">
        <f aca="false">IF(B1463="","",IF(SUMPRODUCT(MAX((A$1:A1462=A1463)*(B$1:B1462=B1463)*ROW(A$1:A1462)))=0,C1463&amp;"",IF(C1463="",INDEX(I$1:I1462,SUMPRODUCT(MAX((A$1:A1462=A1463)*(B$1:B1462=B1463)*ROW(A$1:A1462)))),IF(INDEX(I$1:I1462,SUMPRODUCT(MAX((A$1:A1462=A1463)*(B$1:B1462=B1463)*ROW(A$1:A1462))))="",C1463&amp;"",INDEX(I$1:I1462,SUMPRODUCT(MAX((A$1:A1462=A1463)*(B$1:B1462=B1463)*ROW(A$1:A1462))))&amp;"; "&amp;C1463))))</f>
        <v/>
      </c>
      <c r="J1463" s="18" t="str">
        <f aca="false">IF(A1463="","",A1463&amp;"|"&amp;COUNTIF(A$2:A1463,A1463))</f>
        <v/>
      </c>
      <c r="K1463" s="18" t="n">
        <f aca="false">IF(OR(A1463="",B1463=""),0,IF(COUNTIFS(A$2:A1463,A1463,B$2:B1463,B1463)=1,1,0))</f>
        <v>0</v>
      </c>
    </row>
    <row r="1464" customFormat="false" ht="15" hidden="false" customHeight="false" outlineLevel="0" collapsed="false">
      <c r="A1464" s="15"/>
      <c r="B1464" s="15"/>
      <c r="C1464" s="15"/>
      <c r="D1464" s="15"/>
      <c r="F1464" s="18" t="str">
        <f aca="false">IF(B1464="","",IFERROR(INDEX(Materials!$B$2:$B$201,MATCH(B1464,Materials!$A$2:$A$201,0)),""))</f>
        <v/>
      </c>
      <c r="G1464" s="18" t="str">
        <f aca="true">IF(AND(A1464="",B1464=""),"",IF(A1464="","Missing product",IF(B1464="","Missing material",IF(COUNTIF(ProductList,A1464)=0,"Product not in Products list",IF(COUNTIF(MaterialList,B1464)=0,"Material not in Materials list","OK")))))</f>
        <v/>
      </c>
      <c r="H1464" s="18" t="str">
        <f aca="false">IF(F1464="Active",A1464&amp;"|"&amp;COUNTIFS(A$2:A1464,A1464,F$2:F1464,"Active"),"")</f>
        <v/>
      </c>
      <c r="I1464" s="18" t="str">
        <f aca="false">IF(B1464="","",IF(SUMPRODUCT(MAX((A$1:A1463=A1464)*(B$1:B1463=B1464)*ROW(A$1:A1463)))=0,C1464&amp;"",IF(C1464="",INDEX(I$1:I1463,SUMPRODUCT(MAX((A$1:A1463=A1464)*(B$1:B1463=B1464)*ROW(A$1:A1463)))),IF(INDEX(I$1:I1463,SUMPRODUCT(MAX((A$1:A1463=A1464)*(B$1:B1463=B1464)*ROW(A$1:A1463))))="",C1464&amp;"",INDEX(I$1:I1463,SUMPRODUCT(MAX((A$1:A1463=A1464)*(B$1:B1463=B1464)*ROW(A$1:A1463))))&amp;"; "&amp;C1464))))</f>
        <v/>
      </c>
      <c r="J1464" s="18" t="str">
        <f aca="false">IF(A1464="","",A1464&amp;"|"&amp;COUNTIF(A$2:A1464,A1464))</f>
        <v/>
      </c>
      <c r="K1464" s="18" t="n">
        <f aca="false">IF(OR(A1464="",B1464=""),0,IF(COUNTIFS(A$2:A1464,A1464,B$2:B1464,B1464)=1,1,0))</f>
        <v>0</v>
      </c>
    </row>
    <row r="1465" customFormat="false" ht="15" hidden="false" customHeight="false" outlineLevel="0" collapsed="false">
      <c r="A1465" s="15"/>
      <c r="B1465" s="15"/>
      <c r="C1465" s="15"/>
      <c r="D1465" s="15"/>
      <c r="F1465" s="18" t="str">
        <f aca="false">IF(B1465="","",IFERROR(INDEX(Materials!$B$2:$B$201,MATCH(B1465,Materials!$A$2:$A$201,0)),""))</f>
        <v/>
      </c>
      <c r="G1465" s="18" t="str">
        <f aca="true">IF(AND(A1465="",B1465=""),"",IF(A1465="","Missing product",IF(B1465="","Missing material",IF(COUNTIF(ProductList,A1465)=0,"Product not in Products list",IF(COUNTIF(MaterialList,B1465)=0,"Material not in Materials list","OK")))))</f>
        <v/>
      </c>
      <c r="H1465" s="18" t="str">
        <f aca="false">IF(F1465="Active",A1465&amp;"|"&amp;COUNTIFS(A$2:A1465,A1465,F$2:F1465,"Active"),"")</f>
        <v/>
      </c>
      <c r="I1465" s="18" t="str">
        <f aca="false">IF(B1465="","",IF(SUMPRODUCT(MAX((A$1:A1464=A1465)*(B$1:B1464=B1465)*ROW(A$1:A1464)))=0,C1465&amp;"",IF(C1465="",INDEX(I$1:I1464,SUMPRODUCT(MAX((A$1:A1464=A1465)*(B$1:B1464=B1465)*ROW(A$1:A1464)))),IF(INDEX(I$1:I1464,SUMPRODUCT(MAX((A$1:A1464=A1465)*(B$1:B1464=B1465)*ROW(A$1:A1464))))="",C1465&amp;"",INDEX(I$1:I1464,SUMPRODUCT(MAX((A$1:A1464=A1465)*(B$1:B1464=B1465)*ROW(A$1:A1464))))&amp;"; "&amp;C1465))))</f>
        <v/>
      </c>
      <c r="J1465" s="18" t="str">
        <f aca="false">IF(A1465="","",A1465&amp;"|"&amp;COUNTIF(A$2:A1465,A1465))</f>
        <v/>
      </c>
      <c r="K1465" s="18" t="n">
        <f aca="false">IF(OR(A1465="",B1465=""),0,IF(COUNTIFS(A$2:A1465,A1465,B$2:B1465,B1465)=1,1,0))</f>
        <v>0</v>
      </c>
    </row>
    <row r="1466" customFormat="false" ht="15" hidden="false" customHeight="false" outlineLevel="0" collapsed="false">
      <c r="A1466" s="15"/>
      <c r="B1466" s="15"/>
      <c r="C1466" s="15"/>
      <c r="D1466" s="15"/>
      <c r="F1466" s="18" t="str">
        <f aca="false">IF(B1466="","",IFERROR(INDEX(Materials!$B$2:$B$201,MATCH(B1466,Materials!$A$2:$A$201,0)),""))</f>
        <v/>
      </c>
      <c r="G1466" s="18" t="str">
        <f aca="true">IF(AND(A1466="",B1466=""),"",IF(A1466="","Missing product",IF(B1466="","Missing material",IF(COUNTIF(ProductList,A1466)=0,"Product not in Products list",IF(COUNTIF(MaterialList,B1466)=0,"Material not in Materials list","OK")))))</f>
        <v/>
      </c>
      <c r="H1466" s="18" t="str">
        <f aca="false">IF(F1466="Active",A1466&amp;"|"&amp;COUNTIFS(A$2:A1466,A1466,F$2:F1466,"Active"),"")</f>
        <v/>
      </c>
      <c r="I1466" s="18" t="str">
        <f aca="false">IF(B1466="","",IF(SUMPRODUCT(MAX((A$1:A1465=A1466)*(B$1:B1465=B1466)*ROW(A$1:A1465)))=0,C1466&amp;"",IF(C1466="",INDEX(I$1:I1465,SUMPRODUCT(MAX((A$1:A1465=A1466)*(B$1:B1465=B1466)*ROW(A$1:A1465)))),IF(INDEX(I$1:I1465,SUMPRODUCT(MAX((A$1:A1465=A1466)*(B$1:B1465=B1466)*ROW(A$1:A1465))))="",C1466&amp;"",INDEX(I$1:I1465,SUMPRODUCT(MAX((A$1:A1465=A1466)*(B$1:B1465=B1466)*ROW(A$1:A1465))))&amp;"; "&amp;C1466))))</f>
        <v/>
      </c>
      <c r="J1466" s="18" t="str">
        <f aca="false">IF(A1466="","",A1466&amp;"|"&amp;COUNTIF(A$2:A1466,A1466))</f>
        <v/>
      </c>
      <c r="K1466" s="18" t="n">
        <f aca="false">IF(OR(A1466="",B1466=""),0,IF(COUNTIFS(A$2:A1466,A1466,B$2:B1466,B1466)=1,1,0))</f>
        <v>0</v>
      </c>
    </row>
    <row r="1467" customFormat="false" ht="15" hidden="false" customHeight="false" outlineLevel="0" collapsed="false">
      <c r="A1467" s="15"/>
      <c r="B1467" s="15"/>
      <c r="C1467" s="15"/>
      <c r="D1467" s="15"/>
      <c r="F1467" s="18" t="str">
        <f aca="false">IF(B1467="","",IFERROR(INDEX(Materials!$B$2:$B$201,MATCH(B1467,Materials!$A$2:$A$201,0)),""))</f>
        <v/>
      </c>
      <c r="G1467" s="18" t="str">
        <f aca="true">IF(AND(A1467="",B1467=""),"",IF(A1467="","Missing product",IF(B1467="","Missing material",IF(COUNTIF(ProductList,A1467)=0,"Product not in Products list",IF(COUNTIF(MaterialList,B1467)=0,"Material not in Materials list","OK")))))</f>
        <v/>
      </c>
      <c r="H1467" s="18" t="str">
        <f aca="false">IF(F1467="Active",A1467&amp;"|"&amp;COUNTIFS(A$2:A1467,A1467,F$2:F1467,"Active"),"")</f>
        <v/>
      </c>
      <c r="I1467" s="18" t="str">
        <f aca="false">IF(B1467="","",IF(SUMPRODUCT(MAX((A$1:A1466=A1467)*(B$1:B1466=B1467)*ROW(A$1:A1466)))=0,C1467&amp;"",IF(C1467="",INDEX(I$1:I1466,SUMPRODUCT(MAX((A$1:A1466=A1467)*(B$1:B1466=B1467)*ROW(A$1:A1466)))),IF(INDEX(I$1:I1466,SUMPRODUCT(MAX((A$1:A1466=A1467)*(B$1:B1466=B1467)*ROW(A$1:A1466))))="",C1467&amp;"",INDEX(I$1:I1466,SUMPRODUCT(MAX((A$1:A1466=A1467)*(B$1:B1466=B1467)*ROW(A$1:A1466))))&amp;"; "&amp;C1467))))</f>
        <v/>
      </c>
      <c r="J1467" s="18" t="str">
        <f aca="false">IF(A1467="","",A1467&amp;"|"&amp;COUNTIF(A$2:A1467,A1467))</f>
        <v/>
      </c>
      <c r="K1467" s="18" t="n">
        <f aca="false">IF(OR(A1467="",B1467=""),0,IF(COUNTIFS(A$2:A1467,A1467,B$2:B1467,B1467)=1,1,0))</f>
        <v>0</v>
      </c>
    </row>
    <row r="1468" customFormat="false" ht="15" hidden="false" customHeight="false" outlineLevel="0" collapsed="false">
      <c r="A1468" s="15"/>
      <c r="B1468" s="15"/>
      <c r="C1468" s="15"/>
      <c r="D1468" s="15"/>
      <c r="F1468" s="18" t="str">
        <f aca="false">IF(B1468="","",IFERROR(INDEX(Materials!$B$2:$B$201,MATCH(B1468,Materials!$A$2:$A$201,0)),""))</f>
        <v/>
      </c>
      <c r="G1468" s="18" t="str">
        <f aca="true">IF(AND(A1468="",B1468=""),"",IF(A1468="","Missing product",IF(B1468="","Missing material",IF(COUNTIF(ProductList,A1468)=0,"Product not in Products list",IF(COUNTIF(MaterialList,B1468)=0,"Material not in Materials list","OK")))))</f>
        <v/>
      </c>
      <c r="H1468" s="18" t="str">
        <f aca="false">IF(F1468="Active",A1468&amp;"|"&amp;COUNTIFS(A$2:A1468,A1468,F$2:F1468,"Active"),"")</f>
        <v/>
      </c>
      <c r="I1468" s="18" t="str">
        <f aca="false">IF(B1468="","",IF(SUMPRODUCT(MAX((A$1:A1467=A1468)*(B$1:B1467=B1468)*ROW(A$1:A1467)))=0,C1468&amp;"",IF(C1468="",INDEX(I$1:I1467,SUMPRODUCT(MAX((A$1:A1467=A1468)*(B$1:B1467=B1468)*ROW(A$1:A1467)))),IF(INDEX(I$1:I1467,SUMPRODUCT(MAX((A$1:A1467=A1468)*(B$1:B1467=B1468)*ROW(A$1:A1467))))="",C1468&amp;"",INDEX(I$1:I1467,SUMPRODUCT(MAX((A$1:A1467=A1468)*(B$1:B1467=B1468)*ROW(A$1:A1467))))&amp;"; "&amp;C1468))))</f>
        <v/>
      </c>
      <c r="J1468" s="18" t="str">
        <f aca="false">IF(A1468="","",A1468&amp;"|"&amp;COUNTIF(A$2:A1468,A1468))</f>
        <v/>
      </c>
      <c r="K1468" s="18" t="n">
        <f aca="false">IF(OR(A1468="",B1468=""),0,IF(COUNTIFS(A$2:A1468,A1468,B$2:B1468,B1468)=1,1,0))</f>
        <v>0</v>
      </c>
    </row>
    <row r="1469" customFormat="false" ht="15" hidden="false" customHeight="false" outlineLevel="0" collapsed="false">
      <c r="A1469" s="15"/>
      <c r="B1469" s="15"/>
      <c r="C1469" s="15"/>
      <c r="D1469" s="15"/>
      <c r="F1469" s="18" t="str">
        <f aca="false">IF(B1469="","",IFERROR(INDEX(Materials!$B$2:$B$201,MATCH(B1469,Materials!$A$2:$A$201,0)),""))</f>
        <v/>
      </c>
      <c r="G1469" s="18" t="str">
        <f aca="true">IF(AND(A1469="",B1469=""),"",IF(A1469="","Missing product",IF(B1469="","Missing material",IF(COUNTIF(ProductList,A1469)=0,"Product not in Products list",IF(COUNTIF(MaterialList,B1469)=0,"Material not in Materials list","OK")))))</f>
        <v/>
      </c>
      <c r="H1469" s="18" t="str">
        <f aca="false">IF(F1469="Active",A1469&amp;"|"&amp;COUNTIFS(A$2:A1469,A1469,F$2:F1469,"Active"),"")</f>
        <v/>
      </c>
      <c r="I1469" s="18" t="str">
        <f aca="false">IF(B1469="","",IF(SUMPRODUCT(MAX((A$1:A1468=A1469)*(B$1:B1468=B1469)*ROW(A$1:A1468)))=0,C1469&amp;"",IF(C1469="",INDEX(I$1:I1468,SUMPRODUCT(MAX((A$1:A1468=A1469)*(B$1:B1468=B1469)*ROW(A$1:A1468)))),IF(INDEX(I$1:I1468,SUMPRODUCT(MAX((A$1:A1468=A1469)*(B$1:B1468=B1469)*ROW(A$1:A1468))))="",C1469&amp;"",INDEX(I$1:I1468,SUMPRODUCT(MAX((A$1:A1468=A1469)*(B$1:B1468=B1469)*ROW(A$1:A1468))))&amp;"; "&amp;C1469))))</f>
        <v/>
      </c>
      <c r="J1469" s="18" t="str">
        <f aca="false">IF(A1469="","",A1469&amp;"|"&amp;COUNTIF(A$2:A1469,A1469))</f>
        <v/>
      </c>
      <c r="K1469" s="18" t="n">
        <f aca="false">IF(OR(A1469="",B1469=""),0,IF(COUNTIFS(A$2:A1469,A1469,B$2:B1469,B1469)=1,1,0))</f>
        <v>0</v>
      </c>
    </row>
    <row r="1470" customFormat="false" ht="15" hidden="false" customHeight="false" outlineLevel="0" collapsed="false">
      <c r="A1470" s="15"/>
      <c r="B1470" s="15"/>
      <c r="C1470" s="15"/>
      <c r="D1470" s="15"/>
      <c r="F1470" s="18" t="str">
        <f aca="false">IF(B1470="","",IFERROR(INDEX(Materials!$B$2:$B$201,MATCH(B1470,Materials!$A$2:$A$201,0)),""))</f>
        <v/>
      </c>
      <c r="G1470" s="18" t="str">
        <f aca="true">IF(AND(A1470="",B1470=""),"",IF(A1470="","Missing product",IF(B1470="","Missing material",IF(COUNTIF(ProductList,A1470)=0,"Product not in Products list",IF(COUNTIF(MaterialList,B1470)=0,"Material not in Materials list","OK")))))</f>
        <v/>
      </c>
      <c r="H1470" s="18" t="str">
        <f aca="false">IF(F1470="Active",A1470&amp;"|"&amp;COUNTIFS(A$2:A1470,A1470,F$2:F1470,"Active"),"")</f>
        <v/>
      </c>
      <c r="I1470" s="18" t="str">
        <f aca="false">IF(B1470="","",IF(SUMPRODUCT(MAX((A$1:A1469=A1470)*(B$1:B1469=B1470)*ROW(A$1:A1469)))=0,C1470&amp;"",IF(C1470="",INDEX(I$1:I1469,SUMPRODUCT(MAX((A$1:A1469=A1470)*(B$1:B1469=B1470)*ROW(A$1:A1469)))),IF(INDEX(I$1:I1469,SUMPRODUCT(MAX((A$1:A1469=A1470)*(B$1:B1469=B1470)*ROW(A$1:A1469))))="",C1470&amp;"",INDEX(I$1:I1469,SUMPRODUCT(MAX((A$1:A1469=A1470)*(B$1:B1469=B1470)*ROW(A$1:A1469))))&amp;"; "&amp;C1470))))</f>
        <v/>
      </c>
      <c r="J1470" s="18" t="str">
        <f aca="false">IF(A1470="","",A1470&amp;"|"&amp;COUNTIF(A$2:A1470,A1470))</f>
        <v/>
      </c>
      <c r="K1470" s="18" t="n">
        <f aca="false">IF(OR(A1470="",B1470=""),0,IF(COUNTIFS(A$2:A1470,A1470,B$2:B1470,B1470)=1,1,0))</f>
        <v>0</v>
      </c>
    </row>
    <row r="1471" customFormat="false" ht="15" hidden="false" customHeight="false" outlineLevel="0" collapsed="false">
      <c r="A1471" s="15"/>
      <c r="B1471" s="15"/>
      <c r="C1471" s="15"/>
      <c r="D1471" s="15"/>
      <c r="F1471" s="18" t="str">
        <f aca="false">IF(B1471="","",IFERROR(INDEX(Materials!$B$2:$B$201,MATCH(B1471,Materials!$A$2:$A$201,0)),""))</f>
        <v/>
      </c>
      <c r="G1471" s="18" t="str">
        <f aca="true">IF(AND(A1471="",B1471=""),"",IF(A1471="","Missing product",IF(B1471="","Missing material",IF(COUNTIF(ProductList,A1471)=0,"Product not in Products list",IF(COUNTIF(MaterialList,B1471)=0,"Material not in Materials list","OK")))))</f>
        <v/>
      </c>
      <c r="H1471" s="18" t="str">
        <f aca="false">IF(F1471="Active",A1471&amp;"|"&amp;COUNTIFS(A$2:A1471,A1471,F$2:F1471,"Active"),"")</f>
        <v/>
      </c>
      <c r="I1471" s="18" t="str">
        <f aca="false">IF(B1471="","",IF(SUMPRODUCT(MAX((A$1:A1470=A1471)*(B$1:B1470=B1471)*ROW(A$1:A1470)))=0,C1471&amp;"",IF(C1471="",INDEX(I$1:I1470,SUMPRODUCT(MAX((A$1:A1470=A1471)*(B$1:B1470=B1471)*ROW(A$1:A1470)))),IF(INDEX(I$1:I1470,SUMPRODUCT(MAX((A$1:A1470=A1471)*(B$1:B1470=B1471)*ROW(A$1:A1470))))="",C1471&amp;"",INDEX(I$1:I1470,SUMPRODUCT(MAX((A$1:A1470=A1471)*(B$1:B1470=B1471)*ROW(A$1:A1470))))&amp;"; "&amp;C1471))))</f>
        <v/>
      </c>
      <c r="J1471" s="18" t="str">
        <f aca="false">IF(A1471="","",A1471&amp;"|"&amp;COUNTIF(A$2:A1471,A1471))</f>
        <v/>
      </c>
      <c r="K1471" s="18" t="n">
        <f aca="false">IF(OR(A1471="",B1471=""),0,IF(COUNTIFS(A$2:A1471,A1471,B$2:B1471,B1471)=1,1,0))</f>
        <v>0</v>
      </c>
    </row>
    <row r="1472" customFormat="false" ht="15" hidden="false" customHeight="false" outlineLevel="0" collapsed="false">
      <c r="A1472" s="15"/>
      <c r="B1472" s="15"/>
      <c r="C1472" s="15"/>
      <c r="D1472" s="15"/>
      <c r="F1472" s="18" t="str">
        <f aca="false">IF(B1472="","",IFERROR(INDEX(Materials!$B$2:$B$201,MATCH(B1472,Materials!$A$2:$A$201,0)),""))</f>
        <v/>
      </c>
      <c r="G1472" s="18" t="str">
        <f aca="true">IF(AND(A1472="",B1472=""),"",IF(A1472="","Missing product",IF(B1472="","Missing material",IF(COUNTIF(ProductList,A1472)=0,"Product not in Products list",IF(COUNTIF(MaterialList,B1472)=0,"Material not in Materials list","OK")))))</f>
        <v/>
      </c>
      <c r="H1472" s="18" t="str">
        <f aca="false">IF(F1472="Active",A1472&amp;"|"&amp;COUNTIFS(A$2:A1472,A1472,F$2:F1472,"Active"),"")</f>
        <v/>
      </c>
      <c r="I1472" s="18" t="str">
        <f aca="false">IF(B1472="","",IF(SUMPRODUCT(MAX((A$1:A1471=A1472)*(B$1:B1471=B1472)*ROW(A$1:A1471)))=0,C1472&amp;"",IF(C1472="",INDEX(I$1:I1471,SUMPRODUCT(MAX((A$1:A1471=A1472)*(B$1:B1471=B1472)*ROW(A$1:A1471)))),IF(INDEX(I$1:I1471,SUMPRODUCT(MAX((A$1:A1471=A1472)*(B$1:B1471=B1472)*ROW(A$1:A1471))))="",C1472&amp;"",INDEX(I$1:I1471,SUMPRODUCT(MAX((A$1:A1471=A1472)*(B$1:B1471=B1472)*ROW(A$1:A1471))))&amp;"; "&amp;C1472))))</f>
        <v/>
      </c>
      <c r="J1472" s="18" t="str">
        <f aca="false">IF(A1472="","",A1472&amp;"|"&amp;COUNTIF(A$2:A1472,A1472))</f>
        <v/>
      </c>
      <c r="K1472" s="18" t="n">
        <f aca="false">IF(OR(A1472="",B1472=""),0,IF(COUNTIFS(A$2:A1472,A1472,B$2:B1472,B1472)=1,1,0))</f>
        <v>0</v>
      </c>
    </row>
    <row r="1473" customFormat="false" ht="15" hidden="false" customHeight="false" outlineLevel="0" collapsed="false">
      <c r="A1473" s="15"/>
      <c r="B1473" s="15"/>
      <c r="C1473" s="15"/>
      <c r="D1473" s="15"/>
      <c r="F1473" s="18" t="str">
        <f aca="false">IF(B1473="","",IFERROR(INDEX(Materials!$B$2:$B$201,MATCH(B1473,Materials!$A$2:$A$201,0)),""))</f>
        <v/>
      </c>
      <c r="G1473" s="18" t="str">
        <f aca="true">IF(AND(A1473="",B1473=""),"",IF(A1473="","Missing product",IF(B1473="","Missing material",IF(COUNTIF(ProductList,A1473)=0,"Product not in Products list",IF(COUNTIF(MaterialList,B1473)=0,"Material not in Materials list","OK")))))</f>
        <v/>
      </c>
      <c r="H1473" s="18" t="str">
        <f aca="false">IF(F1473="Active",A1473&amp;"|"&amp;COUNTIFS(A$2:A1473,A1473,F$2:F1473,"Active"),"")</f>
        <v/>
      </c>
      <c r="I1473" s="18" t="str">
        <f aca="false">IF(B1473="","",IF(SUMPRODUCT(MAX((A$1:A1472=A1473)*(B$1:B1472=B1473)*ROW(A$1:A1472)))=0,C1473&amp;"",IF(C1473="",INDEX(I$1:I1472,SUMPRODUCT(MAX((A$1:A1472=A1473)*(B$1:B1472=B1473)*ROW(A$1:A1472)))),IF(INDEX(I$1:I1472,SUMPRODUCT(MAX((A$1:A1472=A1473)*(B$1:B1472=B1473)*ROW(A$1:A1472))))="",C1473&amp;"",INDEX(I$1:I1472,SUMPRODUCT(MAX((A$1:A1472=A1473)*(B$1:B1472=B1473)*ROW(A$1:A1472))))&amp;"; "&amp;C1473))))</f>
        <v/>
      </c>
      <c r="J1473" s="18" t="str">
        <f aca="false">IF(A1473="","",A1473&amp;"|"&amp;COUNTIF(A$2:A1473,A1473))</f>
        <v/>
      </c>
      <c r="K1473" s="18" t="n">
        <f aca="false">IF(OR(A1473="",B1473=""),0,IF(COUNTIFS(A$2:A1473,A1473,B$2:B1473,B1473)=1,1,0))</f>
        <v>0</v>
      </c>
    </row>
    <row r="1474" customFormat="false" ht="15" hidden="false" customHeight="false" outlineLevel="0" collapsed="false">
      <c r="A1474" s="15"/>
      <c r="B1474" s="15"/>
      <c r="C1474" s="15"/>
      <c r="D1474" s="15"/>
      <c r="F1474" s="18" t="str">
        <f aca="false">IF(B1474="","",IFERROR(INDEX(Materials!$B$2:$B$201,MATCH(B1474,Materials!$A$2:$A$201,0)),""))</f>
        <v/>
      </c>
      <c r="G1474" s="18" t="str">
        <f aca="true">IF(AND(A1474="",B1474=""),"",IF(A1474="","Missing product",IF(B1474="","Missing material",IF(COUNTIF(ProductList,A1474)=0,"Product not in Products list",IF(COUNTIF(MaterialList,B1474)=0,"Material not in Materials list","OK")))))</f>
        <v/>
      </c>
      <c r="H1474" s="18" t="str">
        <f aca="false">IF(F1474="Active",A1474&amp;"|"&amp;COUNTIFS(A$2:A1474,A1474,F$2:F1474,"Active"),"")</f>
        <v/>
      </c>
      <c r="I1474" s="18" t="str">
        <f aca="false">IF(B1474="","",IF(SUMPRODUCT(MAX((A$1:A1473=A1474)*(B$1:B1473=B1474)*ROW(A$1:A1473)))=0,C1474&amp;"",IF(C1474="",INDEX(I$1:I1473,SUMPRODUCT(MAX((A$1:A1473=A1474)*(B$1:B1473=B1474)*ROW(A$1:A1473)))),IF(INDEX(I$1:I1473,SUMPRODUCT(MAX((A$1:A1473=A1474)*(B$1:B1473=B1474)*ROW(A$1:A1473))))="",C1474&amp;"",INDEX(I$1:I1473,SUMPRODUCT(MAX((A$1:A1473=A1474)*(B$1:B1473=B1474)*ROW(A$1:A1473))))&amp;"; "&amp;C1474))))</f>
        <v/>
      </c>
      <c r="J1474" s="18" t="str">
        <f aca="false">IF(A1474="","",A1474&amp;"|"&amp;COUNTIF(A$2:A1474,A1474))</f>
        <v/>
      </c>
      <c r="K1474" s="18" t="n">
        <f aca="false">IF(OR(A1474="",B1474=""),0,IF(COUNTIFS(A$2:A1474,A1474,B$2:B1474,B1474)=1,1,0))</f>
        <v>0</v>
      </c>
    </row>
    <row r="1475" customFormat="false" ht="15" hidden="false" customHeight="false" outlineLevel="0" collapsed="false">
      <c r="A1475" s="15"/>
      <c r="B1475" s="15"/>
      <c r="C1475" s="15"/>
      <c r="D1475" s="15"/>
      <c r="F1475" s="18" t="str">
        <f aca="false">IF(B1475="","",IFERROR(INDEX(Materials!$B$2:$B$201,MATCH(B1475,Materials!$A$2:$A$201,0)),""))</f>
        <v/>
      </c>
      <c r="G1475" s="18" t="str">
        <f aca="true">IF(AND(A1475="",B1475=""),"",IF(A1475="","Missing product",IF(B1475="","Missing material",IF(COUNTIF(ProductList,A1475)=0,"Product not in Products list",IF(COUNTIF(MaterialList,B1475)=0,"Material not in Materials list","OK")))))</f>
        <v/>
      </c>
      <c r="H1475" s="18" t="str">
        <f aca="false">IF(F1475="Active",A1475&amp;"|"&amp;COUNTIFS(A$2:A1475,A1475,F$2:F1475,"Active"),"")</f>
        <v/>
      </c>
      <c r="I1475" s="18" t="str">
        <f aca="false">IF(B1475="","",IF(SUMPRODUCT(MAX((A$1:A1474=A1475)*(B$1:B1474=B1475)*ROW(A$1:A1474)))=0,C1475&amp;"",IF(C1475="",INDEX(I$1:I1474,SUMPRODUCT(MAX((A$1:A1474=A1475)*(B$1:B1474=B1475)*ROW(A$1:A1474)))),IF(INDEX(I$1:I1474,SUMPRODUCT(MAX((A$1:A1474=A1475)*(B$1:B1474=B1475)*ROW(A$1:A1474))))="",C1475&amp;"",INDEX(I$1:I1474,SUMPRODUCT(MAX((A$1:A1474=A1475)*(B$1:B1474=B1475)*ROW(A$1:A1474))))&amp;"; "&amp;C1475))))</f>
        <v/>
      </c>
      <c r="J1475" s="18" t="str">
        <f aca="false">IF(A1475="","",A1475&amp;"|"&amp;COUNTIF(A$2:A1475,A1475))</f>
        <v/>
      </c>
      <c r="K1475" s="18" t="n">
        <f aca="false">IF(OR(A1475="",B1475=""),0,IF(COUNTIFS(A$2:A1475,A1475,B$2:B1475,B1475)=1,1,0))</f>
        <v>0</v>
      </c>
    </row>
    <row r="1476" customFormat="false" ht="15" hidden="false" customHeight="false" outlineLevel="0" collapsed="false">
      <c r="A1476" s="15"/>
      <c r="B1476" s="15"/>
      <c r="C1476" s="15"/>
      <c r="D1476" s="15"/>
      <c r="F1476" s="18" t="str">
        <f aca="false">IF(B1476="","",IFERROR(INDEX(Materials!$B$2:$B$201,MATCH(B1476,Materials!$A$2:$A$201,0)),""))</f>
        <v/>
      </c>
      <c r="G1476" s="18" t="str">
        <f aca="true">IF(AND(A1476="",B1476=""),"",IF(A1476="","Missing product",IF(B1476="","Missing material",IF(COUNTIF(ProductList,A1476)=0,"Product not in Products list",IF(COUNTIF(MaterialList,B1476)=0,"Material not in Materials list","OK")))))</f>
        <v/>
      </c>
      <c r="H1476" s="18" t="str">
        <f aca="false">IF(F1476="Active",A1476&amp;"|"&amp;COUNTIFS(A$2:A1476,A1476,F$2:F1476,"Active"),"")</f>
        <v/>
      </c>
      <c r="I1476" s="18" t="str">
        <f aca="false">IF(B1476="","",IF(SUMPRODUCT(MAX((A$1:A1475=A1476)*(B$1:B1475=B1476)*ROW(A$1:A1475)))=0,C1476&amp;"",IF(C1476="",INDEX(I$1:I1475,SUMPRODUCT(MAX((A$1:A1475=A1476)*(B$1:B1475=B1476)*ROW(A$1:A1475)))),IF(INDEX(I$1:I1475,SUMPRODUCT(MAX((A$1:A1475=A1476)*(B$1:B1475=B1476)*ROW(A$1:A1475))))="",C1476&amp;"",INDEX(I$1:I1475,SUMPRODUCT(MAX((A$1:A1475=A1476)*(B$1:B1475=B1476)*ROW(A$1:A1475))))&amp;"; "&amp;C1476))))</f>
        <v/>
      </c>
      <c r="J1476" s="18" t="str">
        <f aca="false">IF(A1476="","",A1476&amp;"|"&amp;COUNTIF(A$2:A1476,A1476))</f>
        <v/>
      </c>
      <c r="K1476" s="18" t="n">
        <f aca="false">IF(OR(A1476="",B1476=""),0,IF(COUNTIFS(A$2:A1476,A1476,B$2:B1476,B1476)=1,1,0))</f>
        <v>0</v>
      </c>
    </row>
    <row r="1477" customFormat="false" ht="15" hidden="false" customHeight="false" outlineLevel="0" collapsed="false">
      <c r="A1477" s="15"/>
      <c r="B1477" s="15"/>
      <c r="C1477" s="15"/>
      <c r="D1477" s="15"/>
      <c r="F1477" s="18" t="str">
        <f aca="false">IF(B1477="","",IFERROR(INDEX(Materials!$B$2:$B$201,MATCH(B1477,Materials!$A$2:$A$201,0)),""))</f>
        <v/>
      </c>
      <c r="G1477" s="18" t="str">
        <f aca="true">IF(AND(A1477="",B1477=""),"",IF(A1477="","Missing product",IF(B1477="","Missing material",IF(COUNTIF(ProductList,A1477)=0,"Product not in Products list",IF(COUNTIF(MaterialList,B1477)=0,"Material not in Materials list","OK")))))</f>
        <v/>
      </c>
      <c r="H1477" s="18" t="str">
        <f aca="false">IF(F1477="Active",A1477&amp;"|"&amp;COUNTIFS(A$2:A1477,A1477,F$2:F1477,"Active"),"")</f>
        <v/>
      </c>
      <c r="I1477" s="18" t="str">
        <f aca="false">IF(B1477="","",IF(SUMPRODUCT(MAX((A$1:A1476=A1477)*(B$1:B1476=B1477)*ROW(A$1:A1476)))=0,C1477&amp;"",IF(C1477="",INDEX(I$1:I1476,SUMPRODUCT(MAX((A$1:A1476=A1477)*(B$1:B1476=B1477)*ROW(A$1:A1476)))),IF(INDEX(I$1:I1476,SUMPRODUCT(MAX((A$1:A1476=A1477)*(B$1:B1476=B1477)*ROW(A$1:A1476))))="",C1477&amp;"",INDEX(I$1:I1476,SUMPRODUCT(MAX((A$1:A1476=A1477)*(B$1:B1476=B1477)*ROW(A$1:A1476))))&amp;"; "&amp;C1477))))</f>
        <v/>
      </c>
      <c r="J1477" s="18" t="str">
        <f aca="false">IF(A1477="","",A1477&amp;"|"&amp;COUNTIF(A$2:A1477,A1477))</f>
        <v/>
      </c>
      <c r="K1477" s="18" t="n">
        <f aca="false">IF(OR(A1477="",B1477=""),0,IF(COUNTIFS(A$2:A1477,A1477,B$2:B1477,B1477)=1,1,0))</f>
        <v>0</v>
      </c>
    </row>
    <row r="1478" customFormat="false" ht="15" hidden="false" customHeight="false" outlineLevel="0" collapsed="false">
      <c r="A1478" s="15"/>
      <c r="B1478" s="15"/>
      <c r="C1478" s="15"/>
      <c r="D1478" s="15"/>
      <c r="F1478" s="18" t="str">
        <f aca="false">IF(B1478="","",IFERROR(INDEX(Materials!$B$2:$B$201,MATCH(B1478,Materials!$A$2:$A$201,0)),""))</f>
        <v/>
      </c>
      <c r="G1478" s="18" t="str">
        <f aca="true">IF(AND(A1478="",B1478=""),"",IF(A1478="","Missing product",IF(B1478="","Missing material",IF(COUNTIF(ProductList,A1478)=0,"Product not in Products list",IF(COUNTIF(MaterialList,B1478)=0,"Material not in Materials list","OK")))))</f>
        <v/>
      </c>
      <c r="H1478" s="18" t="str">
        <f aca="false">IF(F1478="Active",A1478&amp;"|"&amp;COUNTIFS(A$2:A1478,A1478,F$2:F1478,"Active"),"")</f>
        <v/>
      </c>
      <c r="I1478" s="18" t="str">
        <f aca="false">IF(B1478="","",IF(SUMPRODUCT(MAX((A$1:A1477=A1478)*(B$1:B1477=B1478)*ROW(A$1:A1477)))=0,C1478&amp;"",IF(C1478="",INDEX(I$1:I1477,SUMPRODUCT(MAX((A$1:A1477=A1478)*(B$1:B1477=B1478)*ROW(A$1:A1477)))),IF(INDEX(I$1:I1477,SUMPRODUCT(MAX((A$1:A1477=A1478)*(B$1:B1477=B1478)*ROW(A$1:A1477))))="",C1478&amp;"",INDEX(I$1:I1477,SUMPRODUCT(MAX((A$1:A1477=A1478)*(B$1:B1477=B1478)*ROW(A$1:A1477))))&amp;"; "&amp;C1478))))</f>
        <v/>
      </c>
      <c r="J1478" s="18" t="str">
        <f aca="false">IF(A1478="","",A1478&amp;"|"&amp;COUNTIF(A$2:A1478,A1478))</f>
        <v/>
      </c>
      <c r="K1478" s="18" t="n">
        <f aca="false">IF(OR(A1478="",B1478=""),0,IF(COUNTIFS(A$2:A1478,A1478,B$2:B1478,B1478)=1,1,0))</f>
        <v>0</v>
      </c>
    </row>
    <row r="1479" customFormat="false" ht="15" hidden="false" customHeight="false" outlineLevel="0" collapsed="false">
      <c r="A1479" s="15"/>
      <c r="B1479" s="15"/>
      <c r="C1479" s="15"/>
      <c r="D1479" s="15"/>
      <c r="F1479" s="18" t="str">
        <f aca="false">IF(B1479="","",IFERROR(INDEX(Materials!$B$2:$B$201,MATCH(B1479,Materials!$A$2:$A$201,0)),""))</f>
        <v/>
      </c>
      <c r="G1479" s="18" t="str">
        <f aca="true">IF(AND(A1479="",B1479=""),"",IF(A1479="","Missing product",IF(B1479="","Missing material",IF(COUNTIF(ProductList,A1479)=0,"Product not in Products list",IF(COUNTIF(MaterialList,B1479)=0,"Material not in Materials list","OK")))))</f>
        <v/>
      </c>
      <c r="H1479" s="18" t="str">
        <f aca="false">IF(F1479="Active",A1479&amp;"|"&amp;COUNTIFS(A$2:A1479,A1479,F$2:F1479,"Active"),"")</f>
        <v/>
      </c>
      <c r="I1479" s="18" t="str">
        <f aca="false">IF(B1479="","",IF(SUMPRODUCT(MAX((A$1:A1478=A1479)*(B$1:B1478=B1479)*ROW(A$1:A1478)))=0,C1479&amp;"",IF(C1479="",INDEX(I$1:I1478,SUMPRODUCT(MAX((A$1:A1478=A1479)*(B$1:B1478=B1479)*ROW(A$1:A1478)))),IF(INDEX(I$1:I1478,SUMPRODUCT(MAX((A$1:A1478=A1479)*(B$1:B1478=B1479)*ROW(A$1:A1478))))="",C1479&amp;"",INDEX(I$1:I1478,SUMPRODUCT(MAX((A$1:A1478=A1479)*(B$1:B1478=B1479)*ROW(A$1:A1478))))&amp;"; "&amp;C1479))))</f>
        <v/>
      </c>
      <c r="J1479" s="18" t="str">
        <f aca="false">IF(A1479="","",A1479&amp;"|"&amp;COUNTIF(A$2:A1479,A1479))</f>
        <v/>
      </c>
      <c r="K1479" s="18" t="n">
        <f aca="false">IF(OR(A1479="",B1479=""),0,IF(COUNTIFS(A$2:A1479,A1479,B$2:B1479,B1479)=1,1,0))</f>
        <v>0</v>
      </c>
    </row>
    <row r="1480" customFormat="false" ht="15" hidden="false" customHeight="false" outlineLevel="0" collapsed="false">
      <c r="A1480" s="15"/>
      <c r="B1480" s="15"/>
      <c r="C1480" s="15"/>
      <c r="D1480" s="15"/>
      <c r="F1480" s="18" t="str">
        <f aca="false">IF(B1480="","",IFERROR(INDEX(Materials!$B$2:$B$201,MATCH(B1480,Materials!$A$2:$A$201,0)),""))</f>
        <v/>
      </c>
      <c r="G1480" s="18" t="str">
        <f aca="true">IF(AND(A1480="",B1480=""),"",IF(A1480="","Missing product",IF(B1480="","Missing material",IF(COUNTIF(ProductList,A1480)=0,"Product not in Products list",IF(COUNTIF(MaterialList,B1480)=0,"Material not in Materials list","OK")))))</f>
        <v/>
      </c>
      <c r="H1480" s="18" t="str">
        <f aca="false">IF(F1480="Active",A1480&amp;"|"&amp;COUNTIFS(A$2:A1480,A1480,F$2:F1480,"Active"),"")</f>
        <v/>
      </c>
      <c r="I1480" s="18" t="str">
        <f aca="false">IF(B1480="","",IF(SUMPRODUCT(MAX((A$1:A1479=A1480)*(B$1:B1479=B1480)*ROW(A$1:A1479)))=0,C1480&amp;"",IF(C1480="",INDEX(I$1:I1479,SUMPRODUCT(MAX((A$1:A1479=A1480)*(B$1:B1479=B1480)*ROW(A$1:A1479)))),IF(INDEX(I$1:I1479,SUMPRODUCT(MAX((A$1:A1479=A1480)*(B$1:B1479=B1480)*ROW(A$1:A1479))))="",C1480&amp;"",INDEX(I$1:I1479,SUMPRODUCT(MAX((A$1:A1479=A1480)*(B$1:B1479=B1480)*ROW(A$1:A1479))))&amp;"; "&amp;C1480))))</f>
        <v/>
      </c>
      <c r="J1480" s="18" t="str">
        <f aca="false">IF(A1480="","",A1480&amp;"|"&amp;COUNTIF(A$2:A1480,A1480))</f>
        <v/>
      </c>
      <c r="K1480" s="18" t="n">
        <f aca="false">IF(OR(A1480="",B1480=""),0,IF(COUNTIFS(A$2:A1480,A1480,B$2:B1480,B1480)=1,1,0))</f>
        <v>0</v>
      </c>
    </row>
    <row r="1481" customFormat="false" ht="15" hidden="false" customHeight="false" outlineLevel="0" collapsed="false">
      <c r="A1481" s="15"/>
      <c r="B1481" s="15"/>
      <c r="C1481" s="15"/>
      <c r="D1481" s="15"/>
      <c r="F1481" s="18" t="str">
        <f aca="false">IF(B1481="","",IFERROR(INDEX(Materials!$B$2:$B$201,MATCH(B1481,Materials!$A$2:$A$201,0)),""))</f>
        <v/>
      </c>
      <c r="G1481" s="18" t="str">
        <f aca="true">IF(AND(A1481="",B1481=""),"",IF(A1481="","Missing product",IF(B1481="","Missing material",IF(COUNTIF(ProductList,A1481)=0,"Product not in Products list",IF(COUNTIF(MaterialList,B1481)=0,"Material not in Materials list","OK")))))</f>
        <v/>
      </c>
      <c r="H1481" s="18" t="str">
        <f aca="false">IF(F1481="Active",A1481&amp;"|"&amp;COUNTIFS(A$2:A1481,A1481,F$2:F1481,"Active"),"")</f>
        <v/>
      </c>
      <c r="I1481" s="18" t="str">
        <f aca="false">IF(B1481="","",IF(SUMPRODUCT(MAX((A$1:A1480=A1481)*(B$1:B1480=B1481)*ROW(A$1:A1480)))=0,C1481&amp;"",IF(C1481="",INDEX(I$1:I1480,SUMPRODUCT(MAX((A$1:A1480=A1481)*(B$1:B1480=B1481)*ROW(A$1:A1480)))),IF(INDEX(I$1:I1480,SUMPRODUCT(MAX((A$1:A1480=A1481)*(B$1:B1480=B1481)*ROW(A$1:A1480))))="",C1481&amp;"",INDEX(I$1:I1480,SUMPRODUCT(MAX((A$1:A1480=A1481)*(B$1:B1480=B1481)*ROW(A$1:A1480))))&amp;"; "&amp;C1481))))</f>
        <v/>
      </c>
      <c r="J1481" s="18" t="str">
        <f aca="false">IF(A1481="","",A1481&amp;"|"&amp;COUNTIF(A$2:A1481,A1481))</f>
        <v/>
      </c>
      <c r="K1481" s="18" t="n">
        <f aca="false">IF(OR(A1481="",B1481=""),0,IF(COUNTIFS(A$2:A1481,A1481,B$2:B1481,B1481)=1,1,0))</f>
        <v>0</v>
      </c>
    </row>
    <row r="1482" customFormat="false" ht="15" hidden="false" customHeight="false" outlineLevel="0" collapsed="false">
      <c r="A1482" s="15"/>
      <c r="B1482" s="15"/>
      <c r="C1482" s="15"/>
      <c r="D1482" s="15"/>
      <c r="F1482" s="18" t="str">
        <f aca="false">IF(B1482="","",IFERROR(INDEX(Materials!$B$2:$B$201,MATCH(B1482,Materials!$A$2:$A$201,0)),""))</f>
        <v/>
      </c>
      <c r="G1482" s="18" t="str">
        <f aca="true">IF(AND(A1482="",B1482=""),"",IF(A1482="","Missing product",IF(B1482="","Missing material",IF(COUNTIF(ProductList,A1482)=0,"Product not in Products list",IF(COUNTIF(MaterialList,B1482)=0,"Material not in Materials list","OK")))))</f>
        <v/>
      </c>
      <c r="H1482" s="18" t="str">
        <f aca="false">IF(F1482="Active",A1482&amp;"|"&amp;COUNTIFS(A$2:A1482,A1482,F$2:F1482,"Active"),"")</f>
        <v/>
      </c>
      <c r="I1482" s="18" t="str">
        <f aca="false">IF(B1482="","",IF(SUMPRODUCT(MAX((A$1:A1481=A1482)*(B$1:B1481=B1482)*ROW(A$1:A1481)))=0,C1482&amp;"",IF(C1482="",INDEX(I$1:I1481,SUMPRODUCT(MAX((A$1:A1481=A1482)*(B$1:B1481=B1482)*ROW(A$1:A1481)))),IF(INDEX(I$1:I1481,SUMPRODUCT(MAX((A$1:A1481=A1482)*(B$1:B1481=B1482)*ROW(A$1:A1481))))="",C1482&amp;"",INDEX(I$1:I1481,SUMPRODUCT(MAX((A$1:A1481=A1482)*(B$1:B1481=B1482)*ROW(A$1:A1481))))&amp;"; "&amp;C1482))))</f>
        <v/>
      </c>
      <c r="J1482" s="18" t="str">
        <f aca="false">IF(A1482="","",A1482&amp;"|"&amp;COUNTIF(A$2:A1482,A1482))</f>
        <v/>
      </c>
      <c r="K1482" s="18" t="n">
        <f aca="false">IF(OR(A1482="",B1482=""),0,IF(COUNTIFS(A$2:A1482,A1482,B$2:B1482,B1482)=1,1,0))</f>
        <v>0</v>
      </c>
    </row>
    <row r="1483" customFormat="false" ht="15" hidden="false" customHeight="false" outlineLevel="0" collapsed="false">
      <c r="A1483" s="15"/>
      <c r="B1483" s="15"/>
      <c r="C1483" s="15"/>
      <c r="D1483" s="15"/>
      <c r="F1483" s="18" t="str">
        <f aca="false">IF(B1483="","",IFERROR(INDEX(Materials!$B$2:$B$201,MATCH(B1483,Materials!$A$2:$A$201,0)),""))</f>
        <v/>
      </c>
      <c r="G1483" s="18" t="str">
        <f aca="true">IF(AND(A1483="",B1483=""),"",IF(A1483="","Missing product",IF(B1483="","Missing material",IF(COUNTIF(ProductList,A1483)=0,"Product not in Products list",IF(COUNTIF(MaterialList,B1483)=0,"Material not in Materials list","OK")))))</f>
        <v/>
      </c>
      <c r="H1483" s="18" t="str">
        <f aca="false">IF(F1483="Active",A1483&amp;"|"&amp;COUNTIFS(A$2:A1483,A1483,F$2:F1483,"Active"),"")</f>
        <v/>
      </c>
      <c r="I1483" s="18" t="str">
        <f aca="false">IF(B1483="","",IF(SUMPRODUCT(MAX((A$1:A1482=A1483)*(B$1:B1482=B1483)*ROW(A$1:A1482)))=0,C1483&amp;"",IF(C1483="",INDEX(I$1:I1482,SUMPRODUCT(MAX((A$1:A1482=A1483)*(B$1:B1482=B1483)*ROW(A$1:A1482)))),IF(INDEX(I$1:I1482,SUMPRODUCT(MAX((A$1:A1482=A1483)*(B$1:B1482=B1483)*ROW(A$1:A1482))))="",C1483&amp;"",INDEX(I$1:I1482,SUMPRODUCT(MAX((A$1:A1482=A1483)*(B$1:B1482=B1483)*ROW(A$1:A1482))))&amp;"; "&amp;C1483))))</f>
        <v/>
      </c>
      <c r="J1483" s="18" t="str">
        <f aca="false">IF(A1483="","",A1483&amp;"|"&amp;COUNTIF(A$2:A1483,A1483))</f>
        <v/>
      </c>
      <c r="K1483" s="18" t="n">
        <f aca="false">IF(OR(A1483="",B1483=""),0,IF(COUNTIFS(A$2:A1483,A1483,B$2:B1483,B1483)=1,1,0))</f>
        <v>0</v>
      </c>
    </row>
    <row r="1484" customFormat="false" ht="15" hidden="false" customHeight="false" outlineLevel="0" collapsed="false">
      <c r="A1484" s="15"/>
      <c r="B1484" s="15"/>
      <c r="C1484" s="15"/>
      <c r="D1484" s="15"/>
      <c r="F1484" s="18" t="str">
        <f aca="false">IF(B1484="","",IFERROR(INDEX(Materials!$B$2:$B$201,MATCH(B1484,Materials!$A$2:$A$201,0)),""))</f>
        <v/>
      </c>
      <c r="G1484" s="18" t="str">
        <f aca="true">IF(AND(A1484="",B1484=""),"",IF(A1484="","Missing product",IF(B1484="","Missing material",IF(COUNTIF(ProductList,A1484)=0,"Product not in Products list",IF(COUNTIF(MaterialList,B1484)=0,"Material not in Materials list","OK")))))</f>
        <v/>
      </c>
      <c r="H1484" s="18" t="str">
        <f aca="false">IF(F1484="Active",A1484&amp;"|"&amp;COUNTIFS(A$2:A1484,A1484,F$2:F1484,"Active"),"")</f>
        <v/>
      </c>
      <c r="I1484" s="18" t="str">
        <f aca="false">IF(B1484="","",IF(SUMPRODUCT(MAX((A$1:A1483=A1484)*(B$1:B1483=B1484)*ROW(A$1:A1483)))=0,C1484&amp;"",IF(C1484="",INDEX(I$1:I1483,SUMPRODUCT(MAX((A$1:A1483=A1484)*(B$1:B1483=B1484)*ROW(A$1:A1483)))),IF(INDEX(I$1:I1483,SUMPRODUCT(MAX((A$1:A1483=A1484)*(B$1:B1483=B1484)*ROW(A$1:A1483))))="",C1484&amp;"",INDEX(I$1:I1483,SUMPRODUCT(MAX((A$1:A1483=A1484)*(B$1:B1483=B1484)*ROW(A$1:A1483))))&amp;"; "&amp;C1484))))</f>
        <v/>
      </c>
      <c r="J1484" s="18" t="str">
        <f aca="false">IF(A1484="","",A1484&amp;"|"&amp;COUNTIF(A$2:A1484,A1484))</f>
        <v/>
      </c>
      <c r="K1484" s="18" t="n">
        <f aca="false">IF(OR(A1484="",B1484=""),0,IF(COUNTIFS(A$2:A1484,A1484,B$2:B1484,B1484)=1,1,0))</f>
        <v>0</v>
      </c>
    </row>
    <row r="1485" customFormat="false" ht="15" hidden="false" customHeight="false" outlineLevel="0" collapsed="false">
      <c r="A1485" s="15"/>
      <c r="B1485" s="15"/>
      <c r="C1485" s="15"/>
      <c r="D1485" s="15"/>
      <c r="F1485" s="18" t="str">
        <f aca="false">IF(B1485="","",IFERROR(INDEX(Materials!$B$2:$B$201,MATCH(B1485,Materials!$A$2:$A$201,0)),""))</f>
        <v/>
      </c>
      <c r="G1485" s="18" t="str">
        <f aca="true">IF(AND(A1485="",B1485=""),"",IF(A1485="","Missing product",IF(B1485="","Missing material",IF(COUNTIF(ProductList,A1485)=0,"Product not in Products list",IF(COUNTIF(MaterialList,B1485)=0,"Material not in Materials list","OK")))))</f>
        <v/>
      </c>
      <c r="H1485" s="18" t="str">
        <f aca="false">IF(F1485="Active",A1485&amp;"|"&amp;COUNTIFS(A$2:A1485,A1485,F$2:F1485,"Active"),"")</f>
        <v/>
      </c>
      <c r="I1485" s="18" t="str">
        <f aca="false">IF(B1485="","",IF(SUMPRODUCT(MAX((A$1:A1484=A1485)*(B$1:B1484=B1485)*ROW(A$1:A1484)))=0,C1485&amp;"",IF(C1485="",INDEX(I$1:I1484,SUMPRODUCT(MAX((A$1:A1484=A1485)*(B$1:B1484=B1485)*ROW(A$1:A1484)))),IF(INDEX(I$1:I1484,SUMPRODUCT(MAX((A$1:A1484=A1485)*(B$1:B1484=B1485)*ROW(A$1:A1484))))="",C1485&amp;"",INDEX(I$1:I1484,SUMPRODUCT(MAX((A$1:A1484=A1485)*(B$1:B1484=B1485)*ROW(A$1:A1484))))&amp;"; "&amp;C1485))))</f>
        <v/>
      </c>
      <c r="J1485" s="18" t="str">
        <f aca="false">IF(A1485="","",A1485&amp;"|"&amp;COUNTIF(A$2:A1485,A1485))</f>
        <v/>
      </c>
      <c r="K1485" s="18" t="n">
        <f aca="false">IF(OR(A1485="",B1485=""),0,IF(COUNTIFS(A$2:A1485,A1485,B$2:B1485,B1485)=1,1,0))</f>
        <v>0</v>
      </c>
    </row>
    <row r="1486" customFormat="false" ht="15" hidden="false" customHeight="false" outlineLevel="0" collapsed="false">
      <c r="A1486" s="15"/>
      <c r="B1486" s="15"/>
      <c r="C1486" s="15"/>
      <c r="D1486" s="15"/>
      <c r="F1486" s="18" t="str">
        <f aca="false">IF(B1486="","",IFERROR(INDEX(Materials!$B$2:$B$201,MATCH(B1486,Materials!$A$2:$A$201,0)),""))</f>
        <v/>
      </c>
      <c r="G1486" s="18" t="str">
        <f aca="true">IF(AND(A1486="",B1486=""),"",IF(A1486="","Missing product",IF(B1486="","Missing material",IF(COUNTIF(ProductList,A1486)=0,"Product not in Products list",IF(COUNTIF(MaterialList,B1486)=0,"Material not in Materials list","OK")))))</f>
        <v/>
      </c>
      <c r="H1486" s="18" t="str">
        <f aca="false">IF(F1486="Active",A1486&amp;"|"&amp;COUNTIFS(A$2:A1486,A1486,F$2:F1486,"Active"),"")</f>
        <v/>
      </c>
      <c r="I1486" s="18" t="str">
        <f aca="false">IF(B1486="","",IF(SUMPRODUCT(MAX((A$1:A1485=A1486)*(B$1:B1485=B1486)*ROW(A$1:A1485)))=0,C1486&amp;"",IF(C1486="",INDEX(I$1:I1485,SUMPRODUCT(MAX((A$1:A1485=A1486)*(B$1:B1485=B1486)*ROW(A$1:A1485)))),IF(INDEX(I$1:I1485,SUMPRODUCT(MAX((A$1:A1485=A1486)*(B$1:B1485=B1486)*ROW(A$1:A1485))))="",C1486&amp;"",INDEX(I$1:I1485,SUMPRODUCT(MAX((A$1:A1485=A1486)*(B$1:B1485=B1486)*ROW(A$1:A1485))))&amp;"; "&amp;C1486))))</f>
        <v/>
      </c>
      <c r="J1486" s="18" t="str">
        <f aca="false">IF(A1486="","",A1486&amp;"|"&amp;COUNTIF(A$2:A1486,A1486))</f>
        <v/>
      </c>
      <c r="K1486" s="18" t="n">
        <f aca="false">IF(OR(A1486="",B1486=""),0,IF(COUNTIFS(A$2:A1486,A1486,B$2:B1486,B1486)=1,1,0))</f>
        <v>0</v>
      </c>
    </row>
    <row r="1487" customFormat="false" ht="15" hidden="false" customHeight="false" outlineLevel="0" collapsed="false">
      <c r="A1487" s="15"/>
      <c r="B1487" s="15"/>
      <c r="C1487" s="15"/>
      <c r="D1487" s="15"/>
      <c r="F1487" s="18" t="str">
        <f aca="false">IF(B1487="","",IFERROR(INDEX(Materials!$B$2:$B$201,MATCH(B1487,Materials!$A$2:$A$201,0)),""))</f>
        <v/>
      </c>
      <c r="G1487" s="18" t="str">
        <f aca="true">IF(AND(A1487="",B1487=""),"",IF(A1487="","Missing product",IF(B1487="","Missing material",IF(COUNTIF(ProductList,A1487)=0,"Product not in Products list",IF(COUNTIF(MaterialList,B1487)=0,"Material not in Materials list","OK")))))</f>
        <v/>
      </c>
      <c r="H1487" s="18" t="str">
        <f aca="false">IF(F1487="Active",A1487&amp;"|"&amp;COUNTIFS(A$2:A1487,A1487,F$2:F1487,"Active"),"")</f>
        <v/>
      </c>
      <c r="I1487" s="18" t="str">
        <f aca="false">IF(B1487="","",IF(SUMPRODUCT(MAX((A$1:A1486=A1487)*(B$1:B1486=B1487)*ROW(A$1:A1486)))=0,C1487&amp;"",IF(C1487="",INDEX(I$1:I1486,SUMPRODUCT(MAX((A$1:A1486=A1487)*(B$1:B1486=B1487)*ROW(A$1:A1486)))),IF(INDEX(I$1:I1486,SUMPRODUCT(MAX((A$1:A1486=A1487)*(B$1:B1486=B1487)*ROW(A$1:A1486))))="",C1487&amp;"",INDEX(I$1:I1486,SUMPRODUCT(MAX((A$1:A1486=A1487)*(B$1:B1486=B1487)*ROW(A$1:A1486))))&amp;"; "&amp;C1487))))</f>
        <v/>
      </c>
      <c r="J1487" s="18" t="str">
        <f aca="false">IF(A1487="","",A1487&amp;"|"&amp;COUNTIF(A$2:A1487,A1487))</f>
        <v/>
      </c>
      <c r="K1487" s="18" t="n">
        <f aca="false">IF(OR(A1487="",B1487=""),0,IF(COUNTIFS(A$2:A1487,A1487,B$2:B1487,B1487)=1,1,0))</f>
        <v>0</v>
      </c>
    </row>
    <row r="1488" customFormat="false" ht="15" hidden="false" customHeight="false" outlineLevel="0" collapsed="false">
      <c r="A1488" s="15"/>
      <c r="B1488" s="15"/>
      <c r="C1488" s="15"/>
      <c r="D1488" s="15"/>
      <c r="F1488" s="18" t="str">
        <f aca="false">IF(B1488="","",IFERROR(INDEX(Materials!$B$2:$B$201,MATCH(B1488,Materials!$A$2:$A$201,0)),""))</f>
        <v/>
      </c>
      <c r="G1488" s="18" t="str">
        <f aca="true">IF(AND(A1488="",B1488=""),"",IF(A1488="","Missing product",IF(B1488="","Missing material",IF(COUNTIF(ProductList,A1488)=0,"Product not in Products list",IF(COUNTIF(MaterialList,B1488)=0,"Material not in Materials list","OK")))))</f>
        <v/>
      </c>
      <c r="H1488" s="18" t="str">
        <f aca="false">IF(F1488="Active",A1488&amp;"|"&amp;COUNTIFS(A$2:A1488,A1488,F$2:F1488,"Active"),"")</f>
        <v/>
      </c>
      <c r="I1488" s="18" t="str">
        <f aca="false">IF(B1488="","",IF(SUMPRODUCT(MAX((A$1:A1487=A1488)*(B$1:B1487=B1488)*ROW(A$1:A1487)))=0,C1488&amp;"",IF(C1488="",INDEX(I$1:I1487,SUMPRODUCT(MAX((A$1:A1487=A1488)*(B$1:B1487=B1488)*ROW(A$1:A1487)))),IF(INDEX(I$1:I1487,SUMPRODUCT(MAX((A$1:A1487=A1488)*(B$1:B1487=B1488)*ROW(A$1:A1487))))="",C1488&amp;"",INDEX(I$1:I1487,SUMPRODUCT(MAX((A$1:A1487=A1488)*(B$1:B1487=B1488)*ROW(A$1:A1487))))&amp;"; "&amp;C1488))))</f>
        <v/>
      </c>
      <c r="J1488" s="18" t="str">
        <f aca="false">IF(A1488="","",A1488&amp;"|"&amp;COUNTIF(A$2:A1488,A1488))</f>
        <v/>
      </c>
      <c r="K1488" s="18" t="n">
        <f aca="false">IF(OR(A1488="",B1488=""),0,IF(COUNTIFS(A$2:A1488,A1488,B$2:B1488,B1488)=1,1,0))</f>
        <v>0</v>
      </c>
    </row>
    <row r="1489" customFormat="false" ht="15" hidden="false" customHeight="false" outlineLevel="0" collapsed="false">
      <c r="A1489" s="15"/>
      <c r="B1489" s="15"/>
      <c r="C1489" s="15"/>
      <c r="D1489" s="15"/>
      <c r="F1489" s="18" t="str">
        <f aca="false">IF(B1489="","",IFERROR(INDEX(Materials!$B$2:$B$201,MATCH(B1489,Materials!$A$2:$A$201,0)),""))</f>
        <v/>
      </c>
      <c r="G1489" s="18" t="str">
        <f aca="true">IF(AND(A1489="",B1489=""),"",IF(A1489="","Missing product",IF(B1489="","Missing material",IF(COUNTIF(ProductList,A1489)=0,"Product not in Products list",IF(COUNTIF(MaterialList,B1489)=0,"Material not in Materials list","OK")))))</f>
        <v/>
      </c>
      <c r="H1489" s="18" t="str">
        <f aca="false">IF(F1489="Active",A1489&amp;"|"&amp;COUNTIFS(A$2:A1489,A1489,F$2:F1489,"Active"),"")</f>
        <v/>
      </c>
      <c r="I1489" s="18" t="str">
        <f aca="false">IF(B1489="","",IF(SUMPRODUCT(MAX((A$1:A1488=A1489)*(B$1:B1488=B1489)*ROW(A$1:A1488)))=0,C1489&amp;"",IF(C1489="",INDEX(I$1:I1488,SUMPRODUCT(MAX((A$1:A1488=A1489)*(B$1:B1488=B1489)*ROW(A$1:A1488)))),IF(INDEX(I$1:I1488,SUMPRODUCT(MAX((A$1:A1488=A1489)*(B$1:B1488=B1489)*ROW(A$1:A1488))))="",C1489&amp;"",INDEX(I$1:I1488,SUMPRODUCT(MAX((A$1:A1488=A1489)*(B$1:B1488=B1489)*ROW(A$1:A1488))))&amp;"; "&amp;C1489))))</f>
        <v/>
      </c>
      <c r="J1489" s="18" t="str">
        <f aca="false">IF(A1489="","",A1489&amp;"|"&amp;COUNTIF(A$2:A1489,A1489))</f>
        <v/>
      </c>
      <c r="K1489" s="18" t="n">
        <f aca="false">IF(OR(A1489="",B1489=""),0,IF(COUNTIFS(A$2:A1489,A1489,B$2:B1489,B1489)=1,1,0))</f>
        <v>0</v>
      </c>
    </row>
    <row r="1490" customFormat="false" ht="15" hidden="false" customHeight="false" outlineLevel="0" collapsed="false">
      <c r="A1490" s="15"/>
      <c r="B1490" s="15"/>
      <c r="C1490" s="15"/>
      <c r="D1490" s="15"/>
      <c r="F1490" s="18" t="str">
        <f aca="false">IF(B1490="","",IFERROR(INDEX(Materials!$B$2:$B$201,MATCH(B1490,Materials!$A$2:$A$201,0)),""))</f>
        <v/>
      </c>
      <c r="G1490" s="18" t="str">
        <f aca="true">IF(AND(A1490="",B1490=""),"",IF(A1490="","Missing product",IF(B1490="","Missing material",IF(COUNTIF(ProductList,A1490)=0,"Product not in Products list",IF(COUNTIF(MaterialList,B1490)=0,"Material not in Materials list","OK")))))</f>
        <v/>
      </c>
      <c r="H1490" s="18" t="str">
        <f aca="false">IF(F1490="Active",A1490&amp;"|"&amp;COUNTIFS(A$2:A1490,A1490,F$2:F1490,"Active"),"")</f>
        <v/>
      </c>
      <c r="I1490" s="18" t="str">
        <f aca="false">IF(B1490="","",IF(SUMPRODUCT(MAX((A$1:A1489=A1490)*(B$1:B1489=B1490)*ROW(A$1:A1489)))=0,C1490&amp;"",IF(C1490="",INDEX(I$1:I1489,SUMPRODUCT(MAX((A$1:A1489=A1490)*(B$1:B1489=B1490)*ROW(A$1:A1489)))),IF(INDEX(I$1:I1489,SUMPRODUCT(MAX((A$1:A1489=A1490)*(B$1:B1489=B1490)*ROW(A$1:A1489))))="",C1490&amp;"",INDEX(I$1:I1489,SUMPRODUCT(MAX((A$1:A1489=A1490)*(B$1:B1489=B1490)*ROW(A$1:A1489))))&amp;"; "&amp;C1490))))</f>
        <v/>
      </c>
      <c r="J1490" s="18" t="str">
        <f aca="false">IF(A1490="","",A1490&amp;"|"&amp;COUNTIF(A$2:A1490,A1490))</f>
        <v/>
      </c>
      <c r="K1490" s="18" t="n">
        <f aca="false">IF(OR(A1490="",B1490=""),0,IF(COUNTIFS(A$2:A1490,A1490,B$2:B1490,B1490)=1,1,0))</f>
        <v>0</v>
      </c>
    </row>
    <row r="1491" customFormat="false" ht="15" hidden="false" customHeight="false" outlineLevel="0" collapsed="false">
      <c r="A1491" s="15"/>
      <c r="B1491" s="15"/>
      <c r="C1491" s="15"/>
      <c r="D1491" s="15"/>
      <c r="F1491" s="18" t="str">
        <f aca="false">IF(B1491="","",IFERROR(INDEX(Materials!$B$2:$B$201,MATCH(B1491,Materials!$A$2:$A$201,0)),""))</f>
        <v/>
      </c>
      <c r="G1491" s="18" t="str">
        <f aca="true">IF(AND(A1491="",B1491=""),"",IF(A1491="","Missing product",IF(B1491="","Missing material",IF(COUNTIF(ProductList,A1491)=0,"Product not in Products list",IF(COUNTIF(MaterialList,B1491)=0,"Material not in Materials list","OK")))))</f>
        <v/>
      </c>
      <c r="H1491" s="18" t="str">
        <f aca="false">IF(F1491="Active",A1491&amp;"|"&amp;COUNTIFS(A$2:A1491,A1491,F$2:F1491,"Active"),"")</f>
        <v/>
      </c>
      <c r="I1491" s="18" t="str">
        <f aca="false">IF(B1491="","",IF(SUMPRODUCT(MAX((A$1:A1490=A1491)*(B$1:B1490=B1491)*ROW(A$1:A1490)))=0,C1491&amp;"",IF(C1491="",INDEX(I$1:I1490,SUMPRODUCT(MAX((A$1:A1490=A1491)*(B$1:B1490=B1491)*ROW(A$1:A1490)))),IF(INDEX(I$1:I1490,SUMPRODUCT(MAX((A$1:A1490=A1491)*(B$1:B1490=B1491)*ROW(A$1:A1490))))="",C1491&amp;"",INDEX(I$1:I1490,SUMPRODUCT(MAX((A$1:A1490=A1491)*(B$1:B1490=B1491)*ROW(A$1:A1490))))&amp;"; "&amp;C1491))))</f>
        <v/>
      </c>
      <c r="J1491" s="18" t="str">
        <f aca="false">IF(A1491="","",A1491&amp;"|"&amp;COUNTIF(A$2:A1491,A1491))</f>
        <v/>
      </c>
      <c r="K1491" s="18" t="n">
        <f aca="false">IF(OR(A1491="",B1491=""),0,IF(COUNTIFS(A$2:A1491,A1491,B$2:B1491,B1491)=1,1,0))</f>
        <v>0</v>
      </c>
    </row>
    <row r="1492" customFormat="false" ht="15" hidden="false" customHeight="false" outlineLevel="0" collapsed="false">
      <c r="A1492" s="15"/>
      <c r="B1492" s="15"/>
      <c r="C1492" s="15"/>
      <c r="D1492" s="15"/>
      <c r="F1492" s="18" t="str">
        <f aca="false">IF(B1492="","",IFERROR(INDEX(Materials!$B$2:$B$201,MATCH(B1492,Materials!$A$2:$A$201,0)),""))</f>
        <v/>
      </c>
      <c r="G1492" s="18" t="str">
        <f aca="true">IF(AND(A1492="",B1492=""),"",IF(A1492="","Missing product",IF(B1492="","Missing material",IF(COUNTIF(ProductList,A1492)=0,"Product not in Products list",IF(COUNTIF(MaterialList,B1492)=0,"Material not in Materials list","OK")))))</f>
        <v/>
      </c>
      <c r="H1492" s="18" t="str">
        <f aca="false">IF(F1492="Active",A1492&amp;"|"&amp;COUNTIFS(A$2:A1492,A1492,F$2:F1492,"Active"),"")</f>
        <v/>
      </c>
      <c r="I1492" s="18" t="str">
        <f aca="false">IF(B1492="","",IF(SUMPRODUCT(MAX((A$1:A1491=A1492)*(B$1:B1491=B1492)*ROW(A$1:A1491)))=0,C1492&amp;"",IF(C1492="",INDEX(I$1:I1491,SUMPRODUCT(MAX((A$1:A1491=A1492)*(B$1:B1491=B1492)*ROW(A$1:A1491)))),IF(INDEX(I$1:I1491,SUMPRODUCT(MAX((A$1:A1491=A1492)*(B$1:B1491=B1492)*ROW(A$1:A1491))))="",C1492&amp;"",INDEX(I$1:I1491,SUMPRODUCT(MAX((A$1:A1491=A1492)*(B$1:B1491=B1492)*ROW(A$1:A1491))))&amp;"; "&amp;C1492))))</f>
        <v/>
      </c>
      <c r="J1492" s="18" t="str">
        <f aca="false">IF(A1492="","",A1492&amp;"|"&amp;COUNTIF(A$2:A1492,A1492))</f>
        <v/>
      </c>
      <c r="K1492" s="18" t="n">
        <f aca="false">IF(OR(A1492="",B1492=""),0,IF(COUNTIFS(A$2:A1492,A1492,B$2:B1492,B1492)=1,1,0))</f>
        <v>0</v>
      </c>
    </row>
    <row r="1493" customFormat="false" ht="15" hidden="false" customHeight="false" outlineLevel="0" collapsed="false">
      <c r="A1493" s="15"/>
      <c r="B1493" s="15"/>
      <c r="C1493" s="15"/>
      <c r="D1493" s="15"/>
      <c r="F1493" s="18" t="str">
        <f aca="false">IF(B1493="","",IFERROR(INDEX(Materials!$B$2:$B$201,MATCH(B1493,Materials!$A$2:$A$201,0)),""))</f>
        <v/>
      </c>
      <c r="G1493" s="18" t="str">
        <f aca="true">IF(AND(A1493="",B1493=""),"",IF(A1493="","Missing product",IF(B1493="","Missing material",IF(COUNTIF(ProductList,A1493)=0,"Product not in Products list",IF(COUNTIF(MaterialList,B1493)=0,"Material not in Materials list","OK")))))</f>
        <v/>
      </c>
      <c r="H1493" s="18" t="str">
        <f aca="false">IF(F1493="Active",A1493&amp;"|"&amp;COUNTIFS(A$2:A1493,A1493,F$2:F1493,"Active"),"")</f>
        <v/>
      </c>
      <c r="I1493" s="18" t="str">
        <f aca="false">IF(B1493="","",IF(SUMPRODUCT(MAX((A$1:A1492=A1493)*(B$1:B1492=B1493)*ROW(A$1:A1492)))=0,C1493&amp;"",IF(C1493="",INDEX(I$1:I1492,SUMPRODUCT(MAX((A$1:A1492=A1493)*(B$1:B1492=B1493)*ROW(A$1:A1492)))),IF(INDEX(I$1:I1492,SUMPRODUCT(MAX((A$1:A1492=A1493)*(B$1:B1492=B1493)*ROW(A$1:A1492))))="",C1493&amp;"",INDEX(I$1:I1492,SUMPRODUCT(MAX((A$1:A1492=A1493)*(B$1:B1492=B1493)*ROW(A$1:A1492))))&amp;"; "&amp;C1493))))</f>
        <v/>
      </c>
      <c r="J1493" s="18" t="str">
        <f aca="false">IF(A1493="","",A1493&amp;"|"&amp;COUNTIF(A$2:A1493,A1493))</f>
        <v/>
      </c>
      <c r="K1493" s="18" t="n">
        <f aca="false">IF(OR(A1493="",B1493=""),0,IF(COUNTIFS(A$2:A1493,A1493,B$2:B1493,B1493)=1,1,0))</f>
        <v>0</v>
      </c>
    </row>
    <row r="1494" customFormat="false" ht="15" hidden="false" customHeight="false" outlineLevel="0" collapsed="false">
      <c r="A1494" s="15"/>
      <c r="B1494" s="15"/>
      <c r="C1494" s="15"/>
      <c r="D1494" s="15"/>
      <c r="F1494" s="18" t="str">
        <f aca="false">IF(B1494="","",IFERROR(INDEX(Materials!$B$2:$B$201,MATCH(B1494,Materials!$A$2:$A$201,0)),""))</f>
        <v/>
      </c>
      <c r="G1494" s="18" t="str">
        <f aca="true">IF(AND(A1494="",B1494=""),"",IF(A1494="","Missing product",IF(B1494="","Missing material",IF(COUNTIF(ProductList,A1494)=0,"Product not in Products list",IF(COUNTIF(MaterialList,B1494)=0,"Material not in Materials list","OK")))))</f>
        <v/>
      </c>
      <c r="H1494" s="18" t="str">
        <f aca="false">IF(F1494="Active",A1494&amp;"|"&amp;COUNTIFS(A$2:A1494,A1494,F$2:F1494,"Active"),"")</f>
        <v/>
      </c>
      <c r="I1494" s="18" t="str">
        <f aca="false">IF(B1494="","",IF(SUMPRODUCT(MAX((A$1:A1493=A1494)*(B$1:B1493=B1494)*ROW(A$1:A1493)))=0,C1494&amp;"",IF(C1494="",INDEX(I$1:I1493,SUMPRODUCT(MAX((A$1:A1493=A1494)*(B$1:B1493=B1494)*ROW(A$1:A1493)))),IF(INDEX(I$1:I1493,SUMPRODUCT(MAX((A$1:A1493=A1494)*(B$1:B1493=B1494)*ROW(A$1:A1493))))="",C1494&amp;"",INDEX(I$1:I1493,SUMPRODUCT(MAX((A$1:A1493=A1494)*(B$1:B1493=B1494)*ROW(A$1:A1493))))&amp;"; "&amp;C1494))))</f>
        <v/>
      </c>
      <c r="J1494" s="18" t="str">
        <f aca="false">IF(A1494="","",A1494&amp;"|"&amp;COUNTIF(A$2:A1494,A1494))</f>
        <v/>
      </c>
      <c r="K1494" s="18" t="n">
        <f aca="false">IF(OR(A1494="",B1494=""),0,IF(COUNTIFS(A$2:A1494,A1494,B$2:B1494,B1494)=1,1,0))</f>
        <v>0</v>
      </c>
    </row>
    <row r="1495" customFormat="false" ht="15" hidden="false" customHeight="false" outlineLevel="0" collapsed="false">
      <c r="A1495" s="15"/>
      <c r="B1495" s="15"/>
      <c r="C1495" s="15"/>
      <c r="D1495" s="15"/>
      <c r="F1495" s="18" t="str">
        <f aca="false">IF(B1495="","",IFERROR(INDEX(Materials!$B$2:$B$201,MATCH(B1495,Materials!$A$2:$A$201,0)),""))</f>
        <v/>
      </c>
      <c r="G1495" s="18" t="str">
        <f aca="true">IF(AND(A1495="",B1495=""),"",IF(A1495="","Missing product",IF(B1495="","Missing material",IF(COUNTIF(ProductList,A1495)=0,"Product not in Products list",IF(COUNTIF(MaterialList,B1495)=0,"Material not in Materials list","OK")))))</f>
        <v/>
      </c>
      <c r="H1495" s="18" t="str">
        <f aca="false">IF(F1495="Active",A1495&amp;"|"&amp;COUNTIFS(A$2:A1495,A1495,F$2:F1495,"Active"),"")</f>
        <v/>
      </c>
      <c r="I1495" s="18" t="str">
        <f aca="false">IF(B1495="","",IF(SUMPRODUCT(MAX((A$1:A1494=A1495)*(B$1:B1494=B1495)*ROW(A$1:A1494)))=0,C1495&amp;"",IF(C1495="",INDEX(I$1:I1494,SUMPRODUCT(MAX((A$1:A1494=A1495)*(B$1:B1494=B1495)*ROW(A$1:A1494)))),IF(INDEX(I$1:I1494,SUMPRODUCT(MAX((A$1:A1494=A1495)*(B$1:B1494=B1495)*ROW(A$1:A1494))))="",C1495&amp;"",INDEX(I$1:I1494,SUMPRODUCT(MAX((A$1:A1494=A1495)*(B$1:B1494=B1495)*ROW(A$1:A1494))))&amp;"; "&amp;C1495))))</f>
        <v/>
      </c>
      <c r="J1495" s="18" t="str">
        <f aca="false">IF(A1495="","",A1495&amp;"|"&amp;COUNTIF(A$2:A1495,A1495))</f>
        <v/>
      </c>
      <c r="K1495" s="18" t="n">
        <f aca="false">IF(OR(A1495="",B1495=""),0,IF(COUNTIFS(A$2:A1495,A1495,B$2:B1495,B1495)=1,1,0))</f>
        <v>0</v>
      </c>
    </row>
    <row r="1496" customFormat="false" ht="15" hidden="false" customHeight="false" outlineLevel="0" collapsed="false">
      <c r="A1496" s="15"/>
      <c r="B1496" s="15"/>
      <c r="C1496" s="15"/>
      <c r="D1496" s="15"/>
      <c r="F1496" s="18" t="str">
        <f aca="false">IF(B1496="","",IFERROR(INDEX(Materials!$B$2:$B$201,MATCH(B1496,Materials!$A$2:$A$201,0)),""))</f>
        <v/>
      </c>
      <c r="G1496" s="18" t="str">
        <f aca="true">IF(AND(A1496="",B1496=""),"",IF(A1496="","Missing product",IF(B1496="","Missing material",IF(COUNTIF(ProductList,A1496)=0,"Product not in Products list",IF(COUNTIF(MaterialList,B1496)=0,"Material not in Materials list","OK")))))</f>
        <v/>
      </c>
      <c r="H1496" s="18" t="str">
        <f aca="false">IF(F1496="Active",A1496&amp;"|"&amp;COUNTIFS(A$2:A1496,A1496,F$2:F1496,"Active"),"")</f>
        <v/>
      </c>
      <c r="I1496" s="18" t="str">
        <f aca="false">IF(B1496="","",IF(SUMPRODUCT(MAX((A$1:A1495=A1496)*(B$1:B1495=B1496)*ROW(A$1:A1495)))=0,C1496&amp;"",IF(C1496="",INDEX(I$1:I1495,SUMPRODUCT(MAX((A$1:A1495=A1496)*(B$1:B1495=B1496)*ROW(A$1:A1495)))),IF(INDEX(I$1:I1495,SUMPRODUCT(MAX((A$1:A1495=A1496)*(B$1:B1495=B1496)*ROW(A$1:A1495))))="",C1496&amp;"",INDEX(I$1:I1495,SUMPRODUCT(MAX((A$1:A1495=A1496)*(B$1:B1495=B1496)*ROW(A$1:A1495))))&amp;"; "&amp;C1496))))</f>
        <v/>
      </c>
      <c r="J1496" s="18" t="str">
        <f aca="false">IF(A1496="","",A1496&amp;"|"&amp;COUNTIF(A$2:A1496,A1496))</f>
        <v/>
      </c>
      <c r="K1496" s="18" t="n">
        <f aca="false">IF(OR(A1496="",B1496=""),0,IF(COUNTIFS(A$2:A1496,A1496,B$2:B1496,B1496)=1,1,0))</f>
        <v>0</v>
      </c>
    </row>
    <row r="1497" customFormat="false" ht="15" hidden="false" customHeight="false" outlineLevel="0" collapsed="false">
      <c r="A1497" s="15"/>
      <c r="B1497" s="15"/>
      <c r="C1497" s="15"/>
      <c r="D1497" s="15"/>
      <c r="F1497" s="18" t="str">
        <f aca="false">IF(B1497="","",IFERROR(INDEX(Materials!$B$2:$B$201,MATCH(B1497,Materials!$A$2:$A$201,0)),""))</f>
        <v/>
      </c>
      <c r="G1497" s="18" t="str">
        <f aca="true">IF(AND(A1497="",B1497=""),"",IF(A1497="","Missing product",IF(B1497="","Missing material",IF(COUNTIF(ProductList,A1497)=0,"Product not in Products list",IF(COUNTIF(MaterialList,B1497)=0,"Material not in Materials list","OK")))))</f>
        <v/>
      </c>
      <c r="H1497" s="18" t="str">
        <f aca="false">IF(F1497="Active",A1497&amp;"|"&amp;COUNTIFS(A$2:A1497,A1497,F$2:F1497,"Active"),"")</f>
        <v/>
      </c>
      <c r="I1497" s="18" t="str">
        <f aca="false">IF(B1497="","",IF(SUMPRODUCT(MAX((A$1:A1496=A1497)*(B$1:B1496=B1497)*ROW(A$1:A1496)))=0,C1497&amp;"",IF(C1497="",INDEX(I$1:I1496,SUMPRODUCT(MAX((A$1:A1496=A1497)*(B$1:B1496=B1497)*ROW(A$1:A1496)))),IF(INDEX(I$1:I1496,SUMPRODUCT(MAX((A$1:A1496=A1497)*(B$1:B1496=B1497)*ROW(A$1:A1496))))="",C1497&amp;"",INDEX(I$1:I1496,SUMPRODUCT(MAX((A$1:A1496=A1497)*(B$1:B1496=B1497)*ROW(A$1:A1496))))&amp;"; "&amp;C1497))))</f>
        <v/>
      </c>
      <c r="J1497" s="18" t="str">
        <f aca="false">IF(A1497="","",A1497&amp;"|"&amp;COUNTIF(A$2:A1497,A1497))</f>
        <v/>
      </c>
      <c r="K1497" s="18" t="n">
        <f aca="false">IF(OR(A1497="",B1497=""),0,IF(COUNTIFS(A$2:A1497,A1497,B$2:B1497,B1497)=1,1,0))</f>
        <v>0</v>
      </c>
    </row>
    <row r="1498" customFormat="false" ht="15" hidden="false" customHeight="false" outlineLevel="0" collapsed="false">
      <c r="A1498" s="15"/>
      <c r="B1498" s="15"/>
      <c r="C1498" s="15"/>
      <c r="D1498" s="15"/>
      <c r="F1498" s="18" t="str">
        <f aca="false">IF(B1498="","",IFERROR(INDEX(Materials!$B$2:$B$201,MATCH(B1498,Materials!$A$2:$A$201,0)),""))</f>
        <v/>
      </c>
      <c r="G1498" s="18" t="str">
        <f aca="true">IF(AND(A1498="",B1498=""),"",IF(A1498="","Missing product",IF(B1498="","Missing material",IF(COUNTIF(ProductList,A1498)=0,"Product not in Products list",IF(COUNTIF(MaterialList,B1498)=0,"Material not in Materials list","OK")))))</f>
        <v/>
      </c>
      <c r="H1498" s="18" t="str">
        <f aca="false">IF(F1498="Active",A1498&amp;"|"&amp;COUNTIFS(A$2:A1498,A1498,F$2:F1498,"Active"),"")</f>
        <v/>
      </c>
      <c r="I1498" s="18" t="str">
        <f aca="false">IF(B1498="","",IF(SUMPRODUCT(MAX((A$1:A1497=A1498)*(B$1:B1497=B1498)*ROW(A$1:A1497)))=0,C1498&amp;"",IF(C1498="",INDEX(I$1:I1497,SUMPRODUCT(MAX((A$1:A1497=A1498)*(B$1:B1497=B1498)*ROW(A$1:A1497)))),IF(INDEX(I$1:I1497,SUMPRODUCT(MAX((A$1:A1497=A1498)*(B$1:B1497=B1498)*ROW(A$1:A1497))))="",C1498&amp;"",INDEX(I$1:I1497,SUMPRODUCT(MAX((A$1:A1497=A1498)*(B$1:B1497=B1498)*ROW(A$1:A1497))))&amp;"; "&amp;C1498))))</f>
        <v/>
      </c>
      <c r="J1498" s="18" t="str">
        <f aca="false">IF(A1498="","",A1498&amp;"|"&amp;COUNTIF(A$2:A1498,A1498))</f>
        <v/>
      </c>
      <c r="K1498" s="18" t="n">
        <f aca="false">IF(OR(A1498="",B1498=""),0,IF(COUNTIFS(A$2:A1498,A1498,B$2:B1498,B1498)=1,1,0))</f>
        <v>0</v>
      </c>
    </row>
    <row r="1499" customFormat="false" ht="15" hidden="false" customHeight="false" outlineLevel="0" collapsed="false">
      <c r="A1499" s="15"/>
      <c r="B1499" s="15"/>
      <c r="C1499" s="15"/>
      <c r="D1499" s="15"/>
      <c r="F1499" s="18" t="str">
        <f aca="false">IF(B1499="","",IFERROR(INDEX(Materials!$B$2:$B$201,MATCH(B1499,Materials!$A$2:$A$201,0)),""))</f>
        <v/>
      </c>
      <c r="G1499" s="18" t="str">
        <f aca="true">IF(AND(A1499="",B1499=""),"",IF(A1499="","Missing product",IF(B1499="","Missing material",IF(COUNTIF(ProductList,A1499)=0,"Product not in Products list",IF(COUNTIF(MaterialList,B1499)=0,"Material not in Materials list","OK")))))</f>
        <v/>
      </c>
      <c r="H1499" s="18" t="str">
        <f aca="false">IF(F1499="Active",A1499&amp;"|"&amp;COUNTIFS(A$2:A1499,A1499,F$2:F1499,"Active"),"")</f>
        <v/>
      </c>
      <c r="I1499" s="18" t="str">
        <f aca="false">IF(B1499="","",IF(SUMPRODUCT(MAX((A$1:A1498=A1499)*(B$1:B1498=B1499)*ROW(A$1:A1498)))=0,C1499&amp;"",IF(C1499="",INDEX(I$1:I1498,SUMPRODUCT(MAX((A$1:A1498=A1499)*(B$1:B1498=B1499)*ROW(A$1:A1498)))),IF(INDEX(I$1:I1498,SUMPRODUCT(MAX((A$1:A1498=A1499)*(B$1:B1498=B1499)*ROW(A$1:A1498))))="",C1499&amp;"",INDEX(I$1:I1498,SUMPRODUCT(MAX((A$1:A1498=A1499)*(B$1:B1498=B1499)*ROW(A$1:A1498))))&amp;"; "&amp;C1499))))</f>
        <v/>
      </c>
      <c r="J1499" s="18" t="str">
        <f aca="false">IF(A1499="","",A1499&amp;"|"&amp;COUNTIF(A$2:A1499,A1499))</f>
        <v/>
      </c>
      <c r="K1499" s="18" t="n">
        <f aca="false">IF(OR(A1499="",B1499=""),0,IF(COUNTIFS(A$2:A1499,A1499,B$2:B1499,B1499)=1,1,0))</f>
        <v>0</v>
      </c>
    </row>
    <row r="1500" customFormat="false" ht="15" hidden="false" customHeight="false" outlineLevel="0" collapsed="false">
      <c r="A1500" s="15"/>
      <c r="B1500" s="15"/>
      <c r="C1500" s="15"/>
      <c r="D1500" s="15"/>
      <c r="F1500" s="18" t="str">
        <f aca="false">IF(B1500="","",IFERROR(INDEX(Materials!$B$2:$B$201,MATCH(B1500,Materials!$A$2:$A$201,0)),""))</f>
        <v/>
      </c>
      <c r="G1500" s="18" t="str">
        <f aca="true">IF(AND(A1500="",B1500=""),"",IF(A1500="","Missing product",IF(B1500="","Missing material",IF(COUNTIF(ProductList,A1500)=0,"Product not in Products list",IF(COUNTIF(MaterialList,B1500)=0,"Material not in Materials list","OK")))))</f>
        <v/>
      </c>
      <c r="H1500" s="18" t="str">
        <f aca="false">IF(F1500="Active",A1500&amp;"|"&amp;COUNTIFS(A$2:A1500,A1500,F$2:F1500,"Active"),"")</f>
        <v/>
      </c>
      <c r="I1500" s="18" t="str">
        <f aca="false">IF(B1500="","",IF(SUMPRODUCT(MAX((A$1:A1499=A1500)*(B$1:B1499=B1500)*ROW(A$1:A1499)))=0,C1500&amp;"",IF(C1500="",INDEX(I$1:I1499,SUMPRODUCT(MAX((A$1:A1499=A1500)*(B$1:B1499=B1500)*ROW(A$1:A1499)))),IF(INDEX(I$1:I1499,SUMPRODUCT(MAX((A$1:A1499=A1500)*(B$1:B1499=B1500)*ROW(A$1:A1499))))="",C1500&amp;"",INDEX(I$1:I1499,SUMPRODUCT(MAX((A$1:A1499=A1500)*(B$1:B1499=B1500)*ROW(A$1:A1499))))&amp;"; "&amp;C1500))))</f>
        <v/>
      </c>
      <c r="J1500" s="18" t="str">
        <f aca="false">IF(A1500="","",A1500&amp;"|"&amp;COUNTIF(A$2:A1500,A1500))</f>
        <v/>
      </c>
      <c r="K1500" s="18" t="n">
        <f aca="false">IF(OR(A1500="",B1500=""),0,IF(COUNTIFS(A$2:A1500,A1500,B$2:B1500,B1500)=1,1,0))</f>
        <v>0</v>
      </c>
    </row>
    <row r="1501" customFormat="false" ht="15" hidden="false" customHeight="false" outlineLevel="0" collapsed="false">
      <c r="A1501" s="15"/>
      <c r="B1501" s="15"/>
      <c r="C1501" s="15"/>
      <c r="D1501" s="15"/>
      <c r="F1501" s="18" t="str">
        <f aca="false">IF(B1501="","",IFERROR(INDEX(Materials!$B$2:$B$201,MATCH(B1501,Materials!$A$2:$A$201,0)),""))</f>
        <v/>
      </c>
      <c r="G1501" s="18" t="str">
        <f aca="true">IF(AND(A1501="",B1501=""),"",IF(A1501="","Missing product",IF(B1501="","Missing material",IF(COUNTIF(ProductList,A1501)=0,"Product not in Products list",IF(COUNTIF(MaterialList,B1501)=0,"Material not in Materials list","OK")))))</f>
        <v/>
      </c>
      <c r="H1501" s="18" t="str">
        <f aca="false">IF(F1501="Active",A1501&amp;"|"&amp;COUNTIFS(A$2:A1501,A1501,F$2:F1501,"Active"),"")</f>
        <v/>
      </c>
      <c r="I1501" s="18" t="str">
        <f aca="false">IF(B1501="","",IF(SUMPRODUCT(MAX((A$1:A1500=A1501)*(B$1:B1500=B1501)*ROW(A$1:A1500)))=0,C1501&amp;"",IF(C1501="",INDEX(I$1:I1500,SUMPRODUCT(MAX((A$1:A1500=A1501)*(B$1:B1500=B1501)*ROW(A$1:A1500)))),IF(INDEX(I$1:I1500,SUMPRODUCT(MAX((A$1:A1500=A1501)*(B$1:B1500=B1501)*ROW(A$1:A1500))))="",C1501&amp;"",INDEX(I$1:I1500,SUMPRODUCT(MAX((A$1:A1500=A1501)*(B$1:B1500=B1501)*ROW(A$1:A1500))))&amp;"; "&amp;C1501))))</f>
        <v/>
      </c>
      <c r="J1501" s="18" t="str">
        <f aca="false">IF(A1501="","",A1501&amp;"|"&amp;COUNTIF(A$2:A1501,A1501))</f>
        <v/>
      </c>
      <c r="K1501" s="18" t="n">
        <f aca="false">IF(OR(A1501="",B1501=""),0,IF(COUNTIFS(A$2:A1501,A1501,B$2:B1501,B1501)=1,1,0))</f>
        <v>0</v>
      </c>
    </row>
  </sheetData>
  <autoFilter ref="A1:D1501"/>
  <conditionalFormatting sqref="G2:G1501">
    <cfRule type="expression" priority="2" aboveAverage="0" equalAverage="0" bottom="0" percent="0" rank="0" text="" dxfId="8">
      <formula>AND(G2&lt;&gt;"",G2&lt;&gt;"OK")</formula>
    </cfRule>
  </conditionalFormatting>
  <dataValidations count="3">
    <dataValidation allowBlank="true" error="Add it first to the Products / Materials sheet, then pick it from the list." errorStyle="stop" errorTitle="Not in master list" operator="between" showDropDown="false" showErrorMessage="true" showInputMessage="false" sqref="A2:A1501" type="list">
      <formula1>ProductList</formula1>
      <formula2>0</formula2>
    </dataValidation>
    <dataValidation allowBlank="true" error="Add it first to the Products / Materials sheet, then pick it from the list." errorStyle="stop" errorTitle="Not in master list" operator="between" showDropDown="false" showErrorMessage="true" showInputMessage="false" sqref="B2:B1501" type="list">
      <formula1>MaterialList</formula1>
      <formula2>0</formula2>
    </dataValidation>
    <dataValidation allowBlank="true" errorStyle="stop" operator="between" showDropDown="false" showErrorMessage="false" showInputMessage="false" sqref="C2:C1501" type="list">
      <formula1>StageList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BJ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62" min="3" style="0" width="4.5"/>
  </cols>
  <sheetData>
    <row r="1" customFormat="false" ht="17.35" hidden="false" customHeight="false" outlineLevel="0" collapsed="false">
      <c r="A1" s="1" t="s">
        <v>136</v>
      </c>
    </row>
    <row r="3" customFormat="false" ht="15" hidden="false" customHeight="false" outlineLevel="0" collapsed="false">
      <c r="A3" s="6" t="s">
        <v>137</v>
      </c>
      <c r="C3" s="19" t="n">
        <f aca="false">IF(C4="","",COUNTIF(C5:C204,"&gt;0"))</f>
        <v>16</v>
      </c>
      <c r="D3" s="19" t="n">
        <f aca="false">IF(D4="","",COUNTIF(D5:D204,"&gt;0"))</f>
        <v>17</v>
      </c>
      <c r="E3" s="19" t="n">
        <f aca="false">IF(E4="","",COUNTIF(E5:E204,"&gt;0"))</f>
        <v>16</v>
      </c>
      <c r="F3" s="19" t="n">
        <f aca="false">IF(F4="","",COUNTIF(F5:F204,"&gt;0"))</f>
        <v>15</v>
      </c>
      <c r="G3" s="19" t="n">
        <f aca="false">IF(G4="","",COUNTIF(G5:G204,"&gt;0"))</f>
        <v>15</v>
      </c>
      <c r="H3" s="19" t="n">
        <f aca="false">IF(H4="","",COUNTIF(H5:H204,"&gt;0"))</f>
        <v>15</v>
      </c>
      <c r="I3" s="19" t="n">
        <f aca="false">IF(I4="","",COUNTIF(I5:I204,"&gt;0"))</f>
        <v>14</v>
      </c>
      <c r="J3" s="19" t="n">
        <f aca="false">IF(J4="","",COUNTIF(J5:J204,"&gt;0"))</f>
        <v>14</v>
      </c>
      <c r="K3" s="19" t="n">
        <f aca="false">IF(K4="","",COUNTIF(K5:K204,"&gt;0"))</f>
        <v>13</v>
      </c>
      <c r="L3" s="19" t="n">
        <f aca="false">IF(L4="","",COUNTIF(L5:L204,"&gt;0"))</f>
        <v>13</v>
      </c>
      <c r="M3" s="19" t="str">
        <f aca="false">IF(M4="","",COUNTIF(M5:M204,"&gt;0"))</f>
        <v/>
      </c>
      <c r="N3" s="19" t="str">
        <f aca="false">IF(N4="","",COUNTIF(N5:N204,"&gt;0"))</f>
        <v/>
      </c>
      <c r="O3" s="19" t="str">
        <f aca="false">IF(O4="","",COUNTIF(O5:O204,"&gt;0"))</f>
        <v/>
      </c>
      <c r="P3" s="19" t="str">
        <f aca="false">IF(P4="","",COUNTIF(P5:P204,"&gt;0"))</f>
        <v/>
      </c>
      <c r="Q3" s="19" t="str">
        <f aca="false">IF(Q4="","",COUNTIF(Q5:Q204,"&gt;0"))</f>
        <v/>
      </c>
      <c r="R3" s="19" t="str">
        <f aca="false">IF(R4="","",COUNTIF(R5:R204,"&gt;0"))</f>
        <v/>
      </c>
      <c r="S3" s="19" t="str">
        <f aca="false">IF(S4="","",COUNTIF(S5:S204,"&gt;0"))</f>
        <v/>
      </c>
      <c r="T3" s="19" t="str">
        <f aca="false">IF(T4="","",COUNTIF(T5:T204,"&gt;0"))</f>
        <v/>
      </c>
      <c r="U3" s="19" t="str">
        <f aca="false">IF(U4="","",COUNTIF(U5:U204,"&gt;0"))</f>
        <v/>
      </c>
      <c r="V3" s="19" t="str">
        <f aca="false">IF(V4="","",COUNTIF(V5:V204,"&gt;0"))</f>
        <v/>
      </c>
      <c r="W3" s="19" t="str">
        <f aca="false">IF(W4="","",COUNTIF(W5:W204,"&gt;0"))</f>
        <v/>
      </c>
      <c r="X3" s="19" t="str">
        <f aca="false">IF(X4="","",COUNTIF(X5:X204,"&gt;0"))</f>
        <v/>
      </c>
      <c r="Y3" s="19" t="str">
        <f aca="false">IF(Y4="","",COUNTIF(Y5:Y204,"&gt;0"))</f>
        <v/>
      </c>
      <c r="Z3" s="19" t="str">
        <f aca="false">IF(Z4="","",COUNTIF(Z5:Z204,"&gt;0"))</f>
        <v/>
      </c>
      <c r="AA3" s="19" t="str">
        <f aca="false">IF(AA4="","",COUNTIF(AA5:AA204,"&gt;0"))</f>
        <v/>
      </c>
      <c r="AB3" s="19" t="str">
        <f aca="false">IF(AB4="","",COUNTIF(AB5:AB204,"&gt;0"))</f>
        <v/>
      </c>
      <c r="AC3" s="19" t="str">
        <f aca="false">IF(AC4="","",COUNTIF(AC5:AC204,"&gt;0"))</f>
        <v/>
      </c>
      <c r="AD3" s="19" t="str">
        <f aca="false">IF(AD4="","",COUNTIF(AD5:AD204,"&gt;0"))</f>
        <v/>
      </c>
      <c r="AE3" s="19" t="str">
        <f aca="false">IF(AE4="","",COUNTIF(AE5:AE204,"&gt;0"))</f>
        <v/>
      </c>
      <c r="AF3" s="19" t="str">
        <f aca="false">IF(AF4="","",COUNTIF(AF5:AF204,"&gt;0"))</f>
        <v/>
      </c>
      <c r="AG3" s="19" t="str">
        <f aca="false">IF(AG4="","",COUNTIF(AG5:AG204,"&gt;0"))</f>
        <v/>
      </c>
      <c r="AH3" s="19" t="str">
        <f aca="false">IF(AH4="","",COUNTIF(AH5:AH204,"&gt;0"))</f>
        <v/>
      </c>
      <c r="AI3" s="19" t="str">
        <f aca="false">IF(AI4="","",COUNTIF(AI5:AI204,"&gt;0"))</f>
        <v/>
      </c>
      <c r="AJ3" s="19" t="str">
        <f aca="false">IF(AJ4="","",COUNTIF(AJ5:AJ204,"&gt;0"))</f>
        <v/>
      </c>
      <c r="AK3" s="19" t="str">
        <f aca="false">IF(AK4="","",COUNTIF(AK5:AK204,"&gt;0"))</f>
        <v/>
      </c>
      <c r="AL3" s="19" t="str">
        <f aca="false">IF(AL4="","",COUNTIF(AL5:AL204,"&gt;0"))</f>
        <v/>
      </c>
      <c r="AM3" s="19" t="str">
        <f aca="false">IF(AM4="","",COUNTIF(AM5:AM204,"&gt;0"))</f>
        <v/>
      </c>
      <c r="AN3" s="19" t="str">
        <f aca="false">IF(AN4="","",COUNTIF(AN5:AN204,"&gt;0"))</f>
        <v/>
      </c>
      <c r="AO3" s="19" t="str">
        <f aca="false">IF(AO4="","",COUNTIF(AO5:AO204,"&gt;0"))</f>
        <v/>
      </c>
      <c r="AP3" s="19" t="str">
        <f aca="false">IF(AP4="","",COUNTIF(AP5:AP204,"&gt;0"))</f>
        <v/>
      </c>
      <c r="AQ3" s="19" t="str">
        <f aca="false">IF(AQ4="","",COUNTIF(AQ5:AQ204,"&gt;0"))</f>
        <v/>
      </c>
      <c r="AR3" s="19" t="str">
        <f aca="false">IF(AR4="","",COUNTIF(AR5:AR204,"&gt;0"))</f>
        <v/>
      </c>
      <c r="AS3" s="19" t="str">
        <f aca="false">IF(AS4="","",COUNTIF(AS5:AS204,"&gt;0"))</f>
        <v/>
      </c>
      <c r="AT3" s="19" t="str">
        <f aca="false">IF(AT4="","",COUNTIF(AT5:AT204,"&gt;0"))</f>
        <v/>
      </c>
      <c r="AU3" s="19" t="str">
        <f aca="false">IF(AU4="","",COUNTIF(AU5:AU204,"&gt;0"))</f>
        <v/>
      </c>
      <c r="AV3" s="19" t="str">
        <f aca="false">IF(AV4="","",COUNTIF(AV5:AV204,"&gt;0"))</f>
        <v/>
      </c>
      <c r="AW3" s="19" t="str">
        <f aca="false">IF(AW4="","",COUNTIF(AW5:AW204,"&gt;0"))</f>
        <v/>
      </c>
      <c r="AX3" s="19" t="str">
        <f aca="false">IF(AX4="","",COUNTIF(AX5:AX204,"&gt;0"))</f>
        <v/>
      </c>
      <c r="AY3" s="19" t="str">
        <f aca="false">IF(AY4="","",COUNTIF(AY5:AY204,"&gt;0"))</f>
        <v/>
      </c>
      <c r="AZ3" s="19" t="str">
        <f aca="false">IF(AZ4="","",COUNTIF(AZ5:AZ204,"&gt;0"))</f>
        <v/>
      </c>
      <c r="BA3" s="19" t="str">
        <f aca="false">IF(BA4="","",COUNTIF(BA5:BA204,"&gt;0"))</f>
        <v/>
      </c>
      <c r="BB3" s="19" t="str">
        <f aca="false">IF(BB4="","",COUNTIF(BB5:BB204,"&gt;0"))</f>
        <v/>
      </c>
      <c r="BC3" s="19" t="str">
        <f aca="false">IF(BC4="","",COUNTIF(BC5:BC204,"&gt;0"))</f>
        <v/>
      </c>
      <c r="BD3" s="19" t="str">
        <f aca="false">IF(BD4="","",COUNTIF(BD5:BD204,"&gt;0"))</f>
        <v/>
      </c>
      <c r="BE3" s="19" t="str">
        <f aca="false">IF(BE4="","",COUNTIF(BE5:BE204,"&gt;0"))</f>
        <v/>
      </c>
      <c r="BF3" s="19" t="str">
        <f aca="false">IF(BF4="","",COUNTIF(BF5:BF204,"&gt;0"))</f>
        <v/>
      </c>
      <c r="BG3" s="19" t="str">
        <f aca="false">IF(BG4="","",COUNTIF(BG5:BG204,"&gt;0"))</f>
        <v/>
      </c>
      <c r="BH3" s="19" t="str">
        <f aca="false">IF(BH4="","",COUNTIF(BH5:BH204,"&gt;0"))</f>
        <v/>
      </c>
      <c r="BI3" s="19" t="str">
        <f aca="false">IF(BI4="","",COUNTIF(BI5:BI204,"&gt;0"))</f>
        <v/>
      </c>
      <c r="BJ3" s="19" t="str">
        <f aca="false">IF(BJ4="","",COUNTIF(BJ5:BJ204,"&gt;0"))</f>
        <v/>
      </c>
    </row>
    <row r="4" customFormat="false" ht="90" hidden="false" customHeight="true" outlineLevel="0" collapsed="false">
      <c r="A4" s="10" t="s">
        <v>49</v>
      </c>
      <c r="B4" s="10" t="s">
        <v>138</v>
      </c>
      <c r="C4" s="20" t="str">
        <f aca="false">IF(INDEX(Products!$A$2:$A$61,1)="","",INDEX(Products!$A$2:$A$61,1))</f>
        <v>Product 1</v>
      </c>
      <c r="D4" s="20" t="str">
        <f aca="false">IF(INDEX(Products!$A$2:$A$61,2)="","",INDEX(Products!$A$2:$A$61,2))</f>
        <v>Product 2</v>
      </c>
      <c r="E4" s="20" t="str">
        <f aca="false">IF(INDEX(Products!$A$2:$A$61,3)="","",INDEX(Products!$A$2:$A$61,3))</f>
        <v>Product 3</v>
      </c>
      <c r="F4" s="20" t="str">
        <f aca="false">IF(INDEX(Products!$A$2:$A$61,4)="","",INDEX(Products!$A$2:$A$61,4))</f>
        <v>Product 4</v>
      </c>
      <c r="G4" s="20" t="str">
        <f aca="false">IF(INDEX(Products!$A$2:$A$61,5)="","",INDEX(Products!$A$2:$A$61,5))</f>
        <v>Product 5</v>
      </c>
      <c r="H4" s="20" t="str">
        <f aca="false">IF(INDEX(Products!$A$2:$A$61,6)="","",INDEX(Products!$A$2:$A$61,6))</f>
        <v>Product 6</v>
      </c>
      <c r="I4" s="20" t="str">
        <f aca="false">IF(INDEX(Products!$A$2:$A$61,7)="","",INDEX(Products!$A$2:$A$61,7))</f>
        <v>Product 7</v>
      </c>
      <c r="J4" s="20" t="str">
        <f aca="false">IF(INDEX(Products!$A$2:$A$61,8)="","",INDEX(Products!$A$2:$A$61,8))</f>
        <v>Product 8</v>
      </c>
      <c r="K4" s="20" t="str">
        <f aca="false">IF(INDEX(Products!$A$2:$A$61,9)="","",INDEX(Products!$A$2:$A$61,9))</f>
        <v>Product 9</v>
      </c>
      <c r="L4" s="20" t="str">
        <f aca="false">IF(INDEX(Products!$A$2:$A$61,10)="","",INDEX(Products!$A$2:$A$61,10))</f>
        <v>Product 10</v>
      </c>
      <c r="M4" s="20" t="str">
        <f aca="false">IF(INDEX(Products!$A$2:$A$61,11)="","",INDEX(Products!$A$2:$A$61,11))</f>
        <v/>
      </c>
      <c r="N4" s="20" t="str">
        <f aca="false">IF(INDEX(Products!$A$2:$A$61,12)="","",INDEX(Products!$A$2:$A$61,12))</f>
        <v/>
      </c>
      <c r="O4" s="20" t="str">
        <f aca="false">IF(INDEX(Products!$A$2:$A$61,13)="","",INDEX(Products!$A$2:$A$61,13))</f>
        <v/>
      </c>
      <c r="P4" s="20" t="str">
        <f aca="false">IF(INDEX(Products!$A$2:$A$61,14)="","",INDEX(Products!$A$2:$A$61,14))</f>
        <v/>
      </c>
      <c r="Q4" s="20" t="str">
        <f aca="false">IF(INDEX(Products!$A$2:$A$61,15)="","",INDEX(Products!$A$2:$A$61,15))</f>
        <v/>
      </c>
      <c r="R4" s="20" t="str">
        <f aca="false">IF(INDEX(Products!$A$2:$A$61,16)="","",INDEX(Products!$A$2:$A$61,16))</f>
        <v/>
      </c>
      <c r="S4" s="20" t="str">
        <f aca="false">IF(INDEX(Products!$A$2:$A$61,17)="","",INDEX(Products!$A$2:$A$61,17))</f>
        <v/>
      </c>
      <c r="T4" s="20" t="str">
        <f aca="false">IF(INDEX(Products!$A$2:$A$61,18)="","",INDEX(Products!$A$2:$A$61,18))</f>
        <v/>
      </c>
      <c r="U4" s="20" t="str">
        <f aca="false">IF(INDEX(Products!$A$2:$A$61,19)="","",INDEX(Products!$A$2:$A$61,19))</f>
        <v/>
      </c>
      <c r="V4" s="20" t="str">
        <f aca="false">IF(INDEX(Products!$A$2:$A$61,20)="","",INDEX(Products!$A$2:$A$61,20))</f>
        <v/>
      </c>
      <c r="W4" s="20" t="str">
        <f aca="false">IF(INDEX(Products!$A$2:$A$61,21)="","",INDEX(Products!$A$2:$A$61,21))</f>
        <v/>
      </c>
      <c r="X4" s="20" t="str">
        <f aca="false">IF(INDEX(Products!$A$2:$A$61,22)="","",INDEX(Products!$A$2:$A$61,22))</f>
        <v/>
      </c>
      <c r="Y4" s="20" t="str">
        <f aca="false">IF(INDEX(Products!$A$2:$A$61,23)="","",INDEX(Products!$A$2:$A$61,23))</f>
        <v/>
      </c>
      <c r="Z4" s="20" t="str">
        <f aca="false">IF(INDEX(Products!$A$2:$A$61,24)="","",INDEX(Products!$A$2:$A$61,24))</f>
        <v/>
      </c>
      <c r="AA4" s="20" t="str">
        <f aca="false">IF(INDEX(Products!$A$2:$A$61,25)="","",INDEX(Products!$A$2:$A$61,25))</f>
        <v/>
      </c>
      <c r="AB4" s="20" t="str">
        <f aca="false">IF(INDEX(Products!$A$2:$A$61,26)="","",INDEX(Products!$A$2:$A$61,26))</f>
        <v/>
      </c>
      <c r="AC4" s="20" t="str">
        <f aca="false">IF(INDEX(Products!$A$2:$A$61,27)="","",INDEX(Products!$A$2:$A$61,27))</f>
        <v/>
      </c>
      <c r="AD4" s="20" t="str">
        <f aca="false">IF(INDEX(Products!$A$2:$A$61,28)="","",INDEX(Products!$A$2:$A$61,28))</f>
        <v/>
      </c>
      <c r="AE4" s="20" t="str">
        <f aca="false">IF(INDEX(Products!$A$2:$A$61,29)="","",INDEX(Products!$A$2:$A$61,29))</f>
        <v/>
      </c>
      <c r="AF4" s="20" t="str">
        <f aca="false">IF(INDEX(Products!$A$2:$A$61,30)="","",INDEX(Products!$A$2:$A$61,30))</f>
        <v/>
      </c>
      <c r="AG4" s="20" t="str">
        <f aca="false">IF(INDEX(Products!$A$2:$A$61,31)="","",INDEX(Products!$A$2:$A$61,31))</f>
        <v/>
      </c>
      <c r="AH4" s="20" t="str">
        <f aca="false">IF(INDEX(Products!$A$2:$A$61,32)="","",INDEX(Products!$A$2:$A$61,32))</f>
        <v/>
      </c>
      <c r="AI4" s="20" t="str">
        <f aca="false">IF(INDEX(Products!$A$2:$A$61,33)="","",INDEX(Products!$A$2:$A$61,33))</f>
        <v/>
      </c>
      <c r="AJ4" s="20" t="str">
        <f aca="false">IF(INDEX(Products!$A$2:$A$61,34)="","",INDEX(Products!$A$2:$A$61,34))</f>
        <v/>
      </c>
      <c r="AK4" s="20" t="str">
        <f aca="false">IF(INDEX(Products!$A$2:$A$61,35)="","",INDEX(Products!$A$2:$A$61,35))</f>
        <v/>
      </c>
      <c r="AL4" s="20" t="str">
        <f aca="false">IF(INDEX(Products!$A$2:$A$61,36)="","",INDEX(Products!$A$2:$A$61,36))</f>
        <v/>
      </c>
      <c r="AM4" s="20" t="str">
        <f aca="false">IF(INDEX(Products!$A$2:$A$61,37)="","",INDEX(Products!$A$2:$A$61,37))</f>
        <v/>
      </c>
      <c r="AN4" s="20" t="str">
        <f aca="false">IF(INDEX(Products!$A$2:$A$61,38)="","",INDEX(Products!$A$2:$A$61,38))</f>
        <v/>
      </c>
      <c r="AO4" s="20" t="str">
        <f aca="false">IF(INDEX(Products!$A$2:$A$61,39)="","",INDEX(Products!$A$2:$A$61,39))</f>
        <v/>
      </c>
      <c r="AP4" s="20" t="str">
        <f aca="false">IF(INDEX(Products!$A$2:$A$61,40)="","",INDEX(Products!$A$2:$A$61,40))</f>
        <v/>
      </c>
      <c r="AQ4" s="20" t="str">
        <f aca="false">IF(INDEX(Products!$A$2:$A$61,41)="","",INDEX(Products!$A$2:$A$61,41))</f>
        <v/>
      </c>
      <c r="AR4" s="20" t="str">
        <f aca="false">IF(INDEX(Products!$A$2:$A$61,42)="","",INDEX(Products!$A$2:$A$61,42))</f>
        <v/>
      </c>
      <c r="AS4" s="20" t="str">
        <f aca="false">IF(INDEX(Products!$A$2:$A$61,43)="","",INDEX(Products!$A$2:$A$61,43))</f>
        <v/>
      </c>
      <c r="AT4" s="20" t="str">
        <f aca="false">IF(INDEX(Products!$A$2:$A$61,44)="","",INDEX(Products!$A$2:$A$61,44))</f>
        <v/>
      </c>
      <c r="AU4" s="20" t="str">
        <f aca="false">IF(INDEX(Products!$A$2:$A$61,45)="","",INDEX(Products!$A$2:$A$61,45))</f>
        <v/>
      </c>
      <c r="AV4" s="20" t="str">
        <f aca="false">IF(INDEX(Products!$A$2:$A$61,46)="","",INDEX(Products!$A$2:$A$61,46))</f>
        <v/>
      </c>
      <c r="AW4" s="20" t="str">
        <f aca="false">IF(INDEX(Products!$A$2:$A$61,47)="","",INDEX(Products!$A$2:$A$61,47))</f>
        <v/>
      </c>
      <c r="AX4" s="20" t="str">
        <f aca="false">IF(INDEX(Products!$A$2:$A$61,48)="","",INDEX(Products!$A$2:$A$61,48))</f>
        <v/>
      </c>
      <c r="AY4" s="20" t="str">
        <f aca="false">IF(INDEX(Products!$A$2:$A$61,49)="","",INDEX(Products!$A$2:$A$61,49))</f>
        <v/>
      </c>
      <c r="AZ4" s="20" t="str">
        <f aca="false">IF(INDEX(Products!$A$2:$A$61,50)="","",INDEX(Products!$A$2:$A$61,50))</f>
        <v/>
      </c>
      <c r="BA4" s="20" t="str">
        <f aca="false">IF(INDEX(Products!$A$2:$A$61,51)="","",INDEX(Products!$A$2:$A$61,51))</f>
        <v/>
      </c>
      <c r="BB4" s="20" t="str">
        <f aca="false">IF(INDEX(Products!$A$2:$A$61,52)="","",INDEX(Products!$A$2:$A$61,52))</f>
        <v/>
      </c>
      <c r="BC4" s="20" t="str">
        <f aca="false">IF(INDEX(Products!$A$2:$A$61,53)="","",INDEX(Products!$A$2:$A$61,53))</f>
        <v/>
      </c>
      <c r="BD4" s="20" t="str">
        <f aca="false">IF(INDEX(Products!$A$2:$A$61,54)="","",INDEX(Products!$A$2:$A$61,54))</f>
        <v/>
      </c>
      <c r="BE4" s="20" t="str">
        <f aca="false">IF(INDEX(Products!$A$2:$A$61,55)="","",INDEX(Products!$A$2:$A$61,55))</f>
        <v/>
      </c>
      <c r="BF4" s="20" t="str">
        <f aca="false">IF(INDEX(Products!$A$2:$A$61,56)="","",INDEX(Products!$A$2:$A$61,56))</f>
        <v/>
      </c>
      <c r="BG4" s="20" t="str">
        <f aca="false">IF(INDEX(Products!$A$2:$A$61,57)="","",INDEX(Products!$A$2:$A$61,57))</f>
        <v/>
      </c>
      <c r="BH4" s="20" t="str">
        <f aca="false">IF(INDEX(Products!$A$2:$A$61,58)="","",INDEX(Products!$A$2:$A$61,58))</f>
        <v/>
      </c>
      <c r="BI4" s="20" t="str">
        <f aca="false">IF(INDEX(Products!$A$2:$A$61,59)="","",INDEX(Products!$A$2:$A$61,59))</f>
        <v/>
      </c>
      <c r="BJ4" s="20" t="str">
        <f aca="false">IF(INDEX(Products!$A$2:$A$61,60)="","",INDEX(Products!$A$2:$A$61,60))</f>
        <v/>
      </c>
    </row>
    <row r="5" customFormat="false" ht="15" hidden="false" customHeight="false" outlineLevel="0" collapsed="false">
      <c r="A5" s="13" t="str">
        <f aca="false">IF(INDEX(Materials!$A$2:$A$201,1)="","",INDEX(Materials!$A$2:$A$201,1))</f>
        <v>Ezetimibe</v>
      </c>
      <c r="B5" s="19" t="n">
        <f aca="false">IF(A5="","",COUNTIF(C5:BJ5,"&gt;0"))</f>
        <v>3</v>
      </c>
      <c r="C5" s="21" t="n">
        <f aca="false">IF(OR($A5="",C$4=""),0,COUNTIFS(Formulas!$A$2:$A$1501,C$4,Formulas!$B$2:$B$1501,$A5))</f>
        <v>1</v>
      </c>
      <c r="D5" s="21" t="n">
        <f aca="false">IF(OR($A5="",D$4=""),0,COUNTIFS(Formulas!$A$2:$A$1501,D$4,Formulas!$B$2:$B$1501,$A5))</f>
        <v>1</v>
      </c>
      <c r="E5" s="21" t="n">
        <f aca="false">IF(OR($A5="",E$4=""),0,COUNTIFS(Formulas!$A$2:$A$1501,E$4,Formulas!$B$2:$B$1501,$A5))</f>
        <v>1</v>
      </c>
      <c r="F5" s="21" t="n">
        <f aca="false">IF(OR($A5="",F$4=""),0,COUNTIFS(Formulas!$A$2:$A$1501,F$4,Formulas!$B$2:$B$1501,$A5))</f>
        <v>0</v>
      </c>
      <c r="G5" s="21" t="n">
        <f aca="false">IF(OR($A5="",G$4=""),0,COUNTIFS(Formulas!$A$2:$A$1501,G$4,Formulas!$B$2:$B$1501,$A5))</f>
        <v>0</v>
      </c>
      <c r="H5" s="21" t="n">
        <f aca="false">IF(OR($A5="",H$4=""),0,COUNTIFS(Formulas!$A$2:$A$1501,H$4,Formulas!$B$2:$B$1501,$A5))</f>
        <v>0</v>
      </c>
      <c r="I5" s="21" t="n">
        <f aca="false">IF(OR($A5="",I$4=""),0,COUNTIFS(Formulas!$A$2:$A$1501,I$4,Formulas!$B$2:$B$1501,$A5))</f>
        <v>0</v>
      </c>
      <c r="J5" s="21" t="n">
        <f aca="false">IF(OR($A5="",J$4=""),0,COUNTIFS(Formulas!$A$2:$A$1501,J$4,Formulas!$B$2:$B$1501,$A5))</f>
        <v>0</v>
      </c>
      <c r="K5" s="21" t="n">
        <f aca="false">IF(OR($A5="",K$4=""),0,COUNTIFS(Formulas!$A$2:$A$1501,K$4,Formulas!$B$2:$B$1501,$A5))</f>
        <v>0</v>
      </c>
      <c r="L5" s="21" t="n">
        <f aca="false">IF(OR($A5="",L$4=""),0,COUNTIFS(Formulas!$A$2:$A$1501,L$4,Formulas!$B$2:$B$1501,$A5))</f>
        <v>0</v>
      </c>
      <c r="M5" s="21" t="n">
        <f aca="false">IF(OR($A5="",M$4=""),0,COUNTIFS(Formulas!$A$2:$A$1501,M$4,Formulas!$B$2:$B$1501,$A5))</f>
        <v>0</v>
      </c>
      <c r="N5" s="21" t="n">
        <f aca="false">IF(OR($A5="",N$4=""),0,COUNTIFS(Formulas!$A$2:$A$1501,N$4,Formulas!$B$2:$B$1501,$A5))</f>
        <v>0</v>
      </c>
      <c r="O5" s="21" t="n">
        <f aca="false">IF(OR($A5="",O$4=""),0,COUNTIFS(Formulas!$A$2:$A$1501,O$4,Formulas!$B$2:$B$1501,$A5))</f>
        <v>0</v>
      </c>
      <c r="P5" s="21" t="n">
        <f aca="false">IF(OR($A5="",P$4=""),0,COUNTIFS(Formulas!$A$2:$A$1501,P$4,Formulas!$B$2:$B$1501,$A5))</f>
        <v>0</v>
      </c>
      <c r="Q5" s="21" t="n">
        <f aca="false">IF(OR($A5="",Q$4=""),0,COUNTIFS(Formulas!$A$2:$A$1501,Q$4,Formulas!$B$2:$B$1501,$A5))</f>
        <v>0</v>
      </c>
      <c r="R5" s="21" t="n">
        <f aca="false">IF(OR($A5="",R$4=""),0,COUNTIFS(Formulas!$A$2:$A$1501,R$4,Formulas!$B$2:$B$1501,$A5))</f>
        <v>0</v>
      </c>
      <c r="S5" s="21" t="n">
        <f aca="false">IF(OR($A5="",S$4=""),0,COUNTIFS(Formulas!$A$2:$A$1501,S$4,Formulas!$B$2:$B$1501,$A5))</f>
        <v>0</v>
      </c>
      <c r="T5" s="21" t="n">
        <f aca="false">IF(OR($A5="",T$4=""),0,COUNTIFS(Formulas!$A$2:$A$1501,T$4,Formulas!$B$2:$B$1501,$A5))</f>
        <v>0</v>
      </c>
      <c r="U5" s="21" t="n">
        <f aca="false">IF(OR($A5="",U$4=""),0,COUNTIFS(Formulas!$A$2:$A$1501,U$4,Formulas!$B$2:$B$1501,$A5))</f>
        <v>0</v>
      </c>
      <c r="V5" s="21" t="n">
        <f aca="false">IF(OR($A5="",V$4=""),0,COUNTIFS(Formulas!$A$2:$A$1501,V$4,Formulas!$B$2:$B$1501,$A5))</f>
        <v>0</v>
      </c>
      <c r="W5" s="21" t="n">
        <f aca="false">IF(OR($A5="",W$4=""),0,COUNTIFS(Formulas!$A$2:$A$1501,W$4,Formulas!$B$2:$B$1501,$A5))</f>
        <v>0</v>
      </c>
      <c r="X5" s="21" t="n">
        <f aca="false">IF(OR($A5="",X$4=""),0,COUNTIFS(Formulas!$A$2:$A$1501,X$4,Formulas!$B$2:$B$1501,$A5))</f>
        <v>0</v>
      </c>
      <c r="Y5" s="21" t="n">
        <f aca="false">IF(OR($A5="",Y$4=""),0,COUNTIFS(Formulas!$A$2:$A$1501,Y$4,Formulas!$B$2:$B$1501,$A5))</f>
        <v>0</v>
      </c>
      <c r="Z5" s="21" t="n">
        <f aca="false">IF(OR($A5="",Z$4=""),0,COUNTIFS(Formulas!$A$2:$A$1501,Z$4,Formulas!$B$2:$B$1501,$A5))</f>
        <v>0</v>
      </c>
      <c r="AA5" s="21" t="n">
        <f aca="false">IF(OR($A5="",AA$4=""),0,COUNTIFS(Formulas!$A$2:$A$1501,AA$4,Formulas!$B$2:$B$1501,$A5))</f>
        <v>0</v>
      </c>
      <c r="AB5" s="21" t="n">
        <f aca="false">IF(OR($A5="",AB$4=""),0,COUNTIFS(Formulas!$A$2:$A$1501,AB$4,Formulas!$B$2:$B$1501,$A5))</f>
        <v>0</v>
      </c>
      <c r="AC5" s="21" t="n">
        <f aca="false">IF(OR($A5="",AC$4=""),0,COUNTIFS(Formulas!$A$2:$A$1501,AC$4,Formulas!$B$2:$B$1501,$A5))</f>
        <v>0</v>
      </c>
      <c r="AD5" s="21" t="n">
        <f aca="false">IF(OR($A5="",AD$4=""),0,COUNTIFS(Formulas!$A$2:$A$1501,AD$4,Formulas!$B$2:$B$1501,$A5))</f>
        <v>0</v>
      </c>
      <c r="AE5" s="21" t="n">
        <f aca="false">IF(OR($A5="",AE$4=""),0,COUNTIFS(Formulas!$A$2:$A$1501,AE$4,Formulas!$B$2:$B$1501,$A5))</f>
        <v>0</v>
      </c>
      <c r="AF5" s="21" t="n">
        <f aca="false">IF(OR($A5="",AF$4=""),0,COUNTIFS(Formulas!$A$2:$A$1501,AF$4,Formulas!$B$2:$B$1501,$A5))</f>
        <v>0</v>
      </c>
      <c r="AG5" s="21" t="n">
        <f aca="false">IF(OR($A5="",AG$4=""),0,COUNTIFS(Formulas!$A$2:$A$1501,AG$4,Formulas!$B$2:$B$1501,$A5))</f>
        <v>0</v>
      </c>
      <c r="AH5" s="21" t="n">
        <f aca="false">IF(OR($A5="",AH$4=""),0,COUNTIFS(Formulas!$A$2:$A$1501,AH$4,Formulas!$B$2:$B$1501,$A5))</f>
        <v>0</v>
      </c>
      <c r="AI5" s="21" t="n">
        <f aca="false">IF(OR($A5="",AI$4=""),0,COUNTIFS(Formulas!$A$2:$A$1501,AI$4,Formulas!$B$2:$B$1501,$A5))</f>
        <v>0</v>
      </c>
      <c r="AJ5" s="21" t="n">
        <f aca="false">IF(OR($A5="",AJ$4=""),0,COUNTIFS(Formulas!$A$2:$A$1501,AJ$4,Formulas!$B$2:$B$1501,$A5))</f>
        <v>0</v>
      </c>
      <c r="AK5" s="21" t="n">
        <f aca="false">IF(OR($A5="",AK$4=""),0,COUNTIFS(Formulas!$A$2:$A$1501,AK$4,Formulas!$B$2:$B$1501,$A5))</f>
        <v>0</v>
      </c>
      <c r="AL5" s="21" t="n">
        <f aca="false">IF(OR($A5="",AL$4=""),0,COUNTIFS(Formulas!$A$2:$A$1501,AL$4,Formulas!$B$2:$B$1501,$A5))</f>
        <v>0</v>
      </c>
      <c r="AM5" s="21" t="n">
        <f aca="false">IF(OR($A5="",AM$4=""),0,COUNTIFS(Formulas!$A$2:$A$1501,AM$4,Formulas!$B$2:$B$1501,$A5))</f>
        <v>0</v>
      </c>
      <c r="AN5" s="21" t="n">
        <f aca="false">IF(OR($A5="",AN$4=""),0,COUNTIFS(Formulas!$A$2:$A$1501,AN$4,Formulas!$B$2:$B$1501,$A5))</f>
        <v>0</v>
      </c>
      <c r="AO5" s="21" t="n">
        <f aca="false">IF(OR($A5="",AO$4=""),0,COUNTIFS(Formulas!$A$2:$A$1501,AO$4,Formulas!$B$2:$B$1501,$A5))</f>
        <v>0</v>
      </c>
      <c r="AP5" s="21" t="n">
        <f aca="false">IF(OR($A5="",AP$4=""),0,COUNTIFS(Formulas!$A$2:$A$1501,AP$4,Formulas!$B$2:$B$1501,$A5))</f>
        <v>0</v>
      </c>
      <c r="AQ5" s="21" t="n">
        <f aca="false">IF(OR($A5="",AQ$4=""),0,COUNTIFS(Formulas!$A$2:$A$1501,AQ$4,Formulas!$B$2:$B$1501,$A5))</f>
        <v>0</v>
      </c>
      <c r="AR5" s="21" t="n">
        <f aca="false">IF(OR($A5="",AR$4=""),0,COUNTIFS(Formulas!$A$2:$A$1501,AR$4,Formulas!$B$2:$B$1501,$A5))</f>
        <v>0</v>
      </c>
      <c r="AS5" s="21" t="n">
        <f aca="false">IF(OR($A5="",AS$4=""),0,COUNTIFS(Formulas!$A$2:$A$1501,AS$4,Formulas!$B$2:$B$1501,$A5))</f>
        <v>0</v>
      </c>
      <c r="AT5" s="21" t="n">
        <f aca="false">IF(OR($A5="",AT$4=""),0,COUNTIFS(Formulas!$A$2:$A$1501,AT$4,Formulas!$B$2:$B$1501,$A5))</f>
        <v>0</v>
      </c>
      <c r="AU5" s="21" t="n">
        <f aca="false">IF(OR($A5="",AU$4=""),0,COUNTIFS(Formulas!$A$2:$A$1501,AU$4,Formulas!$B$2:$B$1501,$A5))</f>
        <v>0</v>
      </c>
      <c r="AV5" s="21" t="n">
        <f aca="false">IF(OR($A5="",AV$4=""),0,COUNTIFS(Formulas!$A$2:$A$1501,AV$4,Formulas!$B$2:$B$1501,$A5))</f>
        <v>0</v>
      </c>
      <c r="AW5" s="21" t="n">
        <f aca="false">IF(OR($A5="",AW$4=""),0,COUNTIFS(Formulas!$A$2:$A$1501,AW$4,Formulas!$B$2:$B$1501,$A5))</f>
        <v>0</v>
      </c>
      <c r="AX5" s="21" t="n">
        <f aca="false">IF(OR($A5="",AX$4=""),0,COUNTIFS(Formulas!$A$2:$A$1501,AX$4,Formulas!$B$2:$B$1501,$A5))</f>
        <v>0</v>
      </c>
      <c r="AY5" s="21" t="n">
        <f aca="false">IF(OR($A5="",AY$4=""),0,COUNTIFS(Formulas!$A$2:$A$1501,AY$4,Formulas!$B$2:$B$1501,$A5))</f>
        <v>0</v>
      </c>
      <c r="AZ5" s="21" t="n">
        <f aca="false">IF(OR($A5="",AZ$4=""),0,COUNTIFS(Formulas!$A$2:$A$1501,AZ$4,Formulas!$B$2:$B$1501,$A5))</f>
        <v>0</v>
      </c>
      <c r="BA5" s="21" t="n">
        <f aca="false">IF(OR($A5="",BA$4=""),0,COUNTIFS(Formulas!$A$2:$A$1501,BA$4,Formulas!$B$2:$B$1501,$A5))</f>
        <v>0</v>
      </c>
      <c r="BB5" s="21" t="n">
        <f aca="false">IF(OR($A5="",BB$4=""),0,COUNTIFS(Formulas!$A$2:$A$1501,BB$4,Formulas!$B$2:$B$1501,$A5))</f>
        <v>0</v>
      </c>
      <c r="BC5" s="21" t="n">
        <f aca="false">IF(OR($A5="",BC$4=""),0,COUNTIFS(Formulas!$A$2:$A$1501,BC$4,Formulas!$B$2:$B$1501,$A5))</f>
        <v>0</v>
      </c>
      <c r="BD5" s="21" t="n">
        <f aca="false">IF(OR($A5="",BD$4=""),0,COUNTIFS(Formulas!$A$2:$A$1501,BD$4,Formulas!$B$2:$B$1501,$A5))</f>
        <v>0</v>
      </c>
      <c r="BE5" s="21" t="n">
        <f aca="false">IF(OR($A5="",BE$4=""),0,COUNTIFS(Formulas!$A$2:$A$1501,BE$4,Formulas!$B$2:$B$1501,$A5))</f>
        <v>0</v>
      </c>
      <c r="BF5" s="21" t="n">
        <f aca="false">IF(OR($A5="",BF$4=""),0,COUNTIFS(Formulas!$A$2:$A$1501,BF$4,Formulas!$B$2:$B$1501,$A5))</f>
        <v>0</v>
      </c>
      <c r="BG5" s="21" t="n">
        <f aca="false">IF(OR($A5="",BG$4=""),0,COUNTIFS(Formulas!$A$2:$A$1501,BG$4,Formulas!$B$2:$B$1501,$A5))</f>
        <v>0</v>
      </c>
      <c r="BH5" s="21" t="n">
        <f aca="false">IF(OR($A5="",BH$4=""),0,COUNTIFS(Formulas!$A$2:$A$1501,BH$4,Formulas!$B$2:$B$1501,$A5))</f>
        <v>0</v>
      </c>
      <c r="BI5" s="21" t="n">
        <f aca="false">IF(OR($A5="",BI$4=""),0,COUNTIFS(Formulas!$A$2:$A$1501,BI$4,Formulas!$B$2:$B$1501,$A5))</f>
        <v>0</v>
      </c>
      <c r="BJ5" s="21" t="n">
        <f aca="false">IF(OR($A5="",BJ$4=""),0,COUNTIFS(Formulas!$A$2:$A$1501,BJ$4,Formulas!$B$2:$B$1501,$A5))</f>
        <v>0</v>
      </c>
    </row>
    <row r="6" customFormat="false" ht="15" hidden="false" customHeight="false" outlineLevel="0" collapsed="false">
      <c r="A6" s="13" t="str">
        <f aca="false">IF(INDEX(Materials!$A$2:$A$201,2)="","",INDEX(Materials!$A$2:$A$201,2))</f>
        <v>Croscarmellose Sodium</v>
      </c>
      <c r="B6" s="19" t="n">
        <f aca="false">IF(A6="","",COUNTIF(C6:BJ6,"&gt;0"))</f>
        <v>8</v>
      </c>
      <c r="C6" s="21" t="n">
        <f aca="false">IF(OR($A6="",C$4=""),0,COUNTIFS(Formulas!$A$2:$A$1501,C$4,Formulas!$B$2:$B$1501,$A6))</f>
        <v>2</v>
      </c>
      <c r="D6" s="21" t="n">
        <f aca="false">IF(OR($A6="",D$4=""),0,COUNTIFS(Formulas!$A$2:$A$1501,D$4,Formulas!$B$2:$B$1501,$A6))</f>
        <v>2</v>
      </c>
      <c r="E6" s="21" t="n">
        <f aca="false">IF(OR($A6="",E$4=""),0,COUNTIFS(Formulas!$A$2:$A$1501,E$4,Formulas!$B$2:$B$1501,$A6))</f>
        <v>2</v>
      </c>
      <c r="F6" s="21" t="n">
        <f aca="false">IF(OR($A6="",F$4=""),0,COUNTIFS(Formulas!$A$2:$A$1501,F$4,Formulas!$B$2:$B$1501,$A6))</f>
        <v>2</v>
      </c>
      <c r="G6" s="21" t="n">
        <f aca="false">IF(OR($A6="",G$4=""),0,COUNTIFS(Formulas!$A$2:$A$1501,G$4,Formulas!$B$2:$B$1501,$A6))</f>
        <v>2</v>
      </c>
      <c r="H6" s="21" t="n">
        <f aca="false">IF(OR($A6="",H$4=""),0,COUNTIFS(Formulas!$A$2:$A$1501,H$4,Formulas!$B$2:$B$1501,$A6))</f>
        <v>2</v>
      </c>
      <c r="I6" s="21" t="n">
        <f aca="false">IF(OR($A6="",I$4=""),0,COUNTIFS(Formulas!$A$2:$A$1501,I$4,Formulas!$B$2:$B$1501,$A6))</f>
        <v>1</v>
      </c>
      <c r="J6" s="21" t="n">
        <f aca="false">IF(OR($A6="",J$4=""),0,COUNTIFS(Formulas!$A$2:$A$1501,J$4,Formulas!$B$2:$B$1501,$A6))</f>
        <v>1</v>
      </c>
      <c r="K6" s="21" t="n">
        <f aca="false">IF(OR($A6="",K$4=""),0,COUNTIFS(Formulas!$A$2:$A$1501,K$4,Formulas!$B$2:$B$1501,$A6))</f>
        <v>0</v>
      </c>
      <c r="L6" s="21" t="n">
        <f aca="false">IF(OR($A6="",L$4=""),0,COUNTIFS(Formulas!$A$2:$A$1501,L$4,Formulas!$B$2:$B$1501,$A6))</f>
        <v>0</v>
      </c>
      <c r="M6" s="21" t="n">
        <f aca="false">IF(OR($A6="",M$4=""),0,COUNTIFS(Formulas!$A$2:$A$1501,M$4,Formulas!$B$2:$B$1501,$A6))</f>
        <v>0</v>
      </c>
      <c r="N6" s="21" t="n">
        <f aca="false">IF(OR($A6="",N$4=""),0,COUNTIFS(Formulas!$A$2:$A$1501,N$4,Formulas!$B$2:$B$1501,$A6))</f>
        <v>0</v>
      </c>
      <c r="O6" s="21" t="n">
        <f aca="false">IF(OR($A6="",O$4=""),0,COUNTIFS(Formulas!$A$2:$A$1501,O$4,Formulas!$B$2:$B$1501,$A6))</f>
        <v>0</v>
      </c>
      <c r="P6" s="21" t="n">
        <f aca="false">IF(OR($A6="",P$4=""),0,COUNTIFS(Formulas!$A$2:$A$1501,P$4,Formulas!$B$2:$B$1501,$A6))</f>
        <v>0</v>
      </c>
      <c r="Q6" s="21" t="n">
        <f aca="false">IF(OR($A6="",Q$4=""),0,COUNTIFS(Formulas!$A$2:$A$1501,Q$4,Formulas!$B$2:$B$1501,$A6))</f>
        <v>0</v>
      </c>
      <c r="R6" s="21" t="n">
        <f aca="false">IF(OR($A6="",R$4=""),0,COUNTIFS(Formulas!$A$2:$A$1501,R$4,Formulas!$B$2:$B$1501,$A6))</f>
        <v>0</v>
      </c>
      <c r="S6" s="21" t="n">
        <f aca="false">IF(OR($A6="",S$4=""),0,COUNTIFS(Formulas!$A$2:$A$1501,S$4,Formulas!$B$2:$B$1501,$A6))</f>
        <v>0</v>
      </c>
      <c r="T6" s="21" t="n">
        <f aca="false">IF(OR($A6="",T$4=""),0,COUNTIFS(Formulas!$A$2:$A$1501,T$4,Formulas!$B$2:$B$1501,$A6))</f>
        <v>0</v>
      </c>
      <c r="U6" s="21" t="n">
        <f aca="false">IF(OR($A6="",U$4=""),0,COUNTIFS(Formulas!$A$2:$A$1501,U$4,Formulas!$B$2:$B$1501,$A6))</f>
        <v>0</v>
      </c>
      <c r="V6" s="21" t="n">
        <f aca="false">IF(OR($A6="",V$4=""),0,COUNTIFS(Formulas!$A$2:$A$1501,V$4,Formulas!$B$2:$B$1501,$A6))</f>
        <v>0</v>
      </c>
      <c r="W6" s="21" t="n">
        <f aca="false">IF(OR($A6="",W$4=""),0,COUNTIFS(Formulas!$A$2:$A$1501,W$4,Formulas!$B$2:$B$1501,$A6))</f>
        <v>0</v>
      </c>
      <c r="X6" s="21" t="n">
        <f aca="false">IF(OR($A6="",X$4=""),0,COUNTIFS(Formulas!$A$2:$A$1501,X$4,Formulas!$B$2:$B$1501,$A6))</f>
        <v>0</v>
      </c>
      <c r="Y6" s="21" t="n">
        <f aca="false">IF(OR($A6="",Y$4=""),0,COUNTIFS(Formulas!$A$2:$A$1501,Y$4,Formulas!$B$2:$B$1501,$A6))</f>
        <v>0</v>
      </c>
      <c r="Z6" s="21" t="n">
        <f aca="false">IF(OR($A6="",Z$4=""),0,COUNTIFS(Formulas!$A$2:$A$1501,Z$4,Formulas!$B$2:$B$1501,$A6))</f>
        <v>0</v>
      </c>
      <c r="AA6" s="21" t="n">
        <f aca="false">IF(OR($A6="",AA$4=""),0,COUNTIFS(Formulas!$A$2:$A$1501,AA$4,Formulas!$B$2:$B$1501,$A6))</f>
        <v>0</v>
      </c>
      <c r="AB6" s="21" t="n">
        <f aca="false">IF(OR($A6="",AB$4=""),0,COUNTIFS(Formulas!$A$2:$A$1501,AB$4,Formulas!$B$2:$B$1501,$A6))</f>
        <v>0</v>
      </c>
      <c r="AC6" s="21" t="n">
        <f aca="false">IF(OR($A6="",AC$4=""),0,COUNTIFS(Formulas!$A$2:$A$1501,AC$4,Formulas!$B$2:$B$1501,$A6))</f>
        <v>0</v>
      </c>
      <c r="AD6" s="21" t="n">
        <f aca="false">IF(OR($A6="",AD$4=""),0,COUNTIFS(Formulas!$A$2:$A$1501,AD$4,Formulas!$B$2:$B$1501,$A6))</f>
        <v>0</v>
      </c>
      <c r="AE6" s="21" t="n">
        <f aca="false">IF(OR($A6="",AE$4=""),0,COUNTIFS(Formulas!$A$2:$A$1501,AE$4,Formulas!$B$2:$B$1501,$A6))</f>
        <v>0</v>
      </c>
      <c r="AF6" s="21" t="n">
        <f aca="false">IF(OR($A6="",AF$4=""),0,COUNTIFS(Formulas!$A$2:$A$1501,AF$4,Formulas!$B$2:$B$1501,$A6))</f>
        <v>0</v>
      </c>
      <c r="AG6" s="21" t="n">
        <f aca="false">IF(OR($A6="",AG$4=""),0,COUNTIFS(Formulas!$A$2:$A$1501,AG$4,Formulas!$B$2:$B$1501,$A6))</f>
        <v>0</v>
      </c>
      <c r="AH6" s="21" t="n">
        <f aca="false">IF(OR($A6="",AH$4=""),0,COUNTIFS(Formulas!$A$2:$A$1501,AH$4,Formulas!$B$2:$B$1501,$A6))</f>
        <v>0</v>
      </c>
      <c r="AI6" s="21" t="n">
        <f aca="false">IF(OR($A6="",AI$4=""),0,COUNTIFS(Formulas!$A$2:$A$1501,AI$4,Formulas!$B$2:$B$1501,$A6))</f>
        <v>0</v>
      </c>
      <c r="AJ6" s="21" t="n">
        <f aca="false">IF(OR($A6="",AJ$4=""),0,COUNTIFS(Formulas!$A$2:$A$1501,AJ$4,Formulas!$B$2:$B$1501,$A6))</f>
        <v>0</v>
      </c>
      <c r="AK6" s="21" t="n">
        <f aca="false">IF(OR($A6="",AK$4=""),0,COUNTIFS(Formulas!$A$2:$A$1501,AK$4,Formulas!$B$2:$B$1501,$A6))</f>
        <v>0</v>
      </c>
      <c r="AL6" s="21" t="n">
        <f aca="false">IF(OR($A6="",AL$4=""),0,COUNTIFS(Formulas!$A$2:$A$1501,AL$4,Formulas!$B$2:$B$1501,$A6))</f>
        <v>0</v>
      </c>
      <c r="AM6" s="21" t="n">
        <f aca="false">IF(OR($A6="",AM$4=""),0,COUNTIFS(Formulas!$A$2:$A$1501,AM$4,Formulas!$B$2:$B$1501,$A6))</f>
        <v>0</v>
      </c>
      <c r="AN6" s="21" t="n">
        <f aca="false">IF(OR($A6="",AN$4=""),0,COUNTIFS(Formulas!$A$2:$A$1501,AN$4,Formulas!$B$2:$B$1501,$A6))</f>
        <v>0</v>
      </c>
      <c r="AO6" s="21" t="n">
        <f aca="false">IF(OR($A6="",AO$4=""),0,COUNTIFS(Formulas!$A$2:$A$1501,AO$4,Formulas!$B$2:$B$1501,$A6))</f>
        <v>0</v>
      </c>
      <c r="AP6" s="21" t="n">
        <f aca="false">IF(OR($A6="",AP$4=""),0,COUNTIFS(Formulas!$A$2:$A$1501,AP$4,Formulas!$B$2:$B$1501,$A6))</f>
        <v>0</v>
      </c>
      <c r="AQ6" s="21" t="n">
        <f aca="false">IF(OR($A6="",AQ$4=""),0,COUNTIFS(Formulas!$A$2:$A$1501,AQ$4,Formulas!$B$2:$B$1501,$A6))</f>
        <v>0</v>
      </c>
      <c r="AR6" s="21" t="n">
        <f aca="false">IF(OR($A6="",AR$4=""),0,COUNTIFS(Formulas!$A$2:$A$1501,AR$4,Formulas!$B$2:$B$1501,$A6))</f>
        <v>0</v>
      </c>
      <c r="AS6" s="21" t="n">
        <f aca="false">IF(OR($A6="",AS$4=""),0,COUNTIFS(Formulas!$A$2:$A$1501,AS$4,Formulas!$B$2:$B$1501,$A6))</f>
        <v>0</v>
      </c>
      <c r="AT6" s="21" t="n">
        <f aca="false">IF(OR($A6="",AT$4=""),0,COUNTIFS(Formulas!$A$2:$A$1501,AT$4,Formulas!$B$2:$B$1501,$A6))</f>
        <v>0</v>
      </c>
      <c r="AU6" s="21" t="n">
        <f aca="false">IF(OR($A6="",AU$4=""),0,COUNTIFS(Formulas!$A$2:$A$1501,AU$4,Formulas!$B$2:$B$1501,$A6))</f>
        <v>0</v>
      </c>
      <c r="AV6" s="21" t="n">
        <f aca="false">IF(OR($A6="",AV$4=""),0,COUNTIFS(Formulas!$A$2:$A$1501,AV$4,Formulas!$B$2:$B$1501,$A6))</f>
        <v>0</v>
      </c>
      <c r="AW6" s="21" t="n">
        <f aca="false">IF(OR($A6="",AW$4=""),0,COUNTIFS(Formulas!$A$2:$A$1501,AW$4,Formulas!$B$2:$B$1501,$A6))</f>
        <v>0</v>
      </c>
      <c r="AX6" s="21" t="n">
        <f aca="false">IF(OR($A6="",AX$4=""),0,COUNTIFS(Formulas!$A$2:$A$1501,AX$4,Formulas!$B$2:$B$1501,$A6))</f>
        <v>0</v>
      </c>
      <c r="AY6" s="21" t="n">
        <f aca="false">IF(OR($A6="",AY$4=""),0,COUNTIFS(Formulas!$A$2:$A$1501,AY$4,Formulas!$B$2:$B$1501,$A6))</f>
        <v>0</v>
      </c>
      <c r="AZ6" s="21" t="n">
        <f aca="false">IF(OR($A6="",AZ$4=""),0,COUNTIFS(Formulas!$A$2:$A$1501,AZ$4,Formulas!$B$2:$B$1501,$A6))</f>
        <v>0</v>
      </c>
      <c r="BA6" s="21" t="n">
        <f aca="false">IF(OR($A6="",BA$4=""),0,COUNTIFS(Formulas!$A$2:$A$1501,BA$4,Formulas!$B$2:$B$1501,$A6))</f>
        <v>0</v>
      </c>
      <c r="BB6" s="21" t="n">
        <f aca="false">IF(OR($A6="",BB$4=""),0,COUNTIFS(Formulas!$A$2:$A$1501,BB$4,Formulas!$B$2:$B$1501,$A6))</f>
        <v>0</v>
      </c>
      <c r="BC6" s="21" t="n">
        <f aca="false">IF(OR($A6="",BC$4=""),0,COUNTIFS(Formulas!$A$2:$A$1501,BC$4,Formulas!$B$2:$B$1501,$A6))</f>
        <v>0</v>
      </c>
      <c r="BD6" s="21" t="n">
        <f aca="false">IF(OR($A6="",BD$4=""),0,COUNTIFS(Formulas!$A$2:$A$1501,BD$4,Formulas!$B$2:$B$1501,$A6))</f>
        <v>0</v>
      </c>
      <c r="BE6" s="21" t="n">
        <f aca="false">IF(OR($A6="",BE$4=""),0,COUNTIFS(Formulas!$A$2:$A$1501,BE$4,Formulas!$B$2:$B$1501,$A6))</f>
        <v>0</v>
      </c>
      <c r="BF6" s="21" t="n">
        <f aca="false">IF(OR($A6="",BF$4=""),0,COUNTIFS(Formulas!$A$2:$A$1501,BF$4,Formulas!$B$2:$B$1501,$A6))</f>
        <v>0</v>
      </c>
      <c r="BG6" s="21" t="n">
        <f aca="false">IF(OR($A6="",BG$4=""),0,COUNTIFS(Formulas!$A$2:$A$1501,BG$4,Formulas!$B$2:$B$1501,$A6))</f>
        <v>0</v>
      </c>
      <c r="BH6" s="21" t="n">
        <f aca="false">IF(OR($A6="",BH$4=""),0,COUNTIFS(Formulas!$A$2:$A$1501,BH$4,Formulas!$B$2:$B$1501,$A6))</f>
        <v>0</v>
      </c>
      <c r="BI6" s="21" t="n">
        <f aca="false">IF(OR($A6="",BI$4=""),0,COUNTIFS(Formulas!$A$2:$A$1501,BI$4,Formulas!$B$2:$B$1501,$A6))</f>
        <v>0</v>
      </c>
      <c r="BJ6" s="21" t="n">
        <f aca="false">IF(OR($A6="",BJ$4=""),0,COUNTIFS(Formulas!$A$2:$A$1501,BJ$4,Formulas!$B$2:$B$1501,$A6))</f>
        <v>0</v>
      </c>
    </row>
    <row r="7" customFormat="false" ht="15" hidden="false" customHeight="false" outlineLevel="0" collapsed="false">
      <c r="A7" s="13" t="str">
        <f aca="false">IF(INDEX(Materials!$A$2:$A$201,3)="","",INDEX(Materials!$A$2:$A$201,3))</f>
        <v>Sodium Lauryl Sulfate</v>
      </c>
      <c r="B7" s="19" t="n">
        <f aca="false">IF(A7="","",COUNTIF(C7:BJ7,"&gt;0"))</f>
        <v>7</v>
      </c>
      <c r="C7" s="21" t="n">
        <f aca="false">IF(OR($A7="",C$4=""),0,COUNTIFS(Formulas!$A$2:$A$1501,C$4,Formulas!$B$2:$B$1501,$A7))</f>
        <v>1</v>
      </c>
      <c r="D7" s="21" t="n">
        <f aca="false">IF(OR($A7="",D$4=""),0,COUNTIFS(Formulas!$A$2:$A$1501,D$4,Formulas!$B$2:$B$1501,$A7))</f>
        <v>1</v>
      </c>
      <c r="E7" s="21" t="n">
        <f aca="false">IF(OR($A7="",E$4=""),0,COUNTIFS(Formulas!$A$2:$A$1501,E$4,Formulas!$B$2:$B$1501,$A7))</f>
        <v>1</v>
      </c>
      <c r="F7" s="21" t="n">
        <f aca="false">IF(OR($A7="",F$4=""),0,COUNTIFS(Formulas!$A$2:$A$1501,F$4,Formulas!$B$2:$B$1501,$A7))</f>
        <v>0</v>
      </c>
      <c r="G7" s="21" t="n">
        <f aca="false">IF(OR($A7="",G$4=""),0,COUNTIFS(Formulas!$A$2:$A$1501,G$4,Formulas!$B$2:$B$1501,$A7))</f>
        <v>0</v>
      </c>
      <c r="H7" s="21" t="n">
        <f aca="false">IF(OR($A7="",H$4=""),0,COUNTIFS(Formulas!$A$2:$A$1501,H$4,Formulas!$B$2:$B$1501,$A7))</f>
        <v>0</v>
      </c>
      <c r="I7" s="21" t="n">
        <f aca="false">IF(OR($A7="",I$4=""),0,COUNTIFS(Formulas!$A$2:$A$1501,I$4,Formulas!$B$2:$B$1501,$A7))</f>
        <v>1</v>
      </c>
      <c r="J7" s="21" t="n">
        <f aca="false">IF(OR($A7="",J$4=""),0,COUNTIFS(Formulas!$A$2:$A$1501,J$4,Formulas!$B$2:$B$1501,$A7))</f>
        <v>1</v>
      </c>
      <c r="K7" s="21" t="n">
        <f aca="false">IF(OR($A7="",K$4=""),0,COUNTIFS(Formulas!$A$2:$A$1501,K$4,Formulas!$B$2:$B$1501,$A7))</f>
        <v>1</v>
      </c>
      <c r="L7" s="21" t="n">
        <f aca="false">IF(OR($A7="",L$4=""),0,COUNTIFS(Formulas!$A$2:$A$1501,L$4,Formulas!$B$2:$B$1501,$A7))</f>
        <v>1</v>
      </c>
      <c r="M7" s="21" t="n">
        <f aca="false">IF(OR($A7="",M$4=""),0,COUNTIFS(Formulas!$A$2:$A$1501,M$4,Formulas!$B$2:$B$1501,$A7))</f>
        <v>0</v>
      </c>
      <c r="N7" s="21" t="n">
        <f aca="false">IF(OR($A7="",N$4=""),0,COUNTIFS(Formulas!$A$2:$A$1501,N$4,Formulas!$B$2:$B$1501,$A7))</f>
        <v>0</v>
      </c>
      <c r="O7" s="21" t="n">
        <f aca="false">IF(OR($A7="",O$4=""),0,COUNTIFS(Formulas!$A$2:$A$1501,O$4,Formulas!$B$2:$B$1501,$A7))</f>
        <v>0</v>
      </c>
      <c r="P7" s="21" t="n">
        <f aca="false">IF(OR($A7="",P$4=""),0,COUNTIFS(Formulas!$A$2:$A$1501,P$4,Formulas!$B$2:$B$1501,$A7))</f>
        <v>0</v>
      </c>
      <c r="Q7" s="21" t="n">
        <f aca="false">IF(OR($A7="",Q$4=""),0,COUNTIFS(Formulas!$A$2:$A$1501,Q$4,Formulas!$B$2:$B$1501,$A7))</f>
        <v>0</v>
      </c>
      <c r="R7" s="21" t="n">
        <f aca="false">IF(OR($A7="",R$4=""),0,COUNTIFS(Formulas!$A$2:$A$1501,R$4,Formulas!$B$2:$B$1501,$A7))</f>
        <v>0</v>
      </c>
      <c r="S7" s="21" t="n">
        <f aca="false">IF(OR($A7="",S$4=""),0,COUNTIFS(Formulas!$A$2:$A$1501,S$4,Formulas!$B$2:$B$1501,$A7))</f>
        <v>0</v>
      </c>
      <c r="T7" s="21" t="n">
        <f aca="false">IF(OR($A7="",T$4=""),0,COUNTIFS(Formulas!$A$2:$A$1501,T$4,Formulas!$B$2:$B$1501,$A7))</f>
        <v>0</v>
      </c>
      <c r="U7" s="21" t="n">
        <f aca="false">IF(OR($A7="",U$4=""),0,COUNTIFS(Formulas!$A$2:$A$1501,U$4,Formulas!$B$2:$B$1501,$A7))</f>
        <v>0</v>
      </c>
      <c r="V7" s="21" t="n">
        <f aca="false">IF(OR($A7="",V$4=""),0,COUNTIFS(Formulas!$A$2:$A$1501,V$4,Formulas!$B$2:$B$1501,$A7))</f>
        <v>0</v>
      </c>
      <c r="W7" s="21" t="n">
        <f aca="false">IF(OR($A7="",W$4=""),0,COUNTIFS(Formulas!$A$2:$A$1501,W$4,Formulas!$B$2:$B$1501,$A7))</f>
        <v>0</v>
      </c>
      <c r="X7" s="21" t="n">
        <f aca="false">IF(OR($A7="",X$4=""),0,COUNTIFS(Formulas!$A$2:$A$1501,X$4,Formulas!$B$2:$B$1501,$A7))</f>
        <v>0</v>
      </c>
      <c r="Y7" s="21" t="n">
        <f aca="false">IF(OR($A7="",Y$4=""),0,COUNTIFS(Formulas!$A$2:$A$1501,Y$4,Formulas!$B$2:$B$1501,$A7))</f>
        <v>0</v>
      </c>
      <c r="Z7" s="21" t="n">
        <f aca="false">IF(OR($A7="",Z$4=""),0,COUNTIFS(Formulas!$A$2:$A$1501,Z$4,Formulas!$B$2:$B$1501,$A7))</f>
        <v>0</v>
      </c>
      <c r="AA7" s="21" t="n">
        <f aca="false">IF(OR($A7="",AA$4=""),0,COUNTIFS(Formulas!$A$2:$A$1501,AA$4,Formulas!$B$2:$B$1501,$A7))</f>
        <v>0</v>
      </c>
      <c r="AB7" s="21" t="n">
        <f aca="false">IF(OR($A7="",AB$4=""),0,COUNTIFS(Formulas!$A$2:$A$1501,AB$4,Formulas!$B$2:$B$1501,$A7))</f>
        <v>0</v>
      </c>
      <c r="AC7" s="21" t="n">
        <f aca="false">IF(OR($A7="",AC$4=""),0,COUNTIFS(Formulas!$A$2:$A$1501,AC$4,Formulas!$B$2:$B$1501,$A7))</f>
        <v>0</v>
      </c>
      <c r="AD7" s="21" t="n">
        <f aca="false">IF(OR($A7="",AD$4=""),0,COUNTIFS(Formulas!$A$2:$A$1501,AD$4,Formulas!$B$2:$B$1501,$A7))</f>
        <v>0</v>
      </c>
      <c r="AE7" s="21" t="n">
        <f aca="false">IF(OR($A7="",AE$4=""),0,COUNTIFS(Formulas!$A$2:$A$1501,AE$4,Formulas!$B$2:$B$1501,$A7))</f>
        <v>0</v>
      </c>
      <c r="AF7" s="21" t="n">
        <f aca="false">IF(OR($A7="",AF$4=""),0,COUNTIFS(Formulas!$A$2:$A$1501,AF$4,Formulas!$B$2:$B$1501,$A7))</f>
        <v>0</v>
      </c>
      <c r="AG7" s="21" t="n">
        <f aca="false">IF(OR($A7="",AG$4=""),0,COUNTIFS(Formulas!$A$2:$A$1501,AG$4,Formulas!$B$2:$B$1501,$A7))</f>
        <v>0</v>
      </c>
      <c r="AH7" s="21" t="n">
        <f aca="false">IF(OR($A7="",AH$4=""),0,COUNTIFS(Formulas!$A$2:$A$1501,AH$4,Formulas!$B$2:$B$1501,$A7))</f>
        <v>0</v>
      </c>
      <c r="AI7" s="21" t="n">
        <f aca="false">IF(OR($A7="",AI$4=""),0,COUNTIFS(Formulas!$A$2:$A$1501,AI$4,Formulas!$B$2:$B$1501,$A7))</f>
        <v>0</v>
      </c>
      <c r="AJ7" s="21" t="n">
        <f aca="false">IF(OR($A7="",AJ$4=""),0,COUNTIFS(Formulas!$A$2:$A$1501,AJ$4,Formulas!$B$2:$B$1501,$A7))</f>
        <v>0</v>
      </c>
      <c r="AK7" s="21" t="n">
        <f aca="false">IF(OR($A7="",AK$4=""),0,COUNTIFS(Formulas!$A$2:$A$1501,AK$4,Formulas!$B$2:$B$1501,$A7))</f>
        <v>0</v>
      </c>
      <c r="AL7" s="21" t="n">
        <f aca="false">IF(OR($A7="",AL$4=""),0,COUNTIFS(Formulas!$A$2:$A$1501,AL$4,Formulas!$B$2:$B$1501,$A7))</f>
        <v>0</v>
      </c>
      <c r="AM7" s="21" t="n">
        <f aca="false">IF(OR($A7="",AM$4=""),0,COUNTIFS(Formulas!$A$2:$A$1501,AM$4,Formulas!$B$2:$B$1501,$A7))</f>
        <v>0</v>
      </c>
      <c r="AN7" s="21" t="n">
        <f aca="false">IF(OR($A7="",AN$4=""),0,COUNTIFS(Formulas!$A$2:$A$1501,AN$4,Formulas!$B$2:$B$1501,$A7))</f>
        <v>0</v>
      </c>
      <c r="AO7" s="21" t="n">
        <f aca="false">IF(OR($A7="",AO$4=""),0,COUNTIFS(Formulas!$A$2:$A$1501,AO$4,Formulas!$B$2:$B$1501,$A7))</f>
        <v>0</v>
      </c>
      <c r="AP7" s="21" t="n">
        <f aca="false">IF(OR($A7="",AP$4=""),0,COUNTIFS(Formulas!$A$2:$A$1501,AP$4,Formulas!$B$2:$B$1501,$A7))</f>
        <v>0</v>
      </c>
      <c r="AQ7" s="21" t="n">
        <f aca="false">IF(OR($A7="",AQ$4=""),0,COUNTIFS(Formulas!$A$2:$A$1501,AQ$4,Formulas!$B$2:$B$1501,$A7))</f>
        <v>0</v>
      </c>
      <c r="AR7" s="21" t="n">
        <f aca="false">IF(OR($A7="",AR$4=""),0,COUNTIFS(Formulas!$A$2:$A$1501,AR$4,Formulas!$B$2:$B$1501,$A7))</f>
        <v>0</v>
      </c>
      <c r="AS7" s="21" t="n">
        <f aca="false">IF(OR($A7="",AS$4=""),0,COUNTIFS(Formulas!$A$2:$A$1501,AS$4,Formulas!$B$2:$B$1501,$A7))</f>
        <v>0</v>
      </c>
      <c r="AT7" s="21" t="n">
        <f aca="false">IF(OR($A7="",AT$4=""),0,COUNTIFS(Formulas!$A$2:$A$1501,AT$4,Formulas!$B$2:$B$1501,$A7))</f>
        <v>0</v>
      </c>
      <c r="AU7" s="21" t="n">
        <f aca="false">IF(OR($A7="",AU$4=""),0,COUNTIFS(Formulas!$A$2:$A$1501,AU$4,Formulas!$B$2:$B$1501,$A7))</f>
        <v>0</v>
      </c>
      <c r="AV7" s="21" t="n">
        <f aca="false">IF(OR($A7="",AV$4=""),0,COUNTIFS(Formulas!$A$2:$A$1501,AV$4,Formulas!$B$2:$B$1501,$A7))</f>
        <v>0</v>
      </c>
      <c r="AW7" s="21" t="n">
        <f aca="false">IF(OR($A7="",AW$4=""),0,COUNTIFS(Formulas!$A$2:$A$1501,AW$4,Formulas!$B$2:$B$1501,$A7))</f>
        <v>0</v>
      </c>
      <c r="AX7" s="21" t="n">
        <f aca="false">IF(OR($A7="",AX$4=""),0,COUNTIFS(Formulas!$A$2:$A$1501,AX$4,Formulas!$B$2:$B$1501,$A7))</f>
        <v>0</v>
      </c>
      <c r="AY7" s="21" t="n">
        <f aca="false">IF(OR($A7="",AY$4=""),0,COUNTIFS(Formulas!$A$2:$A$1501,AY$4,Formulas!$B$2:$B$1501,$A7))</f>
        <v>0</v>
      </c>
      <c r="AZ7" s="21" t="n">
        <f aca="false">IF(OR($A7="",AZ$4=""),0,COUNTIFS(Formulas!$A$2:$A$1501,AZ$4,Formulas!$B$2:$B$1501,$A7))</f>
        <v>0</v>
      </c>
      <c r="BA7" s="21" t="n">
        <f aca="false">IF(OR($A7="",BA$4=""),0,COUNTIFS(Formulas!$A$2:$A$1501,BA$4,Formulas!$B$2:$B$1501,$A7))</f>
        <v>0</v>
      </c>
      <c r="BB7" s="21" t="n">
        <f aca="false">IF(OR($A7="",BB$4=""),0,COUNTIFS(Formulas!$A$2:$A$1501,BB$4,Formulas!$B$2:$B$1501,$A7))</f>
        <v>0</v>
      </c>
      <c r="BC7" s="21" t="n">
        <f aca="false">IF(OR($A7="",BC$4=""),0,COUNTIFS(Formulas!$A$2:$A$1501,BC$4,Formulas!$B$2:$B$1501,$A7))</f>
        <v>0</v>
      </c>
      <c r="BD7" s="21" t="n">
        <f aca="false">IF(OR($A7="",BD$4=""),0,COUNTIFS(Formulas!$A$2:$A$1501,BD$4,Formulas!$B$2:$B$1501,$A7))</f>
        <v>0</v>
      </c>
      <c r="BE7" s="21" t="n">
        <f aca="false">IF(OR($A7="",BE$4=""),0,COUNTIFS(Formulas!$A$2:$A$1501,BE$4,Formulas!$B$2:$B$1501,$A7))</f>
        <v>0</v>
      </c>
      <c r="BF7" s="21" t="n">
        <f aca="false">IF(OR($A7="",BF$4=""),0,COUNTIFS(Formulas!$A$2:$A$1501,BF$4,Formulas!$B$2:$B$1501,$A7))</f>
        <v>0</v>
      </c>
      <c r="BG7" s="21" t="n">
        <f aca="false">IF(OR($A7="",BG$4=""),0,COUNTIFS(Formulas!$A$2:$A$1501,BG$4,Formulas!$B$2:$B$1501,$A7))</f>
        <v>0</v>
      </c>
      <c r="BH7" s="21" t="n">
        <f aca="false">IF(OR($A7="",BH$4=""),0,COUNTIFS(Formulas!$A$2:$A$1501,BH$4,Formulas!$B$2:$B$1501,$A7))</f>
        <v>0</v>
      </c>
      <c r="BI7" s="21" t="n">
        <f aca="false">IF(OR($A7="",BI$4=""),0,COUNTIFS(Formulas!$A$2:$A$1501,BI$4,Formulas!$B$2:$B$1501,$A7))</f>
        <v>0</v>
      </c>
      <c r="BJ7" s="21" t="n">
        <f aca="false">IF(OR($A7="",BJ$4=""),0,COUNTIFS(Formulas!$A$2:$A$1501,BJ$4,Formulas!$B$2:$B$1501,$A7))</f>
        <v>0</v>
      </c>
    </row>
    <row r="8" customFormat="false" ht="15" hidden="false" customHeight="false" outlineLevel="0" collapsed="false">
      <c r="A8" s="13" t="str">
        <f aca="false">IF(INDEX(Materials!$A$2:$A$201,4)="","",INDEX(Materials!$A$2:$A$201,4))</f>
        <v>Mannitol</v>
      </c>
      <c r="B8" s="19" t="n">
        <f aca="false">IF(A8="","",COUNTIF(C8:BJ8,"&gt;0"))</f>
        <v>8</v>
      </c>
      <c r="C8" s="21" t="n">
        <f aca="false">IF(OR($A8="",C$4=""),0,COUNTIFS(Formulas!$A$2:$A$1501,C$4,Formulas!$B$2:$B$1501,$A8))</f>
        <v>1</v>
      </c>
      <c r="D8" s="21" t="n">
        <f aca="false">IF(OR($A8="",D$4=""),0,COUNTIFS(Formulas!$A$2:$A$1501,D$4,Formulas!$B$2:$B$1501,$A8))</f>
        <v>1</v>
      </c>
      <c r="E8" s="21" t="n">
        <f aca="false">IF(OR($A8="",E$4=""),0,COUNTIFS(Formulas!$A$2:$A$1501,E$4,Formulas!$B$2:$B$1501,$A8))</f>
        <v>1</v>
      </c>
      <c r="F8" s="21" t="n">
        <f aca="false">IF(OR($A8="",F$4=""),0,COUNTIFS(Formulas!$A$2:$A$1501,F$4,Formulas!$B$2:$B$1501,$A8))</f>
        <v>1</v>
      </c>
      <c r="G8" s="21" t="n">
        <f aca="false">IF(OR($A8="",G$4=""),0,COUNTIFS(Formulas!$A$2:$A$1501,G$4,Formulas!$B$2:$B$1501,$A8))</f>
        <v>1</v>
      </c>
      <c r="H8" s="21" t="n">
        <f aca="false">IF(OR($A8="",H$4=""),0,COUNTIFS(Formulas!$A$2:$A$1501,H$4,Formulas!$B$2:$B$1501,$A8))</f>
        <v>1</v>
      </c>
      <c r="I8" s="21" t="n">
        <f aca="false">IF(OR($A8="",I$4=""),0,COUNTIFS(Formulas!$A$2:$A$1501,I$4,Formulas!$B$2:$B$1501,$A8))</f>
        <v>0</v>
      </c>
      <c r="J8" s="21" t="n">
        <f aca="false">IF(OR($A8="",J$4=""),0,COUNTIFS(Formulas!$A$2:$A$1501,J$4,Formulas!$B$2:$B$1501,$A8))</f>
        <v>0</v>
      </c>
      <c r="K8" s="21" t="n">
        <f aca="false">IF(OR($A8="",K$4=""),0,COUNTIFS(Formulas!$A$2:$A$1501,K$4,Formulas!$B$2:$B$1501,$A8))</f>
        <v>1</v>
      </c>
      <c r="L8" s="21" t="n">
        <f aca="false">IF(OR($A8="",L$4=""),0,COUNTIFS(Formulas!$A$2:$A$1501,L$4,Formulas!$B$2:$B$1501,$A8))</f>
        <v>1</v>
      </c>
      <c r="M8" s="21" t="n">
        <f aca="false">IF(OR($A8="",M$4=""),0,COUNTIFS(Formulas!$A$2:$A$1501,M$4,Formulas!$B$2:$B$1501,$A8))</f>
        <v>0</v>
      </c>
      <c r="N8" s="21" t="n">
        <f aca="false">IF(OR($A8="",N$4=""),0,COUNTIFS(Formulas!$A$2:$A$1501,N$4,Formulas!$B$2:$B$1501,$A8))</f>
        <v>0</v>
      </c>
      <c r="O8" s="21" t="n">
        <f aca="false">IF(OR($A8="",O$4=""),0,COUNTIFS(Formulas!$A$2:$A$1501,O$4,Formulas!$B$2:$B$1501,$A8))</f>
        <v>0</v>
      </c>
      <c r="P8" s="21" t="n">
        <f aca="false">IF(OR($A8="",P$4=""),0,COUNTIFS(Formulas!$A$2:$A$1501,P$4,Formulas!$B$2:$B$1501,$A8))</f>
        <v>0</v>
      </c>
      <c r="Q8" s="21" t="n">
        <f aca="false">IF(OR($A8="",Q$4=""),0,COUNTIFS(Formulas!$A$2:$A$1501,Q$4,Formulas!$B$2:$B$1501,$A8))</f>
        <v>0</v>
      </c>
      <c r="R8" s="21" t="n">
        <f aca="false">IF(OR($A8="",R$4=""),0,COUNTIFS(Formulas!$A$2:$A$1501,R$4,Formulas!$B$2:$B$1501,$A8))</f>
        <v>0</v>
      </c>
      <c r="S8" s="21" t="n">
        <f aca="false">IF(OR($A8="",S$4=""),0,COUNTIFS(Formulas!$A$2:$A$1501,S$4,Formulas!$B$2:$B$1501,$A8))</f>
        <v>0</v>
      </c>
      <c r="T8" s="21" t="n">
        <f aca="false">IF(OR($A8="",T$4=""),0,COUNTIFS(Formulas!$A$2:$A$1501,T$4,Formulas!$B$2:$B$1501,$A8))</f>
        <v>0</v>
      </c>
      <c r="U8" s="21" t="n">
        <f aca="false">IF(OR($A8="",U$4=""),0,COUNTIFS(Formulas!$A$2:$A$1501,U$4,Formulas!$B$2:$B$1501,$A8))</f>
        <v>0</v>
      </c>
      <c r="V8" s="21" t="n">
        <f aca="false">IF(OR($A8="",V$4=""),0,COUNTIFS(Formulas!$A$2:$A$1501,V$4,Formulas!$B$2:$B$1501,$A8))</f>
        <v>0</v>
      </c>
      <c r="W8" s="21" t="n">
        <f aca="false">IF(OR($A8="",W$4=""),0,COUNTIFS(Formulas!$A$2:$A$1501,W$4,Formulas!$B$2:$B$1501,$A8))</f>
        <v>0</v>
      </c>
      <c r="X8" s="21" t="n">
        <f aca="false">IF(OR($A8="",X$4=""),0,COUNTIFS(Formulas!$A$2:$A$1501,X$4,Formulas!$B$2:$B$1501,$A8))</f>
        <v>0</v>
      </c>
      <c r="Y8" s="21" t="n">
        <f aca="false">IF(OR($A8="",Y$4=""),0,COUNTIFS(Formulas!$A$2:$A$1501,Y$4,Formulas!$B$2:$B$1501,$A8))</f>
        <v>0</v>
      </c>
      <c r="Z8" s="21" t="n">
        <f aca="false">IF(OR($A8="",Z$4=""),0,COUNTIFS(Formulas!$A$2:$A$1501,Z$4,Formulas!$B$2:$B$1501,$A8))</f>
        <v>0</v>
      </c>
      <c r="AA8" s="21" t="n">
        <f aca="false">IF(OR($A8="",AA$4=""),0,COUNTIFS(Formulas!$A$2:$A$1501,AA$4,Formulas!$B$2:$B$1501,$A8))</f>
        <v>0</v>
      </c>
      <c r="AB8" s="21" t="n">
        <f aca="false">IF(OR($A8="",AB$4=""),0,COUNTIFS(Formulas!$A$2:$A$1501,AB$4,Formulas!$B$2:$B$1501,$A8))</f>
        <v>0</v>
      </c>
      <c r="AC8" s="21" t="n">
        <f aca="false">IF(OR($A8="",AC$4=""),0,COUNTIFS(Formulas!$A$2:$A$1501,AC$4,Formulas!$B$2:$B$1501,$A8))</f>
        <v>0</v>
      </c>
      <c r="AD8" s="21" t="n">
        <f aca="false">IF(OR($A8="",AD$4=""),0,COUNTIFS(Formulas!$A$2:$A$1501,AD$4,Formulas!$B$2:$B$1501,$A8))</f>
        <v>0</v>
      </c>
      <c r="AE8" s="21" t="n">
        <f aca="false">IF(OR($A8="",AE$4=""),0,COUNTIFS(Formulas!$A$2:$A$1501,AE$4,Formulas!$B$2:$B$1501,$A8))</f>
        <v>0</v>
      </c>
      <c r="AF8" s="21" t="n">
        <f aca="false">IF(OR($A8="",AF$4=""),0,COUNTIFS(Formulas!$A$2:$A$1501,AF$4,Formulas!$B$2:$B$1501,$A8))</f>
        <v>0</v>
      </c>
      <c r="AG8" s="21" t="n">
        <f aca="false">IF(OR($A8="",AG$4=""),0,COUNTIFS(Formulas!$A$2:$A$1501,AG$4,Formulas!$B$2:$B$1501,$A8))</f>
        <v>0</v>
      </c>
      <c r="AH8" s="21" t="n">
        <f aca="false">IF(OR($A8="",AH$4=""),0,COUNTIFS(Formulas!$A$2:$A$1501,AH$4,Formulas!$B$2:$B$1501,$A8))</f>
        <v>0</v>
      </c>
      <c r="AI8" s="21" t="n">
        <f aca="false">IF(OR($A8="",AI$4=""),0,COUNTIFS(Formulas!$A$2:$A$1501,AI$4,Formulas!$B$2:$B$1501,$A8))</f>
        <v>0</v>
      </c>
      <c r="AJ8" s="21" t="n">
        <f aca="false">IF(OR($A8="",AJ$4=""),0,COUNTIFS(Formulas!$A$2:$A$1501,AJ$4,Formulas!$B$2:$B$1501,$A8))</f>
        <v>0</v>
      </c>
      <c r="AK8" s="21" t="n">
        <f aca="false">IF(OR($A8="",AK$4=""),0,COUNTIFS(Formulas!$A$2:$A$1501,AK$4,Formulas!$B$2:$B$1501,$A8))</f>
        <v>0</v>
      </c>
      <c r="AL8" s="21" t="n">
        <f aca="false">IF(OR($A8="",AL$4=""),0,COUNTIFS(Formulas!$A$2:$A$1501,AL$4,Formulas!$B$2:$B$1501,$A8))</f>
        <v>0</v>
      </c>
      <c r="AM8" s="21" t="n">
        <f aca="false">IF(OR($A8="",AM$4=""),0,COUNTIFS(Formulas!$A$2:$A$1501,AM$4,Formulas!$B$2:$B$1501,$A8))</f>
        <v>0</v>
      </c>
      <c r="AN8" s="21" t="n">
        <f aca="false">IF(OR($A8="",AN$4=""),0,COUNTIFS(Formulas!$A$2:$A$1501,AN$4,Formulas!$B$2:$B$1501,$A8))</f>
        <v>0</v>
      </c>
      <c r="AO8" s="21" t="n">
        <f aca="false">IF(OR($A8="",AO$4=""),0,COUNTIFS(Formulas!$A$2:$A$1501,AO$4,Formulas!$B$2:$B$1501,$A8))</f>
        <v>0</v>
      </c>
      <c r="AP8" s="21" t="n">
        <f aca="false">IF(OR($A8="",AP$4=""),0,COUNTIFS(Formulas!$A$2:$A$1501,AP$4,Formulas!$B$2:$B$1501,$A8))</f>
        <v>0</v>
      </c>
      <c r="AQ8" s="21" t="n">
        <f aca="false">IF(OR($A8="",AQ$4=""),0,COUNTIFS(Formulas!$A$2:$A$1501,AQ$4,Formulas!$B$2:$B$1501,$A8))</f>
        <v>0</v>
      </c>
      <c r="AR8" s="21" t="n">
        <f aca="false">IF(OR($A8="",AR$4=""),0,COUNTIFS(Formulas!$A$2:$A$1501,AR$4,Formulas!$B$2:$B$1501,$A8))</f>
        <v>0</v>
      </c>
      <c r="AS8" s="21" t="n">
        <f aca="false">IF(OR($A8="",AS$4=""),0,COUNTIFS(Formulas!$A$2:$A$1501,AS$4,Formulas!$B$2:$B$1501,$A8))</f>
        <v>0</v>
      </c>
      <c r="AT8" s="21" t="n">
        <f aca="false">IF(OR($A8="",AT$4=""),0,COUNTIFS(Formulas!$A$2:$A$1501,AT$4,Formulas!$B$2:$B$1501,$A8))</f>
        <v>0</v>
      </c>
      <c r="AU8" s="21" t="n">
        <f aca="false">IF(OR($A8="",AU$4=""),0,COUNTIFS(Formulas!$A$2:$A$1501,AU$4,Formulas!$B$2:$B$1501,$A8))</f>
        <v>0</v>
      </c>
      <c r="AV8" s="21" t="n">
        <f aca="false">IF(OR($A8="",AV$4=""),0,COUNTIFS(Formulas!$A$2:$A$1501,AV$4,Formulas!$B$2:$B$1501,$A8))</f>
        <v>0</v>
      </c>
      <c r="AW8" s="21" t="n">
        <f aca="false">IF(OR($A8="",AW$4=""),0,COUNTIFS(Formulas!$A$2:$A$1501,AW$4,Formulas!$B$2:$B$1501,$A8))</f>
        <v>0</v>
      </c>
      <c r="AX8" s="21" t="n">
        <f aca="false">IF(OR($A8="",AX$4=""),0,COUNTIFS(Formulas!$A$2:$A$1501,AX$4,Formulas!$B$2:$B$1501,$A8))</f>
        <v>0</v>
      </c>
      <c r="AY8" s="21" t="n">
        <f aca="false">IF(OR($A8="",AY$4=""),0,COUNTIFS(Formulas!$A$2:$A$1501,AY$4,Formulas!$B$2:$B$1501,$A8))</f>
        <v>0</v>
      </c>
      <c r="AZ8" s="21" t="n">
        <f aca="false">IF(OR($A8="",AZ$4=""),0,COUNTIFS(Formulas!$A$2:$A$1501,AZ$4,Formulas!$B$2:$B$1501,$A8))</f>
        <v>0</v>
      </c>
      <c r="BA8" s="21" t="n">
        <f aca="false">IF(OR($A8="",BA$4=""),0,COUNTIFS(Formulas!$A$2:$A$1501,BA$4,Formulas!$B$2:$B$1501,$A8))</f>
        <v>0</v>
      </c>
      <c r="BB8" s="21" t="n">
        <f aca="false">IF(OR($A8="",BB$4=""),0,COUNTIFS(Formulas!$A$2:$A$1501,BB$4,Formulas!$B$2:$B$1501,$A8))</f>
        <v>0</v>
      </c>
      <c r="BC8" s="21" t="n">
        <f aca="false">IF(OR($A8="",BC$4=""),0,COUNTIFS(Formulas!$A$2:$A$1501,BC$4,Formulas!$B$2:$B$1501,$A8))</f>
        <v>0</v>
      </c>
      <c r="BD8" s="21" t="n">
        <f aca="false">IF(OR($A8="",BD$4=""),0,COUNTIFS(Formulas!$A$2:$A$1501,BD$4,Formulas!$B$2:$B$1501,$A8))</f>
        <v>0</v>
      </c>
      <c r="BE8" s="21" t="n">
        <f aca="false">IF(OR($A8="",BE$4=""),0,COUNTIFS(Formulas!$A$2:$A$1501,BE$4,Formulas!$B$2:$B$1501,$A8))</f>
        <v>0</v>
      </c>
      <c r="BF8" s="21" t="n">
        <f aca="false">IF(OR($A8="",BF$4=""),0,COUNTIFS(Formulas!$A$2:$A$1501,BF$4,Formulas!$B$2:$B$1501,$A8))</f>
        <v>0</v>
      </c>
      <c r="BG8" s="21" t="n">
        <f aca="false">IF(OR($A8="",BG$4=""),0,COUNTIFS(Formulas!$A$2:$A$1501,BG$4,Formulas!$B$2:$B$1501,$A8))</f>
        <v>0</v>
      </c>
      <c r="BH8" s="21" t="n">
        <f aca="false">IF(OR($A8="",BH$4=""),0,COUNTIFS(Formulas!$A$2:$A$1501,BH$4,Formulas!$B$2:$B$1501,$A8))</f>
        <v>0</v>
      </c>
      <c r="BI8" s="21" t="n">
        <f aca="false">IF(OR($A8="",BI$4=""),0,COUNTIFS(Formulas!$A$2:$A$1501,BI$4,Formulas!$B$2:$B$1501,$A8))</f>
        <v>0</v>
      </c>
      <c r="BJ8" s="21" t="n">
        <f aca="false">IF(OR($A8="",BJ$4=""),0,COUNTIFS(Formulas!$A$2:$A$1501,BJ$4,Formulas!$B$2:$B$1501,$A8))</f>
        <v>0</v>
      </c>
    </row>
    <row r="9" customFormat="false" ht="15" hidden="false" customHeight="false" outlineLevel="0" collapsed="false">
      <c r="A9" s="13" t="str">
        <f aca="false">IF(INDEX(Materials!$A$2:$A$201,5)="","",INDEX(Materials!$A$2:$A$201,5))</f>
        <v>PVP K30</v>
      </c>
      <c r="B9" s="19" t="n">
        <f aca="false">IF(A9="","",COUNTIF(C9:BJ9,"&gt;0"))</f>
        <v>8</v>
      </c>
      <c r="C9" s="21" t="n">
        <f aca="false">IF(OR($A9="",C$4=""),0,COUNTIFS(Formulas!$A$2:$A$1501,C$4,Formulas!$B$2:$B$1501,$A9))</f>
        <v>2</v>
      </c>
      <c r="D9" s="21" t="n">
        <f aca="false">IF(OR($A9="",D$4=""),0,COUNTIFS(Formulas!$A$2:$A$1501,D$4,Formulas!$B$2:$B$1501,$A9))</f>
        <v>2</v>
      </c>
      <c r="E9" s="21" t="n">
        <f aca="false">IF(OR($A9="",E$4=""),0,COUNTIFS(Formulas!$A$2:$A$1501,E$4,Formulas!$B$2:$B$1501,$A9))</f>
        <v>2</v>
      </c>
      <c r="F9" s="21" t="n">
        <f aca="false">IF(OR($A9="",F$4=""),0,COUNTIFS(Formulas!$A$2:$A$1501,F$4,Formulas!$B$2:$B$1501,$A9))</f>
        <v>1</v>
      </c>
      <c r="G9" s="21" t="n">
        <f aca="false">IF(OR($A9="",G$4=""),0,COUNTIFS(Formulas!$A$2:$A$1501,G$4,Formulas!$B$2:$B$1501,$A9))</f>
        <v>1</v>
      </c>
      <c r="H9" s="21" t="n">
        <f aca="false">IF(OR($A9="",H$4=""),0,COUNTIFS(Formulas!$A$2:$A$1501,H$4,Formulas!$B$2:$B$1501,$A9))</f>
        <v>1</v>
      </c>
      <c r="I9" s="21" t="n">
        <f aca="false">IF(OR($A9="",I$4=""),0,COUNTIFS(Formulas!$A$2:$A$1501,I$4,Formulas!$B$2:$B$1501,$A9))</f>
        <v>0</v>
      </c>
      <c r="J9" s="21" t="n">
        <f aca="false">IF(OR($A9="",J$4=""),0,COUNTIFS(Formulas!$A$2:$A$1501,J$4,Formulas!$B$2:$B$1501,$A9))</f>
        <v>0</v>
      </c>
      <c r="K9" s="21" t="n">
        <f aca="false">IF(OR($A9="",K$4=""),0,COUNTIFS(Formulas!$A$2:$A$1501,K$4,Formulas!$B$2:$B$1501,$A9))</f>
        <v>1</v>
      </c>
      <c r="L9" s="21" t="n">
        <f aca="false">IF(OR($A9="",L$4=""),0,COUNTIFS(Formulas!$A$2:$A$1501,L$4,Formulas!$B$2:$B$1501,$A9))</f>
        <v>1</v>
      </c>
      <c r="M9" s="21" t="n">
        <f aca="false">IF(OR($A9="",M$4=""),0,COUNTIFS(Formulas!$A$2:$A$1501,M$4,Formulas!$B$2:$B$1501,$A9))</f>
        <v>0</v>
      </c>
      <c r="N9" s="21" t="n">
        <f aca="false">IF(OR($A9="",N$4=""),0,COUNTIFS(Formulas!$A$2:$A$1501,N$4,Formulas!$B$2:$B$1501,$A9))</f>
        <v>0</v>
      </c>
      <c r="O9" s="21" t="n">
        <f aca="false">IF(OR($A9="",O$4=""),0,COUNTIFS(Formulas!$A$2:$A$1501,O$4,Formulas!$B$2:$B$1501,$A9))</f>
        <v>0</v>
      </c>
      <c r="P9" s="21" t="n">
        <f aca="false">IF(OR($A9="",P$4=""),0,COUNTIFS(Formulas!$A$2:$A$1501,P$4,Formulas!$B$2:$B$1501,$A9))</f>
        <v>0</v>
      </c>
      <c r="Q9" s="21" t="n">
        <f aca="false">IF(OR($A9="",Q$4=""),0,COUNTIFS(Formulas!$A$2:$A$1501,Q$4,Formulas!$B$2:$B$1501,$A9))</f>
        <v>0</v>
      </c>
      <c r="R9" s="21" t="n">
        <f aca="false">IF(OR($A9="",R$4=""),0,COUNTIFS(Formulas!$A$2:$A$1501,R$4,Formulas!$B$2:$B$1501,$A9))</f>
        <v>0</v>
      </c>
      <c r="S9" s="21" t="n">
        <f aca="false">IF(OR($A9="",S$4=""),0,COUNTIFS(Formulas!$A$2:$A$1501,S$4,Formulas!$B$2:$B$1501,$A9))</f>
        <v>0</v>
      </c>
      <c r="T9" s="21" t="n">
        <f aca="false">IF(OR($A9="",T$4=""),0,COUNTIFS(Formulas!$A$2:$A$1501,T$4,Formulas!$B$2:$B$1501,$A9))</f>
        <v>0</v>
      </c>
      <c r="U9" s="21" t="n">
        <f aca="false">IF(OR($A9="",U$4=""),0,COUNTIFS(Formulas!$A$2:$A$1501,U$4,Formulas!$B$2:$B$1501,$A9))</f>
        <v>0</v>
      </c>
      <c r="V9" s="21" t="n">
        <f aca="false">IF(OR($A9="",V$4=""),0,COUNTIFS(Formulas!$A$2:$A$1501,V$4,Formulas!$B$2:$B$1501,$A9))</f>
        <v>0</v>
      </c>
      <c r="W9" s="21" t="n">
        <f aca="false">IF(OR($A9="",W$4=""),0,COUNTIFS(Formulas!$A$2:$A$1501,W$4,Formulas!$B$2:$B$1501,$A9))</f>
        <v>0</v>
      </c>
      <c r="X9" s="21" t="n">
        <f aca="false">IF(OR($A9="",X$4=""),0,COUNTIFS(Formulas!$A$2:$A$1501,X$4,Formulas!$B$2:$B$1501,$A9))</f>
        <v>0</v>
      </c>
      <c r="Y9" s="21" t="n">
        <f aca="false">IF(OR($A9="",Y$4=""),0,COUNTIFS(Formulas!$A$2:$A$1501,Y$4,Formulas!$B$2:$B$1501,$A9))</f>
        <v>0</v>
      </c>
      <c r="Z9" s="21" t="n">
        <f aca="false">IF(OR($A9="",Z$4=""),0,COUNTIFS(Formulas!$A$2:$A$1501,Z$4,Formulas!$B$2:$B$1501,$A9))</f>
        <v>0</v>
      </c>
      <c r="AA9" s="21" t="n">
        <f aca="false">IF(OR($A9="",AA$4=""),0,COUNTIFS(Formulas!$A$2:$A$1501,AA$4,Formulas!$B$2:$B$1501,$A9))</f>
        <v>0</v>
      </c>
      <c r="AB9" s="21" t="n">
        <f aca="false">IF(OR($A9="",AB$4=""),0,COUNTIFS(Formulas!$A$2:$A$1501,AB$4,Formulas!$B$2:$B$1501,$A9))</f>
        <v>0</v>
      </c>
      <c r="AC9" s="21" t="n">
        <f aca="false">IF(OR($A9="",AC$4=""),0,COUNTIFS(Formulas!$A$2:$A$1501,AC$4,Formulas!$B$2:$B$1501,$A9))</f>
        <v>0</v>
      </c>
      <c r="AD9" s="21" t="n">
        <f aca="false">IF(OR($A9="",AD$4=""),0,COUNTIFS(Formulas!$A$2:$A$1501,AD$4,Formulas!$B$2:$B$1501,$A9))</f>
        <v>0</v>
      </c>
      <c r="AE9" s="21" t="n">
        <f aca="false">IF(OR($A9="",AE$4=""),0,COUNTIFS(Formulas!$A$2:$A$1501,AE$4,Formulas!$B$2:$B$1501,$A9))</f>
        <v>0</v>
      </c>
      <c r="AF9" s="21" t="n">
        <f aca="false">IF(OR($A9="",AF$4=""),0,COUNTIFS(Formulas!$A$2:$A$1501,AF$4,Formulas!$B$2:$B$1501,$A9))</f>
        <v>0</v>
      </c>
      <c r="AG9" s="21" t="n">
        <f aca="false">IF(OR($A9="",AG$4=""),0,COUNTIFS(Formulas!$A$2:$A$1501,AG$4,Formulas!$B$2:$B$1501,$A9))</f>
        <v>0</v>
      </c>
      <c r="AH9" s="21" t="n">
        <f aca="false">IF(OR($A9="",AH$4=""),0,COUNTIFS(Formulas!$A$2:$A$1501,AH$4,Formulas!$B$2:$B$1501,$A9))</f>
        <v>0</v>
      </c>
      <c r="AI9" s="21" t="n">
        <f aca="false">IF(OR($A9="",AI$4=""),0,COUNTIFS(Formulas!$A$2:$A$1501,AI$4,Formulas!$B$2:$B$1501,$A9))</f>
        <v>0</v>
      </c>
      <c r="AJ9" s="21" t="n">
        <f aca="false">IF(OR($A9="",AJ$4=""),0,COUNTIFS(Formulas!$A$2:$A$1501,AJ$4,Formulas!$B$2:$B$1501,$A9))</f>
        <v>0</v>
      </c>
      <c r="AK9" s="21" t="n">
        <f aca="false">IF(OR($A9="",AK$4=""),0,COUNTIFS(Formulas!$A$2:$A$1501,AK$4,Formulas!$B$2:$B$1501,$A9))</f>
        <v>0</v>
      </c>
      <c r="AL9" s="21" t="n">
        <f aca="false">IF(OR($A9="",AL$4=""),0,COUNTIFS(Formulas!$A$2:$A$1501,AL$4,Formulas!$B$2:$B$1501,$A9))</f>
        <v>0</v>
      </c>
      <c r="AM9" s="21" t="n">
        <f aca="false">IF(OR($A9="",AM$4=""),0,COUNTIFS(Formulas!$A$2:$A$1501,AM$4,Formulas!$B$2:$B$1501,$A9))</f>
        <v>0</v>
      </c>
      <c r="AN9" s="21" t="n">
        <f aca="false">IF(OR($A9="",AN$4=""),0,COUNTIFS(Formulas!$A$2:$A$1501,AN$4,Formulas!$B$2:$B$1501,$A9))</f>
        <v>0</v>
      </c>
      <c r="AO9" s="21" t="n">
        <f aca="false">IF(OR($A9="",AO$4=""),0,COUNTIFS(Formulas!$A$2:$A$1501,AO$4,Formulas!$B$2:$B$1501,$A9))</f>
        <v>0</v>
      </c>
      <c r="AP9" s="21" t="n">
        <f aca="false">IF(OR($A9="",AP$4=""),0,COUNTIFS(Formulas!$A$2:$A$1501,AP$4,Formulas!$B$2:$B$1501,$A9))</f>
        <v>0</v>
      </c>
      <c r="AQ9" s="21" t="n">
        <f aca="false">IF(OR($A9="",AQ$4=""),0,COUNTIFS(Formulas!$A$2:$A$1501,AQ$4,Formulas!$B$2:$B$1501,$A9))</f>
        <v>0</v>
      </c>
      <c r="AR9" s="21" t="n">
        <f aca="false">IF(OR($A9="",AR$4=""),0,COUNTIFS(Formulas!$A$2:$A$1501,AR$4,Formulas!$B$2:$B$1501,$A9))</f>
        <v>0</v>
      </c>
      <c r="AS9" s="21" t="n">
        <f aca="false">IF(OR($A9="",AS$4=""),0,COUNTIFS(Formulas!$A$2:$A$1501,AS$4,Formulas!$B$2:$B$1501,$A9))</f>
        <v>0</v>
      </c>
      <c r="AT9" s="21" t="n">
        <f aca="false">IF(OR($A9="",AT$4=""),0,COUNTIFS(Formulas!$A$2:$A$1501,AT$4,Formulas!$B$2:$B$1501,$A9))</f>
        <v>0</v>
      </c>
      <c r="AU9" s="21" t="n">
        <f aca="false">IF(OR($A9="",AU$4=""),0,COUNTIFS(Formulas!$A$2:$A$1501,AU$4,Formulas!$B$2:$B$1501,$A9))</f>
        <v>0</v>
      </c>
      <c r="AV9" s="21" t="n">
        <f aca="false">IF(OR($A9="",AV$4=""),0,COUNTIFS(Formulas!$A$2:$A$1501,AV$4,Formulas!$B$2:$B$1501,$A9))</f>
        <v>0</v>
      </c>
      <c r="AW9" s="21" t="n">
        <f aca="false">IF(OR($A9="",AW$4=""),0,COUNTIFS(Formulas!$A$2:$A$1501,AW$4,Formulas!$B$2:$B$1501,$A9))</f>
        <v>0</v>
      </c>
      <c r="AX9" s="21" t="n">
        <f aca="false">IF(OR($A9="",AX$4=""),0,COUNTIFS(Formulas!$A$2:$A$1501,AX$4,Formulas!$B$2:$B$1501,$A9))</f>
        <v>0</v>
      </c>
      <c r="AY9" s="21" t="n">
        <f aca="false">IF(OR($A9="",AY$4=""),0,COUNTIFS(Formulas!$A$2:$A$1501,AY$4,Formulas!$B$2:$B$1501,$A9))</f>
        <v>0</v>
      </c>
      <c r="AZ9" s="21" t="n">
        <f aca="false">IF(OR($A9="",AZ$4=""),0,COUNTIFS(Formulas!$A$2:$A$1501,AZ$4,Formulas!$B$2:$B$1501,$A9))</f>
        <v>0</v>
      </c>
      <c r="BA9" s="21" t="n">
        <f aca="false">IF(OR($A9="",BA$4=""),0,COUNTIFS(Formulas!$A$2:$A$1501,BA$4,Formulas!$B$2:$B$1501,$A9))</f>
        <v>0</v>
      </c>
      <c r="BB9" s="21" t="n">
        <f aca="false">IF(OR($A9="",BB$4=""),0,COUNTIFS(Formulas!$A$2:$A$1501,BB$4,Formulas!$B$2:$B$1501,$A9))</f>
        <v>0</v>
      </c>
      <c r="BC9" s="21" t="n">
        <f aca="false">IF(OR($A9="",BC$4=""),0,COUNTIFS(Formulas!$A$2:$A$1501,BC$4,Formulas!$B$2:$B$1501,$A9))</f>
        <v>0</v>
      </c>
      <c r="BD9" s="21" t="n">
        <f aca="false">IF(OR($A9="",BD$4=""),0,COUNTIFS(Formulas!$A$2:$A$1501,BD$4,Formulas!$B$2:$B$1501,$A9))</f>
        <v>0</v>
      </c>
      <c r="BE9" s="21" t="n">
        <f aca="false">IF(OR($A9="",BE$4=""),0,COUNTIFS(Formulas!$A$2:$A$1501,BE$4,Formulas!$B$2:$B$1501,$A9))</f>
        <v>0</v>
      </c>
      <c r="BF9" s="21" t="n">
        <f aca="false">IF(OR($A9="",BF$4=""),0,COUNTIFS(Formulas!$A$2:$A$1501,BF$4,Formulas!$B$2:$B$1501,$A9))</f>
        <v>0</v>
      </c>
      <c r="BG9" s="21" t="n">
        <f aca="false">IF(OR($A9="",BG$4=""),0,COUNTIFS(Formulas!$A$2:$A$1501,BG$4,Formulas!$B$2:$B$1501,$A9))</f>
        <v>0</v>
      </c>
      <c r="BH9" s="21" t="n">
        <f aca="false">IF(OR($A9="",BH$4=""),0,COUNTIFS(Formulas!$A$2:$A$1501,BH$4,Formulas!$B$2:$B$1501,$A9))</f>
        <v>0</v>
      </c>
      <c r="BI9" s="21" t="n">
        <f aca="false">IF(OR($A9="",BI$4=""),0,COUNTIFS(Formulas!$A$2:$A$1501,BI$4,Formulas!$B$2:$B$1501,$A9))</f>
        <v>0</v>
      </c>
      <c r="BJ9" s="21" t="n">
        <f aca="false">IF(OR($A9="",BJ$4=""),0,COUNTIFS(Formulas!$A$2:$A$1501,BJ$4,Formulas!$B$2:$B$1501,$A9))</f>
        <v>0</v>
      </c>
    </row>
    <row r="10" customFormat="false" ht="15" hidden="false" customHeight="false" outlineLevel="0" collapsed="false">
      <c r="A10" s="13" t="str">
        <f aca="false">IF(INDEX(Materials!$A$2:$A$201,6)="","",INDEX(Materials!$A$2:$A$201,6))</f>
        <v>Ethanol 96%</v>
      </c>
      <c r="B10" s="19" t="n">
        <f aca="false">IF(A10="","",COUNTIF(C10:BJ10,"&gt;0"))</f>
        <v>8</v>
      </c>
      <c r="C10" s="21" t="n">
        <f aca="false">IF(OR($A10="",C$4=""),0,COUNTIFS(Formulas!$A$2:$A$1501,C$4,Formulas!$B$2:$B$1501,$A10))</f>
        <v>2</v>
      </c>
      <c r="D10" s="21" t="n">
        <f aca="false">IF(OR($A10="",D$4=""),0,COUNTIFS(Formulas!$A$2:$A$1501,D$4,Formulas!$B$2:$B$1501,$A10))</f>
        <v>2</v>
      </c>
      <c r="E10" s="21" t="n">
        <f aca="false">IF(OR($A10="",E$4=""),0,COUNTIFS(Formulas!$A$2:$A$1501,E$4,Formulas!$B$2:$B$1501,$A10))</f>
        <v>2</v>
      </c>
      <c r="F10" s="21" t="n">
        <f aca="false">IF(OR($A10="",F$4=""),0,COUNTIFS(Formulas!$A$2:$A$1501,F$4,Formulas!$B$2:$B$1501,$A10))</f>
        <v>1</v>
      </c>
      <c r="G10" s="21" t="n">
        <f aca="false">IF(OR($A10="",G$4=""),0,COUNTIFS(Formulas!$A$2:$A$1501,G$4,Formulas!$B$2:$B$1501,$A10))</f>
        <v>1</v>
      </c>
      <c r="H10" s="21" t="n">
        <f aca="false">IF(OR($A10="",H$4=""),0,COUNTIFS(Formulas!$A$2:$A$1501,H$4,Formulas!$B$2:$B$1501,$A10))</f>
        <v>1</v>
      </c>
      <c r="I10" s="21" t="n">
        <f aca="false">IF(OR($A10="",I$4=""),0,COUNTIFS(Formulas!$A$2:$A$1501,I$4,Formulas!$B$2:$B$1501,$A10))</f>
        <v>0</v>
      </c>
      <c r="J10" s="21" t="n">
        <f aca="false">IF(OR($A10="",J$4=""),0,COUNTIFS(Formulas!$A$2:$A$1501,J$4,Formulas!$B$2:$B$1501,$A10))</f>
        <v>0</v>
      </c>
      <c r="K10" s="21" t="n">
        <f aca="false">IF(OR($A10="",K$4=""),0,COUNTIFS(Formulas!$A$2:$A$1501,K$4,Formulas!$B$2:$B$1501,$A10))</f>
        <v>1</v>
      </c>
      <c r="L10" s="21" t="n">
        <f aca="false">IF(OR($A10="",L$4=""),0,COUNTIFS(Formulas!$A$2:$A$1501,L$4,Formulas!$B$2:$B$1501,$A10))</f>
        <v>1</v>
      </c>
      <c r="M10" s="21" t="n">
        <f aca="false">IF(OR($A10="",M$4=""),0,COUNTIFS(Formulas!$A$2:$A$1501,M$4,Formulas!$B$2:$B$1501,$A10))</f>
        <v>0</v>
      </c>
      <c r="N10" s="21" t="n">
        <f aca="false">IF(OR($A10="",N$4=""),0,COUNTIFS(Formulas!$A$2:$A$1501,N$4,Formulas!$B$2:$B$1501,$A10))</f>
        <v>0</v>
      </c>
      <c r="O10" s="21" t="n">
        <f aca="false">IF(OR($A10="",O$4=""),0,COUNTIFS(Formulas!$A$2:$A$1501,O$4,Formulas!$B$2:$B$1501,$A10))</f>
        <v>0</v>
      </c>
      <c r="P10" s="21" t="n">
        <f aca="false">IF(OR($A10="",P$4=""),0,COUNTIFS(Formulas!$A$2:$A$1501,P$4,Formulas!$B$2:$B$1501,$A10))</f>
        <v>0</v>
      </c>
      <c r="Q10" s="21" t="n">
        <f aca="false">IF(OR($A10="",Q$4=""),0,COUNTIFS(Formulas!$A$2:$A$1501,Q$4,Formulas!$B$2:$B$1501,$A10))</f>
        <v>0</v>
      </c>
      <c r="R10" s="21" t="n">
        <f aca="false">IF(OR($A10="",R$4=""),0,COUNTIFS(Formulas!$A$2:$A$1501,R$4,Formulas!$B$2:$B$1501,$A10))</f>
        <v>0</v>
      </c>
      <c r="S10" s="21" t="n">
        <f aca="false">IF(OR($A10="",S$4=""),0,COUNTIFS(Formulas!$A$2:$A$1501,S$4,Formulas!$B$2:$B$1501,$A10))</f>
        <v>0</v>
      </c>
      <c r="T10" s="21" t="n">
        <f aca="false">IF(OR($A10="",T$4=""),0,COUNTIFS(Formulas!$A$2:$A$1501,T$4,Formulas!$B$2:$B$1501,$A10))</f>
        <v>0</v>
      </c>
      <c r="U10" s="21" t="n">
        <f aca="false">IF(OR($A10="",U$4=""),0,COUNTIFS(Formulas!$A$2:$A$1501,U$4,Formulas!$B$2:$B$1501,$A10))</f>
        <v>0</v>
      </c>
      <c r="V10" s="21" t="n">
        <f aca="false">IF(OR($A10="",V$4=""),0,COUNTIFS(Formulas!$A$2:$A$1501,V$4,Formulas!$B$2:$B$1501,$A10))</f>
        <v>0</v>
      </c>
      <c r="W10" s="21" t="n">
        <f aca="false">IF(OR($A10="",W$4=""),0,COUNTIFS(Formulas!$A$2:$A$1501,W$4,Formulas!$B$2:$B$1501,$A10))</f>
        <v>0</v>
      </c>
      <c r="X10" s="21" t="n">
        <f aca="false">IF(OR($A10="",X$4=""),0,COUNTIFS(Formulas!$A$2:$A$1501,X$4,Formulas!$B$2:$B$1501,$A10))</f>
        <v>0</v>
      </c>
      <c r="Y10" s="21" t="n">
        <f aca="false">IF(OR($A10="",Y$4=""),0,COUNTIFS(Formulas!$A$2:$A$1501,Y$4,Formulas!$B$2:$B$1501,$A10))</f>
        <v>0</v>
      </c>
      <c r="Z10" s="21" t="n">
        <f aca="false">IF(OR($A10="",Z$4=""),0,COUNTIFS(Formulas!$A$2:$A$1501,Z$4,Formulas!$B$2:$B$1501,$A10))</f>
        <v>0</v>
      </c>
      <c r="AA10" s="21" t="n">
        <f aca="false">IF(OR($A10="",AA$4=""),0,COUNTIFS(Formulas!$A$2:$A$1501,AA$4,Formulas!$B$2:$B$1501,$A10))</f>
        <v>0</v>
      </c>
      <c r="AB10" s="21" t="n">
        <f aca="false">IF(OR($A10="",AB$4=""),0,COUNTIFS(Formulas!$A$2:$A$1501,AB$4,Formulas!$B$2:$B$1501,$A10))</f>
        <v>0</v>
      </c>
      <c r="AC10" s="21" t="n">
        <f aca="false">IF(OR($A10="",AC$4=""),0,COUNTIFS(Formulas!$A$2:$A$1501,AC$4,Formulas!$B$2:$B$1501,$A10))</f>
        <v>0</v>
      </c>
      <c r="AD10" s="21" t="n">
        <f aca="false">IF(OR($A10="",AD$4=""),0,COUNTIFS(Formulas!$A$2:$A$1501,AD$4,Formulas!$B$2:$B$1501,$A10))</f>
        <v>0</v>
      </c>
      <c r="AE10" s="21" t="n">
        <f aca="false">IF(OR($A10="",AE$4=""),0,COUNTIFS(Formulas!$A$2:$A$1501,AE$4,Formulas!$B$2:$B$1501,$A10))</f>
        <v>0</v>
      </c>
      <c r="AF10" s="21" t="n">
        <f aca="false">IF(OR($A10="",AF$4=""),0,COUNTIFS(Formulas!$A$2:$A$1501,AF$4,Formulas!$B$2:$B$1501,$A10))</f>
        <v>0</v>
      </c>
      <c r="AG10" s="21" t="n">
        <f aca="false">IF(OR($A10="",AG$4=""),0,COUNTIFS(Formulas!$A$2:$A$1501,AG$4,Formulas!$B$2:$B$1501,$A10))</f>
        <v>0</v>
      </c>
      <c r="AH10" s="21" t="n">
        <f aca="false">IF(OR($A10="",AH$4=""),0,COUNTIFS(Formulas!$A$2:$A$1501,AH$4,Formulas!$B$2:$B$1501,$A10))</f>
        <v>0</v>
      </c>
      <c r="AI10" s="21" t="n">
        <f aca="false">IF(OR($A10="",AI$4=""),0,COUNTIFS(Formulas!$A$2:$A$1501,AI$4,Formulas!$B$2:$B$1501,$A10))</f>
        <v>0</v>
      </c>
      <c r="AJ10" s="21" t="n">
        <f aca="false">IF(OR($A10="",AJ$4=""),0,COUNTIFS(Formulas!$A$2:$A$1501,AJ$4,Formulas!$B$2:$B$1501,$A10))</f>
        <v>0</v>
      </c>
      <c r="AK10" s="21" t="n">
        <f aca="false">IF(OR($A10="",AK$4=""),0,COUNTIFS(Formulas!$A$2:$A$1501,AK$4,Formulas!$B$2:$B$1501,$A10))</f>
        <v>0</v>
      </c>
      <c r="AL10" s="21" t="n">
        <f aca="false">IF(OR($A10="",AL$4=""),0,COUNTIFS(Formulas!$A$2:$A$1501,AL$4,Formulas!$B$2:$B$1501,$A10))</f>
        <v>0</v>
      </c>
      <c r="AM10" s="21" t="n">
        <f aca="false">IF(OR($A10="",AM$4=""),0,COUNTIFS(Formulas!$A$2:$A$1501,AM$4,Formulas!$B$2:$B$1501,$A10))</f>
        <v>0</v>
      </c>
      <c r="AN10" s="21" t="n">
        <f aca="false">IF(OR($A10="",AN$4=""),0,COUNTIFS(Formulas!$A$2:$A$1501,AN$4,Formulas!$B$2:$B$1501,$A10))</f>
        <v>0</v>
      </c>
      <c r="AO10" s="21" t="n">
        <f aca="false">IF(OR($A10="",AO$4=""),0,COUNTIFS(Formulas!$A$2:$A$1501,AO$4,Formulas!$B$2:$B$1501,$A10))</f>
        <v>0</v>
      </c>
      <c r="AP10" s="21" t="n">
        <f aca="false">IF(OR($A10="",AP$4=""),0,COUNTIFS(Formulas!$A$2:$A$1501,AP$4,Formulas!$B$2:$B$1501,$A10))</f>
        <v>0</v>
      </c>
      <c r="AQ10" s="21" t="n">
        <f aca="false">IF(OR($A10="",AQ$4=""),0,COUNTIFS(Formulas!$A$2:$A$1501,AQ$4,Formulas!$B$2:$B$1501,$A10))</f>
        <v>0</v>
      </c>
      <c r="AR10" s="21" t="n">
        <f aca="false">IF(OR($A10="",AR$4=""),0,COUNTIFS(Formulas!$A$2:$A$1501,AR$4,Formulas!$B$2:$B$1501,$A10))</f>
        <v>0</v>
      </c>
      <c r="AS10" s="21" t="n">
        <f aca="false">IF(OR($A10="",AS$4=""),0,COUNTIFS(Formulas!$A$2:$A$1501,AS$4,Formulas!$B$2:$B$1501,$A10))</f>
        <v>0</v>
      </c>
      <c r="AT10" s="21" t="n">
        <f aca="false">IF(OR($A10="",AT$4=""),0,COUNTIFS(Formulas!$A$2:$A$1501,AT$4,Formulas!$B$2:$B$1501,$A10))</f>
        <v>0</v>
      </c>
      <c r="AU10" s="21" t="n">
        <f aca="false">IF(OR($A10="",AU$4=""),0,COUNTIFS(Formulas!$A$2:$A$1501,AU$4,Formulas!$B$2:$B$1501,$A10))</f>
        <v>0</v>
      </c>
      <c r="AV10" s="21" t="n">
        <f aca="false">IF(OR($A10="",AV$4=""),0,COUNTIFS(Formulas!$A$2:$A$1501,AV$4,Formulas!$B$2:$B$1501,$A10))</f>
        <v>0</v>
      </c>
      <c r="AW10" s="21" t="n">
        <f aca="false">IF(OR($A10="",AW$4=""),0,COUNTIFS(Formulas!$A$2:$A$1501,AW$4,Formulas!$B$2:$B$1501,$A10))</f>
        <v>0</v>
      </c>
      <c r="AX10" s="21" t="n">
        <f aca="false">IF(OR($A10="",AX$4=""),0,COUNTIFS(Formulas!$A$2:$A$1501,AX$4,Formulas!$B$2:$B$1501,$A10))</f>
        <v>0</v>
      </c>
      <c r="AY10" s="21" t="n">
        <f aca="false">IF(OR($A10="",AY$4=""),0,COUNTIFS(Formulas!$A$2:$A$1501,AY$4,Formulas!$B$2:$B$1501,$A10))</f>
        <v>0</v>
      </c>
      <c r="AZ10" s="21" t="n">
        <f aca="false">IF(OR($A10="",AZ$4=""),0,COUNTIFS(Formulas!$A$2:$A$1501,AZ$4,Formulas!$B$2:$B$1501,$A10))</f>
        <v>0</v>
      </c>
      <c r="BA10" s="21" t="n">
        <f aca="false">IF(OR($A10="",BA$4=""),0,COUNTIFS(Formulas!$A$2:$A$1501,BA$4,Formulas!$B$2:$B$1501,$A10))</f>
        <v>0</v>
      </c>
      <c r="BB10" s="21" t="n">
        <f aca="false">IF(OR($A10="",BB$4=""),0,COUNTIFS(Formulas!$A$2:$A$1501,BB$4,Formulas!$B$2:$B$1501,$A10))</f>
        <v>0</v>
      </c>
      <c r="BC10" s="21" t="n">
        <f aca="false">IF(OR($A10="",BC$4=""),0,COUNTIFS(Formulas!$A$2:$A$1501,BC$4,Formulas!$B$2:$B$1501,$A10))</f>
        <v>0</v>
      </c>
      <c r="BD10" s="21" t="n">
        <f aca="false">IF(OR($A10="",BD$4=""),0,COUNTIFS(Formulas!$A$2:$A$1501,BD$4,Formulas!$B$2:$B$1501,$A10))</f>
        <v>0</v>
      </c>
      <c r="BE10" s="21" t="n">
        <f aca="false">IF(OR($A10="",BE$4=""),0,COUNTIFS(Formulas!$A$2:$A$1501,BE$4,Formulas!$B$2:$B$1501,$A10))</f>
        <v>0</v>
      </c>
      <c r="BF10" s="21" t="n">
        <f aca="false">IF(OR($A10="",BF$4=""),0,COUNTIFS(Formulas!$A$2:$A$1501,BF$4,Formulas!$B$2:$B$1501,$A10))</f>
        <v>0</v>
      </c>
      <c r="BG10" s="21" t="n">
        <f aca="false">IF(OR($A10="",BG$4=""),0,COUNTIFS(Formulas!$A$2:$A$1501,BG$4,Formulas!$B$2:$B$1501,$A10))</f>
        <v>0</v>
      </c>
      <c r="BH10" s="21" t="n">
        <f aca="false">IF(OR($A10="",BH$4=""),0,COUNTIFS(Formulas!$A$2:$A$1501,BH$4,Formulas!$B$2:$B$1501,$A10))</f>
        <v>0</v>
      </c>
      <c r="BI10" s="21" t="n">
        <f aca="false">IF(OR($A10="",BI$4=""),0,COUNTIFS(Formulas!$A$2:$A$1501,BI$4,Formulas!$B$2:$B$1501,$A10))</f>
        <v>0</v>
      </c>
      <c r="BJ10" s="21" t="n">
        <f aca="false">IF(OR($A10="",BJ$4=""),0,COUNTIFS(Formulas!$A$2:$A$1501,BJ$4,Formulas!$B$2:$B$1501,$A10))</f>
        <v>0</v>
      </c>
    </row>
    <row r="11" customFormat="false" ht="15" hidden="false" customHeight="false" outlineLevel="0" collapsed="false">
      <c r="A11" s="13" t="str">
        <f aca="false">IF(INDEX(Materials!$A$2:$A$201,7)="","",INDEX(Materials!$A$2:$A$201,7))</f>
        <v>Rosuvastatin Calcium</v>
      </c>
      <c r="B11" s="19" t="n">
        <f aca="false">IF(A11="","",COUNTIF(C11:BJ11,"&gt;0"))</f>
        <v>3</v>
      </c>
      <c r="C11" s="21" t="n">
        <f aca="false">IF(OR($A11="",C$4=""),0,COUNTIFS(Formulas!$A$2:$A$1501,C$4,Formulas!$B$2:$B$1501,$A11))</f>
        <v>1</v>
      </c>
      <c r="D11" s="21" t="n">
        <f aca="false">IF(OR($A11="",D$4=""),0,COUNTIFS(Formulas!$A$2:$A$1501,D$4,Formulas!$B$2:$B$1501,$A11))</f>
        <v>1</v>
      </c>
      <c r="E11" s="21" t="n">
        <f aca="false">IF(OR($A11="",E$4=""),0,COUNTIFS(Formulas!$A$2:$A$1501,E$4,Formulas!$B$2:$B$1501,$A11))</f>
        <v>1</v>
      </c>
      <c r="F11" s="21" t="n">
        <f aca="false">IF(OR($A11="",F$4=""),0,COUNTIFS(Formulas!$A$2:$A$1501,F$4,Formulas!$B$2:$B$1501,$A11))</f>
        <v>0</v>
      </c>
      <c r="G11" s="21" t="n">
        <f aca="false">IF(OR($A11="",G$4=""),0,COUNTIFS(Formulas!$A$2:$A$1501,G$4,Formulas!$B$2:$B$1501,$A11))</f>
        <v>0</v>
      </c>
      <c r="H11" s="21" t="n">
        <f aca="false">IF(OR($A11="",H$4=""),0,COUNTIFS(Formulas!$A$2:$A$1501,H$4,Formulas!$B$2:$B$1501,$A11))</f>
        <v>0</v>
      </c>
      <c r="I11" s="21" t="n">
        <f aca="false">IF(OR($A11="",I$4=""),0,COUNTIFS(Formulas!$A$2:$A$1501,I$4,Formulas!$B$2:$B$1501,$A11))</f>
        <v>0</v>
      </c>
      <c r="J11" s="21" t="n">
        <f aca="false">IF(OR($A11="",J$4=""),0,COUNTIFS(Formulas!$A$2:$A$1501,J$4,Formulas!$B$2:$B$1501,$A11))</f>
        <v>0</v>
      </c>
      <c r="K11" s="21" t="n">
        <f aca="false">IF(OR($A11="",K$4=""),0,COUNTIFS(Formulas!$A$2:$A$1501,K$4,Formulas!$B$2:$B$1501,$A11))</f>
        <v>0</v>
      </c>
      <c r="L11" s="21" t="n">
        <f aca="false">IF(OR($A11="",L$4=""),0,COUNTIFS(Formulas!$A$2:$A$1501,L$4,Formulas!$B$2:$B$1501,$A11))</f>
        <v>0</v>
      </c>
      <c r="M11" s="21" t="n">
        <f aca="false">IF(OR($A11="",M$4=""),0,COUNTIFS(Formulas!$A$2:$A$1501,M$4,Formulas!$B$2:$B$1501,$A11))</f>
        <v>0</v>
      </c>
      <c r="N11" s="21" t="n">
        <f aca="false">IF(OR($A11="",N$4=""),0,COUNTIFS(Formulas!$A$2:$A$1501,N$4,Formulas!$B$2:$B$1501,$A11))</f>
        <v>0</v>
      </c>
      <c r="O11" s="21" t="n">
        <f aca="false">IF(OR($A11="",O$4=""),0,COUNTIFS(Formulas!$A$2:$A$1501,O$4,Formulas!$B$2:$B$1501,$A11))</f>
        <v>0</v>
      </c>
      <c r="P11" s="21" t="n">
        <f aca="false">IF(OR($A11="",P$4=""),0,COUNTIFS(Formulas!$A$2:$A$1501,P$4,Formulas!$B$2:$B$1501,$A11))</f>
        <v>0</v>
      </c>
      <c r="Q11" s="21" t="n">
        <f aca="false">IF(OR($A11="",Q$4=""),0,COUNTIFS(Formulas!$A$2:$A$1501,Q$4,Formulas!$B$2:$B$1501,$A11))</f>
        <v>0</v>
      </c>
      <c r="R11" s="21" t="n">
        <f aca="false">IF(OR($A11="",R$4=""),0,COUNTIFS(Formulas!$A$2:$A$1501,R$4,Formulas!$B$2:$B$1501,$A11))</f>
        <v>0</v>
      </c>
      <c r="S11" s="21" t="n">
        <f aca="false">IF(OR($A11="",S$4=""),0,COUNTIFS(Formulas!$A$2:$A$1501,S$4,Formulas!$B$2:$B$1501,$A11))</f>
        <v>0</v>
      </c>
      <c r="T11" s="21" t="n">
        <f aca="false">IF(OR($A11="",T$4=""),0,COUNTIFS(Formulas!$A$2:$A$1501,T$4,Formulas!$B$2:$B$1501,$A11))</f>
        <v>0</v>
      </c>
      <c r="U11" s="21" t="n">
        <f aca="false">IF(OR($A11="",U$4=""),0,COUNTIFS(Formulas!$A$2:$A$1501,U$4,Formulas!$B$2:$B$1501,$A11))</f>
        <v>0</v>
      </c>
      <c r="V11" s="21" t="n">
        <f aca="false">IF(OR($A11="",V$4=""),0,COUNTIFS(Formulas!$A$2:$A$1501,V$4,Formulas!$B$2:$B$1501,$A11))</f>
        <v>0</v>
      </c>
      <c r="W11" s="21" t="n">
        <f aca="false">IF(OR($A11="",W$4=""),0,COUNTIFS(Formulas!$A$2:$A$1501,W$4,Formulas!$B$2:$B$1501,$A11))</f>
        <v>0</v>
      </c>
      <c r="X11" s="21" t="n">
        <f aca="false">IF(OR($A11="",X$4=""),0,COUNTIFS(Formulas!$A$2:$A$1501,X$4,Formulas!$B$2:$B$1501,$A11))</f>
        <v>0</v>
      </c>
      <c r="Y11" s="21" t="n">
        <f aca="false">IF(OR($A11="",Y$4=""),0,COUNTIFS(Formulas!$A$2:$A$1501,Y$4,Formulas!$B$2:$B$1501,$A11))</f>
        <v>0</v>
      </c>
      <c r="Z11" s="21" t="n">
        <f aca="false">IF(OR($A11="",Z$4=""),0,COUNTIFS(Formulas!$A$2:$A$1501,Z$4,Formulas!$B$2:$B$1501,$A11))</f>
        <v>0</v>
      </c>
      <c r="AA11" s="21" t="n">
        <f aca="false">IF(OR($A11="",AA$4=""),0,COUNTIFS(Formulas!$A$2:$A$1501,AA$4,Formulas!$B$2:$B$1501,$A11))</f>
        <v>0</v>
      </c>
      <c r="AB11" s="21" t="n">
        <f aca="false">IF(OR($A11="",AB$4=""),0,COUNTIFS(Formulas!$A$2:$A$1501,AB$4,Formulas!$B$2:$B$1501,$A11))</f>
        <v>0</v>
      </c>
      <c r="AC11" s="21" t="n">
        <f aca="false">IF(OR($A11="",AC$4=""),0,COUNTIFS(Formulas!$A$2:$A$1501,AC$4,Formulas!$B$2:$B$1501,$A11))</f>
        <v>0</v>
      </c>
      <c r="AD11" s="21" t="n">
        <f aca="false">IF(OR($A11="",AD$4=""),0,COUNTIFS(Formulas!$A$2:$A$1501,AD$4,Formulas!$B$2:$B$1501,$A11))</f>
        <v>0</v>
      </c>
      <c r="AE11" s="21" t="n">
        <f aca="false">IF(OR($A11="",AE$4=""),0,COUNTIFS(Formulas!$A$2:$A$1501,AE$4,Formulas!$B$2:$B$1501,$A11))</f>
        <v>0</v>
      </c>
      <c r="AF11" s="21" t="n">
        <f aca="false">IF(OR($A11="",AF$4=""),0,COUNTIFS(Formulas!$A$2:$A$1501,AF$4,Formulas!$B$2:$B$1501,$A11))</f>
        <v>0</v>
      </c>
      <c r="AG11" s="21" t="n">
        <f aca="false">IF(OR($A11="",AG$4=""),0,COUNTIFS(Formulas!$A$2:$A$1501,AG$4,Formulas!$B$2:$B$1501,$A11))</f>
        <v>0</v>
      </c>
      <c r="AH11" s="21" t="n">
        <f aca="false">IF(OR($A11="",AH$4=""),0,COUNTIFS(Formulas!$A$2:$A$1501,AH$4,Formulas!$B$2:$B$1501,$A11))</f>
        <v>0</v>
      </c>
      <c r="AI11" s="21" t="n">
        <f aca="false">IF(OR($A11="",AI$4=""),0,COUNTIFS(Formulas!$A$2:$A$1501,AI$4,Formulas!$B$2:$B$1501,$A11))</f>
        <v>0</v>
      </c>
      <c r="AJ11" s="21" t="n">
        <f aca="false">IF(OR($A11="",AJ$4=""),0,COUNTIFS(Formulas!$A$2:$A$1501,AJ$4,Formulas!$B$2:$B$1501,$A11))</f>
        <v>0</v>
      </c>
      <c r="AK11" s="21" t="n">
        <f aca="false">IF(OR($A11="",AK$4=""),0,COUNTIFS(Formulas!$A$2:$A$1501,AK$4,Formulas!$B$2:$B$1501,$A11))</f>
        <v>0</v>
      </c>
      <c r="AL11" s="21" t="n">
        <f aca="false">IF(OR($A11="",AL$4=""),0,COUNTIFS(Formulas!$A$2:$A$1501,AL$4,Formulas!$B$2:$B$1501,$A11))</f>
        <v>0</v>
      </c>
      <c r="AM11" s="21" t="n">
        <f aca="false">IF(OR($A11="",AM$4=""),0,COUNTIFS(Formulas!$A$2:$A$1501,AM$4,Formulas!$B$2:$B$1501,$A11))</f>
        <v>0</v>
      </c>
      <c r="AN11" s="21" t="n">
        <f aca="false">IF(OR($A11="",AN$4=""),0,COUNTIFS(Formulas!$A$2:$A$1501,AN$4,Formulas!$B$2:$B$1501,$A11))</f>
        <v>0</v>
      </c>
      <c r="AO11" s="21" t="n">
        <f aca="false">IF(OR($A11="",AO$4=""),0,COUNTIFS(Formulas!$A$2:$A$1501,AO$4,Formulas!$B$2:$B$1501,$A11))</f>
        <v>0</v>
      </c>
      <c r="AP11" s="21" t="n">
        <f aca="false">IF(OR($A11="",AP$4=""),0,COUNTIFS(Formulas!$A$2:$A$1501,AP$4,Formulas!$B$2:$B$1501,$A11))</f>
        <v>0</v>
      </c>
      <c r="AQ11" s="21" t="n">
        <f aca="false">IF(OR($A11="",AQ$4=""),0,COUNTIFS(Formulas!$A$2:$A$1501,AQ$4,Formulas!$B$2:$B$1501,$A11))</f>
        <v>0</v>
      </c>
      <c r="AR11" s="21" t="n">
        <f aca="false">IF(OR($A11="",AR$4=""),0,COUNTIFS(Formulas!$A$2:$A$1501,AR$4,Formulas!$B$2:$B$1501,$A11))</f>
        <v>0</v>
      </c>
      <c r="AS11" s="21" t="n">
        <f aca="false">IF(OR($A11="",AS$4=""),0,COUNTIFS(Formulas!$A$2:$A$1501,AS$4,Formulas!$B$2:$B$1501,$A11))</f>
        <v>0</v>
      </c>
      <c r="AT11" s="21" t="n">
        <f aca="false">IF(OR($A11="",AT$4=""),0,COUNTIFS(Formulas!$A$2:$A$1501,AT$4,Formulas!$B$2:$B$1501,$A11))</f>
        <v>0</v>
      </c>
      <c r="AU11" s="21" t="n">
        <f aca="false">IF(OR($A11="",AU$4=""),0,COUNTIFS(Formulas!$A$2:$A$1501,AU$4,Formulas!$B$2:$B$1501,$A11))</f>
        <v>0</v>
      </c>
      <c r="AV11" s="21" t="n">
        <f aca="false">IF(OR($A11="",AV$4=""),0,COUNTIFS(Formulas!$A$2:$A$1501,AV$4,Formulas!$B$2:$B$1501,$A11))</f>
        <v>0</v>
      </c>
      <c r="AW11" s="21" t="n">
        <f aca="false">IF(OR($A11="",AW$4=""),0,COUNTIFS(Formulas!$A$2:$A$1501,AW$4,Formulas!$B$2:$B$1501,$A11))</f>
        <v>0</v>
      </c>
      <c r="AX11" s="21" t="n">
        <f aca="false">IF(OR($A11="",AX$4=""),0,COUNTIFS(Formulas!$A$2:$A$1501,AX$4,Formulas!$B$2:$B$1501,$A11))</f>
        <v>0</v>
      </c>
      <c r="AY11" s="21" t="n">
        <f aca="false">IF(OR($A11="",AY$4=""),0,COUNTIFS(Formulas!$A$2:$A$1501,AY$4,Formulas!$B$2:$B$1501,$A11))</f>
        <v>0</v>
      </c>
      <c r="AZ11" s="21" t="n">
        <f aca="false">IF(OR($A11="",AZ$4=""),0,COUNTIFS(Formulas!$A$2:$A$1501,AZ$4,Formulas!$B$2:$B$1501,$A11))</f>
        <v>0</v>
      </c>
      <c r="BA11" s="21" t="n">
        <f aca="false">IF(OR($A11="",BA$4=""),0,COUNTIFS(Formulas!$A$2:$A$1501,BA$4,Formulas!$B$2:$B$1501,$A11))</f>
        <v>0</v>
      </c>
      <c r="BB11" s="21" t="n">
        <f aca="false">IF(OR($A11="",BB$4=""),0,COUNTIFS(Formulas!$A$2:$A$1501,BB$4,Formulas!$B$2:$B$1501,$A11))</f>
        <v>0</v>
      </c>
      <c r="BC11" s="21" t="n">
        <f aca="false">IF(OR($A11="",BC$4=""),0,COUNTIFS(Formulas!$A$2:$A$1501,BC$4,Formulas!$B$2:$B$1501,$A11))</f>
        <v>0</v>
      </c>
      <c r="BD11" s="21" t="n">
        <f aca="false">IF(OR($A11="",BD$4=""),0,COUNTIFS(Formulas!$A$2:$A$1501,BD$4,Formulas!$B$2:$B$1501,$A11))</f>
        <v>0</v>
      </c>
      <c r="BE11" s="21" t="n">
        <f aca="false">IF(OR($A11="",BE$4=""),0,COUNTIFS(Formulas!$A$2:$A$1501,BE$4,Formulas!$B$2:$B$1501,$A11))</f>
        <v>0</v>
      </c>
      <c r="BF11" s="21" t="n">
        <f aca="false">IF(OR($A11="",BF$4=""),0,COUNTIFS(Formulas!$A$2:$A$1501,BF$4,Formulas!$B$2:$B$1501,$A11))</f>
        <v>0</v>
      </c>
      <c r="BG11" s="21" t="n">
        <f aca="false">IF(OR($A11="",BG$4=""),0,COUNTIFS(Formulas!$A$2:$A$1501,BG$4,Formulas!$B$2:$B$1501,$A11))</f>
        <v>0</v>
      </c>
      <c r="BH11" s="21" t="n">
        <f aca="false">IF(OR($A11="",BH$4=""),0,COUNTIFS(Formulas!$A$2:$A$1501,BH$4,Formulas!$B$2:$B$1501,$A11))</f>
        <v>0</v>
      </c>
      <c r="BI11" s="21" t="n">
        <f aca="false">IF(OR($A11="",BI$4=""),0,COUNTIFS(Formulas!$A$2:$A$1501,BI$4,Formulas!$B$2:$B$1501,$A11))</f>
        <v>0</v>
      </c>
      <c r="BJ11" s="21" t="n">
        <f aca="false">IF(OR($A11="",BJ$4=""),0,COUNTIFS(Formulas!$A$2:$A$1501,BJ$4,Formulas!$B$2:$B$1501,$A11))</f>
        <v>0</v>
      </c>
    </row>
    <row r="12" customFormat="false" ht="15" hidden="false" customHeight="false" outlineLevel="0" collapsed="false">
      <c r="A12" s="13" t="str">
        <f aca="false">IF(INDEX(Materials!$A$2:$A$201,8)="","",INDEX(Materials!$A$2:$A$201,8))</f>
        <v>Microcrystalline Cellulose PH 102</v>
      </c>
      <c r="B12" s="19" t="n">
        <f aca="false">IF(A12="","",COUNTIF(C12:BJ12,"&gt;0"))</f>
        <v>6</v>
      </c>
      <c r="C12" s="21" t="n">
        <f aca="false">IF(OR($A12="",C$4=""),0,COUNTIFS(Formulas!$A$2:$A$1501,C$4,Formulas!$B$2:$B$1501,$A12))</f>
        <v>1</v>
      </c>
      <c r="D12" s="21" t="n">
        <f aca="false">IF(OR($A12="",D$4=""),0,COUNTIFS(Formulas!$A$2:$A$1501,D$4,Formulas!$B$2:$B$1501,$A12))</f>
        <v>1</v>
      </c>
      <c r="E12" s="21" t="n">
        <f aca="false">IF(OR($A12="",E$4=""),0,COUNTIFS(Formulas!$A$2:$A$1501,E$4,Formulas!$B$2:$B$1501,$A12))</f>
        <v>1</v>
      </c>
      <c r="F12" s="21" t="n">
        <f aca="false">IF(OR($A12="",F$4=""),0,COUNTIFS(Formulas!$A$2:$A$1501,F$4,Formulas!$B$2:$B$1501,$A12))</f>
        <v>1</v>
      </c>
      <c r="G12" s="21" t="n">
        <f aca="false">IF(OR($A12="",G$4=""),0,COUNTIFS(Formulas!$A$2:$A$1501,G$4,Formulas!$B$2:$B$1501,$A12))</f>
        <v>1</v>
      </c>
      <c r="H12" s="21" t="n">
        <f aca="false">IF(OR($A12="",H$4=""),0,COUNTIFS(Formulas!$A$2:$A$1501,H$4,Formulas!$B$2:$B$1501,$A12))</f>
        <v>1</v>
      </c>
      <c r="I12" s="21" t="n">
        <f aca="false">IF(OR($A12="",I$4=""),0,COUNTIFS(Formulas!$A$2:$A$1501,I$4,Formulas!$B$2:$B$1501,$A12))</f>
        <v>0</v>
      </c>
      <c r="J12" s="21" t="n">
        <f aca="false">IF(OR($A12="",J$4=""),0,COUNTIFS(Formulas!$A$2:$A$1501,J$4,Formulas!$B$2:$B$1501,$A12))</f>
        <v>0</v>
      </c>
      <c r="K12" s="21" t="n">
        <f aca="false">IF(OR($A12="",K$4=""),0,COUNTIFS(Formulas!$A$2:$A$1501,K$4,Formulas!$B$2:$B$1501,$A12))</f>
        <v>0</v>
      </c>
      <c r="L12" s="21" t="n">
        <f aca="false">IF(OR($A12="",L$4=""),0,COUNTIFS(Formulas!$A$2:$A$1501,L$4,Formulas!$B$2:$B$1501,$A12))</f>
        <v>0</v>
      </c>
      <c r="M12" s="21" t="n">
        <f aca="false">IF(OR($A12="",M$4=""),0,COUNTIFS(Formulas!$A$2:$A$1501,M$4,Formulas!$B$2:$B$1501,$A12))</f>
        <v>0</v>
      </c>
      <c r="N12" s="21" t="n">
        <f aca="false">IF(OR($A12="",N$4=""),0,COUNTIFS(Formulas!$A$2:$A$1501,N$4,Formulas!$B$2:$B$1501,$A12))</f>
        <v>0</v>
      </c>
      <c r="O12" s="21" t="n">
        <f aca="false">IF(OR($A12="",O$4=""),0,COUNTIFS(Formulas!$A$2:$A$1501,O$4,Formulas!$B$2:$B$1501,$A12))</f>
        <v>0</v>
      </c>
      <c r="P12" s="21" t="n">
        <f aca="false">IF(OR($A12="",P$4=""),0,COUNTIFS(Formulas!$A$2:$A$1501,P$4,Formulas!$B$2:$B$1501,$A12))</f>
        <v>0</v>
      </c>
      <c r="Q12" s="21" t="n">
        <f aca="false">IF(OR($A12="",Q$4=""),0,COUNTIFS(Formulas!$A$2:$A$1501,Q$4,Formulas!$B$2:$B$1501,$A12))</f>
        <v>0</v>
      </c>
      <c r="R12" s="21" t="n">
        <f aca="false">IF(OR($A12="",R$4=""),0,COUNTIFS(Formulas!$A$2:$A$1501,R$4,Formulas!$B$2:$B$1501,$A12))</f>
        <v>0</v>
      </c>
      <c r="S12" s="21" t="n">
        <f aca="false">IF(OR($A12="",S$4=""),0,COUNTIFS(Formulas!$A$2:$A$1501,S$4,Formulas!$B$2:$B$1501,$A12))</f>
        <v>0</v>
      </c>
      <c r="T12" s="21" t="n">
        <f aca="false">IF(OR($A12="",T$4=""),0,COUNTIFS(Formulas!$A$2:$A$1501,T$4,Formulas!$B$2:$B$1501,$A12))</f>
        <v>0</v>
      </c>
      <c r="U12" s="21" t="n">
        <f aca="false">IF(OR($A12="",U$4=""),0,COUNTIFS(Formulas!$A$2:$A$1501,U$4,Formulas!$B$2:$B$1501,$A12))</f>
        <v>0</v>
      </c>
      <c r="V12" s="21" t="n">
        <f aca="false">IF(OR($A12="",V$4=""),0,COUNTIFS(Formulas!$A$2:$A$1501,V$4,Formulas!$B$2:$B$1501,$A12))</f>
        <v>0</v>
      </c>
      <c r="W12" s="21" t="n">
        <f aca="false">IF(OR($A12="",W$4=""),0,COUNTIFS(Formulas!$A$2:$A$1501,W$4,Formulas!$B$2:$B$1501,$A12))</f>
        <v>0</v>
      </c>
      <c r="X12" s="21" t="n">
        <f aca="false">IF(OR($A12="",X$4=""),0,COUNTIFS(Formulas!$A$2:$A$1501,X$4,Formulas!$B$2:$B$1501,$A12))</f>
        <v>0</v>
      </c>
      <c r="Y12" s="21" t="n">
        <f aca="false">IF(OR($A12="",Y$4=""),0,COUNTIFS(Formulas!$A$2:$A$1501,Y$4,Formulas!$B$2:$B$1501,$A12))</f>
        <v>0</v>
      </c>
      <c r="Z12" s="21" t="n">
        <f aca="false">IF(OR($A12="",Z$4=""),0,COUNTIFS(Formulas!$A$2:$A$1501,Z$4,Formulas!$B$2:$B$1501,$A12))</f>
        <v>0</v>
      </c>
      <c r="AA12" s="21" t="n">
        <f aca="false">IF(OR($A12="",AA$4=""),0,COUNTIFS(Formulas!$A$2:$A$1501,AA$4,Formulas!$B$2:$B$1501,$A12))</f>
        <v>0</v>
      </c>
      <c r="AB12" s="21" t="n">
        <f aca="false">IF(OR($A12="",AB$4=""),0,COUNTIFS(Formulas!$A$2:$A$1501,AB$4,Formulas!$B$2:$B$1501,$A12))</f>
        <v>0</v>
      </c>
      <c r="AC12" s="21" t="n">
        <f aca="false">IF(OR($A12="",AC$4=""),0,COUNTIFS(Formulas!$A$2:$A$1501,AC$4,Formulas!$B$2:$B$1501,$A12))</f>
        <v>0</v>
      </c>
      <c r="AD12" s="21" t="n">
        <f aca="false">IF(OR($A12="",AD$4=""),0,COUNTIFS(Formulas!$A$2:$A$1501,AD$4,Formulas!$B$2:$B$1501,$A12))</f>
        <v>0</v>
      </c>
      <c r="AE12" s="21" t="n">
        <f aca="false">IF(OR($A12="",AE$4=""),0,COUNTIFS(Formulas!$A$2:$A$1501,AE$4,Formulas!$B$2:$B$1501,$A12))</f>
        <v>0</v>
      </c>
      <c r="AF12" s="21" t="n">
        <f aca="false">IF(OR($A12="",AF$4=""),0,COUNTIFS(Formulas!$A$2:$A$1501,AF$4,Formulas!$B$2:$B$1501,$A12))</f>
        <v>0</v>
      </c>
      <c r="AG12" s="21" t="n">
        <f aca="false">IF(OR($A12="",AG$4=""),0,COUNTIFS(Formulas!$A$2:$A$1501,AG$4,Formulas!$B$2:$B$1501,$A12))</f>
        <v>0</v>
      </c>
      <c r="AH12" s="21" t="n">
        <f aca="false">IF(OR($A12="",AH$4=""),0,COUNTIFS(Formulas!$A$2:$A$1501,AH$4,Formulas!$B$2:$B$1501,$A12))</f>
        <v>0</v>
      </c>
      <c r="AI12" s="21" t="n">
        <f aca="false">IF(OR($A12="",AI$4=""),0,COUNTIFS(Formulas!$A$2:$A$1501,AI$4,Formulas!$B$2:$B$1501,$A12))</f>
        <v>0</v>
      </c>
      <c r="AJ12" s="21" t="n">
        <f aca="false">IF(OR($A12="",AJ$4=""),0,COUNTIFS(Formulas!$A$2:$A$1501,AJ$4,Formulas!$B$2:$B$1501,$A12))</f>
        <v>0</v>
      </c>
      <c r="AK12" s="21" t="n">
        <f aca="false">IF(OR($A12="",AK$4=""),0,COUNTIFS(Formulas!$A$2:$A$1501,AK$4,Formulas!$B$2:$B$1501,$A12))</f>
        <v>0</v>
      </c>
      <c r="AL12" s="21" t="n">
        <f aca="false">IF(OR($A12="",AL$4=""),0,COUNTIFS(Formulas!$A$2:$A$1501,AL$4,Formulas!$B$2:$B$1501,$A12))</f>
        <v>0</v>
      </c>
      <c r="AM12" s="21" t="n">
        <f aca="false">IF(OR($A12="",AM$4=""),0,COUNTIFS(Formulas!$A$2:$A$1501,AM$4,Formulas!$B$2:$B$1501,$A12))</f>
        <v>0</v>
      </c>
      <c r="AN12" s="21" t="n">
        <f aca="false">IF(OR($A12="",AN$4=""),0,COUNTIFS(Formulas!$A$2:$A$1501,AN$4,Formulas!$B$2:$B$1501,$A12))</f>
        <v>0</v>
      </c>
      <c r="AO12" s="21" t="n">
        <f aca="false">IF(OR($A12="",AO$4=""),0,COUNTIFS(Formulas!$A$2:$A$1501,AO$4,Formulas!$B$2:$B$1501,$A12))</f>
        <v>0</v>
      </c>
      <c r="AP12" s="21" t="n">
        <f aca="false">IF(OR($A12="",AP$4=""),0,COUNTIFS(Formulas!$A$2:$A$1501,AP$4,Formulas!$B$2:$B$1501,$A12))</f>
        <v>0</v>
      </c>
      <c r="AQ12" s="21" t="n">
        <f aca="false">IF(OR($A12="",AQ$4=""),0,COUNTIFS(Formulas!$A$2:$A$1501,AQ$4,Formulas!$B$2:$B$1501,$A12))</f>
        <v>0</v>
      </c>
      <c r="AR12" s="21" t="n">
        <f aca="false">IF(OR($A12="",AR$4=""),0,COUNTIFS(Formulas!$A$2:$A$1501,AR$4,Formulas!$B$2:$B$1501,$A12))</f>
        <v>0</v>
      </c>
      <c r="AS12" s="21" t="n">
        <f aca="false">IF(OR($A12="",AS$4=""),0,COUNTIFS(Formulas!$A$2:$A$1501,AS$4,Formulas!$B$2:$B$1501,$A12))</f>
        <v>0</v>
      </c>
      <c r="AT12" s="21" t="n">
        <f aca="false">IF(OR($A12="",AT$4=""),0,COUNTIFS(Formulas!$A$2:$A$1501,AT$4,Formulas!$B$2:$B$1501,$A12))</f>
        <v>0</v>
      </c>
      <c r="AU12" s="21" t="n">
        <f aca="false">IF(OR($A12="",AU$4=""),0,COUNTIFS(Formulas!$A$2:$A$1501,AU$4,Formulas!$B$2:$B$1501,$A12))</f>
        <v>0</v>
      </c>
      <c r="AV12" s="21" t="n">
        <f aca="false">IF(OR($A12="",AV$4=""),0,COUNTIFS(Formulas!$A$2:$A$1501,AV$4,Formulas!$B$2:$B$1501,$A12))</f>
        <v>0</v>
      </c>
      <c r="AW12" s="21" t="n">
        <f aca="false">IF(OR($A12="",AW$4=""),0,COUNTIFS(Formulas!$A$2:$A$1501,AW$4,Formulas!$B$2:$B$1501,$A12))</f>
        <v>0</v>
      </c>
      <c r="AX12" s="21" t="n">
        <f aca="false">IF(OR($A12="",AX$4=""),0,COUNTIFS(Formulas!$A$2:$A$1501,AX$4,Formulas!$B$2:$B$1501,$A12))</f>
        <v>0</v>
      </c>
      <c r="AY12" s="21" t="n">
        <f aca="false">IF(OR($A12="",AY$4=""),0,COUNTIFS(Formulas!$A$2:$A$1501,AY$4,Formulas!$B$2:$B$1501,$A12))</f>
        <v>0</v>
      </c>
      <c r="AZ12" s="21" t="n">
        <f aca="false">IF(OR($A12="",AZ$4=""),0,COUNTIFS(Formulas!$A$2:$A$1501,AZ$4,Formulas!$B$2:$B$1501,$A12))</f>
        <v>0</v>
      </c>
      <c r="BA12" s="21" t="n">
        <f aca="false">IF(OR($A12="",BA$4=""),0,COUNTIFS(Formulas!$A$2:$A$1501,BA$4,Formulas!$B$2:$B$1501,$A12))</f>
        <v>0</v>
      </c>
      <c r="BB12" s="21" t="n">
        <f aca="false">IF(OR($A12="",BB$4=""),0,COUNTIFS(Formulas!$A$2:$A$1501,BB$4,Formulas!$B$2:$B$1501,$A12))</f>
        <v>0</v>
      </c>
      <c r="BC12" s="21" t="n">
        <f aca="false">IF(OR($A12="",BC$4=""),0,COUNTIFS(Formulas!$A$2:$A$1501,BC$4,Formulas!$B$2:$B$1501,$A12))</f>
        <v>0</v>
      </c>
      <c r="BD12" s="21" t="n">
        <f aca="false">IF(OR($A12="",BD$4=""),0,COUNTIFS(Formulas!$A$2:$A$1501,BD$4,Formulas!$B$2:$B$1501,$A12))</f>
        <v>0</v>
      </c>
      <c r="BE12" s="21" t="n">
        <f aca="false">IF(OR($A12="",BE$4=""),0,COUNTIFS(Formulas!$A$2:$A$1501,BE$4,Formulas!$B$2:$B$1501,$A12))</f>
        <v>0</v>
      </c>
      <c r="BF12" s="21" t="n">
        <f aca="false">IF(OR($A12="",BF$4=""),0,COUNTIFS(Formulas!$A$2:$A$1501,BF$4,Formulas!$B$2:$B$1501,$A12))</f>
        <v>0</v>
      </c>
      <c r="BG12" s="21" t="n">
        <f aca="false">IF(OR($A12="",BG$4=""),0,COUNTIFS(Formulas!$A$2:$A$1501,BG$4,Formulas!$B$2:$B$1501,$A12))</f>
        <v>0</v>
      </c>
      <c r="BH12" s="21" t="n">
        <f aca="false">IF(OR($A12="",BH$4=""),0,COUNTIFS(Formulas!$A$2:$A$1501,BH$4,Formulas!$B$2:$B$1501,$A12))</f>
        <v>0</v>
      </c>
      <c r="BI12" s="21" t="n">
        <f aca="false">IF(OR($A12="",BI$4=""),0,COUNTIFS(Formulas!$A$2:$A$1501,BI$4,Formulas!$B$2:$B$1501,$A12))</f>
        <v>0</v>
      </c>
      <c r="BJ12" s="21" t="n">
        <f aca="false">IF(OR($A12="",BJ$4=""),0,COUNTIFS(Formulas!$A$2:$A$1501,BJ$4,Formulas!$B$2:$B$1501,$A12))</f>
        <v>0</v>
      </c>
    </row>
    <row r="13" customFormat="false" ht="15" hidden="false" customHeight="false" outlineLevel="0" collapsed="false">
      <c r="A13" s="13" t="str">
        <f aca="false">IF(INDEX(Materials!$A$2:$A$201,9)="","",INDEX(Materials!$A$2:$A$201,9))</f>
        <v>Colloidal Silicon Dioxide</v>
      </c>
      <c r="B13" s="19" t="n">
        <f aca="false">IF(A13="","",COUNTIF(C13:BJ13,"&gt;0"))</f>
        <v>10</v>
      </c>
      <c r="C13" s="21" t="n">
        <f aca="false">IF(OR($A13="",C$4=""),0,COUNTIFS(Formulas!$A$2:$A$1501,C$4,Formulas!$B$2:$B$1501,$A13))</f>
        <v>1</v>
      </c>
      <c r="D13" s="21" t="n">
        <f aca="false">IF(OR($A13="",D$4=""),0,COUNTIFS(Formulas!$A$2:$A$1501,D$4,Formulas!$B$2:$B$1501,$A13))</f>
        <v>1</v>
      </c>
      <c r="E13" s="21" t="n">
        <f aca="false">IF(OR($A13="",E$4=""),0,COUNTIFS(Formulas!$A$2:$A$1501,E$4,Formulas!$B$2:$B$1501,$A13))</f>
        <v>1</v>
      </c>
      <c r="F13" s="21" t="n">
        <f aca="false">IF(OR($A13="",F$4=""),0,COUNTIFS(Formulas!$A$2:$A$1501,F$4,Formulas!$B$2:$B$1501,$A13))</f>
        <v>1</v>
      </c>
      <c r="G13" s="21" t="n">
        <f aca="false">IF(OR($A13="",G$4=""),0,COUNTIFS(Formulas!$A$2:$A$1501,G$4,Formulas!$B$2:$B$1501,$A13))</f>
        <v>1</v>
      </c>
      <c r="H13" s="21" t="n">
        <f aca="false">IF(OR($A13="",H$4=""),0,COUNTIFS(Formulas!$A$2:$A$1501,H$4,Formulas!$B$2:$B$1501,$A13))</f>
        <v>1</v>
      </c>
      <c r="I13" s="21" t="n">
        <f aca="false">IF(OR($A13="",I$4=""),0,COUNTIFS(Formulas!$A$2:$A$1501,I$4,Formulas!$B$2:$B$1501,$A13))</f>
        <v>1</v>
      </c>
      <c r="J13" s="21" t="n">
        <f aca="false">IF(OR($A13="",J$4=""),0,COUNTIFS(Formulas!$A$2:$A$1501,J$4,Formulas!$B$2:$B$1501,$A13))</f>
        <v>1</v>
      </c>
      <c r="K13" s="21" t="n">
        <f aca="false">IF(OR($A13="",K$4=""),0,COUNTIFS(Formulas!$A$2:$A$1501,K$4,Formulas!$B$2:$B$1501,$A13))</f>
        <v>1</v>
      </c>
      <c r="L13" s="21" t="n">
        <f aca="false">IF(OR($A13="",L$4=""),0,COUNTIFS(Formulas!$A$2:$A$1501,L$4,Formulas!$B$2:$B$1501,$A13))</f>
        <v>1</v>
      </c>
      <c r="M13" s="21" t="n">
        <f aca="false">IF(OR($A13="",M$4=""),0,COUNTIFS(Formulas!$A$2:$A$1501,M$4,Formulas!$B$2:$B$1501,$A13))</f>
        <v>0</v>
      </c>
      <c r="N13" s="21" t="n">
        <f aca="false">IF(OR($A13="",N$4=""),0,COUNTIFS(Formulas!$A$2:$A$1501,N$4,Formulas!$B$2:$B$1501,$A13))</f>
        <v>0</v>
      </c>
      <c r="O13" s="21" t="n">
        <f aca="false">IF(OR($A13="",O$4=""),0,COUNTIFS(Formulas!$A$2:$A$1501,O$4,Formulas!$B$2:$B$1501,$A13))</f>
        <v>0</v>
      </c>
      <c r="P13" s="21" t="n">
        <f aca="false">IF(OR($A13="",P$4=""),0,COUNTIFS(Formulas!$A$2:$A$1501,P$4,Formulas!$B$2:$B$1501,$A13))</f>
        <v>0</v>
      </c>
      <c r="Q13" s="21" t="n">
        <f aca="false">IF(OR($A13="",Q$4=""),0,COUNTIFS(Formulas!$A$2:$A$1501,Q$4,Formulas!$B$2:$B$1501,$A13))</f>
        <v>0</v>
      </c>
      <c r="R13" s="21" t="n">
        <f aca="false">IF(OR($A13="",R$4=""),0,COUNTIFS(Formulas!$A$2:$A$1501,R$4,Formulas!$B$2:$B$1501,$A13))</f>
        <v>0</v>
      </c>
      <c r="S13" s="21" t="n">
        <f aca="false">IF(OR($A13="",S$4=""),0,COUNTIFS(Formulas!$A$2:$A$1501,S$4,Formulas!$B$2:$B$1501,$A13))</f>
        <v>0</v>
      </c>
      <c r="T13" s="21" t="n">
        <f aca="false">IF(OR($A13="",T$4=""),0,COUNTIFS(Formulas!$A$2:$A$1501,T$4,Formulas!$B$2:$B$1501,$A13))</f>
        <v>0</v>
      </c>
      <c r="U13" s="21" t="n">
        <f aca="false">IF(OR($A13="",U$4=""),0,COUNTIFS(Formulas!$A$2:$A$1501,U$4,Formulas!$B$2:$B$1501,$A13))</f>
        <v>0</v>
      </c>
      <c r="V13" s="21" t="n">
        <f aca="false">IF(OR($A13="",V$4=""),0,COUNTIFS(Formulas!$A$2:$A$1501,V$4,Formulas!$B$2:$B$1501,$A13))</f>
        <v>0</v>
      </c>
      <c r="W13" s="21" t="n">
        <f aca="false">IF(OR($A13="",W$4=""),0,COUNTIFS(Formulas!$A$2:$A$1501,W$4,Formulas!$B$2:$B$1501,$A13))</f>
        <v>0</v>
      </c>
      <c r="X13" s="21" t="n">
        <f aca="false">IF(OR($A13="",X$4=""),0,COUNTIFS(Formulas!$A$2:$A$1501,X$4,Formulas!$B$2:$B$1501,$A13))</f>
        <v>0</v>
      </c>
      <c r="Y13" s="21" t="n">
        <f aca="false">IF(OR($A13="",Y$4=""),0,COUNTIFS(Formulas!$A$2:$A$1501,Y$4,Formulas!$B$2:$B$1501,$A13))</f>
        <v>0</v>
      </c>
      <c r="Z13" s="21" t="n">
        <f aca="false">IF(OR($A13="",Z$4=""),0,COUNTIFS(Formulas!$A$2:$A$1501,Z$4,Formulas!$B$2:$B$1501,$A13))</f>
        <v>0</v>
      </c>
      <c r="AA13" s="21" t="n">
        <f aca="false">IF(OR($A13="",AA$4=""),0,COUNTIFS(Formulas!$A$2:$A$1501,AA$4,Formulas!$B$2:$B$1501,$A13))</f>
        <v>0</v>
      </c>
      <c r="AB13" s="21" t="n">
        <f aca="false">IF(OR($A13="",AB$4=""),0,COUNTIFS(Formulas!$A$2:$A$1501,AB$4,Formulas!$B$2:$B$1501,$A13))</f>
        <v>0</v>
      </c>
      <c r="AC13" s="21" t="n">
        <f aca="false">IF(OR($A13="",AC$4=""),0,COUNTIFS(Formulas!$A$2:$A$1501,AC$4,Formulas!$B$2:$B$1501,$A13))</f>
        <v>0</v>
      </c>
      <c r="AD13" s="21" t="n">
        <f aca="false">IF(OR($A13="",AD$4=""),0,COUNTIFS(Formulas!$A$2:$A$1501,AD$4,Formulas!$B$2:$B$1501,$A13))</f>
        <v>0</v>
      </c>
      <c r="AE13" s="21" t="n">
        <f aca="false">IF(OR($A13="",AE$4=""),0,COUNTIFS(Formulas!$A$2:$A$1501,AE$4,Formulas!$B$2:$B$1501,$A13))</f>
        <v>0</v>
      </c>
      <c r="AF13" s="21" t="n">
        <f aca="false">IF(OR($A13="",AF$4=""),0,COUNTIFS(Formulas!$A$2:$A$1501,AF$4,Formulas!$B$2:$B$1501,$A13))</f>
        <v>0</v>
      </c>
      <c r="AG13" s="21" t="n">
        <f aca="false">IF(OR($A13="",AG$4=""),0,COUNTIFS(Formulas!$A$2:$A$1501,AG$4,Formulas!$B$2:$B$1501,$A13))</f>
        <v>0</v>
      </c>
      <c r="AH13" s="21" t="n">
        <f aca="false">IF(OR($A13="",AH$4=""),0,COUNTIFS(Formulas!$A$2:$A$1501,AH$4,Formulas!$B$2:$B$1501,$A13))</f>
        <v>0</v>
      </c>
      <c r="AI13" s="21" t="n">
        <f aca="false">IF(OR($A13="",AI$4=""),0,COUNTIFS(Formulas!$A$2:$A$1501,AI$4,Formulas!$B$2:$B$1501,$A13))</f>
        <v>0</v>
      </c>
      <c r="AJ13" s="21" t="n">
        <f aca="false">IF(OR($A13="",AJ$4=""),0,COUNTIFS(Formulas!$A$2:$A$1501,AJ$4,Formulas!$B$2:$B$1501,$A13))</f>
        <v>0</v>
      </c>
      <c r="AK13" s="21" t="n">
        <f aca="false">IF(OR($A13="",AK$4=""),0,COUNTIFS(Formulas!$A$2:$A$1501,AK$4,Formulas!$B$2:$B$1501,$A13))</f>
        <v>0</v>
      </c>
      <c r="AL13" s="21" t="n">
        <f aca="false">IF(OR($A13="",AL$4=""),0,COUNTIFS(Formulas!$A$2:$A$1501,AL$4,Formulas!$B$2:$B$1501,$A13))</f>
        <v>0</v>
      </c>
      <c r="AM13" s="21" t="n">
        <f aca="false">IF(OR($A13="",AM$4=""),0,COUNTIFS(Formulas!$A$2:$A$1501,AM$4,Formulas!$B$2:$B$1501,$A13))</f>
        <v>0</v>
      </c>
      <c r="AN13" s="21" t="n">
        <f aca="false">IF(OR($A13="",AN$4=""),0,COUNTIFS(Formulas!$A$2:$A$1501,AN$4,Formulas!$B$2:$B$1501,$A13))</f>
        <v>0</v>
      </c>
      <c r="AO13" s="21" t="n">
        <f aca="false">IF(OR($A13="",AO$4=""),0,COUNTIFS(Formulas!$A$2:$A$1501,AO$4,Formulas!$B$2:$B$1501,$A13))</f>
        <v>0</v>
      </c>
      <c r="AP13" s="21" t="n">
        <f aca="false">IF(OR($A13="",AP$4=""),0,COUNTIFS(Formulas!$A$2:$A$1501,AP$4,Formulas!$B$2:$B$1501,$A13))</f>
        <v>0</v>
      </c>
      <c r="AQ13" s="21" t="n">
        <f aca="false">IF(OR($A13="",AQ$4=""),0,COUNTIFS(Formulas!$A$2:$A$1501,AQ$4,Formulas!$B$2:$B$1501,$A13))</f>
        <v>0</v>
      </c>
      <c r="AR13" s="21" t="n">
        <f aca="false">IF(OR($A13="",AR$4=""),0,COUNTIFS(Formulas!$A$2:$A$1501,AR$4,Formulas!$B$2:$B$1501,$A13))</f>
        <v>0</v>
      </c>
      <c r="AS13" s="21" t="n">
        <f aca="false">IF(OR($A13="",AS$4=""),0,COUNTIFS(Formulas!$A$2:$A$1501,AS$4,Formulas!$B$2:$B$1501,$A13))</f>
        <v>0</v>
      </c>
      <c r="AT13" s="21" t="n">
        <f aca="false">IF(OR($A13="",AT$4=""),0,COUNTIFS(Formulas!$A$2:$A$1501,AT$4,Formulas!$B$2:$B$1501,$A13))</f>
        <v>0</v>
      </c>
      <c r="AU13" s="21" t="n">
        <f aca="false">IF(OR($A13="",AU$4=""),0,COUNTIFS(Formulas!$A$2:$A$1501,AU$4,Formulas!$B$2:$B$1501,$A13))</f>
        <v>0</v>
      </c>
      <c r="AV13" s="21" t="n">
        <f aca="false">IF(OR($A13="",AV$4=""),0,COUNTIFS(Formulas!$A$2:$A$1501,AV$4,Formulas!$B$2:$B$1501,$A13))</f>
        <v>0</v>
      </c>
      <c r="AW13" s="21" t="n">
        <f aca="false">IF(OR($A13="",AW$4=""),0,COUNTIFS(Formulas!$A$2:$A$1501,AW$4,Formulas!$B$2:$B$1501,$A13))</f>
        <v>0</v>
      </c>
      <c r="AX13" s="21" t="n">
        <f aca="false">IF(OR($A13="",AX$4=""),0,COUNTIFS(Formulas!$A$2:$A$1501,AX$4,Formulas!$B$2:$B$1501,$A13))</f>
        <v>0</v>
      </c>
      <c r="AY13" s="21" t="n">
        <f aca="false">IF(OR($A13="",AY$4=""),0,COUNTIFS(Formulas!$A$2:$A$1501,AY$4,Formulas!$B$2:$B$1501,$A13))</f>
        <v>0</v>
      </c>
      <c r="AZ13" s="21" t="n">
        <f aca="false">IF(OR($A13="",AZ$4=""),0,COUNTIFS(Formulas!$A$2:$A$1501,AZ$4,Formulas!$B$2:$B$1501,$A13))</f>
        <v>0</v>
      </c>
      <c r="BA13" s="21" t="n">
        <f aca="false">IF(OR($A13="",BA$4=""),0,COUNTIFS(Formulas!$A$2:$A$1501,BA$4,Formulas!$B$2:$B$1501,$A13))</f>
        <v>0</v>
      </c>
      <c r="BB13" s="21" t="n">
        <f aca="false">IF(OR($A13="",BB$4=""),0,COUNTIFS(Formulas!$A$2:$A$1501,BB$4,Formulas!$B$2:$B$1501,$A13))</f>
        <v>0</v>
      </c>
      <c r="BC13" s="21" t="n">
        <f aca="false">IF(OR($A13="",BC$4=""),0,COUNTIFS(Formulas!$A$2:$A$1501,BC$4,Formulas!$B$2:$B$1501,$A13))</f>
        <v>0</v>
      </c>
      <c r="BD13" s="21" t="n">
        <f aca="false">IF(OR($A13="",BD$4=""),0,COUNTIFS(Formulas!$A$2:$A$1501,BD$4,Formulas!$B$2:$B$1501,$A13))</f>
        <v>0</v>
      </c>
      <c r="BE13" s="21" t="n">
        <f aca="false">IF(OR($A13="",BE$4=""),0,COUNTIFS(Formulas!$A$2:$A$1501,BE$4,Formulas!$B$2:$B$1501,$A13))</f>
        <v>0</v>
      </c>
      <c r="BF13" s="21" t="n">
        <f aca="false">IF(OR($A13="",BF$4=""),0,COUNTIFS(Formulas!$A$2:$A$1501,BF$4,Formulas!$B$2:$B$1501,$A13))</f>
        <v>0</v>
      </c>
      <c r="BG13" s="21" t="n">
        <f aca="false">IF(OR($A13="",BG$4=""),0,COUNTIFS(Formulas!$A$2:$A$1501,BG$4,Formulas!$B$2:$B$1501,$A13))</f>
        <v>0</v>
      </c>
      <c r="BH13" s="21" t="n">
        <f aca="false">IF(OR($A13="",BH$4=""),0,COUNTIFS(Formulas!$A$2:$A$1501,BH$4,Formulas!$B$2:$B$1501,$A13))</f>
        <v>0</v>
      </c>
      <c r="BI13" s="21" t="n">
        <f aca="false">IF(OR($A13="",BI$4=""),0,COUNTIFS(Formulas!$A$2:$A$1501,BI$4,Formulas!$B$2:$B$1501,$A13))</f>
        <v>0</v>
      </c>
      <c r="BJ13" s="21" t="n">
        <f aca="false">IF(OR($A13="",BJ$4=""),0,COUNTIFS(Formulas!$A$2:$A$1501,BJ$4,Formulas!$B$2:$B$1501,$A13))</f>
        <v>0</v>
      </c>
    </row>
    <row r="14" customFormat="false" ht="15" hidden="false" customHeight="false" outlineLevel="0" collapsed="false">
      <c r="A14" s="13" t="str">
        <f aca="false">IF(INDEX(Materials!$A$2:$A$201,10)="","",INDEX(Materials!$A$2:$A$201,10))</f>
        <v>Sodium Stearyl Fumarate</v>
      </c>
      <c r="B14" s="19" t="n">
        <f aca="false">IF(A14="","",COUNTIF(C14:BJ14,"&gt;0"))</f>
        <v>3</v>
      </c>
      <c r="C14" s="21" t="n">
        <f aca="false">IF(OR($A14="",C$4=""),0,COUNTIFS(Formulas!$A$2:$A$1501,C$4,Formulas!$B$2:$B$1501,$A14))</f>
        <v>1</v>
      </c>
      <c r="D14" s="21" t="n">
        <f aca="false">IF(OR($A14="",D$4=""),0,COUNTIFS(Formulas!$A$2:$A$1501,D$4,Formulas!$B$2:$B$1501,$A14))</f>
        <v>1</v>
      </c>
      <c r="E14" s="21" t="n">
        <f aca="false">IF(OR($A14="",E$4=""),0,COUNTIFS(Formulas!$A$2:$A$1501,E$4,Formulas!$B$2:$B$1501,$A14))</f>
        <v>1</v>
      </c>
      <c r="F14" s="21" t="n">
        <f aca="false">IF(OR($A14="",F$4=""),0,COUNTIFS(Formulas!$A$2:$A$1501,F$4,Formulas!$B$2:$B$1501,$A14))</f>
        <v>0</v>
      </c>
      <c r="G14" s="21" t="n">
        <f aca="false">IF(OR($A14="",G$4=""),0,COUNTIFS(Formulas!$A$2:$A$1501,G$4,Formulas!$B$2:$B$1501,$A14))</f>
        <v>0</v>
      </c>
      <c r="H14" s="21" t="n">
        <f aca="false">IF(OR($A14="",H$4=""),0,COUNTIFS(Formulas!$A$2:$A$1501,H$4,Formulas!$B$2:$B$1501,$A14))</f>
        <v>0</v>
      </c>
      <c r="I14" s="21" t="n">
        <f aca="false">IF(OR($A14="",I$4=""),0,COUNTIFS(Formulas!$A$2:$A$1501,I$4,Formulas!$B$2:$B$1501,$A14))</f>
        <v>0</v>
      </c>
      <c r="J14" s="21" t="n">
        <f aca="false">IF(OR($A14="",J$4=""),0,COUNTIFS(Formulas!$A$2:$A$1501,J$4,Formulas!$B$2:$B$1501,$A14))</f>
        <v>0</v>
      </c>
      <c r="K14" s="21" t="n">
        <f aca="false">IF(OR($A14="",K$4=""),0,COUNTIFS(Formulas!$A$2:$A$1501,K$4,Formulas!$B$2:$B$1501,$A14))</f>
        <v>0</v>
      </c>
      <c r="L14" s="21" t="n">
        <f aca="false">IF(OR($A14="",L$4=""),0,COUNTIFS(Formulas!$A$2:$A$1501,L$4,Formulas!$B$2:$B$1501,$A14))</f>
        <v>0</v>
      </c>
      <c r="M14" s="21" t="n">
        <f aca="false">IF(OR($A14="",M$4=""),0,COUNTIFS(Formulas!$A$2:$A$1501,M$4,Formulas!$B$2:$B$1501,$A14))</f>
        <v>0</v>
      </c>
      <c r="N14" s="21" t="n">
        <f aca="false">IF(OR($A14="",N$4=""),0,COUNTIFS(Formulas!$A$2:$A$1501,N$4,Formulas!$B$2:$B$1501,$A14))</f>
        <v>0</v>
      </c>
      <c r="O14" s="21" t="n">
        <f aca="false">IF(OR($A14="",O$4=""),0,COUNTIFS(Formulas!$A$2:$A$1501,O$4,Formulas!$B$2:$B$1501,$A14))</f>
        <v>0</v>
      </c>
      <c r="P14" s="21" t="n">
        <f aca="false">IF(OR($A14="",P$4=""),0,COUNTIFS(Formulas!$A$2:$A$1501,P$4,Formulas!$B$2:$B$1501,$A14))</f>
        <v>0</v>
      </c>
      <c r="Q14" s="21" t="n">
        <f aca="false">IF(OR($A14="",Q$4=""),0,COUNTIFS(Formulas!$A$2:$A$1501,Q$4,Formulas!$B$2:$B$1501,$A14))</f>
        <v>0</v>
      </c>
      <c r="R14" s="21" t="n">
        <f aca="false">IF(OR($A14="",R$4=""),0,COUNTIFS(Formulas!$A$2:$A$1501,R$4,Formulas!$B$2:$B$1501,$A14))</f>
        <v>0</v>
      </c>
      <c r="S14" s="21" t="n">
        <f aca="false">IF(OR($A14="",S$4=""),0,COUNTIFS(Formulas!$A$2:$A$1501,S$4,Formulas!$B$2:$B$1501,$A14))</f>
        <v>0</v>
      </c>
      <c r="T14" s="21" t="n">
        <f aca="false">IF(OR($A14="",T$4=""),0,COUNTIFS(Formulas!$A$2:$A$1501,T$4,Formulas!$B$2:$B$1501,$A14))</f>
        <v>0</v>
      </c>
      <c r="U14" s="21" t="n">
        <f aca="false">IF(OR($A14="",U$4=""),0,COUNTIFS(Formulas!$A$2:$A$1501,U$4,Formulas!$B$2:$B$1501,$A14))</f>
        <v>0</v>
      </c>
      <c r="V14" s="21" t="n">
        <f aca="false">IF(OR($A14="",V$4=""),0,COUNTIFS(Formulas!$A$2:$A$1501,V$4,Formulas!$B$2:$B$1501,$A14))</f>
        <v>0</v>
      </c>
      <c r="W14" s="21" t="n">
        <f aca="false">IF(OR($A14="",W$4=""),0,COUNTIFS(Formulas!$A$2:$A$1501,W$4,Formulas!$B$2:$B$1501,$A14))</f>
        <v>0</v>
      </c>
      <c r="X14" s="21" t="n">
        <f aca="false">IF(OR($A14="",X$4=""),0,COUNTIFS(Formulas!$A$2:$A$1501,X$4,Formulas!$B$2:$B$1501,$A14))</f>
        <v>0</v>
      </c>
      <c r="Y14" s="21" t="n">
        <f aca="false">IF(OR($A14="",Y$4=""),0,COUNTIFS(Formulas!$A$2:$A$1501,Y$4,Formulas!$B$2:$B$1501,$A14))</f>
        <v>0</v>
      </c>
      <c r="Z14" s="21" t="n">
        <f aca="false">IF(OR($A14="",Z$4=""),0,COUNTIFS(Formulas!$A$2:$A$1501,Z$4,Formulas!$B$2:$B$1501,$A14))</f>
        <v>0</v>
      </c>
      <c r="AA14" s="21" t="n">
        <f aca="false">IF(OR($A14="",AA$4=""),0,COUNTIFS(Formulas!$A$2:$A$1501,AA$4,Formulas!$B$2:$B$1501,$A14))</f>
        <v>0</v>
      </c>
      <c r="AB14" s="21" t="n">
        <f aca="false">IF(OR($A14="",AB$4=""),0,COUNTIFS(Formulas!$A$2:$A$1501,AB$4,Formulas!$B$2:$B$1501,$A14))</f>
        <v>0</v>
      </c>
      <c r="AC14" s="21" t="n">
        <f aca="false">IF(OR($A14="",AC$4=""),0,COUNTIFS(Formulas!$A$2:$A$1501,AC$4,Formulas!$B$2:$B$1501,$A14))</f>
        <v>0</v>
      </c>
      <c r="AD14" s="21" t="n">
        <f aca="false">IF(OR($A14="",AD$4=""),0,COUNTIFS(Formulas!$A$2:$A$1501,AD$4,Formulas!$B$2:$B$1501,$A14))</f>
        <v>0</v>
      </c>
      <c r="AE14" s="21" t="n">
        <f aca="false">IF(OR($A14="",AE$4=""),0,COUNTIFS(Formulas!$A$2:$A$1501,AE$4,Formulas!$B$2:$B$1501,$A14))</f>
        <v>0</v>
      </c>
      <c r="AF14" s="21" t="n">
        <f aca="false">IF(OR($A14="",AF$4=""),0,COUNTIFS(Formulas!$A$2:$A$1501,AF$4,Formulas!$B$2:$B$1501,$A14))</f>
        <v>0</v>
      </c>
      <c r="AG14" s="21" t="n">
        <f aca="false">IF(OR($A14="",AG$4=""),0,COUNTIFS(Formulas!$A$2:$A$1501,AG$4,Formulas!$B$2:$B$1501,$A14))</f>
        <v>0</v>
      </c>
      <c r="AH14" s="21" t="n">
        <f aca="false">IF(OR($A14="",AH$4=""),0,COUNTIFS(Formulas!$A$2:$A$1501,AH$4,Formulas!$B$2:$B$1501,$A14))</f>
        <v>0</v>
      </c>
      <c r="AI14" s="21" t="n">
        <f aca="false">IF(OR($A14="",AI$4=""),0,COUNTIFS(Formulas!$A$2:$A$1501,AI$4,Formulas!$B$2:$B$1501,$A14))</f>
        <v>0</v>
      </c>
      <c r="AJ14" s="21" t="n">
        <f aca="false">IF(OR($A14="",AJ$4=""),0,COUNTIFS(Formulas!$A$2:$A$1501,AJ$4,Formulas!$B$2:$B$1501,$A14))</f>
        <v>0</v>
      </c>
      <c r="AK14" s="21" t="n">
        <f aca="false">IF(OR($A14="",AK$4=""),0,COUNTIFS(Formulas!$A$2:$A$1501,AK$4,Formulas!$B$2:$B$1501,$A14))</f>
        <v>0</v>
      </c>
      <c r="AL14" s="21" t="n">
        <f aca="false">IF(OR($A14="",AL$4=""),0,COUNTIFS(Formulas!$A$2:$A$1501,AL$4,Formulas!$B$2:$B$1501,$A14))</f>
        <v>0</v>
      </c>
      <c r="AM14" s="21" t="n">
        <f aca="false">IF(OR($A14="",AM$4=""),0,COUNTIFS(Formulas!$A$2:$A$1501,AM$4,Formulas!$B$2:$B$1501,$A14))</f>
        <v>0</v>
      </c>
      <c r="AN14" s="21" t="n">
        <f aca="false">IF(OR($A14="",AN$4=""),0,COUNTIFS(Formulas!$A$2:$A$1501,AN$4,Formulas!$B$2:$B$1501,$A14))</f>
        <v>0</v>
      </c>
      <c r="AO14" s="21" t="n">
        <f aca="false">IF(OR($A14="",AO$4=""),0,COUNTIFS(Formulas!$A$2:$A$1501,AO$4,Formulas!$B$2:$B$1501,$A14))</f>
        <v>0</v>
      </c>
      <c r="AP14" s="21" t="n">
        <f aca="false">IF(OR($A14="",AP$4=""),0,COUNTIFS(Formulas!$A$2:$A$1501,AP$4,Formulas!$B$2:$B$1501,$A14))</f>
        <v>0</v>
      </c>
      <c r="AQ14" s="21" t="n">
        <f aca="false">IF(OR($A14="",AQ$4=""),0,COUNTIFS(Formulas!$A$2:$A$1501,AQ$4,Formulas!$B$2:$B$1501,$A14))</f>
        <v>0</v>
      </c>
      <c r="AR14" s="21" t="n">
        <f aca="false">IF(OR($A14="",AR$4=""),0,COUNTIFS(Formulas!$A$2:$A$1501,AR$4,Formulas!$B$2:$B$1501,$A14))</f>
        <v>0</v>
      </c>
      <c r="AS14" s="21" t="n">
        <f aca="false">IF(OR($A14="",AS$4=""),0,COUNTIFS(Formulas!$A$2:$A$1501,AS$4,Formulas!$B$2:$B$1501,$A14))</f>
        <v>0</v>
      </c>
      <c r="AT14" s="21" t="n">
        <f aca="false">IF(OR($A14="",AT$4=""),0,COUNTIFS(Formulas!$A$2:$A$1501,AT$4,Formulas!$B$2:$B$1501,$A14))</f>
        <v>0</v>
      </c>
      <c r="AU14" s="21" t="n">
        <f aca="false">IF(OR($A14="",AU$4=""),0,COUNTIFS(Formulas!$A$2:$A$1501,AU$4,Formulas!$B$2:$B$1501,$A14))</f>
        <v>0</v>
      </c>
      <c r="AV14" s="21" t="n">
        <f aca="false">IF(OR($A14="",AV$4=""),0,COUNTIFS(Formulas!$A$2:$A$1501,AV$4,Formulas!$B$2:$B$1501,$A14))</f>
        <v>0</v>
      </c>
      <c r="AW14" s="21" t="n">
        <f aca="false">IF(OR($A14="",AW$4=""),0,COUNTIFS(Formulas!$A$2:$A$1501,AW$4,Formulas!$B$2:$B$1501,$A14))</f>
        <v>0</v>
      </c>
      <c r="AX14" s="21" t="n">
        <f aca="false">IF(OR($A14="",AX$4=""),0,COUNTIFS(Formulas!$A$2:$A$1501,AX$4,Formulas!$B$2:$B$1501,$A14))</f>
        <v>0</v>
      </c>
      <c r="AY14" s="21" t="n">
        <f aca="false">IF(OR($A14="",AY$4=""),0,COUNTIFS(Formulas!$A$2:$A$1501,AY$4,Formulas!$B$2:$B$1501,$A14))</f>
        <v>0</v>
      </c>
      <c r="AZ14" s="21" t="n">
        <f aca="false">IF(OR($A14="",AZ$4=""),0,COUNTIFS(Formulas!$A$2:$A$1501,AZ$4,Formulas!$B$2:$B$1501,$A14))</f>
        <v>0</v>
      </c>
      <c r="BA14" s="21" t="n">
        <f aca="false">IF(OR($A14="",BA$4=""),0,COUNTIFS(Formulas!$A$2:$A$1501,BA$4,Formulas!$B$2:$B$1501,$A14))</f>
        <v>0</v>
      </c>
      <c r="BB14" s="21" t="n">
        <f aca="false">IF(OR($A14="",BB$4=""),0,COUNTIFS(Formulas!$A$2:$A$1501,BB$4,Formulas!$B$2:$B$1501,$A14))</f>
        <v>0</v>
      </c>
      <c r="BC14" s="21" t="n">
        <f aca="false">IF(OR($A14="",BC$4=""),0,COUNTIFS(Formulas!$A$2:$A$1501,BC$4,Formulas!$B$2:$B$1501,$A14))</f>
        <v>0</v>
      </c>
      <c r="BD14" s="21" t="n">
        <f aca="false">IF(OR($A14="",BD$4=""),0,COUNTIFS(Formulas!$A$2:$A$1501,BD$4,Formulas!$B$2:$B$1501,$A14))</f>
        <v>0</v>
      </c>
      <c r="BE14" s="21" t="n">
        <f aca="false">IF(OR($A14="",BE$4=""),0,COUNTIFS(Formulas!$A$2:$A$1501,BE$4,Formulas!$B$2:$B$1501,$A14))</f>
        <v>0</v>
      </c>
      <c r="BF14" s="21" t="n">
        <f aca="false">IF(OR($A14="",BF$4=""),0,COUNTIFS(Formulas!$A$2:$A$1501,BF$4,Formulas!$B$2:$B$1501,$A14))</f>
        <v>0</v>
      </c>
      <c r="BG14" s="21" t="n">
        <f aca="false">IF(OR($A14="",BG$4=""),0,COUNTIFS(Formulas!$A$2:$A$1501,BG$4,Formulas!$B$2:$B$1501,$A14))</f>
        <v>0</v>
      </c>
      <c r="BH14" s="21" t="n">
        <f aca="false">IF(OR($A14="",BH$4=""),0,COUNTIFS(Formulas!$A$2:$A$1501,BH$4,Formulas!$B$2:$B$1501,$A14))</f>
        <v>0</v>
      </c>
      <c r="BI14" s="21" t="n">
        <f aca="false">IF(OR($A14="",BI$4=""),0,COUNTIFS(Formulas!$A$2:$A$1501,BI$4,Formulas!$B$2:$B$1501,$A14))</f>
        <v>0</v>
      </c>
      <c r="BJ14" s="21" t="n">
        <f aca="false">IF(OR($A14="",BJ$4=""),0,COUNTIFS(Formulas!$A$2:$A$1501,BJ$4,Formulas!$B$2:$B$1501,$A14))</f>
        <v>0</v>
      </c>
    </row>
    <row r="15" customFormat="false" ht="15" hidden="false" customHeight="false" outlineLevel="0" collapsed="false">
      <c r="A15" s="13" t="str">
        <f aca="false">IF(INDEX(Materials!$A$2:$A$201,11)="","",INDEX(Materials!$A$2:$A$201,11))</f>
        <v>Hydroxypropylmethyl Cellulose 6cps</v>
      </c>
      <c r="B15" s="19" t="n">
        <f aca="false">IF(A15="","",COUNTIF(C15:BJ15,"&gt;0"))</f>
        <v>8</v>
      </c>
      <c r="C15" s="21" t="n">
        <f aca="false">IF(OR($A15="",C$4=""),0,COUNTIFS(Formulas!$A$2:$A$1501,C$4,Formulas!$B$2:$B$1501,$A15))</f>
        <v>1</v>
      </c>
      <c r="D15" s="21" t="n">
        <f aca="false">IF(OR($A15="",D$4=""),0,COUNTIFS(Formulas!$A$2:$A$1501,D$4,Formulas!$B$2:$B$1501,$A15))</f>
        <v>1</v>
      </c>
      <c r="E15" s="21" t="n">
        <f aca="false">IF(OR($A15="",E$4=""),0,COUNTIFS(Formulas!$A$2:$A$1501,E$4,Formulas!$B$2:$B$1501,$A15))</f>
        <v>1</v>
      </c>
      <c r="F15" s="21" t="n">
        <f aca="false">IF(OR($A15="",F$4=""),0,COUNTIFS(Formulas!$A$2:$A$1501,F$4,Formulas!$B$2:$B$1501,$A15))</f>
        <v>1</v>
      </c>
      <c r="G15" s="21" t="n">
        <f aca="false">IF(OR($A15="",G$4=""),0,COUNTIFS(Formulas!$A$2:$A$1501,G$4,Formulas!$B$2:$B$1501,$A15))</f>
        <v>1</v>
      </c>
      <c r="H15" s="21" t="n">
        <f aca="false">IF(OR($A15="",H$4=""),0,COUNTIFS(Formulas!$A$2:$A$1501,H$4,Formulas!$B$2:$B$1501,$A15))</f>
        <v>1</v>
      </c>
      <c r="I15" s="21" t="n">
        <f aca="false">IF(OR($A15="",I$4=""),0,COUNTIFS(Formulas!$A$2:$A$1501,I$4,Formulas!$B$2:$B$1501,$A15))</f>
        <v>2</v>
      </c>
      <c r="J15" s="21" t="n">
        <f aca="false">IF(OR($A15="",J$4=""),0,COUNTIFS(Formulas!$A$2:$A$1501,J$4,Formulas!$B$2:$B$1501,$A15))</f>
        <v>2</v>
      </c>
      <c r="K15" s="21" t="n">
        <f aca="false">IF(OR($A15="",K$4=""),0,COUNTIFS(Formulas!$A$2:$A$1501,K$4,Formulas!$B$2:$B$1501,$A15))</f>
        <v>0</v>
      </c>
      <c r="L15" s="21" t="n">
        <f aca="false">IF(OR($A15="",L$4=""),0,COUNTIFS(Formulas!$A$2:$A$1501,L$4,Formulas!$B$2:$B$1501,$A15))</f>
        <v>0</v>
      </c>
      <c r="M15" s="21" t="n">
        <f aca="false">IF(OR($A15="",M$4=""),0,COUNTIFS(Formulas!$A$2:$A$1501,M$4,Formulas!$B$2:$B$1501,$A15))</f>
        <v>0</v>
      </c>
      <c r="N15" s="21" t="n">
        <f aca="false">IF(OR($A15="",N$4=""),0,COUNTIFS(Formulas!$A$2:$A$1501,N$4,Formulas!$B$2:$B$1501,$A15))</f>
        <v>0</v>
      </c>
      <c r="O15" s="21" t="n">
        <f aca="false">IF(OR($A15="",O$4=""),0,COUNTIFS(Formulas!$A$2:$A$1501,O$4,Formulas!$B$2:$B$1501,$A15))</f>
        <v>0</v>
      </c>
      <c r="P15" s="21" t="n">
        <f aca="false">IF(OR($A15="",P$4=""),0,COUNTIFS(Formulas!$A$2:$A$1501,P$4,Formulas!$B$2:$B$1501,$A15))</f>
        <v>0</v>
      </c>
      <c r="Q15" s="21" t="n">
        <f aca="false">IF(OR($A15="",Q$4=""),0,COUNTIFS(Formulas!$A$2:$A$1501,Q$4,Formulas!$B$2:$B$1501,$A15))</f>
        <v>0</v>
      </c>
      <c r="R15" s="21" t="n">
        <f aca="false">IF(OR($A15="",R$4=""),0,COUNTIFS(Formulas!$A$2:$A$1501,R$4,Formulas!$B$2:$B$1501,$A15))</f>
        <v>0</v>
      </c>
      <c r="S15" s="21" t="n">
        <f aca="false">IF(OR($A15="",S$4=""),0,COUNTIFS(Formulas!$A$2:$A$1501,S$4,Formulas!$B$2:$B$1501,$A15))</f>
        <v>0</v>
      </c>
      <c r="T15" s="21" t="n">
        <f aca="false">IF(OR($A15="",T$4=""),0,COUNTIFS(Formulas!$A$2:$A$1501,T$4,Formulas!$B$2:$B$1501,$A15))</f>
        <v>0</v>
      </c>
      <c r="U15" s="21" t="n">
        <f aca="false">IF(OR($A15="",U$4=""),0,COUNTIFS(Formulas!$A$2:$A$1501,U$4,Formulas!$B$2:$B$1501,$A15))</f>
        <v>0</v>
      </c>
      <c r="V15" s="21" t="n">
        <f aca="false">IF(OR($A15="",V$4=""),0,COUNTIFS(Formulas!$A$2:$A$1501,V$4,Formulas!$B$2:$B$1501,$A15))</f>
        <v>0</v>
      </c>
      <c r="W15" s="21" t="n">
        <f aca="false">IF(OR($A15="",W$4=""),0,COUNTIFS(Formulas!$A$2:$A$1501,W$4,Formulas!$B$2:$B$1501,$A15))</f>
        <v>0</v>
      </c>
      <c r="X15" s="21" t="n">
        <f aca="false">IF(OR($A15="",X$4=""),0,COUNTIFS(Formulas!$A$2:$A$1501,X$4,Formulas!$B$2:$B$1501,$A15))</f>
        <v>0</v>
      </c>
      <c r="Y15" s="21" t="n">
        <f aca="false">IF(OR($A15="",Y$4=""),0,COUNTIFS(Formulas!$A$2:$A$1501,Y$4,Formulas!$B$2:$B$1501,$A15))</f>
        <v>0</v>
      </c>
      <c r="Z15" s="21" t="n">
        <f aca="false">IF(OR($A15="",Z$4=""),0,COUNTIFS(Formulas!$A$2:$A$1501,Z$4,Formulas!$B$2:$B$1501,$A15))</f>
        <v>0</v>
      </c>
      <c r="AA15" s="21" t="n">
        <f aca="false">IF(OR($A15="",AA$4=""),0,COUNTIFS(Formulas!$A$2:$A$1501,AA$4,Formulas!$B$2:$B$1501,$A15))</f>
        <v>0</v>
      </c>
      <c r="AB15" s="21" t="n">
        <f aca="false">IF(OR($A15="",AB$4=""),0,COUNTIFS(Formulas!$A$2:$A$1501,AB$4,Formulas!$B$2:$B$1501,$A15))</f>
        <v>0</v>
      </c>
      <c r="AC15" s="21" t="n">
        <f aca="false">IF(OR($A15="",AC$4=""),0,COUNTIFS(Formulas!$A$2:$A$1501,AC$4,Formulas!$B$2:$B$1501,$A15))</f>
        <v>0</v>
      </c>
      <c r="AD15" s="21" t="n">
        <f aca="false">IF(OR($A15="",AD$4=""),0,COUNTIFS(Formulas!$A$2:$A$1501,AD$4,Formulas!$B$2:$B$1501,$A15))</f>
        <v>0</v>
      </c>
      <c r="AE15" s="21" t="n">
        <f aca="false">IF(OR($A15="",AE$4=""),0,COUNTIFS(Formulas!$A$2:$A$1501,AE$4,Formulas!$B$2:$B$1501,$A15))</f>
        <v>0</v>
      </c>
      <c r="AF15" s="21" t="n">
        <f aca="false">IF(OR($A15="",AF$4=""),0,COUNTIFS(Formulas!$A$2:$A$1501,AF$4,Formulas!$B$2:$B$1501,$A15))</f>
        <v>0</v>
      </c>
      <c r="AG15" s="21" t="n">
        <f aca="false">IF(OR($A15="",AG$4=""),0,COUNTIFS(Formulas!$A$2:$A$1501,AG$4,Formulas!$B$2:$B$1501,$A15))</f>
        <v>0</v>
      </c>
      <c r="AH15" s="21" t="n">
        <f aca="false">IF(OR($A15="",AH$4=""),0,COUNTIFS(Formulas!$A$2:$A$1501,AH$4,Formulas!$B$2:$B$1501,$A15))</f>
        <v>0</v>
      </c>
      <c r="AI15" s="21" t="n">
        <f aca="false">IF(OR($A15="",AI$4=""),0,COUNTIFS(Formulas!$A$2:$A$1501,AI$4,Formulas!$B$2:$B$1501,$A15))</f>
        <v>0</v>
      </c>
      <c r="AJ15" s="21" t="n">
        <f aca="false">IF(OR($A15="",AJ$4=""),0,COUNTIFS(Formulas!$A$2:$A$1501,AJ$4,Formulas!$B$2:$B$1501,$A15))</f>
        <v>0</v>
      </c>
      <c r="AK15" s="21" t="n">
        <f aca="false">IF(OR($A15="",AK$4=""),0,COUNTIFS(Formulas!$A$2:$A$1501,AK$4,Formulas!$B$2:$B$1501,$A15))</f>
        <v>0</v>
      </c>
      <c r="AL15" s="21" t="n">
        <f aca="false">IF(OR($A15="",AL$4=""),0,COUNTIFS(Formulas!$A$2:$A$1501,AL$4,Formulas!$B$2:$B$1501,$A15))</f>
        <v>0</v>
      </c>
      <c r="AM15" s="21" t="n">
        <f aca="false">IF(OR($A15="",AM$4=""),0,COUNTIFS(Formulas!$A$2:$A$1501,AM$4,Formulas!$B$2:$B$1501,$A15))</f>
        <v>0</v>
      </c>
      <c r="AN15" s="21" t="n">
        <f aca="false">IF(OR($A15="",AN$4=""),0,COUNTIFS(Formulas!$A$2:$A$1501,AN$4,Formulas!$B$2:$B$1501,$A15))</f>
        <v>0</v>
      </c>
      <c r="AO15" s="21" t="n">
        <f aca="false">IF(OR($A15="",AO$4=""),0,COUNTIFS(Formulas!$A$2:$A$1501,AO$4,Formulas!$B$2:$B$1501,$A15))</f>
        <v>0</v>
      </c>
      <c r="AP15" s="21" t="n">
        <f aca="false">IF(OR($A15="",AP$4=""),0,COUNTIFS(Formulas!$A$2:$A$1501,AP$4,Formulas!$B$2:$B$1501,$A15))</f>
        <v>0</v>
      </c>
      <c r="AQ15" s="21" t="n">
        <f aca="false">IF(OR($A15="",AQ$4=""),0,COUNTIFS(Formulas!$A$2:$A$1501,AQ$4,Formulas!$B$2:$B$1501,$A15))</f>
        <v>0</v>
      </c>
      <c r="AR15" s="21" t="n">
        <f aca="false">IF(OR($A15="",AR$4=""),0,COUNTIFS(Formulas!$A$2:$A$1501,AR$4,Formulas!$B$2:$B$1501,$A15))</f>
        <v>0</v>
      </c>
      <c r="AS15" s="21" t="n">
        <f aca="false">IF(OR($A15="",AS$4=""),0,COUNTIFS(Formulas!$A$2:$A$1501,AS$4,Formulas!$B$2:$B$1501,$A15))</f>
        <v>0</v>
      </c>
      <c r="AT15" s="21" t="n">
        <f aca="false">IF(OR($A15="",AT$4=""),0,COUNTIFS(Formulas!$A$2:$A$1501,AT$4,Formulas!$B$2:$B$1501,$A15))</f>
        <v>0</v>
      </c>
      <c r="AU15" s="21" t="n">
        <f aca="false">IF(OR($A15="",AU$4=""),0,COUNTIFS(Formulas!$A$2:$A$1501,AU$4,Formulas!$B$2:$B$1501,$A15))</f>
        <v>0</v>
      </c>
      <c r="AV15" s="21" t="n">
        <f aca="false">IF(OR($A15="",AV$4=""),0,COUNTIFS(Formulas!$A$2:$A$1501,AV$4,Formulas!$B$2:$B$1501,$A15))</f>
        <v>0</v>
      </c>
      <c r="AW15" s="21" t="n">
        <f aca="false">IF(OR($A15="",AW$4=""),0,COUNTIFS(Formulas!$A$2:$A$1501,AW$4,Formulas!$B$2:$B$1501,$A15))</f>
        <v>0</v>
      </c>
      <c r="AX15" s="21" t="n">
        <f aca="false">IF(OR($A15="",AX$4=""),0,COUNTIFS(Formulas!$A$2:$A$1501,AX$4,Formulas!$B$2:$B$1501,$A15))</f>
        <v>0</v>
      </c>
      <c r="AY15" s="21" t="n">
        <f aca="false">IF(OR($A15="",AY$4=""),0,COUNTIFS(Formulas!$A$2:$A$1501,AY$4,Formulas!$B$2:$B$1501,$A15))</f>
        <v>0</v>
      </c>
      <c r="AZ15" s="21" t="n">
        <f aca="false">IF(OR($A15="",AZ$4=""),0,COUNTIFS(Formulas!$A$2:$A$1501,AZ$4,Formulas!$B$2:$B$1501,$A15))</f>
        <v>0</v>
      </c>
      <c r="BA15" s="21" t="n">
        <f aca="false">IF(OR($A15="",BA$4=""),0,COUNTIFS(Formulas!$A$2:$A$1501,BA$4,Formulas!$B$2:$B$1501,$A15))</f>
        <v>0</v>
      </c>
      <c r="BB15" s="21" t="n">
        <f aca="false">IF(OR($A15="",BB$4=""),0,COUNTIFS(Formulas!$A$2:$A$1501,BB$4,Formulas!$B$2:$B$1501,$A15))</f>
        <v>0</v>
      </c>
      <c r="BC15" s="21" t="n">
        <f aca="false">IF(OR($A15="",BC$4=""),0,COUNTIFS(Formulas!$A$2:$A$1501,BC$4,Formulas!$B$2:$B$1501,$A15))</f>
        <v>0</v>
      </c>
      <c r="BD15" s="21" t="n">
        <f aca="false">IF(OR($A15="",BD$4=""),0,COUNTIFS(Formulas!$A$2:$A$1501,BD$4,Formulas!$B$2:$B$1501,$A15))</f>
        <v>0</v>
      </c>
      <c r="BE15" s="21" t="n">
        <f aca="false">IF(OR($A15="",BE$4=""),0,COUNTIFS(Formulas!$A$2:$A$1501,BE$4,Formulas!$B$2:$B$1501,$A15))</f>
        <v>0</v>
      </c>
      <c r="BF15" s="21" t="n">
        <f aca="false">IF(OR($A15="",BF$4=""),0,COUNTIFS(Formulas!$A$2:$A$1501,BF$4,Formulas!$B$2:$B$1501,$A15))</f>
        <v>0</v>
      </c>
      <c r="BG15" s="21" t="n">
        <f aca="false">IF(OR($A15="",BG$4=""),0,COUNTIFS(Formulas!$A$2:$A$1501,BG$4,Formulas!$B$2:$B$1501,$A15))</f>
        <v>0</v>
      </c>
      <c r="BH15" s="21" t="n">
        <f aca="false">IF(OR($A15="",BH$4=""),0,COUNTIFS(Formulas!$A$2:$A$1501,BH$4,Formulas!$B$2:$B$1501,$A15))</f>
        <v>0</v>
      </c>
      <c r="BI15" s="21" t="n">
        <f aca="false">IF(OR($A15="",BI$4=""),0,COUNTIFS(Formulas!$A$2:$A$1501,BI$4,Formulas!$B$2:$B$1501,$A15))</f>
        <v>0</v>
      </c>
      <c r="BJ15" s="21" t="n">
        <f aca="false">IF(OR($A15="",BJ$4=""),0,COUNTIFS(Formulas!$A$2:$A$1501,BJ$4,Formulas!$B$2:$B$1501,$A15))</f>
        <v>0</v>
      </c>
    </row>
    <row r="16" customFormat="false" ht="15" hidden="false" customHeight="false" outlineLevel="0" collapsed="false">
      <c r="A16" s="13" t="str">
        <f aca="false">IF(INDEX(Materials!$A$2:$A$201,12)="","",INDEX(Materials!$A$2:$A$201,12))</f>
        <v>Polyethylene Glycol 4000</v>
      </c>
      <c r="B16" s="19" t="n">
        <f aca="false">IF(A16="","",COUNTIF(C16:BJ16,"&gt;0"))</f>
        <v>8</v>
      </c>
      <c r="C16" s="21" t="n">
        <f aca="false">IF(OR($A16="",C$4=""),0,COUNTIFS(Formulas!$A$2:$A$1501,C$4,Formulas!$B$2:$B$1501,$A16))</f>
        <v>1</v>
      </c>
      <c r="D16" s="21" t="n">
        <f aca="false">IF(OR($A16="",D$4=""),0,COUNTIFS(Formulas!$A$2:$A$1501,D$4,Formulas!$B$2:$B$1501,$A16))</f>
        <v>1</v>
      </c>
      <c r="E16" s="21" t="n">
        <f aca="false">IF(OR($A16="",E$4=""),0,COUNTIFS(Formulas!$A$2:$A$1501,E$4,Formulas!$B$2:$B$1501,$A16))</f>
        <v>1</v>
      </c>
      <c r="F16" s="21" t="n">
        <f aca="false">IF(OR($A16="",F$4=""),0,COUNTIFS(Formulas!$A$2:$A$1501,F$4,Formulas!$B$2:$B$1501,$A16))</f>
        <v>1</v>
      </c>
      <c r="G16" s="21" t="n">
        <f aca="false">IF(OR($A16="",G$4=""),0,COUNTIFS(Formulas!$A$2:$A$1501,G$4,Formulas!$B$2:$B$1501,$A16))</f>
        <v>1</v>
      </c>
      <c r="H16" s="21" t="n">
        <f aca="false">IF(OR($A16="",H$4=""),0,COUNTIFS(Formulas!$A$2:$A$1501,H$4,Formulas!$B$2:$B$1501,$A16))</f>
        <v>1</v>
      </c>
      <c r="I16" s="21" t="n">
        <f aca="false">IF(OR($A16="",I$4=""),0,COUNTIFS(Formulas!$A$2:$A$1501,I$4,Formulas!$B$2:$B$1501,$A16))</f>
        <v>1</v>
      </c>
      <c r="J16" s="21" t="n">
        <f aca="false">IF(OR($A16="",J$4=""),0,COUNTIFS(Formulas!$A$2:$A$1501,J$4,Formulas!$B$2:$B$1501,$A16))</f>
        <v>1</v>
      </c>
      <c r="K16" s="21" t="n">
        <f aca="false">IF(OR($A16="",K$4=""),0,COUNTIFS(Formulas!$A$2:$A$1501,K$4,Formulas!$B$2:$B$1501,$A16))</f>
        <v>0</v>
      </c>
      <c r="L16" s="21" t="n">
        <f aca="false">IF(OR($A16="",L$4=""),0,COUNTIFS(Formulas!$A$2:$A$1501,L$4,Formulas!$B$2:$B$1501,$A16))</f>
        <v>0</v>
      </c>
      <c r="M16" s="21" t="n">
        <f aca="false">IF(OR($A16="",M$4=""),0,COUNTIFS(Formulas!$A$2:$A$1501,M$4,Formulas!$B$2:$B$1501,$A16))</f>
        <v>0</v>
      </c>
      <c r="N16" s="21" t="n">
        <f aca="false">IF(OR($A16="",N$4=""),0,COUNTIFS(Formulas!$A$2:$A$1501,N$4,Formulas!$B$2:$B$1501,$A16))</f>
        <v>0</v>
      </c>
      <c r="O16" s="21" t="n">
        <f aca="false">IF(OR($A16="",O$4=""),0,COUNTIFS(Formulas!$A$2:$A$1501,O$4,Formulas!$B$2:$B$1501,$A16))</f>
        <v>0</v>
      </c>
      <c r="P16" s="21" t="n">
        <f aca="false">IF(OR($A16="",P$4=""),0,COUNTIFS(Formulas!$A$2:$A$1501,P$4,Formulas!$B$2:$B$1501,$A16))</f>
        <v>0</v>
      </c>
      <c r="Q16" s="21" t="n">
        <f aca="false">IF(OR($A16="",Q$4=""),0,COUNTIFS(Formulas!$A$2:$A$1501,Q$4,Formulas!$B$2:$B$1501,$A16))</f>
        <v>0</v>
      </c>
      <c r="R16" s="21" t="n">
        <f aca="false">IF(OR($A16="",R$4=""),0,COUNTIFS(Formulas!$A$2:$A$1501,R$4,Formulas!$B$2:$B$1501,$A16))</f>
        <v>0</v>
      </c>
      <c r="S16" s="21" t="n">
        <f aca="false">IF(OR($A16="",S$4=""),0,COUNTIFS(Formulas!$A$2:$A$1501,S$4,Formulas!$B$2:$B$1501,$A16))</f>
        <v>0</v>
      </c>
      <c r="T16" s="21" t="n">
        <f aca="false">IF(OR($A16="",T$4=""),0,COUNTIFS(Formulas!$A$2:$A$1501,T$4,Formulas!$B$2:$B$1501,$A16))</f>
        <v>0</v>
      </c>
      <c r="U16" s="21" t="n">
        <f aca="false">IF(OR($A16="",U$4=""),0,COUNTIFS(Formulas!$A$2:$A$1501,U$4,Formulas!$B$2:$B$1501,$A16))</f>
        <v>0</v>
      </c>
      <c r="V16" s="21" t="n">
        <f aca="false">IF(OR($A16="",V$4=""),0,COUNTIFS(Formulas!$A$2:$A$1501,V$4,Formulas!$B$2:$B$1501,$A16))</f>
        <v>0</v>
      </c>
      <c r="W16" s="21" t="n">
        <f aca="false">IF(OR($A16="",W$4=""),0,COUNTIFS(Formulas!$A$2:$A$1501,W$4,Formulas!$B$2:$B$1501,$A16))</f>
        <v>0</v>
      </c>
      <c r="X16" s="21" t="n">
        <f aca="false">IF(OR($A16="",X$4=""),0,COUNTIFS(Formulas!$A$2:$A$1501,X$4,Formulas!$B$2:$B$1501,$A16))</f>
        <v>0</v>
      </c>
      <c r="Y16" s="21" t="n">
        <f aca="false">IF(OR($A16="",Y$4=""),0,COUNTIFS(Formulas!$A$2:$A$1501,Y$4,Formulas!$B$2:$B$1501,$A16))</f>
        <v>0</v>
      </c>
      <c r="Z16" s="21" t="n">
        <f aca="false">IF(OR($A16="",Z$4=""),0,COUNTIFS(Formulas!$A$2:$A$1501,Z$4,Formulas!$B$2:$B$1501,$A16))</f>
        <v>0</v>
      </c>
      <c r="AA16" s="21" t="n">
        <f aca="false">IF(OR($A16="",AA$4=""),0,COUNTIFS(Formulas!$A$2:$A$1501,AA$4,Formulas!$B$2:$B$1501,$A16))</f>
        <v>0</v>
      </c>
      <c r="AB16" s="21" t="n">
        <f aca="false">IF(OR($A16="",AB$4=""),0,COUNTIFS(Formulas!$A$2:$A$1501,AB$4,Formulas!$B$2:$B$1501,$A16))</f>
        <v>0</v>
      </c>
      <c r="AC16" s="21" t="n">
        <f aca="false">IF(OR($A16="",AC$4=""),0,COUNTIFS(Formulas!$A$2:$A$1501,AC$4,Formulas!$B$2:$B$1501,$A16))</f>
        <v>0</v>
      </c>
      <c r="AD16" s="21" t="n">
        <f aca="false">IF(OR($A16="",AD$4=""),0,COUNTIFS(Formulas!$A$2:$A$1501,AD$4,Formulas!$B$2:$B$1501,$A16))</f>
        <v>0</v>
      </c>
      <c r="AE16" s="21" t="n">
        <f aca="false">IF(OR($A16="",AE$4=""),0,COUNTIFS(Formulas!$A$2:$A$1501,AE$4,Formulas!$B$2:$B$1501,$A16))</f>
        <v>0</v>
      </c>
      <c r="AF16" s="21" t="n">
        <f aca="false">IF(OR($A16="",AF$4=""),0,COUNTIFS(Formulas!$A$2:$A$1501,AF$4,Formulas!$B$2:$B$1501,$A16))</f>
        <v>0</v>
      </c>
      <c r="AG16" s="21" t="n">
        <f aca="false">IF(OR($A16="",AG$4=""),0,COUNTIFS(Formulas!$A$2:$A$1501,AG$4,Formulas!$B$2:$B$1501,$A16))</f>
        <v>0</v>
      </c>
      <c r="AH16" s="21" t="n">
        <f aca="false">IF(OR($A16="",AH$4=""),0,COUNTIFS(Formulas!$A$2:$A$1501,AH$4,Formulas!$B$2:$B$1501,$A16))</f>
        <v>0</v>
      </c>
      <c r="AI16" s="21" t="n">
        <f aca="false">IF(OR($A16="",AI$4=""),0,COUNTIFS(Formulas!$A$2:$A$1501,AI$4,Formulas!$B$2:$B$1501,$A16))</f>
        <v>0</v>
      </c>
      <c r="AJ16" s="21" t="n">
        <f aca="false">IF(OR($A16="",AJ$4=""),0,COUNTIFS(Formulas!$A$2:$A$1501,AJ$4,Formulas!$B$2:$B$1501,$A16))</f>
        <v>0</v>
      </c>
      <c r="AK16" s="21" t="n">
        <f aca="false">IF(OR($A16="",AK$4=""),0,COUNTIFS(Formulas!$A$2:$A$1501,AK$4,Formulas!$B$2:$B$1501,$A16))</f>
        <v>0</v>
      </c>
      <c r="AL16" s="21" t="n">
        <f aca="false">IF(OR($A16="",AL$4=""),0,COUNTIFS(Formulas!$A$2:$A$1501,AL$4,Formulas!$B$2:$B$1501,$A16))</f>
        <v>0</v>
      </c>
      <c r="AM16" s="21" t="n">
        <f aca="false">IF(OR($A16="",AM$4=""),0,COUNTIFS(Formulas!$A$2:$A$1501,AM$4,Formulas!$B$2:$B$1501,$A16))</f>
        <v>0</v>
      </c>
      <c r="AN16" s="21" t="n">
        <f aca="false">IF(OR($A16="",AN$4=""),0,COUNTIFS(Formulas!$A$2:$A$1501,AN$4,Formulas!$B$2:$B$1501,$A16))</f>
        <v>0</v>
      </c>
      <c r="AO16" s="21" t="n">
        <f aca="false">IF(OR($A16="",AO$4=""),0,COUNTIFS(Formulas!$A$2:$A$1501,AO$4,Formulas!$B$2:$B$1501,$A16))</f>
        <v>0</v>
      </c>
      <c r="AP16" s="21" t="n">
        <f aca="false">IF(OR($A16="",AP$4=""),0,COUNTIFS(Formulas!$A$2:$A$1501,AP$4,Formulas!$B$2:$B$1501,$A16))</f>
        <v>0</v>
      </c>
      <c r="AQ16" s="21" t="n">
        <f aca="false">IF(OR($A16="",AQ$4=""),0,COUNTIFS(Formulas!$A$2:$A$1501,AQ$4,Formulas!$B$2:$B$1501,$A16))</f>
        <v>0</v>
      </c>
      <c r="AR16" s="21" t="n">
        <f aca="false">IF(OR($A16="",AR$4=""),0,COUNTIFS(Formulas!$A$2:$A$1501,AR$4,Formulas!$B$2:$B$1501,$A16))</f>
        <v>0</v>
      </c>
      <c r="AS16" s="21" t="n">
        <f aca="false">IF(OR($A16="",AS$4=""),0,COUNTIFS(Formulas!$A$2:$A$1501,AS$4,Formulas!$B$2:$B$1501,$A16))</f>
        <v>0</v>
      </c>
      <c r="AT16" s="21" t="n">
        <f aca="false">IF(OR($A16="",AT$4=""),0,COUNTIFS(Formulas!$A$2:$A$1501,AT$4,Formulas!$B$2:$B$1501,$A16))</f>
        <v>0</v>
      </c>
      <c r="AU16" s="21" t="n">
        <f aca="false">IF(OR($A16="",AU$4=""),0,COUNTIFS(Formulas!$A$2:$A$1501,AU$4,Formulas!$B$2:$B$1501,$A16))</f>
        <v>0</v>
      </c>
      <c r="AV16" s="21" t="n">
        <f aca="false">IF(OR($A16="",AV$4=""),0,COUNTIFS(Formulas!$A$2:$A$1501,AV$4,Formulas!$B$2:$B$1501,$A16))</f>
        <v>0</v>
      </c>
      <c r="AW16" s="21" t="n">
        <f aca="false">IF(OR($A16="",AW$4=""),0,COUNTIFS(Formulas!$A$2:$A$1501,AW$4,Formulas!$B$2:$B$1501,$A16))</f>
        <v>0</v>
      </c>
      <c r="AX16" s="21" t="n">
        <f aca="false">IF(OR($A16="",AX$4=""),0,COUNTIFS(Formulas!$A$2:$A$1501,AX$4,Formulas!$B$2:$B$1501,$A16))</f>
        <v>0</v>
      </c>
      <c r="AY16" s="21" t="n">
        <f aca="false">IF(OR($A16="",AY$4=""),0,COUNTIFS(Formulas!$A$2:$A$1501,AY$4,Formulas!$B$2:$B$1501,$A16))</f>
        <v>0</v>
      </c>
      <c r="AZ16" s="21" t="n">
        <f aca="false">IF(OR($A16="",AZ$4=""),0,COUNTIFS(Formulas!$A$2:$A$1501,AZ$4,Formulas!$B$2:$B$1501,$A16))</f>
        <v>0</v>
      </c>
      <c r="BA16" s="21" t="n">
        <f aca="false">IF(OR($A16="",BA$4=""),0,COUNTIFS(Formulas!$A$2:$A$1501,BA$4,Formulas!$B$2:$B$1501,$A16))</f>
        <v>0</v>
      </c>
      <c r="BB16" s="21" t="n">
        <f aca="false">IF(OR($A16="",BB$4=""),0,COUNTIFS(Formulas!$A$2:$A$1501,BB$4,Formulas!$B$2:$B$1501,$A16))</f>
        <v>0</v>
      </c>
      <c r="BC16" s="21" t="n">
        <f aca="false">IF(OR($A16="",BC$4=""),0,COUNTIFS(Formulas!$A$2:$A$1501,BC$4,Formulas!$B$2:$B$1501,$A16))</f>
        <v>0</v>
      </c>
      <c r="BD16" s="21" t="n">
        <f aca="false">IF(OR($A16="",BD$4=""),0,COUNTIFS(Formulas!$A$2:$A$1501,BD$4,Formulas!$B$2:$B$1501,$A16))</f>
        <v>0</v>
      </c>
      <c r="BE16" s="21" t="n">
        <f aca="false">IF(OR($A16="",BE$4=""),0,COUNTIFS(Formulas!$A$2:$A$1501,BE$4,Formulas!$B$2:$B$1501,$A16))</f>
        <v>0</v>
      </c>
      <c r="BF16" s="21" t="n">
        <f aca="false">IF(OR($A16="",BF$4=""),0,COUNTIFS(Formulas!$A$2:$A$1501,BF$4,Formulas!$B$2:$B$1501,$A16))</f>
        <v>0</v>
      </c>
      <c r="BG16" s="21" t="n">
        <f aca="false">IF(OR($A16="",BG$4=""),0,COUNTIFS(Formulas!$A$2:$A$1501,BG$4,Formulas!$B$2:$B$1501,$A16))</f>
        <v>0</v>
      </c>
      <c r="BH16" s="21" t="n">
        <f aca="false">IF(OR($A16="",BH$4=""),0,COUNTIFS(Formulas!$A$2:$A$1501,BH$4,Formulas!$B$2:$B$1501,$A16))</f>
        <v>0</v>
      </c>
      <c r="BI16" s="21" t="n">
        <f aca="false">IF(OR($A16="",BI$4=""),0,COUNTIFS(Formulas!$A$2:$A$1501,BI$4,Formulas!$B$2:$B$1501,$A16))</f>
        <v>0</v>
      </c>
      <c r="BJ16" s="21" t="n">
        <f aca="false">IF(OR($A16="",BJ$4=""),0,COUNTIFS(Formulas!$A$2:$A$1501,BJ$4,Formulas!$B$2:$B$1501,$A16))</f>
        <v>0</v>
      </c>
    </row>
    <row r="17" customFormat="false" ht="15" hidden="false" customHeight="false" outlineLevel="0" collapsed="false">
      <c r="A17" s="13" t="str">
        <f aca="false">IF(INDEX(Materials!$A$2:$A$201,13)="","",INDEX(Materials!$A$2:$A$201,13))</f>
        <v>Titanium Dioxide</v>
      </c>
      <c r="B17" s="19" t="n">
        <f aca="false">IF(A17="","",COUNTIF(C17:BJ17,"&gt;0"))</f>
        <v>8</v>
      </c>
      <c r="C17" s="21" t="n">
        <f aca="false">IF(OR($A17="",C$4=""),0,COUNTIFS(Formulas!$A$2:$A$1501,C$4,Formulas!$B$2:$B$1501,$A17))</f>
        <v>1</v>
      </c>
      <c r="D17" s="21" t="n">
        <f aca="false">IF(OR($A17="",D$4=""),0,COUNTIFS(Formulas!$A$2:$A$1501,D$4,Formulas!$B$2:$B$1501,$A17))</f>
        <v>1</v>
      </c>
      <c r="E17" s="21" t="n">
        <f aca="false">IF(OR($A17="",E$4=""),0,COUNTIFS(Formulas!$A$2:$A$1501,E$4,Formulas!$B$2:$B$1501,$A17))</f>
        <v>1</v>
      </c>
      <c r="F17" s="21" t="n">
        <f aca="false">IF(OR($A17="",F$4=""),0,COUNTIFS(Formulas!$A$2:$A$1501,F$4,Formulas!$B$2:$B$1501,$A17))</f>
        <v>1</v>
      </c>
      <c r="G17" s="21" t="n">
        <f aca="false">IF(OR($A17="",G$4=""),0,COUNTIFS(Formulas!$A$2:$A$1501,G$4,Formulas!$B$2:$B$1501,$A17))</f>
        <v>1</v>
      </c>
      <c r="H17" s="21" t="n">
        <f aca="false">IF(OR($A17="",H$4=""),0,COUNTIFS(Formulas!$A$2:$A$1501,H$4,Formulas!$B$2:$B$1501,$A17))</f>
        <v>1</v>
      </c>
      <c r="I17" s="21" t="n">
        <f aca="false">IF(OR($A17="",I$4=""),0,COUNTIFS(Formulas!$A$2:$A$1501,I$4,Formulas!$B$2:$B$1501,$A17))</f>
        <v>1</v>
      </c>
      <c r="J17" s="21" t="n">
        <f aca="false">IF(OR($A17="",J$4=""),0,COUNTIFS(Formulas!$A$2:$A$1501,J$4,Formulas!$B$2:$B$1501,$A17))</f>
        <v>1</v>
      </c>
      <c r="K17" s="21" t="n">
        <f aca="false">IF(OR($A17="",K$4=""),0,COUNTIFS(Formulas!$A$2:$A$1501,K$4,Formulas!$B$2:$B$1501,$A17))</f>
        <v>0</v>
      </c>
      <c r="L17" s="21" t="n">
        <f aca="false">IF(OR($A17="",L$4=""),0,COUNTIFS(Formulas!$A$2:$A$1501,L$4,Formulas!$B$2:$B$1501,$A17))</f>
        <v>0</v>
      </c>
      <c r="M17" s="21" t="n">
        <f aca="false">IF(OR($A17="",M$4=""),0,COUNTIFS(Formulas!$A$2:$A$1501,M$4,Formulas!$B$2:$B$1501,$A17))</f>
        <v>0</v>
      </c>
      <c r="N17" s="21" t="n">
        <f aca="false">IF(OR($A17="",N$4=""),0,COUNTIFS(Formulas!$A$2:$A$1501,N$4,Formulas!$B$2:$B$1501,$A17))</f>
        <v>0</v>
      </c>
      <c r="O17" s="21" t="n">
        <f aca="false">IF(OR($A17="",O$4=""),0,COUNTIFS(Formulas!$A$2:$A$1501,O$4,Formulas!$B$2:$B$1501,$A17))</f>
        <v>0</v>
      </c>
      <c r="P17" s="21" t="n">
        <f aca="false">IF(OR($A17="",P$4=""),0,COUNTIFS(Formulas!$A$2:$A$1501,P$4,Formulas!$B$2:$B$1501,$A17))</f>
        <v>0</v>
      </c>
      <c r="Q17" s="21" t="n">
        <f aca="false">IF(OR($A17="",Q$4=""),0,COUNTIFS(Formulas!$A$2:$A$1501,Q$4,Formulas!$B$2:$B$1501,$A17))</f>
        <v>0</v>
      </c>
      <c r="R17" s="21" t="n">
        <f aca="false">IF(OR($A17="",R$4=""),0,COUNTIFS(Formulas!$A$2:$A$1501,R$4,Formulas!$B$2:$B$1501,$A17))</f>
        <v>0</v>
      </c>
      <c r="S17" s="21" t="n">
        <f aca="false">IF(OR($A17="",S$4=""),0,COUNTIFS(Formulas!$A$2:$A$1501,S$4,Formulas!$B$2:$B$1501,$A17))</f>
        <v>0</v>
      </c>
      <c r="T17" s="21" t="n">
        <f aca="false">IF(OR($A17="",T$4=""),0,COUNTIFS(Formulas!$A$2:$A$1501,T$4,Formulas!$B$2:$B$1501,$A17))</f>
        <v>0</v>
      </c>
      <c r="U17" s="21" t="n">
        <f aca="false">IF(OR($A17="",U$4=""),0,COUNTIFS(Formulas!$A$2:$A$1501,U$4,Formulas!$B$2:$B$1501,$A17))</f>
        <v>0</v>
      </c>
      <c r="V17" s="21" t="n">
        <f aca="false">IF(OR($A17="",V$4=""),0,COUNTIFS(Formulas!$A$2:$A$1501,V$4,Formulas!$B$2:$B$1501,$A17))</f>
        <v>0</v>
      </c>
      <c r="W17" s="21" t="n">
        <f aca="false">IF(OR($A17="",W$4=""),0,COUNTIFS(Formulas!$A$2:$A$1501,W$4,Formulas!$B$2:$B$1501,$A17))</f>
        <v>0</v>
      </c>
      <c r="X17" s="21" t="n">
        <f aca="false">IF(OR($A17="",X$4=""),0,COUNTIFS(Formulas!$A$2:$A$1501,X$4,Formulas!$B$2:$B$1501,$A17))</f>
        <v>0</v>
      </c>
      <c r="Y17" s="21" t="n">
        <f aca="false">IF(OR($A17="",Y$4=""),0,COUNTIFS(Formulas!$A$2:$A$1501,Y$4,Formulas!$B$2:$B$1501,$A17))</f>
        <v>0</v>
      </c>
      <c r="Z17" s="21" t="n">
        <f aca="false">IF(OR($A17="",Z$4=""),0,COUNTIFS(Formulas!$A$2:$A$1501,Z$4,Formulas!$B$2:$B$1501,$A17))</f>
        <v>0</v>
      </c>
      <c r="AA17" s="21" t="n">
        <f aca="false">IF(OR($A17="",AA$4=""),0,COUNTIFS(Formulas!$A$2:$A$1501,AA$4,Formulas!$B$2:$B$1501,$A17))</f>
        <v>0</v>
      </c>
      <c r="AB17" s="21" t="n">
        <f aca="false">IF(OR($A17="",AB$4=""),0,COUNTIFS(Formulas!$A$2:$A$1501,AB$4,Formulas!$B$2:$B$1501,$A17))</f>
        <v>0</v>
      </c>
      <c r="AC17" s="21" t="n">
        <f aca="false">IF(OR($A17="",AC$4=""),0,COUNTIFS(Formulas!$A$2:$A$1501,AC$4,Formulas!$B$2:$B$1501,$A17))</f>
        <v>0</v>
      </c>
      <c r="AD17" s="21" t="n">
        <f aca="false">IF(OR($A17="",AD$4=""),0,COUNTIFS(Formulas!$A$2:$A$1501,AD$4,Formulas!$B$2:$B$1501,$A17))</f>
        <v>0</v>
      </c>
      <c r="AE17" s="21" t="n">
        <f aca="false">IF(OR($A17="",AE$4=""),0,COUNTIFS(Formulas!$A$2:$A$1501,AE$4,Formulas!$B$2:$B$1501,$A17))</f>
        <v>0</v>
      </c>
      <c r="AF17" s="21" t="n">
        <f aca="false">IF(OR($A17="",AF$4=""),0,COUNTIFS(Formulas!$A$2:$A$1501,AF$4,Formulas!$B$2:$B$1501,$A17))</f>
        <v>0</v>
      </c>
      <c r="AG17" s="21" t="n">
        <f aca="false">IF(OR($A17="",AG$4=""),0,COUNTIFS(Formulas!$A$2:$A$1501,AG$4,Formulas!$B$2:$B$1501,$A17))</f>
        <v>0</v>
      </c>
      <c r="AH17" s="21" t="n">
        <f aca="false">IF(OR($A17="",AH$4=""),0,COUNTIFS(Formulas!$A$2:$A$1501,AH$4,Formulas!$B$2:$B$1501,$A17))</f>
        <v>0</v>
      </c>
      <c r="AI17" s="21" t="n">
        <f aca="false">IF(OR($A17="",AI$4=""),0,COUNTIFS(Formulas!$A$2:$A$1501,AI$4,Formulas!$B$2:$B$1501,$A17))</f>
        <v>0</v>
      </c>
      <c r="AJ17" s="21" t="n">
        <f aca="false">IF(OR($A17="",AJ$4=""),0,COUNTIFS(Formulas!$A$2:$A$1501,AJ$4,Formulas!$B$2:$B$1501,$A17))</f>
        <v>0</v>
      </c>
      <c r="AK17" s="21" t="n">
        <f aca="false">IF(OR($A17="",AK$4=""),0,COUNTIFS(Formulas!$A$2:$A$1501,AK$4,Formulas!$B$2:$B$1501,$A17))</f>
        <v>0</v>
      </c>
      <c r="AL17" s="21" t="n">
        <f aca="false">IF(OR($A17="",AL$4=""),0,COUNTIFS(Formulas!$A$2:$A$1501,AL$4,Formulas!$B$2:$B$1501,$A17))</f>
        <v>0</v>
      </c>
      <c r="AM17" s="21" t="n">
        <f aca="false">IF(OR($A17="",AM$4=""),0,COUNTIFS(Formulas!$A$2:$A$1501,AM$4,Formulas!$B$2:$B$1501,$A17))</f>
        <v>0</v>
      </c>
      <c r="AN17" s="21" t="n">
        <f aca="false">IF(OR($A17="",AN$4=""),0,COUNTIFS(Formulas!$A$2:$A$1501,AN$4,Formulas!$B$2:$B$1501,$A17))</f>
        <v>0</v>
      </c>
      <c r="AO17" s="21" t="n">
        <f aca="false">IF(OR($A17="",AO$4=""),0,COUNTIFS(Formulas!$A$2:$A$1501,AO$4,Formulas!$B$2:$B$1501,$A17))</f>
        <v>0</v>
      </c>
      <c r="AP17" s="21" t="n">
        <f aca="false">IF(OR($A17="",AP$4=""),0,COUNTIFS(Formulas!$A$2:$A$1501,AP$4,Formulas!$B$2:$B$1501,$A17))</f>
        <v>0</v>
      </c>
      <c r="AQ17" s="21" t="n">
        <f aca="false">IF(OR($A17="",AQ$4=""),0,COUNTIFS(Formulas!$A$2:$A$1501,AQ$4,Formulas!$B$2:$B$1501,$A17))</f>
        <v>0</v>
      </c>
      <c r="AR17" s="21" t="n">
        <f aca="false">IF(OR($A17="",AR$4=""),0,COUNTIFS(Formulas!$A$2:$A$1501,AR$4,Formulas!$B$2:$B$1501,$A17))</f>
        <v>0</v>
      </c>
      <c r="AS17" s="21" t="n">
        <f aca="false">IF(OR($A17="",AS$4=""),0,COUNTIFS(Formulas!$A$2:$A$1501,AS$4,Formulas!$B$2:$B$1501,$A17))</f>
        <v>0</v>
      </c>
      <c r="AT17" s="21" t="n">
        <f aca="false">IF(OR($A17="",AT$4=""),0,COUNTIFS(Formulas!$A$2:$A$1501,AT$4,Formulas!$B$2:$B$1501,$A17))</f>
        <v>0</v>
      </c>
      <c r="AU17" s="21" t="n">
        <f aca="false">IF(OR($A17="",AU$4=""),0,COUNTIFS(Formulas!$A$2:$A$1501,AU$4,Formulas!$B$2:$B$1501,$A17))</f>
        <v>0</v>
      </c>
      <c r="AV17" s="21" t="n">
        <f aca="false">IF(OR($A17="",AV$4=""),0,COUNTIFS(Formulas!$A$2:$A$1501,AV$4,Formulas!$B$2:$B$1501,$A17))</f>
        <v>0</v>
      </c>
      <c r="AW17" s="21" t="n">
        <f aca="false">IF(OR($A17="",AW$4=""),0,COUNTIFS(Formulas!$A$2:$A$1501,AW$4,Formulas!$B$2:$B$1501,$A17))</f>
        <v>0</v>
      </c>
      <c r="AX17" s="21" t="n">
        <f aca="false">IF(OR($A17="",AX$4=""),0,COUNTIFS(Formulas!$A$2:$A$1501,AX$4,Formulas!$B$2:$B$1501,$A17))</f>
        <v>0</v>
      </c>
      <c r="AY17" s="21" t="n">
        <f aca="false">IF(OR($A17="",AY$4=""),0,COUNTIFS(Formulas!$A$2:$A$1501,AY$4,Formulas!$B$2:$B$1501,$A17))</f>
        <v>0</v>
      </c>
      <c r="AZ17" s="21" t="n">
        <f aca="false">IF(OR($A17="",AZ$4=""),0,COUNTIFS(Formulas!$A$2:$A$1501,AZ$4,Formulas!$B$2:$B$1501,$A17))</f>
        <v>0</v>
      </c>
      <c r="BA17" s="21" t="n">
        <f aca="false">IF(OR($A17="",BA$4=""),0,COUNTIFS(Formulas!$A$2:$A$1501,BA$4,Formulas!$B$2:$B$1501,$A17))</f>
        <v>0</v>
      </c>
      <c r="BB17" s="21" t="n">
        <f aca="false">IF(OR($A17="",BB$4=""),0,COUNTIFS(Formulas!$A$2:$A$1501,BB$4,Formulas!$B$2:$B$1501,$A17))</f>
        <v>0</v>
      </c>
      <c r="BC17" s="21" t="n">
        <f aca="false">IF(OR($A17="",BC$4=""),0,COUNTIFS(Formulas!$A$2:$A$1501,BC$4,Formulas!$B$2:$B$1501,$A17))</f>
        <v>0</v>
      </c>
      <c r="BD17" s="21" t="n">
        <f aca="false">IF(OR($A17="",BD$4=""),0,COUNTIFS(Formulas!$A$2:$A$1501,BD$4,Formulas!$B$2:$B$1501,$A17))</f>
        <v>0</v>
      </c>
      <c r="BE17" s="21" t="n">
        <f aca="false">IF(OR($A17="",BE$4=""),0,COUNTIFS(Formulas!$A$2:$A$1501,BE$4,Formulas!$B$2:$B$1501,$A17))</f>
        <v>0</v>
      </c>
      <c r="BF17" s="21" t="n">
        <f aca="false">IF(OR($A17="",BF$4=""),0,COUNTIFS(Formulas!$A$2:$A$1501,BF$4,Formulas!$B$2:$B$1501,$A17))</f>
        <v>0</v>
      </c>
      <c r="BG17" s="21" t="n">
        <f aca="false">IF(OR($A17="",BG$4=""),0,COUNTIFS(Formulas!$A$2:$A$1501,BG$4,Formulas!$B$2:$B$1501,$A17))</f>
        <v>0</v>
      </c>
      <c r="BH17" s="21" t="n">
        <f aca="false">IF(OR($A17="",BH$4=""),0,COUNTIFS(Formulas!$A$2:$A$1501,BH$4,Formulas!$B$2:$B$1501,$A17))</f>
        <v>0</v>
      </c>
      <c r="BI17" s="21" t="n">
        <f aca="false">IF(OR($A17="",BI$4=""),0,COUNTIFS(Formulas!$A$2:$A$1501,BI$4,Formulas!$B$2:$B$1501,$A17))</f>
        <v>0</v>
      </c>
      <c r="BJ17" s="21" t="n">
        <f aca="false">IF(OR($A17="",BJ$4=""),0,COUNTIFS(Formulas!$A$2:$A$1501,BJ$4,Formulas!$B$2:$B$1501,$A17))</f>
        <v>0</v>
      </c>
    </row>
    <row r="18" customFormat="false" ht="15" hidden="false" customHeight="false" outlineLevel="0" collapsed="false">
      <c r="A18" s="13" t="str">
        <f aca="false">IF(INDEX(Materials!$A$2:$A$201,14)="","",INDEX(Materials!$A$2:$A$201,14))</f>
        <v>Talc</v>
      </c>
      <c r="B18" s="19" t="n">
        <f aca="false">IF(A18="","",COUNTIF(C18:BJ18,"&gt;0"))</f>
        <v>10</v>
      </c>
      <c r="C18" s="21" t="n">
        <f aca="false">IF(OR($A18="",C$4=""),0,COUNTIFS(Formulas!$A$2:$A$1501,C$4,Formulas!$B$2:$B$1501,$A18))</f>
        <v>1</v>
      </c>
      <c r="D18" s="21" t="n">
        <f aca="false">IF(OR($A18="",D$4=""),0,COUNTIFS(Formulas!$A$2:$A$1501,D$4,Formulas!$B$2:$B$1501,$A18))</f>
        <v>1</v>
      </c>
      <c r="E18" s="21" t="n">
        <f aca="false">IF(OR($A18="",E$4=""),0,COUNTIFS(Formulas!$A$2:$A$1501,E$4,Formulas!$B$2:$B$1501,$A18))</f>
        <v>1</v>
      </c>
      <c r="F18" s="21" t="n">
        <f aca="false">IF(OR($A18="",F$4=""),0,COUNTIFS(Formulas!$A$2:$A$1501,F$4,Formulas!$B$2:$B$1501,$A18))</f>
        <v>1</v>
      </c>
      <c r="G18" s="21" t="n">
        <f aca="false">IF(OR($A18="",G$4=""),0,COUNTIFS(Formulas!$A$2:$A$1501,G$4,Formulas!$B$2:$B$1501,$A18))</f>
        <v>1</v>
      </c>
      <c r="H18" s="21" t="n">
        <f aca="false">IF(OR($A18="",H$4=""),0,COUNTIFS(Formulas!$A$2:$A$1501,H$4,Formulas!$B$2:$B$1501,$A18))</f>
        <v>1</v>
      </c>
      <c r="I18" s="21" t="n">
        <f aca="false">IF(OR($A18="",I$4=""),0,COUNTIFS(Formulas!$A$2:$A$1501,I$4,Formulas!$B$2:$B$1501,$A18))</f>
        <v>1</v>
      </c>
      <c r="J18" s="21" t="n">
        <f aca="false">IF(OR($A18="",J$4=""),0,COUNTIFS(Formulas!$A$2:$A$1501,J$4,Formulas!$B$2:$B$1501,$A18))</f>
        <v>1</v>
      </c>
      <c r="K18" s="21" t="n">
        <f aca="false">IF(OR($A18="",K$4=""),0,COUNTIFS(Formulas!$A$2:$A$1501,K$4,Formulas!$B$2:$B$1501,$A18))</f>
        <v>1</v>
      </c>
      <c r="L18" s="21" t="n">
        <f aca="false">IF(OR($A18="",L$4=""),0,COUNTIFS(Formulas!$A$2:$A$1501,L$4,Formulas!$B$2:$B$1501,$A18))</f>
        <v>1</v>
      </c>
      <c r="M18" s="21" t="n">
        <f aca="false">IF(OR($A18="",M$4=""),0,COUNTIFS(Formulas!$A$2:$A$1501,M$4,Formulas!$B$2:$B$1501,$A18))</f>
        <v>0</v>
      </c>
      <c r="N18" s="21" t="n">
        <f aca="false">IF(OR($A18="",N$4=""),0,COUNTIFS(Formulas!$A$2:$A$1501,N$4,Formulas!$B$2:$B$1501,$A18))</f>
        <v>0</v>
      </c>
      <c r="O18" s="21" t="n">
        <f aca="false">IF(OR($A18="",O$4=""),0,COUNTIFS(Formulas!$A$2:$A$1501,O$4,Formulas!$B$2:$B$1501,$A18))</f>
        <v>0</v>
      </c>
      <c r="P18" s="21" t="n">
        <f aca="false">IF(OR($A18="",P$4=""),0,COUNTIFS(Formulas!$A$2:$A$1501,P$4,Formulas!$B$2:$B$1501,$A18))</f>
        <v>0</v>
      </c>
      <c r="Q18" s="21" t="n">
        <f aca="false">IF(OR($A18="",Q$4=""),0,COUNTIFS(Formulas!$A$2:$A$1501,Q$4,Formulas!$B$2:$B$1501,$A18))</f>
        <v>0</v>
      </c>
      <c r="R18" s="21" t="n">
        <f aca="false">IF(OR($A18="",R$4=""),0,COUNTIFS(Formulas!$A$2:$A$1501,R$4,Formulas!$B$2:$B$1501,$A18))</f>
        <v>0</v>
      </c>
      <c r="S18" s="21" t="n">
        <f aca="false">IF(OR($A18="",S$4=""),0,COUNTIFS(Formulas!$A$2:$A$1501,S$4,Formulas!$B$2:$B$1501,$A18))</f>
        <v>0</v>
      </c>
      <c r="T18" s="21" t="n">
        <f aca="false">IF(OR($A18="",T$4=""),0,COUNTIFS(Formulas!$A$2:$A$1501,T$4,Formulas!$B$2:$B$1501,$A18))</f>
        <v>0</v>
      </c>
      <c r="U18" s="21" t="n">
        <f aca="false">IF(OR($A18="",U$4=""),0,COUNTIFS(Formulas!$A$2:$A$1501,U$4,Formulas!$B$2:$B$1501,$A18))</f>
        <v>0</v>
      </c>
      <c r="V18" s="21" t="n">
        <f aca="false">IF(OR($A18="",V$4=""),0,COUNTIFS(Formulas!$A$2:$A$1501,V$4,Formulas!$B$2:$B$1501,$A18))</f>
        <v>0</v>
      </c>
      <c r="W18" s="21" t="n">
        <f aca="false">IF(OR($A18="",W$4=""),0,COUNTIFS(Formulas!$A$2:$A$1501,W$4,Formulas!$B$2:$B$1501,$A18))</f>
        <v>0</v>
      </c>
      <c r="X18" s="21" t="n">
        <f aca="false">IF(OR($A18="",X$4=""),0,COUNTIFS(Formulas!$A$2:$A$1501,X$4,Formulas!$B$2:$B$1501,$A18))</f>
        <v>0</v>
      </c>
      <c r="Y18" s="21" t="n">
        <f aca="false">IF(OR($A18="",Y$4=""),0,COUNTIFS(Formulas!$A$2:$A$1501,Y$4,Formulas!$B$2:$B$1501,$A18))</f>
        <v>0</v>
      </c>
      <c r="Z18" s="21" t="n">
        <f aca="false">IF(OR($A18="",Z$4=""),0,COUNTIFS(Formulas!$A$2:$A$1501,Z$4,Formulas!$B$2:$B$1501,$A18))</f>
        <v>0</v>
      </c>
      <c r="AA18" s="21" t="n">
        <f aca="false">IF(OR($A18="",AA$4=""),0,COUNTIFS(Formulas!$A$2:$A$1501,AA$4,Formulas!$B$2:$B$1501,$A18))</f>
        <v>0</v>
      </c>
      <c r="AB18" s="21" t="n">
        <f aca="false">IF(OR($A18="",AB$4=""),0,COUNTIFS(Formulas!$A$2:$A$1501,AB$4,Formulas!$B$2:$B$1501,$A18))</f>
        <v>0</v>
      </c>
      <c r="AC18" s="21" t="n">
        <f aca="false">IF(OR($A18="",AC$4=""),0,COUNTIFS(Formulas!$A$2:$A$1501,AC$4,Formulas!$B$2:$B$1501,$A18))</f>
        <v>0</v>
      </c>
      <c r="AD18" s="21" t="n">
        <f aca="false">IF(OR($A18="",AD$4=""),0,COUNTIFS(Formulas!$A$2:$A$1501,AD$4,Formulas!$B$2:$B$1501,$A18))</f>
        <v>0</v>
      </c>
      <c r="AE18" s="21" t="n">
        <f aca="false">IF(OR($A18="",AE$4=""),0,COUNTIFS(Formulas!$A$2:$A$1501,AE$4,Formulas!$B$2:$B$1501,$A18))</f>
        <v>0</v>
      </c>
      <c r="AF18" s="21" t="n">
        <f aca="false">IF(OR($A18="",AF$4=""),0,COUNTIFS(Formulas!$A$2:$A$1501,AF$4,Formulas!$B$2:$B$1501,$A18))</f>
        <v>0</v>
      </c>
      <c r="AG18" s="21" t="n">
        <f aca="false">IF(OR($A18="",AG$4=""),0,COUNTIFS(Formulas!$A$2:$A$1501,AG$4,Formulas!$B$2:$B$1501,$A18))</f>
        <v>0</v>
      </c>
      <c r="AH18" s="21" t="n">
        <f aca="false">IF(OR($A18="",AH$4=""),0,COUNTIFS(Formulas!$A$2:$A$1501,AH$4,Formulas!$B$2:$B$1501,$A18))</f>
        <v>0</v>
      </c>
      <c r="AI18" s="21" t="n">
        <f aca="false">IF(OR($A18="",AI$4=""),0,COUNTIFS(Formulas!$A$2:$A$1501,AI$4,Formulas!$B$2:$B$1501,$A18))</f>
        <v>0</v>
      </c>
      <c r="AJ18" s="21" t="n">
        <f aca="false">IF(OR($A18="",AJ$4=""),0,COUNTIFS(Formulas!$A$2:$A$1501,AJ$4,Formulas!$B$2:$B$1501,$A18))</f>
        <v>0</v>
      </c>
      <c r="AK18" s="21" t="n">
        <f aca="false">IF(OR($A18="",AK$4=""),0,COUNTIFS(Formulas!$A$2:$A$1501,AK$4,Formulas!$B$2:$B$1501,$A18))</f>
        <v>0</v>
      </c>
      <c r="AL18" s="21" t="n">
        <f aca="false">IF(OR($A18="",AL$4=""),0,COUNTIFS(Formulas!$A$2:$A$1501,AL$4,Formulas!$B$2:$B$1501,$A18))</f>
        <v>0</v>
      </c>
      <c r="AM18" s="21" t="n">
        <f aca="false">IF(OR($A18="",AM$4=""),0,COUNTIFS(Formulas!$A$2:$A$1501,AM$4,Formulas!$B$2:$B$1501,$A18))</f>
        <v>0</v>
      </c>
      <c r="AN18" s="21" t="n">
        <f aca="false">IF(OR($A18="",AN$4=""),0,COUNTIFS(Formulas!$A$2:$A$1501,AN$4,Formulas!$B$2:$B$1501,$A18))</f>
        <v>0</v>
      </c>
      <c r="AO18" s="21" t="n">
        <f aca="false">IF(OR($A18="",AO$4=""),0,COUNTIFS(Formulas!$A$2:$A$1501,AO$4,Formulas!$B$2:$B$1501,$A18))</f>
        <v>0</v>
      </c>
      <c r="AP18" s="21" t="n">
        <f aca="false">IF(OR($A18="",AP$4=""),0,COUNTIFS(Formulas!$A$2:$A$1501,AP$4,Formulas!$B$2:$B$1501,$A18))</f>
        <v>0</v>
      </c>
      <c r="AQ18" s="21" t="n">
        <f aca="false">IF(OR($A18="",AQ$4=""),0,COUNTIFS(Formulas!$A$2:$A$1501,AQ$4,Formulas!$B$2:$B$1501,$A18))</f>
        <v>0</v>
      </c>
      <c r="AR18" s="21" t="n">
        <f aca="false">IF(OR($A18="",AR$4=""),0,COUNTIFS(Formulas!$A$2:$A$1501,AR$4,Formulas!$B$2:$B$1501,$A18))</f>
        <v>0</v>
      </c>
      <c r="AS18" s="21" t="n">
        <f aca="false">IF(OR($A18="",AS$4=""),0,COUNTIFS(Formulas!$A$2:$A$1501,AS$4,Formulas!$B$2:$B$1501,$A18))</f>
        <v>0</v>
      </c>
      <c r="AT18" s="21" t="n">
        <f aca="false">IF(OR($A18="",AT$4=""),0,COUNTIFS(Formulas!$A$2:$A$1501,AT$4,Formulas!$B$2:$B$1501,$A18))</f>
        <v>0</v>
      </c>
      <c r="AU18" s="21" t="n">
        <f aca="false">IF(OR($A18="",AU$4=""),0,COUNTIFS(Formulas!$A$2:$A$1501,AU$4,Formulas!$B$2:$B$1501,$A18))</f>
        <v>0</v>
      </c>
      <c r="AV18" s="21" t="n">
        <f aca="false">IF(OR($A18="",AV$4=""),0,COUNTIFS(Formulas!$A$2:$A$1501,AV$4,Formulas!$B$2:$B$1501,$A18))</f>
        <v>0</v>
      </c>
      <c r="AW18" s="21" t="n">
        <f aca="false">IF(OR($A18="",AW$4=""),0,COUNTIFS(Formulas!$A$2:$A$1501,AW$4,Formulas!$B$2:$B$1501,$A18))</f>
        <v>0</v>
      </c>
      <c r="AX18" s="21" t="n">
        <f aca="false">IF(OR($A18="",AX$4=""),0,COUNTIFS(Formulas!$A$2:$A$1501,AX$4,Formulas!$B$2:$B$1501,$A18))</f>
        <v>0</v>
      </c>
      <c r="AY18" s="21" t="n">
        <f aca="false">IF(OR($A18="",AY$4=""),0,COUNTIFS(Formulas!$A$2:$A$1501,AY$4,Formulas!$B$2:$B$1501,$A18))</f>
        <v>0</v>
      </c>
      <c r="AZ18" s="21" t="n">
        <f aca="false">IF(OR($A18="",AZ$4=""),0,COUNTIFS(Formulas!$A$2:$A$1501,AZ$4,Formulas!$B$2:$B$1501,$A18))</f>
        <v>0</v>
      </c>
      <c r="BA18" s="21" t="n">
        <f aca="false">IF(OR($A18="",BA$4=""),0,COUNTIFS(Formulas!$A$2:$A$1501,BA$4,Formulas!$B$2:$B$1501,$A18))</f>
        <v>0</v>
      </c>
      <c r="BB18" s="21" t="n">
        <f aca="false">IF(OR($A18="",BB$4=""),0,COUNTIFS(Formulas!$A$2:$A$1501,BB$4,Formulas!$B$2:$B$1501,$A18))</f>
        <v>0</v>
      </c>
      <c r="BC18" s="21" t="n">
        <f aca="false">IF(OR($A18="",BC$4=""),0,COUNTIFS(Formulas!$A$2:$A$1501,BC$4,Formulas!$B$2:$B$1501,$A18))</f>
        <v>0</v>
      </c>
      <c r="BD18" s="21" t="n">
        <f aca="false">IF(OR($A18="",BD$4=""),0,COUNTIFS(Formulas!$A$2:$A$1501,BD$4,Formulas!$B$2:$B$1501,$A18))</f>
        <v>0</v>
      </c>
      <c r="BE18" s="21" t="n">
        <f aca="false">IF(OR($A18="",BE$4=""),0,COUNTIFS(Formulas!$A$2:$A$1501,BE$4,Formulas!$B$2:$B$1501,$A18))</f>
        <v>0</v>
      </c>
      <c r="BF18" s="21" t="n">
        <f aca="false">IF(OR($A18="",BF$4=""),0,COUNTIFS(Formulas!$A$2:$A$1501,BF$4,Formulas!$B$2:$B$1501,$A18))</f>
        <v>0</v>
      </c>
      <c r="BG18" s="21" t="n">
        <f aca="false">IF(OR($A18="",BG$4=""),0,COUNTIFS(Formulas!$A$2:$A$1501,BG$4,Formulas!$B$2:$B$1501,$A18))</f>
        <v>0</v>
      </c>
      <c r="BH18" s="21" t="n">
        <f aca="false">IF(OR($A18="",BH$4=""),0,COUNTIFS(Formulas!$A$2:$A$1501,BH$4,Formulas!$B$2:$B$1501,$A18))</f>
        <v>0</v>
      </c>
      <c r="BI18" s="21" t="n">
        <f aca="false">IF(OR($A18="",BI$4=""),0,COUNTIFS(Formulas!$A$2:$A$1501,BI$4,Formulas!$B$2:$B$1501,$A18))</f>
        <v>0</v>
      </c>
      <c r="BJ18" s="21" t="n">
        <f aca="false">IF(OR($A18="",BJ$4=""),0,COUNTIFS(Formulas!$A$2:$A$1501,BJ$4,Formulas!$B$2:$B$1501,$A18))</f>
        <v>0</v>
      </c>
    </row>
    <row r="19" customFormat="false" ht="15" hidden="false" customHeight="false" outlineLevel="0" collapsed="false">
      <c r="A19" s="13" t="str">
        <f aca="false">IF(INDEX(Materials!$A$2:$A$201,15)="","",INDEX(Materials!$A$2:$A$201,15))</f>
        <v>Ferric Oxide Yellow</v>
      </c>
      <c r="B19" s="19" t="n">
        <f aca="false">IF(A19="","",COUNTIF(C19:BJ19,"&gt;0"))</f>
        <v>4</v>
      </c>
      <c r="C19" s="21" t="n">
        <f aca="false">IF(OR($A19="",C$4=""),0,COUNTIFS(Formulas!$A$2:$A$1501,C$4,Formulas!$B$2:$B$1501,$A19))</f>
        <v>1</v>
      </c>
      <c r="D19" s="21" t="n">
        <f aca="false">IF(OR($A19="",D$4=""),0,COUNTIFS(Formulas!$A$2:$A$1501,D$4,Formulas!$B$2:$B$1501,$A19))</f>
        <v>1</v>
      </c>
      <c r="E19" s="21" t="n">
        <f aca="false">IF(OR($A19="",E$4=""),0,COUNTIFS(Formulas!$A$2:$A$1501,E$4,Formulas!$B$2:$B$1501,$A19))</f>
        <v>0</v>
      </c>
      <c r="F19" s="21" t="n">
        <f aca="false">IF(OR($A19="",F$4=""),0,COUNTIFS(Formulas!$A$2:$A$1501,F$4,Formulas!$B$2:$B$1501,$A19))</f>
        <v>0</v>
      </c>
      <c r="G19" s="21" t="n">
        <f aca="false">IF(OR($A19="",G$4=""),0,COUNTIFS(Formulas!$A$2:$A$1501,G$4,Formulas!$B$2:$B$1501,$A19))</f>
        <v>0</v>
      </c>
      <c r="H19" s="21" t="n">
        <f aca="false">IF(OR($A19="",H$4=""),0,COUNTIFS(Formulas!$A$2:$A$1501,H$4,Formulas!$B$2:$B$1501,$A19))</f>
        <v>0</v>
      </c>
      <c r="I19" s="21" t="n">
        <f aca="false">IF(OR($A19="",I$4=""),0,COUNTIFS(Formulas!$A$2:$A$1501,I$4,Formulas!$B$2:$B$1501,$A19))</f>
        <v>1</v>
      </c>
      <c r="J19" s="21" t="n">
        <f aca="false">IF(OR($A19="",J$4=""),0,COUNTIFS(Formulas!$A$2:$A$1501,J$4,Formulas!$B$2:$B$1501,$A19))</f>
        <v>1</v>
      </c>
      <c r="K19" s="21" t="n">
        <f aca="false">IF(OR($A19="",K$4=""),0,COUNTIFS(Formulas!$A$2:$A$1501,K$4,Formulas!$B$2:$B$1501,$A19))</f>
        <v>0</v>
      </c>
      <c r="L19" s="21" t="n">
        <f aca="false">IF(OR($A19="",L$4=""),0,COUNTIFS(Formulas!$A$2:$A$1501,L$4,Formulas!$B$2:$B$1501,$A19))</f>
        <v>0</v>
      </c>
      <c r="M19" s="21" t="n">
        <f aca="false">IF(OR($A19="",M$4=""),0,COUNTIFS(Formulas!$A$2:$A$1501,M$4,Formulas!$B$2:$B$1501,$A19))</f>
        <v>0</v>
      </c>
      <c r="N19" s="21" t="n">
        <f aca="false">IF(OR($A19="",N$4=""),0,COUNTIFS(Formulas!$A$2:$A$1501,N$4,Formulas!$B$2:$B$1501,$A19))</f>
        <v>0</v>
      </c>
      <c r="O19" s="21" t="n">
        <f aca="false">IF(OR($A19="",O$4=""),0,COUNTIFS(Formulas!$A$2:$A$1501,O$4,Formulas!$B$2:$B$1501,$A19))</f>
        <v>0</v>
      </c>
      <c r="P19" s="21" t="n">
        <f aca="false">IF(OR($A19="",P$4=""),0,COUNTIFS(Formulas!$A$2:$A$1501,P$4,Formulas!$B$2:$B$1501,$A19))</f>
        <v>0</v>
      </c>
      <c r="Q19" s="21" t="n">
        <f aca="false">IF(OR($A19="",Q$4=""),0,COUNTIFS(Formulas!$A$2:$A$1501,Q$4,Formulas!$B$2:$B$1501,$A19))</f>
        <v>0</v>
      </c>
      <c r="R19" s="21" t="n">
        <f aca="false">IF(OR($A19="",R$4=""),0,COUNTIFS(Formulas!$A$2:$A$1501,R$4,Formulas!$B$2:$B$1501,$A19))</f>
        <v>0</v>
      </c>
      <c r="S19" s="21" t="n">
        <f aca="false">IF(OR($A19="",S$4=""),0,COUNTIFS(Formulas!$A$2:$A$1501,S$4,Formulas!$B$2:$B$1501,$A19))</f>
        <v>0</v>
      </c>
      <c r="T19" s="21" t="n">
        <f aca="false">IF(OR($A19="",T$4=""),0,COUNTIFS(Formulas!$A$2:$A$1501,T$4,Formulas!$B$2:$B$1501,$A19))</f>
        <v>0</v>
      </c>
      <c r="U19" s="21" t="n">
        <f aca="false">IF(OR($A19="",U$4=""),0,COUNTIFS(Formulas!$A$2:$A$1501,U$4,Formulas!$B$2:$B$1501,$A19))</f>
        <v>0</v>
      </c>
      <c r="V19" s="21" t="n">
        <f aca="false">IF(OR($A19="",V$4=""),0,COUNTIFS(Formulas!$A$2:$A$1501,V$4,Formulas!$B$2:$B$1501,$A19))</f>
        <v>0</v>
      </c>
      <c r="W19" s="21" t="n">
        <f aca="false">IF(OR($A19="",W$4=""),0,COUNTIFS(Formulas!$A$2:$A$1501,W$4,Formulas!$B$2:$B$1501,$A19))</f>
        <v>0</v>
      </c>
      <c r="X19" s="21" t="n">
        <f aca="false">IF(OR($A19="",X$4=""),0,COUNTIFS(Formulas!$A$2:$A$1501,X$4,Formulas!$B$2:$B$1501,$A19))</f>
        <v>0</v>
      </c>
      <c r="Y19" s="21" t="n">
        <f aca="false">IF(OR($A19="",Y$4=""),0,COUNTIFS(Formulas!$A$2:$A$1501,Y$4,Formulas!$B$2:$B$1501,$A19))</f>
        <v>0</v>
      </c>
      <c r="Z19" s="21" t="n">
        <f aca="false">IF(OR($A19="",Z$4=""),0,COUNTIFS(Formulas!$A$2:$A$1501,Z$4,Formulas!$B$2:$B$1501,$A19))</f>
        <v>0</v>
      </c>
      <c r="AA19" s="21" t="n">
        <f aca="false">IF(OR($A19="",AA$4=""),0,COUNTIFS(Formulas!$A$2:$A$1501,AA$4,Formulas!$B$2:$B$1501,$A19))</f>
        <v>0</v>
      </c>
      <c r="AB19" s="21" t="n">
        <f aca="false">IF(OR($A19="",AB$4=""),0,COUNTIFS(Formulas!$A$2:$A$1501,AB$4,Formulas!$B$2:$B$1501,$A19))</f>
        <v>0</v>
      </c>
      <c r="AC19" s="21" t="n">
        <f aca="false">IF(OR($A19="",AC$4=""),0,COUNTIFS(Formulas!$A$2:$A$1501,AC$4,Formulas!$B$2:$B$1501,$A19))</f>
        <v>0</v>
      </c>
      <c r="AD19" s="21" t="n">
        <f aca="false">IF(OR($A19="",AD$4=""),0,COUNTIFS(Formulas!$A$2:$A$1501,AD$4,Formulas!$B$2:$B$1501,$A19))</f>
        <v>0</v>
      </c>
      <c r="AE19" s="21" t="n">
        <f aca="false">IF(OR($A19="",AE$4=""),0,COUNTIFS(Formulas!$A$2:$A$1501,AE$4,Formulas!$B$2:$B$1501,$A19))</f>
        <v>0</v>
      </c>
      <c r="AF19" s="21" t="n">
        <f aca="false">IF(OR($A19="",AF$4=""),0,COUNTIFS(Formulas!$A$2:$A$1501,AF$4,Formulas!$B$2:$B$1501,$A19))</f>
        <v>0</v>
      </c>
      <c r="AG19" s="21" t="n">
        <f aca="false">IF(OR($A19="",AG$4=""),0,COUNTIFS(Formulas!$A$2:$A$1501,AG$4,Formulas!$B$2:$B$1501,$A19))</f>
        <v>0</v>
      </c>
      <c r="AH19" s="21" t="n">
        <f aca="false">IF(OR($A19="",AH$4=""),0,COUNTIFS(Formulas!$A$2:$A$1501,AH$4,Formulas!$B$2:$B$1501,$A19))</f>
        <v>0</v>
      </c>
      <c r="AI19" s="21" t="n">
        <f aca="false">IF(OR($A19="",AI$4=""),0,COUNTIFS(Formulas!$A$2:$A$1501,AI$4,Formulas!$B$2:$B$1501,$A19))</f>
        <v>0</v>
      </c>
      <c r="AJ19" s="21" t="n">
        <f aca="false">IF(OR($A19="",AJ$4=""),0,COUNTIFS(Formulas!$A$2:$A$1501,AJ$4,Formulas!$B$2:$B$1501,$A19))</f>
        <v>0</v>
      </c>
      <c r="AK19" s="21" t="n">
        <f aca="false">IF(OR($A19="",AK$4=""),0,COUNTIFS(Formulas!$A$2:$A$1501,AK$4,Formulas!$B$2:$B$1501,$A19))</f>
        <v>0</v>
      </c>
      <c r="AL19" s="21" t="n">
        <f aca="false">IF(OR($A19="",AL$4=""),0,COUNTIFS(Formulas!$A$2:$A$1501,AL$4,Formulas!$B$2:$B$1501,$A19))</f>
        <v>0</v>
      </c>
      <c r="AM19" s="21" t="n">
        <f aca="false">IF(OR($A19="",AM$4=""),0,COUNTIFS(Formulas!$A$2:$A$1501,AM$4,Formulas!$B$2:$B$1501,$A19))</f>
        <v>0</v>
      </c>
      <c r="AN19" s="21" t="n">
        <f aca="false">IF(OR($A19="",AN$4=""),0,COUNTIFS(Formulas!$A$2:$A$1501,AN$4,Formulas!$B$2:$B$1501,$A19))</f>
        <v>0</v>
      </c>
      <c r="AO19" s="21" t="n">
        <f aca="false">IF(OR($A19="",AO$4=""),0,COUNTIFS(Formulas!$A$2:$A$1501,AO$4,Formulas!$B$2:$B$1501,$A19))</f>
        <v>0</v>
      </c>
      <c r="AP19" s="21" t="n">
        <f aca="false">IF(OR($A19="",AP$4=""),0,COUNTIFS(Formulas!$A$2:$A$1501,AP$4,Formulas!$B$2:$B$1501,$A19))</f>
        <v>0</v>
      </c>
      <c r="AQ19" s="21" t="n">
        <f aca="false">IF(OR($A19="",AQ$4=""),0,COUNTIFS(Formulas!$A$2:$A$1501,AQ$4,Formulas!$B$2:$B$1501,$A19))</f>
        <v>0</v>
      </c>
      <c r="AR19" s="21" t="n">
        <f aca="false">IF(OR($A19="",AR$4=""),0,COUNTIFS(Formulas!$A$2:$A$1501,AR$4,Formulas!$B$2:$B$1501,$A19))</f>
        <v>0</v>
      </c>
      <c r="AS19" s="21" t="n">
        <f aca="false">IF(OR($A19="",AS$4=""),0,COUNTIFS(Formulas!$A$2:$A$1501,AS$4,Formulas!$B$2:$B$1501,$A19))</f>
        <v>0</v>
      </c>
      <c r="AT19" s="21" t="n">
        <f aca="false">IF(OR($A19="",AT$4=""),0,COUNTIFS(Formulas!$A$2:$A$1501,AT$4,Formulas!$B$2:$B$1501,$A19))</f>
        <v>0</v>
      </c>
      <c r="AU19" s="21" t="n">
        <f aca="false">IF(OR($A19="",AU$4=""),0,COUNTIFS(Formulas!$A$2:$A$1501,AU$4,Formulas!$B$2:$B$1501,$A19))</f>
        <v>0</v>
      </c>
      <c r="AV19" s="21" t="n">
        <f aca="false">IF(OR($A19="",AV$4=""),0,COUNTIFS(Formulas!$A$2:$A$1501,AV$4,Formulas!$B$2:$B$1501,$A19))</f>
        <v>0</v>
      </c>
      <c r="AW19" s="21" t="n">
        <f aca="false">IF(OR($A19="",AW$4=""),0,COUNTIFS(Formulas!$A$2:$A$1501,AW$4,Formulas!$B$2:$B$1501,$A19))</f>
        <v>0</v>
      </c>
      <c r="AX19" s="21" t="n">
        <f aca="false">IF(OR($A19="",AX$4=""),0,COUNTIFS(Formulas!$A$2:$A$1501,AX$4,Formulas!$B$2:$B$1501,$A19))</f>
        <v>0</v>
      </c>
      <c r="AY19" s="21" t="n">
        <f aca="false">IF(OR($A19="",AY$4=""),0,COUNTIFS(Formulas!$A$2:$A$1501,AY$4,Formulas!$B$2:$B$1501,$A19))</f>
        <v>0</v>
      </c>
      <c r="AZ19" s="21" t="n">
        <f aca="false">IF(OR($A19="",AZ$4=""),0,COUNTIFS(Formulas!$A$2:$A$1501,AZ$4,Formulas!$B$2:$B$1501,$A19))</f>
        <v>0</v>
      </c>
      <c r="BA19" s="21" t="n">
        <f aca="false">IF(OR($A19="",BA$4=""),0,COUNTIFS(Formulas!$A$2:$A$1501,BA$4,Formulas!$B$2:$B$1501,$A19))</f>
        <v>0</v>
      </c>
      <c r="BB19" s="21" t="n">
        <f aca="false">IF(OR($A19="",BB$4=""),0,COUNTIFS(Formulas!$A$2:$A$1501,BB$4,Formulas!$B$2:$B$1501,$A19))</f>
        <v>0</v>
      </c>
      <c r="BC19" s="21" t="n">
        <f aca="false">IF(OR($A19="",BC$4=""),0,COUNTIFS(Formulas!$A$2:$A$1501,BC$4,Formulas!$B$2:$B$1501,$A19))</f>
        <v>0</v>
      </c>
      <c r="BD19" s="21" t="n">
        <f aca="false">IF(OR($A19="",BD$4=""),0,COUNTIFS(Formulas!$A$2:$A$1501,BD$4,Formulas!$B$2:$B$1501,$A19))</f>
        <v>0</v>
      </c>
      <c r="BE19" s="21" t="n">
        <f aca="false">IF(OR($A19="",BE$4=""),0,COUNTIFS(Formulas!$A$2:$A$1501,BE$4,Formulas!$B$2:$B$1501,$A19))</f>
        <v>0</v>
      </c>
      <c r="BF19" s="21" t="n">
        <f aca="false">IF(OR($A19="",BF$4=""),0,COUNTIFS(Formulas!$A$2:$A$1501,BF$4,Formulas!$B$2:$B$1501,$A19))</f>
        <v>0</v>
      </c>
      <c r="BG19" s="21" t="n">
        <f aca="false">IF(OR($A19="",BG$4=""),0,COUNTIFS(Formulas!$A$2:$A$1501,BG$4,Formulas!$B$2:$B$1501,$A19))</f>
        <v>0</v>
      </c>
      <c r="BH19" s="21" t="n">
        <f aca="false">IF(OR($A19="",BH$4=""),0,COUNTIFS(Formulas!$A$2:$A$1501,BH$4,Formulas!$B$2:$B$1501,$A19))</f>
        <v>0</v>
      </c>
      <c r="BI19" s="21" t="n">
        <f aca="false">IF(OR($A19="",BI$4=""),0,COUNTIFS(Formulas!$A$2:$A$1501,BI$4,Formulas!$B$2:$B$1501,$A19))</f>
        <v>0</v>
      </c>
      <c r="BJ19" s="21" t="n">
        <f aca="false">IF(OR($A19="",BJ$4=""),0,COUNTIFS(Formulas!$A$2:$A$1501,BJ$4,Formulas!$B$2:$B$1501,$A19))</f>
        <v>0</v>
      </c>
    </row>
    <row r="20" customFormat="false" ht="15" hidden="false" customHeight="false" outlineLevel="0" collapsed="false">
      <c r="A20" s="13" t="str">
        <f aca="false">IF(INDEX(Materials!$A$2:$A$201,16)="","",INDEX(Materials!$A$2:$A$201,16))</f>
        <v>Purified Water</v>
      </c>
      <c r="B20" s="19" t="n">
        <f aca="false">IF(A20="","",COUNTIF(C20:BJ20,"&gt;0"))</f>
        <v>8</v>
      </c>
      <c r="C20" s="21" t="n">
        <f aca="false">IF(OR($A20="",C$4=""),0,COUNTIFS(Formulas!$A$2:$A$1501,C$4,Formulas!$B$2:$B$1501,$A20))</f>
        <v>1</v>
      </c>
      <c r="D20" s="21" t="n">
        <f aca="false">IF(OR($A20="",D$4=""),0,COUNTIFS(Formulas!$A$2:$A$1501,D$4,Formulas!$B$2:$B$1501,$A20))</f>
        <v>1</v>
      </c>
      <c r="E20" s="21" t="n">
        <f aca="false">IF(OR($A20="",E$4=""),0,COUNTIFS(Formulas!$A$2:$A$1501,E$4,Formulas!$B$2:$B$1501,$A20))</f>
        <v>1</v>
      </c>
      <c r="F20" s="21" t="n">
        <f aca="false">IF(OR($A20="",F$4=""),0,COUNTIFS(Formulas!$A$2:$A$1501,F$4,Formulas!$B$2:$B$1501,$A20))</f>
        <v>2</v>
      </c>
      <c r="G20" s="21" t="n">
        <f aca="false">IF(OR($A20="",G$4=""),0,COUNTIFS(Formulas!$A$2:$A$1501,G$4,Formulas!$B$2:$B$1501,$A20))</f>
        <v>2</v>
      </c>
      <c r="H20" s="21" t="n">
        <f aca="false">IF(OR($A20="",H$4=""),0,COUNTIFS(Formulas!$A$2:$A$1501,H$4,Formulas!$B$2:$B$1501,$A20))</f>
        <v>2</v>
      </c>
      <c r="I20" s="21" t="n">
        <f aca="false">IF(OR($A20="",I$4=""),0,COUNTIFS(Formulas!$A$2:$A$1501,I$4,Formulas!$B$2:$B$1501,$A20))</f>
        <v>2</v>
      </c>
      <c r="J20" s="21" t="n">
        <f aca="false">IF(OR($A20="",J$4=""),0,COUNTIFS(Formulas!$A$2:$A$1501,J$4,Formulas!$B$2:$B$1501,$A20))</f>
        <v>2</v>
      </c>
      <c r="K20" s="21" t="n">
        <f aca="false">IF(OR($A20="",K$4=""),0,COUNTIFS(Formulas!$A$2:$A$1501,K$4,Formulas!$B$2:$B$1501,$A20))</f>
        <v>0</v>
      </c>
      <c r="L20" s="21" t="n">
        <f aca="false">IF(OR($A20="",L$4=""),0,COUNTIFS(Formulas!$A$2:$A$1501,L$4,Formulas!$B$2:$B$1501,$A20))</f>
        <v>0</v>
      </c>
      <c r="M20" s="21" t="n">
        <f aca="false">IF(OR($A20="",M$4=""),0,COUNTIFS(Formulas!$A$2:$A$1501,M$4,Formulas!$B$2:$B$1501,$A20))</f>
        <v>0</v>
      </c>
      <c r="N20" s="21" t="n">
        <f aca="false">IF(OR($A20="",N$4=""),0,COUNTIFS(Formulas!$A$2:$A$1501,N$4,Formulas!$B$2:$B$1501,$A20))</f>
        <v>0</v>
      </c>
      <c r="O20" s="21" t="n">
        <f aca="false">IF(OR($A20="",O$4=""),0,COUNTIFS(Formulas!$A$2:$A$1501,O$4,Formulas!$B$2:$B$1501,$A20))</f>
        <v>0</v>
      </c>
      <c r="P20" s="21" t="n">
        <f aca="false">IF(OR($A20="",P$4=""),0,COUNTIFS(Formulas!$A$2:$A$1501,P$4,Formulas!$B$2:$B$1501,$A20))</f>
        <v>0</v>
      </c>
      <c r="Q20" s="21" t="n">
        <f aca="false">IF(OR($A20="",Q$4=""),0,COUNTIFS(Formulas!$A$2:$A$1501,Q$4,Formulas!$B$2:$B$1501,$A20))</f>
        <v>0</v>
      </c>
      <c r="R20" s="21" t="n">
        <f aca="false">IF(OR($A20="",R$4=""),0,COUNTIFS(Formulas!$A$2:$A$1501,R$4,Formulas!$B$2:$B$1501,$A20))</f>
        <v>0</v>
      </c>
      <c r="S20" s="21" t="n">
        <f aca="false">IF(OR($A20="",S$4=""),0,COUNTIFS(Formulas!$A$2:$A$1501,S$4,Formulas!$B$2:$B$1501,$A20))</f>
        <v>0</v>
      </c>
      <c r="T20" s="21" t="n">
        <f aca="false">IF(OR($A20="",T$4=""),0,COUNTIFS(Formulas!$A$2:$A$1501,T$4,Formulas!$B$2:$B$1501,$A20))</f>
        <v>0</v>
      </c>
      <c r="U20" s="21" t="n">
        <f aca="false">IF(OR($A20="",U$4=""),0,COUNTIFS(Formulas!$A$2:$A$1501,U$4,Formulas!$B$2:$B$1501,$A20))</f>
        <v>0</v>
      </c>
      <c r="V20" s="21" t="n">
        <f aca="false">IF(OR($A20="",V$4=""),0,COUNTIFS(Formulas!$A$2:$A$1501,V$4,Formulas!$B$2:$B$1501,$A20))</f>
        <v>0</v>
      </c>
      <c r="W20" s="21" t="n">
        <f aca="false">IF(OR($A20="",W$4=""),0,COUNTIFS(Formulas!$A$2:$A$1501,W$4,Formulas!$B$2:$B$1501,$A20))</f>
        <v>0</v>
      </c>
      <c r="X20" s="21" t="n">
        <f aca="false">IF(OR($A20="",X$4=""),0,COUNTIFS(Formulas!$A$2:$A$1501,X$4,Formulas!$B$2:$B$1501,$A20))</f>
        <v>0</v>
      </c>
      <c r="Y20" s="21" t="n">
        <f aca="false">IF(OR($A20="",Y$4=""),0,COUNTIFS(Formulas!$A$2:$A$1501,Y$4,Formulas!$B$2:$B$1501,$A20))</f>
        <v>0</v>
      </c>
      <c r="Z20" s="21" t="n">
        <f aca="false">IF(OR($A20="",Z$4=""),0,COUNTIFS(Formulas!$A$2:$A$1501,Z$4,Formulas!$B$2:$B$1501,$A20))</f>
        <v>0</v>
      </c>
      <c r="AA20" s="21" t="n">
        <f aca="false">IF(OR($A20="",AA$4=""),0,COUNTIFS(Formulas!$A$2:$A$1501,AA$4,Formulas!$B$2:$B$1501,$A20))</f>
        <v>0</v>
      </c>
      <c r="AB20" s="21" t="n">
        <f aca="false">IF(OR($A20="",AB$4=""),0,COUNTIFS(Formulas!$A$2:$A$1501,AB$4,Formulas!$B$2:$B$1501,$A20))</f>
        <v>0</v>
      </c>
      <c r="AC20" s="21" t="n">
        <f aca="false">IF(OR($A20="",AC$4=""),0,COUNTIFS(Formulas!$A$2:$A$1501,AC$4,Formulas!$B$2:$B$1501,$A20))</f>
        <v>0</v>
      </c>
      <c r="AD20" s="21" t="n">
        <f aca="false">IF(OR($A20="",AD$4=""),0,COUNTIFS(Formulas!$A$2:$A$1501,AD$4,Formulas!$B$2:$B$1501,$A20))</f>
        <v>0</v>
      </c>
      <c r="AE20" s="21" t="n">
        <f aca="false">IF(OR($A20="",AE$4=""),0,COUNTIFS(Formulas!$A$2:$A$1501,AE$4,Formulas!$B$2:$B$1501,$A20))</f>
        <v>0</v>
      </c>
      <c r="AF20" s="21" t="n">
        <f aca="false">IF(OR($A20="",AF$4=""),0,COUNTIFS(Formulas!$A$2:$A$1501,AF$4,Formulas!$B$2:$B$1501,$A20))</f>
        <v>0</v>
      </c>
      <c r="AG20" s="21" t="n">
        <f aca="false">IF(OR($A20="",AG$4=""),0,COUNTIFS(Formulas!$A$2:$A$1501,AG$4,Formulas!$B$2:$B$1501,$A20))</f>
        <v>0</v>
      </c>
      <c r="AH20" s="21" t="n">
        <f aca="false">IF(OR($A20="",AH$4=""),0,COUNTIFS(Formulas!$A$2:$A$1501,AH$4,Formulas!$B$2:$B$1501,$A20))</f>
        <v>0</v>
      </c>
      <c r="AI20" s="21" t="n">
        <f aca="false">IF(OR($A20="",AI$4=""),0,COUNTIFS(Formulas!$A$2:$A$1501,AI$4,Formulas!$B$2:$B$1501,$A20))</f>
        <v>0</v>
      </c>
      <c r="AJ20" s="21" t="n">
        <f aca="false">IF(OR($A20="",AJ$4=""),0,COUNTIFS(Formulas!$A$2:$A$1501,AJ$4,Formulas!$B$2:$B$1501,$A20))</f>
        <v>0</v>
      </c>
      <c r="AK20" s="21" t="n">
        <f aca="false">IF(OR($A20="",AK$4=""),0,COUNTIFS(Formulas!$A$2:$A$1501,AK$4,Formulas!$B$2:$B$1501,$A20))</f>
        <v>0</v>
      </c>
      <c r="AL20" s="21" t="n">
        <f aca="false">IF(OR($A20="",AL$4=""),0,COUNTIFS(Formulas!$A$2:$A$1501,AL$4,Formulas!$B$2:$B$1501,$A20))</f>
        <v>0</v>
      </c>
      <c r="AM20" s="21" t="n">
        <f aca="false">IF(OR($A20="",AM$4=""),0,COUNTIFS(Formulas!$A$2:$A$1501,AM$4,Formulas!$B$2:$B$1501,$A20))</f>
        <v>0</v>
      </c>
      <c r="AN20" s="21" t="n">
        <f aca="false">IF(OR($A20="",AN$4=""),0,COUNTIFS(Formulas!$A$2:$A$1501,AN$4,Formulas!$B$2:$B$1501,$A20))</f>
        <v>0</v>
      </c>
      <c r="AO20" s="21" t="n">
        <f aca="false">IF(OR($A20="",AO$4=""),0,COUNTIFS(Formulas!$A$2:$A$1501,AO$4,Formulas!$B$2:$B$1501,$A20))</f>
        <v>0</v>
      </c>
      <c r="AP20" s="21" t="n">
        <f aca="false">IF(OR($A20="",AP$4=""),0,COUNTIFS(Formulas!$A$2:$A$1501,AP$4,Formulas!$B$2:$B$1501,$A20))</f>
        <v>0</v>
      </c>
      <c r="AQ20" s="21" t="n">
        <f aca="false">IF(OR($A20="",AQ$4=""),0,COUNTIFS(Formulas!$A$2:$A$1501,AQ$4,Formulas!$B$2:$B$1501,$A20))</f>
        <v>0</v>
      </c>
      <c r="AR20" s="21" t="n">
        <f aca="false">IF(OR($A20="",AR$4=""),0,COUNTIFS(Formulas!$A$2:$A$1501,AR$4,Formulas!$B$2:$B$1501,$A20))</f>
        <v>0</v>
      </c>
      <c r="AS20" s="21" t="n">
        <f aca="false">IF(OR($A20="",AS$4=""),0,COUNTIFS(Formulas!$A$2:$A$1501,AS$4,Formulas!$B$2:$B$1501,$A20))</f>
        <v>0</v>
      </c>
      <c r="AT20" s="21" t="n">
        <f aca="false">IF(OR($A20="",AT$4=""),0,COUNTIFS(Formulas!$A$2:$A$1501,AT$4,Formulas!$B$2:$B$1501,$A20))</f>
        <v>0</v>
      </c>
      <c r="AU20" s="21" t="n">
        <f aca="false">IF(OR($A20="",AU$4=""),0,COUNTIFS(Formulas!$A$2:$A$1501,AU$4,Formulas!$B$2:$B$1501,$A20))</f>
        <v>0</v>
      </c>
      <c r="AV20" s="21" t="n">
        <f aca="false">IF(OR($A20="",AV$4=""),0,COUNTIFS(Formulas!$A$2:$A$1501,AV$4,Formulas!$B$2:$B$1501,$A20))</f>
        <v>0</v>
      </c>
      <c r="AW20" s="21" t="n">
        <f aca="false">IF(OR($A20="",AW$4=""),0,COUNTIFS(Formulas!$A$2:$A$1501,AW$4,Formulas!$B$2:$B$1501,$A20))</f>
        <v>0</v>
      </c>
      <c r="AX20" s="21" t="n">
        <f aca="false">IF(OR($A20="",AX$4=""),0,COUNTIFS(Formulas!$A$2:$A$1501,AX$4,Formulas!$B$2:$B$1501,$A20))</f>
        <v>0</v>
      </c>
      <c r="AY20" s="21" t="n">
        <f aca="false">IF(OR($A20="",AY$4=""),0,COUNTIFS(Formulas!$A$2:$A$1501,AY$4,Formulas!$B$2:$B$1501,$A20))</f>
        <v>0</v>
      </c>
      <c r="AZ20" s="21" t="n">
        <f aca="false">IF(OR($A20="",AZ$4=""),0,COUNTIFS(Formulas!$A$2:$A$1501,AZ$4,Formulas!$B$2:$B$1501,$A20))</f>
        <v>0</v>
      </c>
      <c r="BA20" s="21" t="n">
        <f aca="false">IF(OR($A20="",BA$4=""),0,COUNTIFS(Formulas!$A$2:$A$1501,BA$4,Formulas!$B$2:$B$1501,$A20))</f>
        <v>0</v>
      </c>
      <c r="BB20" s="21" t="n">
        <f aca="false">IF(OR($A20="",BB$4=""),0,COUNTIFS(Formulas!$A$2:$A$1501,BB$4,Formulas!$B$2:$B$1501,$A20))</f>
        <v>0</v>
      </c>
      <c r="BC20" s="21" t="n">
        <f aca="false">IF(OR($A20="",BC$4=""),0,COUNTIFS(Formulas!$A$2:$A$1501,BC$4,Formulas!$B$2:$B$1501,$A20))</f>
        <v>0</v>
      </c>
      <c r="BD20" s="21" t="n">
        <f aca="false">IF(OR($A20="",BD$4=""),0,COUNTIFS(Formulas!$A$2:$A$1501,BD$4,Formulas!$B$2:$B$1501,$A20))</f>
        <v>0</v>
      </c>
      <c r="BE20" s="21" t="n">
        <f aca="false">IF(OR($A20="",BE$4=""),0,COUNTIFS(Formulas!$A$2:$A$1501,BE$4,Formulas!$B$2:$B$1501,$A20))</f>
        <v>0</v>
      </c>
      <c r="BF20" s="21" t="n">
        <f aca="false">IF(OR($A20="",BF$4=""),0,COUNTIFS(Formulas!$A$2:$A$1501,BF$4,Formulas!$B$2:$B$1501,$A20))</f>
        <v>0</v>
      </c>
      <c r="BG20" s="21" t="n">
        <f aca="false">IF(OR($A20="",BG$4=""),0,COUNTIFS(Formulas!$A$2:$A$1501,BG$4,Formulas!$B$2:$B$1501,$A20))</f>
        <v>0</v>
      </c>
      <c r="BH20" s="21" t="n">
        <f aca="false">IF(OR($A20="",BH$4=""),0,COUNTIFS(Formulas!$A$2:$A$1501,BH$4,Formulas!$B$2:$B$1501,$A20))</f>
        <v>0</v>
      </c>
      <c r="BI20" s="21" t="n">
        <f aca="false">IF(OR($A20="",BI$4=""),0,COUNTIFS(Formulas!$A$2:$A$1501,BI$4,Formulas!$B$2:$B$1501,$A20))</f>
        <v>0</v>
      </c>
      <c r="BJ20" s="21" t="n">
        <f aca="false">IF(OR($A20="",BJ$4=""),0,COUNTIFS(Formulas!$A$2:$A$1501,BJ$4,Formulas!$B$2:$B$1501,$A20))</f>
        <v>0</v>
      </c>
    </row>
    <row r="21" customFormat="false" ht="15" hidden="false" customHeight="false" outlineLevel="0" collapsed="false">
      <c r="A21" s="13" t="str">
        <f aca="false">IF(INDEX(Materials!$A$2:$A$201,17)="","",INDEX(Materials!$A$2:$A$201,17))</f>
        <v>Citric Acid Anhydrous</v>
      </c>
      <c r="B21" s="19" t="n">
        <f aca="false">IF(A21="","",COUNTIF(C21:BJ21,"&gt;0"))</f>
        <v>2</v>
      </c>
      <c r="C21" s="21" t="n">
        <f aca="false">IF(OR($A21="",C$4=""),0,COUNTIFS(Formulas!$A$2:$A$1501,C$4,Formulas!$B$2:$B$1501,$A21))</f>
        <v>0</v>
      </c>
      <c r="D21" s="21" t="n">
        <f aca="false">IF(OR($A21="",D$4=""),0,COUNTIFS(Formulas!$A$2:$A$1501,D$4,Formulas!$B$2:$B$1501,$A21))</f>
        <v>1</v>
      </c>
      <c r="E21" s="21" t="n">
        <f aca="false">IF(OR($A21="",E$4=""),0,COUNTIFS(Formulas!$A$2:$A$1501,E$4,Formulas!$B$2:$B$1501,$A21))</f>
        <v>1</v>
      </c>
      <c r="F21" s="21" t="n">
        <f aca="false">IF(OR($A21="",F$4=""),0,COUNTIFS(Formulas!$A$2:$A$1501,F$4,Formulas!$B$2:$B$1501,$A21))</f>
        <v>0</v>
      </c>
      <c r="G21" s="21" t="n">
        <f aca="false">IF(OR($A21="",G$4=""),0,COUNTIFS(Formulas!$A$2:$A$1501,G$4,Formulas!$B$2:$B$1501,$A21))</f>
        <v>0</v>
      </c>
      <c r="H21" s="21" t="n">
        <f aca="false">IF(OR($A21="",H$4=""),0,COUNTIFS(Formulas!$A$2:$A$1501,H$4,Formulas!$B$2:$B$1501,$A21))</f>
        <v>0</v>
      </c>
      <c r="I21" s="21" t="n">
        <f aca="false">IF(OR($A21="",I$4=""),0,COUNTIFS(Formulas!$A$2:$A$1501,I$4,Formulas!$B$2:$B$1501,$A21))</f>
        <v>0</v>
      </c>
      <c r="J21" s="21" t="n">
        <f aca="false">IF(OR($A21="",J$4=""),0,COUNTIFS(Formulas!$A$2:$A$1501,J$4,Formulas!$B$2:$B$1501,$A21))</f>
        <v>0</v>
      </c>
      <c r="K21" s="21" t="n">
        <f aca="false">IF(OR($A21="",K$4=""),0,COUNTIFS(Formulas!$A$2:$A$1501,K$4,Formulas!$B$2:$B$1501,$A21))</f>
        <v>0</v>
      </c>
      <c r="L21" s="21" t="n">
        <f aca="false">IF(OR($A21="",L$4=""),0,COUNTIFS(Formulas!$A$2:$A$1501,L$4,Formulas!$B$2:$B$1501,$A21))</f>
        <v>0</v>
      </c>
      <c r="M21" s="21" t="n">
        <f aca="false">IF(OR($A21="",M$4=""),0,COUNTIFS(Formulas!$A$2:$A$1501,M$4,Formulas!$B$2:$B$1501,$A21))</f>
        <v>0</v>
      </c>
      <c r="N21" s="21" t="n">
        <f aca="false">IF(OR($A21="",N$4=""),0,COUNTIFS(Formulas!$A$2:$A$1501,N$4,Formulas!$B$2:$B$1501,$A21))</f>
        <v>0</v>
      </c>
      <c r="O21" s="21" t="n">
        <f aca="false">IF(OR($A21="",O$4=""),0,COUNTIFS(Formulas!$A$2:$A$1501,O$4,Formulas!$B$2:$B$1501,$A21))</f>
        <v>0</v>
      </c>
      <c r="P21" s="21" t="n">
        <f aca="false">IF(OR($A21="",P$4=""),0,COUNTIFS(Formulas!$A$2:$A$1501,P$4,Formulas!$B$2:$B$1501,$A21))</f>
        <v>0</v>
      </c>
      <c r="Q21" s="21" t="n">
        <f aca="false">IF(OR($A21="",Q$4=""),0,COUNTIFS(Formulas!$A$2:$A$1501,Q$4,Formulas!$B$2:$B$1501,$A21))</f>
        <v>0</v>
      </c>
      <c r="R21" s="21" t="n">
        <f aca="false">IF(OR($A21="",R$4=""),0,COUNTIFS(Formulas!$A$2:$A$1501,R$4,Formulas!$B$2:$B$1501,$A21))</f>
        <v>0</v>
      </c>
      <c r="S21" s="21" t="n">
        <f aca="false">IF(OR($A21="",S$4=""),0,COUNTIFS(Formulas!$A$2:$A$1501,S$4,Formulas!$B$2:$B$1501,$A21))</f>
        <v>0</v>
      </c>
      <c r="T21" s="21" t="n">
        <f aca="false">IF(OR($A21="",T$4=""),0,COUNTIFS(Formulas!$A$2:$A$1501,T$4,Formulas!$B$2:$B$1501,$A21))</f>
        <v>0</v>
      </c>
      <c r="U21" s="21" t="n">
        <f aca="false">IF(OR($A21="",U$4=""),0,COUNTIFS(Formulas!$A$2:$A$1501,U$4,Formulas!$B$2:$B$1501,$A21))</f>
        <v>0</v>
      </c>
      <c r="V21" s="21" t="n">
        <f aca="false">IF(OR($A21="",V$4=""),0,COUNTIFS(Formulas!$A$2:$A$1501,V$4,Formulas!$B$2:$B$1501,$A21))</f>
        <v>0</v>
      </c>
      <c r="W21" s="21" t="n">
        <f aca="false">IF(OR($A21="",W$4=""),0,COUNTIFS(Formulas!$A$2:$A$1501,W$4,Formulas!$B$2:$B$1501,$A21))</f>
        <v>0</v>
      </c>
      <c r="X21" s="21" t="n">
        <f aca="false">IF(OR($A21="",X$4=""),0,COUNTIFS(Formulas!$A$2:$A$1501,X$4,Formulas!$B$2:$B$1501,$A21))</f>
        <v>0</v>
      </c>
      <c r="Y21" s="21" t="n">
        <f aca="false">IF(OR($A21="",Y$4=""),0,COUNTIFS(Formulas!$A$2:$A$1501,Y$4,Formulas!$B$2:$B$1501,$A21))</f>
        <v>0</v>
      </c>
      <c r="Z21" s="21" t="n">
        <f aca="false">IF(OR($A21="",Z$4=""),0,COUNTIFS(Formulas!$A$2:$A$1501,Z$4,Formulas!$B$2:$B$1501,$A21))</f>
        <v>0</v>
      </c>
      <c r="AA21" s="21" t="n">
        <f aca="false">IF(OR($A21="",AA$4=""),0,COUNTIFS(Formulas!$A$2:$A$1501,AA$4,Formulas!$B$2:$B$1501,$A21))</f>
        <v>0</v>
      </c>
      <c r="AB21" s="21" t="n">
        <f aca="false">IF(OR($A21="",AB$4=""),0,COUNTIFS(Formulas!$A$2:$A$1501,AB$4,Formulas!$B$2:$B$1501,$A21))</f>
        <v>0</v>
      </c>
      <c r="AC21" s="21" t="n">
        <f aca="false">IF(OR($A21="",AC$4=""),0,COUNTIFS(Formulas!$A$2:$A$1501,AC$4,Formulas!$B$2:$B$1501,$A21))</f>
        <v>0</v>
      </c>
      <c r="AD21" s="21" t="n">
        <f aca="false">IF(OR($A21="",AD$4=""),0,COUNTIFS(Formulas!$A$2:$A$1501,AD$4,Formulas!$B$2:$B$1501,$A21))</f>
        <v>0</v>
      </c>
      <c r="AE21" s="21" t="n">
        <f aca="false">IF(OR($A21="",AE$4=""),0,COUNTIFS(Formulas!$A$2:$A$1501,AE$4,Formulas!$B$2:$B$1501,$A21))</f>
        <v>0</v>
      </c>
      <c r="AF21" s="21" t="n">
        <f aca="false">IF(OR($A21="",AF$4=""),0,COUNTIFS(Formulas!$A$2:$A$1501,AF$4,Formulas!$B$2:$B$1501,$A21))</f>
        <v>0</v>
      </c>
      <c r="AG21" s="21" t="n">
        <f aca="false">IF(OR($A21="",AG$4=""),0,COUNTIFS(Formulas!$A$2:$A$1501,AG$4,Formulas!$B$2:$B$1501,$A21))</f>
        <v>0</v>
      </c>
      <c r="AH21" s="21" t="n">
        <f aca="false">IF(OR($A21="",AH$4=""),0,COUNTIFS(Formulas!$A$2:$A$1501,AH$4,Formulas!$B$2:$B$1501,$A21))</f>
        <v>0</v>
      </c>
      <c r="AI21" s="21" t="n">
        <f aca="false">IF(OR($A21="",AI$4=""),0,COUNTIFS(Formulas!$A$2:$A$1501,AI$4,Formulas!$B$2:$B$1501,$A21))</f>
        <v>0</v>
      </c>
      <c r="AJ21" s="21" t="n">
        <f aca="false">IF(OR($A21="",AJ$4=""),0,COUNTIFS(Formulas!$A$2:$A$1501,AJ$4,Formulas!$B$2:$B$1501,$A21))</f>
        <v>0</v>
      </c>
      <c r="AK21" s="21" t="n">
        <f aca="false">IF(OR($A21="",AK$4=""),0,COUNTIFS(Formulas!$A$2:$A$1501,AK$4,Formulas!$B$2:$B$1501,$A21))</f>
        <v>0</v>
      </c>
      <c r="AL21" s="21" t="n">
        <f aca="false">IF(OR($A21="",AL$4=""),0,COUNTIFS(Formulas!$A$2:$A$1501,AL$4,Formulas!$B$2:$B$1501,$A21))</f>
        <v>0</v>
      </c>
      <c r="AM21" s="21" t="n">
        <f aca="false">IF(OR($A21="",AM$4=""),0,COUNTIFS(Formulas!$A$2:$A$1501,AM$4,Formulas!$B$2:$B$1501,$A21))</f>
        <v>0</v>
      </c>
      <c r="AN21" s="21" t="n">
        <f aca="false">IF(OR($A21="",AN$4=""),0,COUNTIFS(Formulas!$A$2:$A$1501,AN$4,Formulas!$B$2:$B$1501,$A21))</f>
        <v>0</v>
      </c>
      <c r="AO21" s="21" t="n">
        <f aca="false">IF(OR($A21="",AO$4=""),0,COUNTIFS(Formulas!$A$2:$A$1501,AO$4,Formulas!$B$2:$B$1501,$A21))</f>
        <v>0</v>
      </c>
      <c r="AP21" s="21" t="n">
        <f aca="false">IF(OR($A21="",AP$4=""),0,COUNTIFS(Formulas!$A$2:$A$1501,AP$4,Formulas!$B$2:$B$1501,$A21))</f>
        <v>0</v>
      </c>
      <c r="AQ21" s="21" t="n">
        <f aca="false">IF(OR($A21="",AQ$4=""),0,COUNTIFS(Formulas!$A$2:$A$1501,AQ$4,Formulas!$B$2:$B$1501,$A21))</f>
        <v>0</v>
      </c>
      <c r="AR21" s="21" t="n">
        <f aca="false">IF(OR($A21="",AR$4=""),0,COUNTIFS(Formulas!$A$2:$A$1501,AR$4,Formulas!$B$2:$B$1501,$A21))</f>
        <v>0</v>
      </c>
      <c r="AS21" s="21" t="n">
        <f aca="false">IF(OR($A21="",AS$4=""),0,COUNTIFS(Formulas!$A$2:$A$1501,AS$4,Formulas!$B$2:$B$1501,$A21))</f>
        <v>0</v>
      </c>
      <c r="AT21" s="21" t="n">
        <f aca="false">IF(OR($A21="",AT$4=""),0,COUNTIFS(Formulas!$A$2:$A$1501,AT$4,Formulas!$B$2:$B$1501,$A21))</f>
        <v>0</v>
      </c>
      <c r="AU21" s="21" t="n">
        <f aca="false">IF(OR($A21="",AU$4=""),0,COUNTIFS(Formulas!$A$2:$A$1501,AU$4,Formulas!$B$2:$B$1501,$A21))</f>
        <v>0</v>
      </c>
      <c r="AV21" s="21" t="n">
        <f aca="false">IF(OR($A21="",AV$4=""),0,COUNTIFS(Formulas!$A$2:$A$1501,AV$4,Formulas!$B$2:$B$1501,$A21))</f>
        <v>0</v>
      </c>
      <c r="AW21" s="21" t="n">
        <f aca="false">IF(OR($A21="",AW$4=""),0,COUNTIFS(Formulas!$A$2:$A$1501,AW$4,Formulas!$B$2:$B$1501,$A21))</f>
        <v>0</v>
      </c>
      <c r="AX21" s="21" t="n">
        <f aca="false">IF(OR($A21="",AX$4=""),0,COUNTIFS(Formulas!$A$2:$A$1501,AX$4,Formulas!$B$2:$B$1501,$A21))</f>
        <v>0</v>
      </c>
      <c r="AY21" s="21" t="n">
        <f aca="false">IF(OR($A21="",AY$4=""),0,COUNTIFS(Formulas!$A$2:$A$1501,AY$4,Formulas!$B$2:$B$1501,$A21))</f>
        <v>0</v>
      </c>
      <c r="AZ21" s="21" t="n">
        <f aca="false">IF(OR($A21="",AZ$4=""),0,COUNTIFS(Formulas!$A$2:$A$1501,AZ$4,Formulas!$B$2:$B$1501,$A21))</f>
        <v>0</v>
      </c>
      <c r="BA21" s="21" t="n">
        <f aca="false">IF(OR($A21="",BA$4=""),0,COUNTIFS(Formulas!$A$2:$A$1501,BA$4,Formulas!$B$2:$B$1501,$A21))</f>
        <v>0</v>
      </c>
      <c r="BB21" s="21" t="n">
        <f aca="false">IF(OR($A21="",BB$4=""),0,COUNTIFS(Formulas!$A$2:$A$1501,BB$4,Formulas!$B$2:$B$1501,$A21))</f>
        <v>0</v>
      </c>
      <c r="BC21" s="21" t="n">
        <f aca="false">IF(OR($A21="",BC$4=""),0,COUNTIFS(Formulas!$A$2:$A$1501,BC$4,Formulas!$B$2:$B$1501,$A21))</f>
        <v>0</v>
      </c>
      <c r="BD21" s="21" t="n">
        <f aca="false">IF(OR($A21="",BD$4=""),0,COUNTIFS(Formulas!$A$2:$A$1501,BD$4,Formulas!$B$2:$B$1501,$A21))</f>
        <v>0</v>
      </c>
      <c r="BE21" s="21" t="n">
        <f aca="false">IF(OR($A21="",BE$4=""),0,COUNTIFS(Formulas!$A$2:$A$1501,BE$4,Formulas!$B$2:$B$1501,$A21))</f>
        <v>0</v>
      </c>
      <c r="BF21" s="21" t="n">
        <f aca="false">IF(OR($A21="",BF$4=""),0,COUNTIFS(Formulas!$A$2:$A$1501,BF$4,Formulas!$B$2:$B$1501,$A21))</f>
        <v>0</v>
      </c>
      <c r="BG21" s="21" t="n">
        <f aca="false">IF(OR($A21="",BG$4=""),0,COUNTIFS(Formulas!$A$2:$A$1501,BG$4,Formulas!$B$2:$B$1501,$A21))</f>
        <v>0</v>
      </c>
      <c r="BH21" s="21" t="n">
        <f aca="false">IF(OR($A21="",BH$4=""),0,COUNTIFS(Formulas!$A$2:$A$1501,BH$4,Formulas!$B$2:$B$1501,$A21))</f>
        <v>0</v>
      </c>
      <c r="BI21" s="21" t="n">
        <f aca="false">IF(OR($A21="",BI$4=""),0,COUNTIFS(Formulas!$A$2:$A$1501,BI$4,Formulas!$B$2:$B$1501,$A21))</f>
        <v>0</v>
      </c>
      <c r="BJ21" s="21" t="n">
        <f aca="false">IF(OR($A21="",BJ$4=""),0,COUNTIFS(Formulas!$A$2:$A$1501,BJ$4,Formulas!$B$2:$B$1501,$A21))</f>
        <v>0</v>
      </c>
    </row>
    <row r="22" customFormat="false" ht="15" hidden="false" customHeight="false" outlineLevel="0" collapsed="false">
      <c r="A22" s="13" t="str">
        <f aca="false">IF(INDEX(Materials!$A$2:$A$201,18)="","",INDEX(Materials!$A$2:$A$201,18))</f>
        <v>Resmetirom</v>
      </c>
      <c r="B22" s="19" t="n">
        <f aca="false">IF(A22="","",COUNTIF(C22:BJ22,"&gt;0"))</f>
        <v>3</v>
      </c>
      <c r="C22" s="21" t="n">
        <f aca="false">IF(OR($A22="",C$4=""),0,COUNTIFS(Formulas!$A$2:$A$1501,C$4,Formulas!$B$2:$B$1501,$A22))</f>
        <v>0</v>
      </c>
      <c r="D22" s="21" t="n">
        <f aca="false">IF(OR($A22="",D$4=""),0,COUNTIFS(Formulas!$A$2:$A$1501,D$4,Formulas!$B$2:$B$1501,$A22))</f>
        <v>0</v>
      </c>
      <c r="E22" s="21" t="n">
        <f aca="false">IF(OR($A22="",E$4=""),0,COUNTIFS(Formulas!$A$2:$A$1501,E$4,Formulas!$B$2:$B$1501,$A22))</f>
        <v>0</v>
      </c>
      <c r="F22" s="21" t="n">
        <f aca="false">IF(OR($A22="",F$4=""),0,COUNTIFS(Formulas!$A$2:$A$1501,F$4,Formulas!$B$2:$B$1501,$A22))</f>
        <v>1</v>
      </c>
      <c r="G22" s="21" t="n">
        <f aca="false">IF(OR($A22="",G$4=""),0,COUNTIFS(Formulas!$A$2:$A$1501,G$4,Formulas!$B$2:$B$1501,$A22))</f>
        <v>1</v>
      </c>
      <c r="H22" s="21" t="n">
        <f aca="false">IF(OR($A22="",H$4=""),0,COUNTIFS(Formulas!$A$2:$A$1501,H$4,Formulas!$B$2:$B$1501,$A22))</f>
        <v>1</v>
      </c>
      <c r="I22" s="21" t="n">
        <f aca="false">IF(OR($A22="",I$4=""),0,COUNTIFS(Formulas!$A$2:$A$1501,I$4,Formulas!$B$2:$B$1501,$A22))</f>
        <v>0</v>
      </c>
      <c r="J22" s="21" t="n">
        <f aca="false">IF(OR($A22="",J$4=""),0,COUNTIFS(Formulas!$A$2:$A$1501,J$4,Formulas!$B$2:$B$1501,$A22))</f>
        <v>0</v>
      </c>
      <c r="K22" s="21" t="n">
        <f aca="false">IF(OR($A22="",K$4=""),0,COUNTIFS(Formulas!$A$2:$A$1501,K$4,Formulas!$B$2:$B$1501,$A22))</f>
        <v>0</v>
      </c>
      <c r="L22" s="21" t="n">
        <f aca="false">IF(OR($A22="",L$4=""),0,COUNTIFS(Formulas!$A$2:$A$1501,L$4,Formulas!$B$2:$B$1501,$A22))</f>
        <v>0</v>
      </c>
      <c r="M22" s="21" t="n">
        <f aca="false">IF(OR($A22="",M$4=""),0,COUNTIFS(Formulas!$A$2:$A$1501,M$4,Formulas!$B$2:$B$1501,$A22))</f>
        <v>0</v>
      </c>
      <c r="N22" s="21" t="n">
        <f aca="false">IF(OR($A22="",N$4=""),0,COUNTIFS(Formulas!$A$2:$A$1501,N$4,Formulas!$B$2:$B$1501,$A22))</f>
        <v>0</v>
      </c>
      <c r="O22" s="21" t="n">
        <f aca="false">IF(OR($A22="",O$4=""),0,COUNTIFS(Formulas!$A$2:$A$1501,O$4,Formulas!$B$2:$B$1501,$A22))</f>
        <v>0</v>
      </c>
      <c r="P22" s="21" t="n">
        <f aca="false">IF(OR($A22="",P$4=""),0,COUNTIFS(Formulas!$A$2:$A$1501,P$4,Formulas!$B$2:$B$1501,$A22))</f>
        <v>0</v>
      </c>
      <c r="Q22" s="21" t="n">
        <f aca="false">IF(OR($A22="",Q$4=""),0,COUNTIFS(Formulas!$A$2:$A$1501,Q$4,Formulas!$B$2:$B$1501,$A22))</f>
        <v>0</v>
      </c>
      <c r="R22" s="21" t="n">
        <f aca="false">IF(OR($A22="",R$4=""),0,COUNTIFS(Formulas!$A$2:$A$1501,R$4,Formulas!$B$2:$B$1501,$A22))</f>
        <v>0</v>
      </c>
      <c r="S22" s="21" t="n">
        <f aca="false">IF(OR($A22="",S$4=""),0,COUNTIFS(Formulas!$A$2:$A$1501,S$4,Formulas!$B$2:$B$1501,$A22))</f>
        <v>0</v>
      </c>
      <c r="T22" s="21" t="n">
        <f aca="false">IF(OR($A22="",T$4=""),0,COUNTIFS(Formulas!$A$2:$A$1501,T$4,Formulas!$B$2:$B$1501,$A22))</f>
        <v>0</v>
      </c>
      <c r="U22" s="21" t="n">
        <f aca="false">IF(OR($A22="",U$4=""),0,COUNTIFS(Formulas!$A$2:$A$1501,U$4,Formulas!$B$2:$B$1501,$A22))</f>
        <v>0</v>
      </c>
      <c r="V22" s="21" t="n">
        <f aca="false">IF(OR($A22="",V$4=""),0,COUNTIFS(Formulas!$A$2:$A$1501,V$4,Formulas!$B$2:$B$1501,$A22))</f>
        <v>0</v>
      </c>
      <c r="W22" s="21" t="n">
        <f aca="false">IF(OR($A22="",W$4=""),0,COUNTIFS(Formulas!$A$2:$A$1501,W$4,Formulas!$B$2:$B$1501,$A22))</f>
        <v>0</v>
      </c>
      <c r="X22" s="21" t="n">
        <f aca="false">IF(OR($A22="",X$4=""),0,COUNTIFS(Formulas!$A$2:$A$1501,X$4,Formulas!$B$2:$B$1501,$A22))</f>
        <v>0</v>
      </c>
      <c r="Y22" s="21" t="n">
        <f aca="false">IF(OR($A22="",Y$4=""),0,COUNTIFS(Formulas!$A$2:$A$1501,Y$4,Formulas!$B$2:$B$1501,$A22))</f>
        <v>0</v>
      </c>
      <c r="Z22" s="21" t="n">
        <f aca="false">IF(OR($A22="",Z$4=""),0,COUNTIFS(Formulas!$A$2:$A$1501,Z$4,Formulas!$B$2:$B$1501,$A22))</f>
        <v>0</v>
      </c>
      <c r="AA22" s="21" t="n">
        <f aca="false">IF(OR($A22="",AA$4=""),0,COUNTIFS(Formulas!$A$2:$A$1501,AA$4,Formulas!$B$2:$B$1501,$A22))</f>
        <v>0</v>
      </c>
      <c r="AB22" s="21" t="n">
        <f aca="false">IF(OR($A22="",AB$4=""),0,COUNTIFS(Formulas!$A$2:$A$1501,AB$4,Formulas!$B$2:$B$1501,$A22))</f>
        <v>0</v>
      </c>
      <c r="AC22" s="21" t="n">
        <f aca="false">IF(OR($A22="",AC$4=""),0,COUNTIFS(Formulas!$A$2:$A$1501,AC$4,Formulas!$B$2:$B$1501,$A22))</f>
        <v>0</v>
      </c>
      <c r="AD22" s="21" t="n">
        <f aca="false">IF(OR($A22="",AD$4=""),0,COUNTIFS(Formulas!$A$2:$A$1501,AD$4,Formulas!$B$2:$B$1501,$A22))</f>
        <v>0</v>
      </c>
      <c r="AE22" s="21" t="n">
        <f aca="false">IF(OR($A22="",AE$4=""),0,COUNTIFS(Formulas!$A$2:$A$1501,AE$4,Formulas!$B$2:$B$1501,$A22))</f>
        <v>0</v>
      </c>
      <c r="AF22" s="21" t="n">
        <f aca="false">IF(OR($A22="",AF$4=""),0,COUNTIFS(Formulas!$A$2:$A$1501,AF$4,Formulas!$B$2:$B$1501,$A22))</f>
        <v>0</v>
      </c>
      <c r="AG22" s="21" t="n">
        <f aca="false">IF(OR($A22="",AG$4=""),0,COUNTIFS(Formulas!$A$2:$A$1501,AG$4,Formulas!$B$2:$B$1501,$A22))</f>
        <v>0</v>
      </c>
      <c r="AH22" s="21" t="n">
        <f aca="false">IF(OR($A22="",AH$4=""),0,COUNTIFS(Formulas!$A$2:$A$1501,AH$4,Formulas!$B$2:$B$1501,$A22))</f>
        <v>0</v>
      </c>
      <c r="AI22" s="21" t="n">
        <f aca="false">IF(OR($A22="",AI$4=""),0,COUNTIFS(Formulas!$A$2:$A$1501,AI$4,Formulas!$B$2:$B$1501,$A22))</f>
        <v>0</v>
      </c>
      <c r="AJ22" s="21" t="n">
        <f aca="false">IF(OR($A22="",AJ$4=""),0,COUNTIFS(Formulas!$A$2:$A$1501,AJ$4,Formulas!$B$2:$B$1501,$A22))</f>
        <v>0</v>
      </c>
      <c r="AK22" s="21" t="n">
        <f aca="false">IF(OR($A22="",AK$4=""),0,COUNTIFS(Formulas!$A$2:$A$1501,AK$4,Formulas!$B$2:$B$1501,$A22))</f>
        <v>0</v>
      </c>
      <c r="AL22" s="21" t="n">
        <f aca="false">IF(OR($A22="",AL$4=""),0,COUNTIFS(Formulas!$A$2:$A$1501,AL$4,Formulas!$B$2:$B$1501,$A22))</f>
        <v>0</v>
      </c>
      <c r="AM22" s="21" t="n">
        <f aca="false">IF(OR($A22="",AM$4=""),0,COUNTIFS(Formulas!$A$2:$A$1501,AM$4,Formulas!$B$2:$B$1501,$A22))</f>
        <v>0</v>
      </c>
      <c r="AN22" s="21" t="n">
        <f aca="false">IF(OR($A22="",AN$4=""),0,COUNTIFS(Formulas!$A$2:$A$1501,AN$4,Formulas!$B$2:$B$1501,$A22))</f>
        <v>0</v>
      </c>
      <c r="AO22" s="21" t="n">
        <f aca="false">IF(OR($A22="",AO$4=""),0,COUNTIFS(Formulas!$A$2:$A$1501,AO$4,Formulas!$B$2:$B$1501,$A22))</f>
        <v>0</v>
      </c>
      <c r="AP22" s="21" t="n">
        <f aca="false">IF(OR($A22="",AP$4=""),0,COUNTIFS(Formulas!$A$2:$A$1501,AP$4,Formulas!$B$2:$B$1501,$A22))</f>
        <v>0</v>
      </c>
      <c r="AQ22" s="21" t="n">
        <f aca="false">IF(OR($A22="",AQ$4=""),0,COUNTIFS(Formulas!$A$2:$A$1501,AQ$4,Formulas!$B$2:$B$1501,$A22))</f>
        <v>0</v>
      </c>
      <c r="AR22" s="21" t="n">
        <f aca="false">IF(OR($A22="",AR$4=""),0,COUNTIFS(Formulas!$A$2:$A$1501,AR$4,Formulas!$B$2:$B$1501,$A22))</f>
        <v>0</v>
      </c>
      <c r="AS22" s="21" t="n">
        <f aca="false">IF(OR($A22="",AS$4=""),0,COUNTIFS(Formulas!$A$2:$A$1501,AS$4,Formulas!$B$2:$B$1501,$A22))</f>
        <v>0</v>
      </c>
      <c r="AT22" s="21" t="n">
        <f aca="false">IF(OR($A22="",AT$4=""),0,COUNTIFS(Formulas!$A$2:$A$1501,AT$4,Formulas!$B$2:$B$1501,$A22))</f>
        <v>0</v>
      </c>
      <c r="AU22" s="21" t="n">
        <f aca="false">IF(OR($A22="",AU$4=""),0,COUNTIFS(Formulas!$A$2:$A$1501,AU$4,Formulas!$B$2:$B$1501,$A22))</f>
        <v>0</v>
      </c>
      <c r="AV22" s="21" t="n">
        <f aca="false">IF(OR($A22="",AV$4=""),0,COUNTIFS(Formulas!$A$2:$A$1501,AV$4,Formulas!$B$2:$B$1501,$A22))</f>
        <v>0</v>
      </c>
      <c r="AW22" s="21" t="n">
        <f aca="false">IF(OR($A22="",AW$4=""),0,COUNTIFS(Formulas!$A$2:$A$1501,AW$4,Formulas!$B$2:$B$1501,$A22))</f>
        <v>0</v>
      </c>
      <c r="AX22" s="21" t="n">
        <f aca="false">IF(OR($A22="",AX$4=""),0,COUNTIFS(Formulas!$A$2:$A$1501,AX$4,Formulas!$B$2:$B$1501,$A22))</f>
        <v>0</v>
      </c>
      <c r="AY22" s="21" t="n">
        <f aca="false">IF(OR($A22="",AY$4=""),0,COUNTIFS(Formulas!$A$2:$A$1501,AY$4,Formulas!$B$2:$B$1501,$A22))</f>
        <v>0</v>
      </c>
      <c r="AZ22" s="21" t="n">
        <f aca="false">IF(OR($A22="",AZ$4=""),0,COUNTIFS(Formulas!$A$2:$A$1501,AZ$4,Formulas!$B$2:$B$1501,$A22))</f>
        <v>0</v>
      </c>
      <c r="BA22" s="21" t="n">
        <f aca="false">IF(OR($A22="",BA$4=""),0,COUNTIFS(Formulas!$A$2:$A$1501,BA$4,Formulas!$B$2:$B$1501,$A22))</f>
        <v>0</v>
      </c>
      <c r="BB22" s="21" t="n">
        <f aca="false">IF(OR($A22="",BB$4=""),0,COUNTIFS(Formulas!$A$2:$A$1501,BB$4,Formulas!$B$2:$B$1501,$A22))</f>
        <v>0</v>
      </c>
      <c r="BC22" s="21" t="n">
        <f aca="false">IF(OR($A22="",BC$4=""),0,COUNTIFS(Formulas!$A$2:$A$1501,BC$4,Formulas!$B$2:$B$1501,$A22))</f>
        <v>0</v>
      </c>
      <c r="BD22" s="21" t="n">
        <f aca="false">IF(OR($A22="",BD$4=""),0,COUNTIFS(Formulas!$A$2:$A$1501,BD$4,Formulas!$B$2:$B$1501,$A22))</f>
        <v>0</v>
      </c>
      <c r="BE22" s="21" t="n">
        <f aca="false">IF(OR($A22="",BE$4=""),0,COUNTIFS(Formulas!$A$2:$A$1501,BE$4,Formulas!$B$2:$B$1501,$A22))</f>
        <v>0</v>
      </c>
      <c r="BF22" s="21" t="n">
        <f aca="false">IF(OR($A22="",BF$4=""),0,COUNTIFS(Formulas!$A$2:$A$1501,BF$4,Formulas!$B$2:$B$1501,$A22))</f>
        <v>0</v>
      </c>
      <c r="BG22" s="21" t="n">
        <f aca="false">IF(OR($A22="",BG$4=""),0,COUNTIFS(Formulas!$A$2:$A$1501,BG$4,Formulas!$B$2:$B$1501,$A22))</f>
        <v>0</v>
      </c>
      <c r="BH22" s="21" t="n">
        <f aca="false">IF(OR($A22="",BH$4=""),0,COUNTIFS(Formulas!$A$2:$A$1501,BH$4,Formulas!$B$2:$B$1501,$A22))</f>
        <v>0</v>
      </c>
      <c r="BI22" s="21" t="n">
        <f aca="false">IF(OR($A22="",BI$4=""),0,COUNTIFS(Formulas!$A$2:$A$1501,BI$4,Formulas!$B$2:$B$1501,$A22))</f>
        <v>0</v>
      </c>
      <c r="BJ22" s="21" t="n">
        <f aca="false">IF(OR($A22="",BJ$4=""),0,COUNTIFS(Formulas!$A$2:$A$1501,BJ$4,Formulas!$B$2:$B$1501,$A22))</f>
        <v>0</v>
      </c>
    </row>
    <row r="23" customFormat="false" ht="15" hidden="false" customHeight="false" outlineLevel="0" collapsed="false">
      <c r="A23" s="13" t="str">
        <f aca="false">IF(INDEX(Materials!$A$2:$A$201,19)="","",INDEX(Materials!$A$2:$A$201,19))</f>
        <v>Magnesium Stearate</v>
      </c>
      <c r="B23" s="19" t="n">
        <f aca="false">IF(A23="","",COUNTIF(C23:BJ23,"&gt;0"))</f>
        <v>7</v>
      </c>
      <c r="C23" s="21" t="n">
        <f aca="false">IF(OR($A23="",C$4=""),0,COUNTIFS(Formulas!$A$2:$A$1501,C$4,Formulas!$B$2:$B$1501,$A23))</f>
        <v>0</v>
      </c>
      <c r="D23" s="21" t="n">
        <f aca="false">IF(OR($A23="",D$4=""),0,COUNTIFS(Formulas!$A$2:$A$1501,D$4,Formulas!$B$2:$B$1501,$A23))</f>
        <v>0</v>
      </c>
      <c r="E23" s="21" t="n">
        <f aca="false">IF(OR($A23="",E$4=""),0,COUNTIFS(Formulas!$A$2:$A$1501,E$4,Formulas!$B$2:$B$1501,$A23))</f>
        <v>0</v>
      </c>
      <c r="F23" s="21" t="n">
        <f aca="false">IF(OR($A23="",F$4=""),0,COUNTIFS(Formulas!$A$2:$A$1501,F$4,Formulas!$B$2:$B$1501,$A23))</f>
        <v>1</v>
      </c>
      <c r="G23" s="21" t="n">
        <f aca="false">IF(OR($A23="",G$4=""),0,COUNTIFS(Formulas!$A$2:$A$1501,G$4,Formulas!$B$2:$B$1501,$A23))</f>
        <v>1</v>
      </c>
      <c r="H23" s="21" t="n">
        <f aca="false">IF(OR($A23="",H$4=""),0,COUNTIFS(Formulas!$A$2:$A$1501,H$4,Formulas!$B$2:$B$1501,$A23))</f>
        <v>1</v>
      </c>
      <c r="I23" s="21" t="n">
        <f aca="false">IF(OR($A23="",I$4=""),0,COUNTIFS(Formulas!$A$2:$A$1501,I$4,Formulas!$B$2:$B$1501,$A23))</f>
        <v>1</v>
      </c>
      <c r="J23" s="21" t="n">
        <f aca="false">IF(OR($A23="",J$4=""),0,COUNTIFS(Formulas!$A$2:$A$1501,J$4,Formulas!$B$2:$B$1501,$A23))</f>
        <v>1</v>
      </c>
      <c r="K23" s="21" t="n">
        <f aca="false">IF(OR($A23="",K$4=""),0,COUNTIFS(Formulas!$A$2:$A$1501,K$4,Formulas!$B$2:$B$1501,$A23))</f>
        <v>1</v>
      </c>
      <c r="L23" s="21" t="n">
        <f aca="false">IF(OR($A23="",L$4=""),0,COUNTIFS(Formulas!$A$2:$A$1501,L$4,Formulas!$B$2:$B$1501,$A23))</f>
        <v>1</v>
      </c>
      <c r="M23" s="21" t="n">
        <f aca="false">IF(OR($A23="",M$4=""),0,COUNTIFS(Formulas!$A$2:$A$1501,M$4,Formulas!$B$2:$B$1501,$A23))</f>
        <v>0</v>
      </c>
      <c r="N23" s="21" t="n">
        <f aca="false">IF(OR($A23="",N$4=""),0,COUNTIFS(Formulas!$A$2:$A$1501,N$4,Formulas!$B$2:$B$1501,$A23))</f>
        <v>0</v>
      </c>
      <c r="O23" s="21" t="n">
        <f aca="false">IF(OR($A23="",O$4=""),0,COUNTIFS(Formulas!$A$2:$A$1501,O$4,Formulas!$B$2:$B$1501,$A23))</f>
        <v>0</v>
      </c>
      <c r="P23" s="21" t="n">
        <f aca="false">IF(OR($A23="",P$4=""),0,COUNTIFS(Formulas!$A$2:$A$1501,P$4,Formulas!$B$2:$B$1501,$A23))</f>
        <v>0</v>
      </c>
      <c r="Q23" s="21" t="n">
        <f aca="false">IF(OR($A23="",Q$4=""),0,COUNTIFS(Formulas!$A$2:$A$1501,Q$4,Formulas!$B$2:$B$1501,$A23))</f>
        <v>0</v>
      </c>
      <c r="R23" s="21" t="n">
        <f aca="false">IF(OR($A23="",R$4=""),0,COUNTIFS(Formulas!$A$2:$A$1501,R$4,Formulas!$B$2:$B$1501,$A23))</f>
        <v>0</v>
      </c>
      <c r="S23" s="21" t="n">
        <f aca="false">IF(OR($A23="",S$4=""),0,COUNTIFS(Formulas!$A$2:$A$1501,S$4,Formulas!$B$2:$B$1501,$A23))</f>
        <v>0</v>
      </c>
      <c r="T23" s="21" t="n">
        <f aca="false">IF(OR($A23="",T$4=""),0,COUNTIFS(Formulas!$A$2:$A$1501,T$4,Formulas!$B$2:$B$1501,$A23))</f>
        <v>0</v>
      </c>
      <c r="U23" s="21" t="n">
        <f aca="false">IF(OR($A23="",U$4=""),0,COUNTIFS(Formulas!$A$2:$A$1501,U$4,Formulas!$B$2:$B$1501,$A23))</f>
        <v>0</v>
      </c>
      <c r="V23" s="21" t="n">
        <f aca="false">IF(OR($A23="",V$4=""),0,COUNTIFS(Formulas!$A$2:$A$1501,V$4,Formulas!$B$2:$B$1501,$A23))</f>
        <v>0</v>
      </c>
      <c r="W23" s="21" t="n">
        <f aca="false">IF(OR($A23="",W$4=""),0,COUNTIFS(Formulas!$A$2:$A$1501,W$4,Formulas!$B$2:$B$1501,$A23))</f>
        <v>0</v>
      </c>
      <c r="X23" s="21" t="n">
        <f aca="false">IF(OR($A23="",X$4=""),0,COUNTIFS(Formulas!$A$2:$A$1501,X$4,Formulas!$B$2:$B$1501,$A23))</f>
        <v>0</v>
      </c>
      <c r="Y23" s="21" t="n">
        <f aca="false">IF(OR($A23="",Y$4=""),0,COUNTIFS(Formulas!$A$2:$A$1501,Y$4,Formulas!$B$2:$B$1501,$A23))</f>
        <v>0</v>
      </c>
      <c r="Z23" s="21" t="n">
        <f aca="false">IF(OR($A23="",Z$4=""),0,COUNTIFS(Formulas!$A$2:$A$1501,Z$4,Formulas!$B$2:$B$1501,$A23))</f>
        <v>0</v>
      </c>
      <c r="AA23" s="21" t="n">
        <f aca="false">IF(OR($A23="",AA$4=""),0,COUNTIFS(Formulas!$A$2:$A$1501,AA$4,Formulas!$B$2:$B$1501,$A23))</f>
        <v>0</v>
      </c>
      <c r="AB23" s="21" t="n">
        <f aca="false">IF(OR($A23="",AB$4=""),0,COUNTIFS(Formulas!$A$2:$A$1501,AB$4,Formulas!$B$2:$B$1501,$A23))</f>
        <v>0</v>
      </c>
      <c r="AC23" s="21" t="n">
        <f aca="false">IF(OR($A23="",AC$4=""),0,COUNTIFS(Formulas!$A$2:$A$1501,AC$4,Formulas!$B$2:$B$1501,$A23))</f>
        <v>0</v>
      </c>
      <c r="AD23" s="21" t="n">
        <f aca="false">IF(OR($A23="",AD$4=""),0,COUNTIFS(Formulas!$A$2:$A$1501,AD$4,Formulas!$B$2:$B$1501,$A23))</f>
        <v>0</v>
      </c>
      <c r="AE23" s="21" t="n">
        <f aca="false">IF(OR($A23="",AE$4=""),0,COUNTIFS(Formulas!$A$2:$A$1501,AE$4,Formulas!$B$2:$B$1501,$A23))</f>
        <v>0</v>
      </c>
      <c r="AF23" s="21" t="n">
        <f aca="false">IF(OR($A23="",AF$4=""),0,COUNTIFS(Formulas!$A$2:$A$1501,AF$4,Formulas!$B$2:$B$1501,$A23))</f>
        <v>0</v>
      </c>
      <c r="AG23" s="21" t="n">
        <f aca="false">IF(OR($A23="",AG$4=""),0,COUNTIFS(Formulas!$A$2:$A$1501,AG$4,Formulas!$B$2:$B$1501,$A23))</f>
        <v>0</v>
      </c>
      <c r="AH23" s="21" t="n">
        <f aca="false">IF(OR($A23="",AH$4=""),0,COUNTIFS(Formulas!$A$2:$A$1501,AH$4,Formulas!$B$2:$B$1501,$A23))</f>
        <v>0</v>
      </c>
      <c r="AI23" s="21" t="n">
        <f aca="false">IF(OR($A23="",AI$4=""),0,COUNTIFS(Formulas!$A$2:$A$1501,AI$4,Formulas!$B$2:$B$1501,$A23))</f>
        <v>0</v>
      </c>
      <c r="AJ23" s="21" t="n">
        <f aca="false">IF(OR($A23="",AJ$4=""),0,COUNTIFS(Formulas!$A$2:$A$1501,AJ$4,Formulas!$B$2:$B$1501,$A23))</f>
        <v>0</v>
      </c>
      <c r="AK23" s="21" t="n">
        <f aca="false">IF(OR($A23="",AK$4=""),0,COUNTIFS(Formulas!$A$2:$A$1501,AK$4,Formulas!$B$2:$B$1501,$A23))</f>
        <v>0</v>
      </c>
      <c r="AL23" s="21" t="n">
        <f aca="false">IF(OR($A23="",AL$4=""),0,COUNTIFS(Formulas!$A$2:$A$1501,AL$4,Formulas!$B$2:$B$1501,$A23))</f>
        <v>0</v>
      </c>
      <c r="AM23" s="21" t="n">
        <f aca="false">IF(OR($A23="",AM$4=""),0,COUNTIFS(Formulas!$A$2:$A$1501,AM$4,Formulas!$B$2:$B$1501,$A23))</f>
        <v>0</v>
      </c>
      <c r="AN23" s="21" t="n">
        <f aca="false">IF(OR($A23="",AN$4=""),0,COUNTIFS(Formulas!$A$2:$A$1501,AN$4,Formulas!$B$2:$B$1501,$A23))</f>
        <v>0</v>
      </c>
      <c r="AO23" s="21" t="n">
        <f aca="false">IF(OR($A23="",AO$4=""),0,COUNTIFS(Formulas!$A$2:$A$1501,AO$4,Formulas!$B$2:$B$1501,$A23))</f>
        <v>0</v>
      </c>
      <c r="AP23" s="21" t="n">
        <f aca="false">IF(OR($A23="",AP$4=""),0,COUNTIFS(Formulas!$A$2:$A$1501,AP$4,Formulas!$B$2:$B$1501,$A23))</f>
        <v>0</v>
      </c>
      <c r="AQ23" s="21" t="n">
        <f aca="false">IF(OR($A23="",AQ$4=""),0,COUNTIFS(Formulas!$A$2:$A$1501,AQ$4,Formulas!$B$2:$B$1501,$A23))</f>
        <v>0</v>
      </c>
      <c r="AR23" s="21" t="n">
        <f aca="false">IF(OR($A23="",AR$4=""),0,COUNTIFS(Formulas!$A$2:$A$1501,AR$4,Formulas!$B$2:$B$1501,$A23))</f>
        <v>0</v>
      </c>
      <c r="AS23" s="21" t="n">
        <f aca="false">IF(OR($A23="",AS$4=""),0,COUNTIFS(Formulas!$A$2:$A$1501,AS$4,Formulas!$B$2:$B$1501,$A23))</f>
        <v>0</v>
      </c>
      <c r="AT23" s="21" t="n">
        <f aca="false">IF(OR($A23="",AT$4=""),0,COUNTIFS(Formulas!$A$2:$A$1501,AT$4,Formulas!$B$2:$B$1501,$A23))</f>
        <v>0</v>
      </c>
      <c r="AU23" s="21" t="n">
        <f aca="false">IF(OR($A23="",AU$4=""),0,COUNTIFS(Formulas!$A$2:$A$1501,AU$4,Formulas!$B$2:$B$1501,$A23))</f>
        <v>0</v>
      </c>
      <c r="AV23" s="21" t="n">
        <f aca="false">IF(OR($A23="",AV$4=""),0,COUNTIFS(Formulas!$A$2:$A$1501,AV$4,Formulas!$B$2:$B$1501,$A23))</f>
        <v>0</v>
      </c>
      <c r="AW23" s="21" t="n">
        <f aca="false">IF(OR($A23="",AW$4=""),0,COUNTIFS(Formulas!$A$2:$A$1501,AW$4,Formulas!$B$2:$B$1501,$A23))</f>
        <v>0</v>
      </c>
      <c r="AX23" s="21" t="n">
        <f aca="false">IF(OR($A23="",AX$4=""),0,COUNTIFS(Formulas!$A$2:$A$1501,AX$4,Formulas!$B$2:$B$1501,$A23))</f>
        <v>0</v>
      </c>
      <c r="AY23" s="21" t="n">
        <f aca="false">IF(OR($A23="",AY$4=""),0,COUNTIFS(Formulas!$A$2:$A$1501,AY$4,Formulas!$B$2:$B$1501,$A23))</f>
        <v>0</v>
      </c>
      <c r="AZ23" s="21" t="n">
        <f aca="false">IF(OR($A23="",AZ$4=""),0,COUNTIFS(Formulas!$A$2:$A$1501,AZ$4,Formulas!$B$2:$B$1501,$A23))</f>
        <v>0</v>
      </c>
      <c r="BA23" s="21" t="n">
        <f aca="false">IF(OR($A23="",BA$4=""),0,COUNTIFS(Formulas!$A$2:$A$1501,BA$4,Formulas!$B$2:$B$1501,$A23))</f>
        <v>0</v>
      </c>
      <c r="BB23" s="21" t="n">
        <f aca="false">IF(OR($A23="",BB$4=""),0,COUNTIFS(Formulas!$A$2:$A$1501,BB$4,Formulas!$B$2:$B$1501,$A23))</f>
        <v>0</v>
      </c>
      <c r="BC23" s="21" t="n">
        <f aca="false">IF(OR($A23="",BC$4=""),0,COUNTIFS(Formulas!$A$2:$A$1501,BC$4,Formulas!$B$2:$B$1501,$A23))</f>
        <v>0</v>
      </c>
      <c r="BD23" s="21" t="n">
        <f aca="false">IF(OR($A23="",BD$4=""),0,COUNTIFS(Formulas!$A$2:$A$1501,BD$4,Formulas!$B$2:$B$1501,$A23))</f>
        <v>0</v>
      </c>
      <c r="BE23" s="21" t="n">
        <f aca="false">IF(OR($A23="",BE$4=""),0,COUNTIFS(Formulas!$A$2:$A$1501,BE$4,Formulas!$B$2:$B$1501,$A23))</f>
        <v>0</v>
      </c>
      <c r="BF23" s="21" t="n">
        <f aca="false">IF(OR($A23="",BF$4=""),0,COUNTIFS(Formulas!$A$2:$A$1501,BF$4,Formulas!$B$2:$B$1501,$A23))</f>
        <v>0</v>
      </c>
      <c r="BG23" s="21" t="n">
        <f aca="false">IF(OR($A23="",BG$4=""),0,COUNTIFS(Formulas!$A$2:$A$1501,BG$4,Formulas!$B$2:$B$1501,$A23))</f>
        <v>0</v>
      </c>
      <c r="BH23" s="21" t="n">
        <f aca="false">IF(OR($A23="",BH$4=""),0,COUNTIFS(Formulas!$A$2:$A$1501,BH$4,Formulas!$B$2:$B$1501,$A23))</f>
        <v>0</v>
      </c>
      <c r="BI23" s="21" t="n">
        <f aca="false">IF(OR($A23="",BI$4=""),0,COUNTIFS(Formulas!$A$2:$A$1501,BI$4,Formulas!$B$2:$B$1501,$A23))</f>
        <v>0</v>
      </c>
      <c r="BJ23" s="21" t="n">
        <f aca="false">IF(OR($A23="",BJ$4=""),0,COUNTIFS(Formulas!$A$2:$A$1501,BJ$4,Formulas!$B$2:$B$1501,$A23))</f>
        <v>0</v>
      </c>
    </row>
    <row r="24" customFormat="false" ht="15" hidden="false" customHeight="false" outlineLevel="0" collapsed="false">
      <c r="A24" s="13" t="str">
        <f aca="false">IF(INDEX(Materials!$A$2:$A$201,20)="","",INDEX(Materials!$A$2:$A$201,20))</f>
        <v>Apple Green Lake</v>
      </c>
      <c r="B24" s="19" t="n">
        <f aca="false">IF(A24="","",COUNTIF(C24:BJ24,"&gt;0"))</f>
        <v>3</v>
      </c>
      <c r="C24" s="21" t="n">
        <f aca="false">IF(OR($A24="",C$4=""),0,COUNTIFS(Formulas!$A$2:$A$1501,C$4,Formulas!$B$2:$B$1501,$A24))</f>
        <v>0</v>
      </c>
      <c r="D24" s="21" t="n">
        <f aca="false">IF(OR($A24="",D$4=""),0,COUNTIFS(Formulas!$A$2:$A$1501,D$4,Formulas!$B$2:$B$1501,$A24))</f>
        <v>0</v>
      </c>
      <c r="E24" s="21" t="n">
        <f aca="false">IF(OR($A24="",E$4=""),0,COUNTIFS(Formulas!$A$2:$A$1501,E$4,Formulas!$B$2:$B$1501,$A24))</f>
        <v>0</v>
      </c>
      <c r="F24" s="21" t="n">
        <f aca="false">IF(OR($A24="",F$4=""),0,COUNTIFS(Formulas!$A$2:$A$1501,F$4,Formulas!$B$2:$B$1501,$A24))</f>
        <v>1</v>
      </c>
      <c r="G24" s="21" t="n">
        <f aca="false">IF(OR($A24="",G$4=""),0,COUNTIFS(Formulas!$A$2:$A$1501,G$4,Formulas!$B$2:$B$1501,$A24))</f>
        <v>1</v>
      </c>
      <c r="H24" s="21" t="n">
        <f aca="false">IF(OR($A24="",H$4=""),0,COUNTIFS(Formulas!$A$2:$A$1501,H$4,Formulas!$B$2:$B$1501,$A24))</f>
        <v>1</v>
      </c>
      <c r="I24" s="21" t="n">
        <f aca="false">IF(OR($A24="",I$4=""),0,COUNTIFS(Formulas!$A$2:$A$1501,I$4,Formulas!$B$2:$B$1501,$A24))</f>
        <v>0</v>
      </c>
      <c r="J24" s="21" t="n">
        <f aca="false">IF(OR($A24="",J$4=""),0,COUNTIFS(Formulas!$A$2:$A$1501,J$4,Formulas!$B$2:$B$1501,$A24))</f>
        <v>0</v>
      </c>
      <c r="K24" s="21" t="n">
        <f aca="false">IF(OR($A24="",K$4=""),0,COUNTIFS(Formulas!$A$2:$A$1501,K$4,Formulas!$B$2:$B$1501,$A24))</f>
        <v>0</v>
      </c>
      <c r="L24" s="21" t="n">
        <f aca="false">IF(OR($A24="",L$4=""),0,COUNTIFS(Formulas!$A$2:$A$1501,L$4,Formulas!$B$2:$B$1501,$A24))</f>
        <v>0</v>
      </c>
      <c r="M24" s="21" t="n">
        <f aca="false">IF(OR($A24="",M$4=""),0,COUNTIFS(Formulas!$A$2:$A$1501,M$4,Formulas!$B$2:$B$1501,$A24))</f>
        <v>0</v>
      </c>
      <c r="N24" s="21" t="n">
        <f aca="false">IF(OR($A24="",N$4=""),0,COUNTIFS(Formulas!$A$2:$A$1501,N$4,Formulas!$B$2:$B$1501,$A24))</f>
        <v>0</v>
      </c>
      <c r="O24" s="21" t="n">
        <f aca="false">IF(OR($A24="",O$4=""),0,COUNTIFS(Formulas!$A$2:$A$1501,O$4,Formulas!$B$2:$B$1501,$A24))</f>
        <v>0</v>
      </c>
      <c r="P24" s="21" t="n">
        <f aca="false">IF(OR($A24="",P$4=""),0,COUNTIFS(Formulas!$A$2:$A$1501,P$4,Formulas!$B$2:$B$1501,$A24))</f>
        <v>0</v>
      </c>
      <c r="Q24" s="21" t="n">
        <f aca="false">IF(OR($A24="",Q$4=""),0,COUNTIFS(Formulas!$A$2:$A$1501,Q$4,Formulas!$B$2:$B$1501,$A24))</f>
        <v>0</v>
      </c>
      <c r="R24" s="21" t="n">
        <f aca="false">IF(OR($A24="",R$4=""),0,COUNTIFS(Formulas!$A$2:$A$1501,R$4,Formulas!$B$2:$B$1501,$A24))</f>
        <v>0</v>
      </c>
      <c r="S24" s="21" t="n">
        <f aca="false">IF(OR($A24="",S$4=""),0,COUNTIFS(Formulas!$A$2:$A$1501,S$4,Formulas!$B$2:$B$1501,$A24))</f>
        <v>0</v>
      </c>
      <c r="T24" s="21" t="n">
        <f aca="false">IF(OR($A24="",T$4=""),0,COUNTIFS(Formulas!$A$2:$A$1501,T$4,Formulas!$B$2:$B$1501,$A24))</f>
        <v>0</v>
      </c>
      <c r="U24" s="21" t="n">
        <f aca="false">IF(OR($A24="",U$4=""),0,COUNTIFS(Formulas!$A$2:$A$1501,U$4,Formulas!$B$2:$B$1501,$A24))</f>
        <v>0</v>
      </c>
      <c r="V24" s="21" t="n">
        <f aca="false">IF(OR($A24="",V$4=""),0,COUNTIFS(Formulas!$A$2:$A$1501,V$4,Formulas!$B$2:$B$1501,$A24))</f>
        <v>0</v>
      </c>
      <c r="W24" s="21" t="n">
        <f aca="false">IF(OR($A24="",W$4=""),0,COUNTIFS(Formulas!$A$2:$A$1501,W$4,Formulas!$B$2:$B$1501,$A24))</f>
        <v>0</v>
      </c>
      <c r="X24" s="21" t="n">
        <f aca="false">IF(OR($A24="",X$4=""),0,COUNTIFS(Formulas!$A$2:$A$1501,X$4,Formulas!$B$2:$B$1501,$A24))</f>
        <v>0</v>
      </c>
      <c r="Y24" s="21" t="n">
        <f aca="false">IF(OR($A24="",Y$4=""),0,COUNTIFS(Formulas!$A$2:$A$1501,Y$4,Formulas!$B$2:$B$1501,$A24))</f>
        <v>0</v>
      </c>
      <c r="Z24" s="21" t="n">
        <f aca="false">IF(OR($A24="",Z$4=""),0,COUNTIFS(Formulas!$A$2:$A$1501,Z$4,Formulas!$B$2:$B$1501,$A24))</f>
        <v>0</v>
      </c>
      <c r="AA24" s="21" t="n">
        <f aca="false">IF(OR($A24="",AA$4=""),0,COUNTIFS(Formulas!$A$2:$A$1501,AA$4,Formulas!$B$2:$B$1501,$A24))</f>
        <v>0</v>
      </c>
      <c r="AB24" s="21" t="n">
        <f aca="false">IF(OR($A24="",AB$4=""),0,COUNTIFS(Formulas!$A$2:$A$1501,AB$4,Formulas!$B$2:$B$1501,$A24))</f>
        <v>0</v>
      </c>
      <c r="AC24" s="21" t="n">
        <f aca="false">IF(OR($A24="",AC$4=""),0,COUNTIFS(Formulas!$A$2:$A$1501,AC$4,Formulas!$B$2:$B$1501,$A24))</f>
        <v>0</v>
      </c>
      <c r="AD24" s="21" t="n">
        <f aca="false">IF(OR($A24="",AD$4=""),0,COUNTIFS(Formulas!$A$2:$A$1501,AD$4,Formulas!$B$2:$B$1501,$A24))</f>
        <v>0</v>
      </c>
      <c r="AE24" s="21" t="n">
        <f aca="false">IF(OR($A24="",AE$4=""),0,COUNTIFS(Formulas!$A$2:$A$1501,AE$4,Formulas!$B$2:$B$1501,$A24))</f>
        <v>0</v>
      </c>
      <c r="AF24" s="21" t="n">
        <f aca="false">IF(OR($A24="",AF$4=""),0,COUNTIFS(Formulas!$A$2:$A$1501,AF$4,Formulas!$B$2:$B$1501,$A24))</f>
        <v>0</v>
      </c>
      <c r="AG24" s="21" t="n">
        <f aca="false">IF(OR($A24="",AG$4=""),0,COUNTIFS(Formulas!$A$2:$A$1501,AG$4,Formulas!$B$2:$B$1501,$A24))</f>
        <v>0</v>
      </c>
      <c r="AH24" s="21" t="n">
        <f aca="false">IF(OR($A24="",AH$4=""),0,COUNTIFS(Formulas!$A$2:$A$1501,AH$4,Formulas!$B$2:$B$1501,$A24))</f>
        <v>0</v>
      </c>
      <c r="AI24" s="21" t="n">
        <f aca="false">IF(OR($A24="",AI$4=""),0,COUNTIFS(Formulas!$A$2:$A$1501,AI$4,Formulas!$B$2:$B$1501,$A24))</f>
        <v>0</v>
      </c>
      <c r="AJ24" s="21" t="n">
        <f aca="false">IF(OR($A24="",AJ$4=""),0,COUNTIFS(Formulas!$A$2:$A$1501,AJ$4,Formulas!$B$2:$B$1501,$A24))</f>
        <v>0</v>
      </c>
      <c r="AK24" s="21" t="n">
        <f aca="false">IF(OR($A24="",AK$4=""),0,COUNTIFS(Formulas!$A$2:$A$1501,AK$4,Formulas!$B$2:$B$1501,$A24))</f>
        <v>0</v>
      </c>
      <c r="AL24" s="21" t="n">
        <f aca="false">IF(OR($A24="",AL$4=""),0,COUNTIFS(Formulas!$A$2:$A$1501,AL$4,Formulas!$B$2:$B$1501,$A24))</f>
        <v>0</v>
      </c>
      <c r="AM24" s="21" t="n">
        <f aca="false">IF(OR($A24="",AM$4=""),0,COUNTIFS(Formulas!$A$2:$A$1501,AM$4,Formulas!$B$2:$B$1501,$A24))</f>
        <v>0</v>
      </c>
      <c r="AN24" s="21" t="n">
        <f aca="false">IF(OR($A24="",AN$4=""),0,COUNTIFS(Formulas!$A$2:$A$1501,AN$4,Formulas!$B$2:$B$1501,$A24))</f>
        <v>0</v>
      </c>
      <c r="AO24" s="21" t="n">
        <f aca="false">IF(OR($A24="",AO$4=""),0,COUNTIFS(Formulas!$A$2:$A$1501,AO$4,Formulas!$B$2:$B$1501,$A24))</f>
        <v>0</v>
      </c>
      <c r="AP24" s="21" t="n">
        <f aca="false">IF(OR($A24="",AP$4=""),0,COUNTIFS(Formulas!$A$2:$A$1501,AP$4,Formulas!$B$2:$B$1501,$A24))</f>
        <v>0</v>
      </c>
      <c r="AQ24" s="21" t="n">
        <f aca="false">IF(OR($A24="",AQ$4=""),0,COUNTIFS(Formulas!$A$2:$A$1501,AQ$4,Formulas!$B$2:$B$1501,$A24))</f>
        <v>0</v>
      </c>
      <c r="AR24" s="21" t="n">
        <f aca="false">IF(OR($A24="",AR$4=""),0,COUNTIFS(Formulas!$A$2:$A$1501,AR$4,Formulas!$B$2:$B$1501,$A24))</f>
        <v>0</v>
      </c>
      <c r="AS24" s="21" t="n">
        <f aca="false">IF(OR($A24="",AS$4=""),0,COUNTIFS(Formulas!$A$2:$A$1501,AS$4,Formulas!$B$2:$B$1501,$A24))</f>
        <v>0</v>
      </c>
      <c r="AT24" s="21" t="n">
        <f aca="false">IF(OR($A24="",AT$4=""),0,COUNTIFS(Formulas!$A$2:$A$1501,AT$4,Formulas!$B$2:$B$1501,$A24))</f>
        <v>0</v>
      </c>
      <c r="AU24" s="21" t="n">
        <f aca="false">IF(OR($A24="",AU$4=""),0,COUNTIFS(Formulas!$A$2:$A$1501,AU$4,Formulas!$B$2:$B$1501,$A24))</f>
        <v>0</v>
      </c>
      <c r="AV24" s="21" t="n">
        <f aca="false">IF(OR($A24="",AV$4=""),0,COUNTIFS(Formulas!$A$2:$A$1501,AV$4,Formulas!$B$2:$B$1501,$A24))</f>
        <v>0</v>
      </c>
      <c r="AW24" s="21" t="n">
        <f aca="false">IF(OR($A24="",AW$4=""),0,COUNTIFS(Formulas!$A$2:$A$1501,AW$4,Formulas!$B$2:$B$1501,$A24))</f>
        <v>0</v>
      </c>
      <c r="AX24" s="21" t="n">
        <f aca="false">IF(OR($A24="",AX$4=""),0,COUNTIFS(Formulas!$A$2:$A$1501,AX$4,Formulas!$B$2:$B$1501,$A24))</f>
        <v>0</v>
      </c>
      <c r="AY24" s="21" t="n">
        <f aca="false">IF(OR($A24="",AY$4=""),0,COUNTIFS(Formulas!$A$2:$A$1501,AY$4,Formulas!$B$2:$B$1501,$A24))</f>
        <v>0</v>
      </c>
      <c r="AZ24" s="21" t="n">
        <f aca="false">IF(OR($A24="",AZ$4=""),0,COUNTIFS(Formulas!$A$2:$A$1501,AZ$4,Formulas!$B$2:$B$1501,$A24))</f>
        <v>0</v>
      </c>
      <c r="BA24" s="21" t="n">
        <f aca="false">IF(OR($A24="",BA$4=""),0,COUNTIFS(Formulas!$A$2:$A$1501,BA$4,Formulas!$B$2:$B$1501,$A24))</f>
        <v>0</v>
      </c>
      <c r="BB24" s="21" t="n">
        <f aca="false">IF(OR($A24="",BB$4=""),0,COUNTIFS(Formulas!$A$2:$A$1501,BB$4,Formulas!$B$2:$B$1501,$A24))</f>
        <v>0</v>
      </c>
      <c r="BC24" s="21" t="n">
        <f aca="false">IF(OR($A24="",BC$4=""),0,COUNTIFS(Formulas!$A$2:$A$1501,BC$4,Formulas!$B$2:$B$1501,$A24))</f>
        <v>0</v>
      </c>
      <c r="BD24" s="21" t="n">
        <f aca="false">IF(OR($A24="",BD$4=""),0,COUNTIFS(Formulas!$A$2:$A$1501,BD$4,Formulas!$B$2:$B$1501,$A24))</f>
        <v>0</v>
      </c>
      <c r="BE24" s="21" t="n">
        <f aca="false">IF(OR($A24="",BE$4=""),0,COUNTIFS(Formulas!$A$2:$A$1501,BE$4,Formulas!$B$2:$B$1501,$A24))</f>
        <v>0</v>
      </c>
      <c r="BF24" s="21" t="n">
        <f aca="false">IF(OR($A24="",BF$4=""),0,COUNTIFS(Formulas!$A$2:$A$1501,BF$4,Formulas!$B$2:$B$1501,$A24))</f>
        <v>0</v>
      </c>
      <c r="BG24" s="21" t="n">
        <f aca="false">IF(OR($A24="",BG$4=""),0,COUNTIFS(Formulas!$A$2:$A$1501,BG$4,Formulas!$B$2:$B$1501,$A24))</f>
        <v>0</v>
      </c>
      <c r="BH24" s="21" t="n">
        <f aca="false">IF(OR($A24="",BH$4=""),0,COUNTIFS(Formulas!$A$2:$A$1501,BH$4,Formulas!$B$2:$B$1501,$A24))</f>
        <v>0</v>
      </c>
      <c r="BI24" s="21" t="n">
        <f aca="false">IF(OR($A24="",BI$4=""),0,COUNTIFS(Formulas!$A$2:$A$1501,BI$4,Formulas!$B$2:$B$1501,$A24))</f>
        <v>0</v>
      </c>
      <c r="BJ24" s="21" t="n">
        <f aca="false">IF(OR($A24="",BJ$4=""),0,COUNTIFS(Formulas!$A$2:$A$1501,BJ$4,Formulas!$B$2:$B$1501,$A24))</f>
        <v>0</v>
      </c>
    </row>
    <row r="25" customFormat="false" ht="15" hidden="false" customHeight="false" outlineLevel="0" collapsed="false">
      <c r="A25" s="13" t="str">
        <f aca="false">IF(INDEX(Materials!$A$2:$A$201,21)="","",INDEX(Materials!$A$2:$A$201,21))</f>
        <v>Black Iron Oxide</v>
      </c>
      <c r="B25" s="19" t="n">
        <f aca="false">IF(A25="","",COUNTIF(C25:BJ25,"&gt;0"))</f>
        <v>3</v>
      </c>
      <c r="C25" s="21" t="n">
        <f aca="false">IF(OR($A25="",C$4=""),0,COUNTIFS(Formulas!$A$2:$A$1501,C$4,Formulas!$B$2:$B$1501,$A25))</f>
        <v>0</v>
      </c>
      <c r="D25" s="21" t="n">
        <f aca="false">IF(OR($A25="",D$4=""),0,COUNTIFS(Formulas!$A$2:$A$1501,D$4,Formulas!$B$2:$B$1501,$A25))</f>
        <v>0</v>
      </c>
      <c r="E25" s="21" t="n">
        <f aca="false">IF(OR($A25="",E$4=""),0,COUNTIFS(Formulas!$A$2:$A$1501,E$4,Formulas!$B$2:$B$1501,$A25))</f>
        <v>0</v>
      </c>
      <c r="F25" s="21" t="n">
        <f aca="false">IF(OR($A25="",F$4=""),0,COUNTIFS(Formulas!$A$2:$A$1501,F$4,Formulas!$B$2:$B$1501,$A25))</f>
        <v>1</v>
      </c>
      <c r="G25" s="21" t="n">
        <f aca="false">IF(OR($A25="",G$4=""),0,COUNTIFS(Formulas!$A$2:$A$1501,G$4,Formulas!$B$2:$B$1501,$A25))</f>
        <v>1</v>
      </c>
      <c r="H25" s="21" t="n">
        <f aca="false">IF(OR($A25="",H$4=""),0,COUNTIFS(Formulas!$A$2:$A$1501,H$4,Formulas!$B$2:$B$1501,$A25))</f>
        <v>1</v>
      </c>
      <c r="I25" s="21" t="n">
        <f aca="false">IF(OR($A25="",I$4=""),0,COUNTIFS(Formulas!$A$2:$A$1501,I$4,Formulas!$B$2:$B$1501,$A25))</f>
        <v>0</v>
      </c>
      <c r="J25" s="21" t="n">
        <f aca="false">IF(OR($A25="",J$4=""),0,COUNTIFS(Formulas!$A$2:$A$1501,J$4,Formulas!$B$2:$B$1501,$A25))</f>
        <v>0</v>
      </c>
      <c r="K25" s="21" t="n">
        <f aca="false">IF(OR($A25="",K$4=""),0,COUNTIFS(Formulas!$A$2:$A$1501,K$4,Formulas!$B$2:$B$1501,$A25))</f>
        <v>0</v>
      </c>
      <c r="L25" s="21" t="n">
        <f aca="false">IF(OR($A25="",L$4=""),0,COUNTIFS(Formulas!$A$2:$A$1501,L$4,Formulas!$B$2:$B$1501,$A25))</f>
        <v>0</v>
      </c>
      <c r="M25" s="21" t="n">
        <f aca="false">IF(OR($A25="",M$4=""),0,COUNTIFS(Formulas!$A$2:$A$1501,M$4,Formulas!$B$2:$B$1501,$A25))</f>
        <v>0</v>
      </c>
      <c r="N25" s="21" t="n">
        <f aca="false">IF(OR($A25="",N$4=""),0,COUNTIFS(Formulas!$A$2:$A$1501,N$4,Formulas!$B$2:$B$1501,$A25))</f>
        <v>0</v>
      </c>
      <c r="O25" s="21" t="n">
        <f aca="false">IF(OR($A25="",O$4=""),0,COUNTIFS(Formulas!$A$2:$A$1501,O$4,Formulas!$B$2:$B$1501,$A25))</f>
        <v>0</v>
      </c>
      <c r="P25" s="21" t="n">
        <f aca="false">IF(OR($A25="",P$4=""),0,COUNTIFS(Formulas!$A$2:$A$1501,P$4,Formulas!$B$2:$B$1501,$A25))</f>
        <v>0</v>
      </c>
      <c r="Q25" s="21" t="n">
        <f aca="false">IF(OR($A25="",Q$4=""),0,COUNTIFS(Formulas!$A$2:$A$1501,Q$4,Formulas!$B$2:$B$1501,$A25))</f>
        <v>0</v>
      </c>
      <c r="R25" s="21" t="n">
        <f aca="false">IF(OR($A25="",R$4=""),0,COUNTIFS(Formulas!$A$2:$A$1501,R$4,Formulas!$B$2:$B$1501,$A25))</f>
        <v>0</v>
      </c>
      <c r="S25" s="21" t="n">
        <f aca="false">IF(OR($A25="",S$4=""),0,COUNTIFS(Formulas!$A$2:$A$1501,S$4,Formulas!$B$2:$B$1501,$A25))</f>
        <v>0</v>
      </c>
      <c r="T25" s="21" t="n">
        <f aca="false">IF(OR($A25="",T$4=""),0,COUNTIFS(Formulas!$A$2:$A$1501,T$4,Formulas!$B$2:$B$1501,$A25))</f>
        <v>0</v>
      </c>
      <c r="U25" s="21" t="n">
        <f aca="false">IF(OR($A25="",U$4=""),0,COUNTIFS(Formulas!$A$2:$A$1501,U$4,Formulas!$B$2:$B$1501,$A25))</f>
        <v>0</v>
      </c>
      <c r="V25" s="21" t="n">
        <f aca="false">IF(OR($A25="",V$4=""),0,COUNTIFS(Formulas!$A$2:$A$1501,V$4,Formulas!$B$2:$B$1501,$A25))</f>
        <v>0</v>
      </c>
      <c r="W25" s="21" t="n">
        <f aca="false">IF(OR($A25="",W$4=""),0,COUNTIFS(Formulas!$A$2:$A$1501,W$4,Formulas!$B$2:$B$1501,$A25))</f>
        <v>0</v>
      </c>
      <c r="X25" s="21" t="n">
        <f aca="false">IF(OR($A25="",X$4=""),0,COUNTIFS(Formulas!$A$2:$A$1501,X$4,Formulas!$B$2:$B$1501,$A25))</f>
        <v>0</v>
      </c>
      <c r="Y25" s="21" t="n">
        <f aca="false">IF(OR($A25="",Y$4=""),0,COUNTIFS(Formulas!$A$2:$A$1501,Y$4,Formulas!$B$2:$B$1501,$A25))</f>
        <v>0</v>
      </c>
      <c r="Z25" s="21" t="n">
        <f aca="false">IF(OR($A25="",Z$4=""),0,COUNTIFS(Formulas!$A$2:$A$1501,Z$4,Formulas!$B$2:$B$1501,$A25))</f>
        <v>0</v>
      </c>
      <c r="AA25" s="21" t="n">
        <f aca="false">IF(OR($A25="",AA$4=""),0,COUNTIFS(Formulas!$A$2:$A$1501,AA$4,Formulas!$B$2:$B$1501,$A25))</f>
        <v>0</v>
      </c>
      <c r="AB25" s="21" t="n">
        <f aca="false">IF(OR($A25="",AB$4=""),0,COUNTIFS(Formulas!$A$2:$A$1501,AB$4,Formulas!$B$2:$B$1501,$A25))</f>
        <v>0</v>
      </c>
      <c r="AC25" s="21" t="n">
        <f aca="false">IF(OR($A25="",AC$4=""),0,COUNTIFS(Formulas!$A$2:$A$1501,AC$4,Formulas!$B$2:$B$1501,$A25))</f>
        <v>0</v>
      </c>
      <c r="AD25" s="21" t="n">
        <f aca="false">IF(OR($A25="",AD$4=""),0,COUNTIFS(Formulas!$A$2:$A$1501,AD$4,Formulas!$B$2:$B$1501,$A25))</f>
        <v>0</v>
      </c>
      <c r="AE25" s="21" t="n">
        <f aca="false">IF(OR($A25="",AE$4=""),0,COUNTIFS(Formulas!$A$2:$A$1501,AE$4,Formulas!$B$2:$B$1501,$A25))</f>
        <v>0</v>
      </c>
      <c r="AF25" s="21" t="n">
        <f aca="false">IF(OR($A25="",AF$4=""),0,COUNTIFS(Formulas!$A$2:$A$1501,AF$4,Formulas!$B$2:$B$1501,$A25))</f>
        <v>0</v>
      </c>
      <c r="AG25" s="21" t="n">
        <f aca="false">IF(OR($A25="",AG$4=""),0,COUNTIFS(Formulas!$A$2:$A$1501,AG$4,Formulas!$B$2:$B$1501,$A25))</f>
        <v>0</v>
      </c>
      <c r="AH25" s="21" t="n">
        <f aca="false">IF(OR($A25="",AH$4=""),0,COUNTIFS(Formulas!$A$2:$A$1501,AH$4,Formulas!$B$2:$B$1501,$A25))</f>
        <v>0</v>
      </c>
      <c r="AI25" s="21" t="n">
        <f aca="false">IF(OR($A25="",AI$4=""),0,COUNTIFS(Formulas!$A$2:$A$1501,AI$4,Formulas!$B$2:$B$1501,$A25))</f>
        <v>0</v>
      </c>
      <c r="AJ25" s="21" t="n">
        <f aca="false">IF(OR($A25="",AJ$4=""),0,COUNTIFS(Formulas!$A$2:$A$1501,AJ$4,Formulas!$B$2:$B$1501,$A25))</f>
        <v>0</v>
      </c>
      <c r="AK25" s="21" t="n">
        <f aca="false">IF(OR($A25="",AK$4=""),0,COUNTIFS(Formulas!$A$2:$A$1501,AK$4,Formulas!$B$2:$B$1501,$A25))</f>
        <v>0</v>
      </c>
      <c r="AL25" s="21" t="n">
        <f aca="false">IF(OR($A25="",AL$4=""),0,COUNTIFS(Formulas!$A$2:$A$1501,AL$4,Formulas!$B$2:$B$1501,$A25))</f>
        <v>0</v>
      </c>
      <c r="AM25" s="21" t="n">
        <f aca="false">IF(OR($A25="",AM$4=""),0,COUNTIFS(Formulas!$A$2:$A$1501,AM$4,Formulas!$B$2:$B$1501,$A25))</f>
        <v>0</v>
      </c>
      <c r="AN25" s="21" t="n">
        <f aca="false">IF(OR($A25="",AN$4=""),0,COUNTIFS(Formulas!$A$2:$A$1501,AN$4,Formulas!$B$2:$B$1501,$A25))</f>
        <v>0</v>
      </c>
      <c r="AO25" s="21" t="n">
        <f aca="false">IF(OR($A25="",AO$4=""),0,COUNTIFS(Formulas!$A$2:$A$1501,AO$4,Formulas!$B$2:$B$1501,$A25))</f>
        <v>0</v>
      </c>
      <c r="AP25" s="21" t="n">
        <f aca="false">IF(OR($A25="",AP$4=""),0,COUNTIFS(Formulas!$A$2:$A$1501,AP$4,Formulas!$B$2:$B$1501,$A25))</f>
        <v>0</v>
      </c>
      <c r="AQ25" s="21" t="n">
        <f aca="false">IF(OR($A25="",AQ$4=""),0,COUNTIFS(Formulas!$A$2:$A$1501,AQ$4,Formulas!$B$2:$B$1501,$A25))</f>
        <v>0</v>
      </c>
      <c r="AR25" s="21" t="n">
        <f aca="false">IF(OR($A25="",AR$4=""),0,COUNTIFS(Formulas!$A$2:$A$1501,AR$4,Formulas!$B$2:$B$1501,$A25))</f>
        <v>0</v>
      </c>
      <c r="AS25" s="21" t="n">
        <f aca="false">IF(OR($A25="",AS$4=""),0,COUNTIFS(Formulas!$A$2:$A$1501,AS$4,Formulas!$B$2:$B$1501,$A25))</f>
        <v>0</v>
      </c>
      <c r="AT25" s="21" t="n">
        <f aca="false">IF(OR($A25="",AT$4=""),0,COUNTIFS(Formulas!$A$2:$A$1501,AT$4,Formulas!$B$2:$B$1501,$A25))</f>
        <v>0</v>
      </c>
      <c r="AU25" s="21" t="n">
        <f aca="false">IF(OR($A25="",AU$4=""),0,COUNTIFS(Formulas!$A$2:$A$1501,AU$4,Formulas!$B$2:$B$1501,$A25))</f>
        <v>0</v>
      </c>
      <c r="AV25" s="21" t="n">
        <f aca="false">IF(OR($A25="",AV$4=""),0,COUNTIFS(Formulas!$A$2:$A$1501,AV$4,Formulas!$B$2:$B$1501,$A25))</f>
        <v>0</v>
      </c>
      <c r="AW25" s="21" t="n">
        <f aca="false">IF(OR($A25="",AW$4=""),0,COUNTIFS(Formulas!$A$2:$A$1501,AW$4,Formulas!$B$2:$B$1501,$A25))</f>
        <v>0</v>
      </c>
      <c r="AX25" s="21" t="n">
        <f aca="false">IF(OR($A25="",AX$4=""),0,COUNTIFS(Formulas!$A$2:$A$1501,AX$4,Formulas!$B$2:$B$1501,$A25))</f>
        <v>0</v>
      </c>
      <c r="AY25" s="21" t="n">
        <f aca="false">IF(OR($A25="",AY$4=""),0,COUNTIFS(Formulas!$A$2:$A$1501,AY$4,Formulas!$B$2:$B$1501,$A25))</f>
        <v>0</v>
      </c>
      <c r="AZ25" s="21" t="n">
        <f aca="false">IF(OR($A25="",AZ$4=""),0,COUNTIFS(Formulas!$A$2:$A$1501,AZ$4,Formulas!$B$2:$B$1501,$A25))</f>
        <v>0</v>
      </c>
      <c r="BA25" s="21" t="n">
        <f aca="false">IF(OR($A25="",BA$4=""),0,COUNTIFS(Formulas!$A$2:$A$1501,BA$4,Formulas!$B$2:$B$1501,$A25))</f>
        <v>0</v>
      </c>
      <c r="BB25" s="21" t="n">
        <f aca="false">IF(OR($A25="",BB$4=""),0,COUNTIFS(Formulas!$A$2:$A$1501,BB$4,Formulas!$B$2:$B$1501,$A25))</f>
        <v>0</v>
      </c>
      <c r="BC25" s="21" t="n">
        <f aca="false">IF(OR($A25="",BC$4=""),0,COUNTIFS(Formulas!$A$2:$A$1501,BC$4,Formulas!$B$2:$B$1501,$A25))</f>
        <v>0</v>
      </c>
      <c r="BD25" s="21" t="n">
        <f aca="false">IF(OR($A25="",BD$4=""),0,COUNTIFS(Formulas!$A$2:$A$1501,BD$4,Formulas!$B$2:$B$1501,$A25))</f>
        <v>0</v>
      </c>
      <c r="BE25" s="21" t="n">
        <f aca="false">IF(OR($A25="",BE$4=""),0,COUNTIFS(Formulas!$A$2:$A$1501,BE$4,Formulas!$B$2:$B$1501,$A25))</f>
        <v>0</v>
      </c>
      <c r="BF25" s="21" t="n">
        <f aca="false">IF(OR($A25="",BF$4=""),0,COUNTIFS(Formulas!$A$2:$A$1501,BF$4,Formulas!$B$2:$B$1501,$A25))</f>
        <v>0</v>
      </c>
      <c r="BG25" s="21" t="n">
        <f aca="false">IF(OR($A25="",BG$4=""),0,COUNTIFS(Formulas!$A$2:$A$1501,BG$4,Formulas!$B$2:$B$1501,$A25))</f>
        <v>0</v>
      </c>
      <c r="BH25" s="21" t="n">
        <f aca="false">IF(OR($A25="",BH$4=""),0,COUNTIFS(Formulas!$A$2:$A$1501,BH$4,Formulas!$B$2:$B$1501,$A25))</f>
        <v>0</v>
      </c>
      <c r="BI25" s="21" t="n">
        <f aca="false">IF(OR($A25="",BI$4=""),0,COUNTIFS(Formulas!$A$2:$A$1501,BI$4,Formulas!$B$2:$B$1501,$A25))</f>
        <v>0</v>
      </c>
      <c r="BJ25" s="21" t="n">
        <f aca="false">IF(OR($A25="",BJ$4=""),0,COUNTIFS(Formulas!$A$2:$A$1501,BJ$4,Formulas!$B$2:$B$1501,$A25))</f>
        <v>0</v>
      </c>
    </row>
    <row r="26" customFormat="false" ht="15" hidden="false" customHeight="false" outlineLevel="0" collapsed="false">
      <c r="A26" s="13" t="str">
        <f aca="false">IF(INDEX(Materials!$A$2:$A$201,22)="","",INDEX(Materials!$A$2:$A$201,22))</f>
        <v>Finerenone</v>
      </c>
      <c r="B26" s="19" t="n">
        <f aca="false">IF(A26="","",COUNTIF(C26:BJ26,"&gt;0"))</f>
        <v>2</v>
      </c>
      <c r="C26" s="21" t="n">
        <f aca="false">IF(OR($A26="",C$4=""),0,COUNTIFS(Formulas!$A$2:$A$1501,C$4,Formulas!$B$2:$B$1501,$A26))</f>
        <v>0</v>
      </c>
      <c r="D26" s="21" t="n">
        <f aca="false">IF(OR($A26="",D$4=""),0,COUNTIFS(Formulas!$A$2:$A$1501,D$4,Formulas!$B$2:$B$1501,$A26))</f>
        <v>0</v>
      </c>
      <c r="E26" s="21" t="n">
        <f aca="false">IF(OR($A26="",E$4=""),0,COUNTIFS(Formulas!$A$2:$A$1501,E$4,Formulas!$B$2:$B$1501,$A26))</f>
        <v>0</v>
      </c>
      <c r="F26" s="21" t="n">
        <f aca="false">IF(OR($A26="",F$4=""),0,COUNTIFS(Formulas!$A$2:$A$1501,F$4,Formulas!$B$2:$B$1501,$A26))</f>
        <v>0</v>
      </c>
      <c r="G26" s="21" t="n">
        <f aca="false">IF(OR($A26="",G$4=""),0,COUNTIFS(Formulas!$A$2:$A$1501,G$4,Formulas!$B$2:$B$1501,$A26))</f>
        <v>0</v>
      </c>
      <c r="H26" s="21" t="n">
        <f aca="false">IF(OR($A26="",H$4=""),0,COUNTIFS(Formulas!$A$2:$A$1501,H$4,Formulas!$B$2:$B$1501,$A26))</f>
        <v>0</v>
      </c>
      <c r="I26" s="21" t="n">
        <f aca="false">IF(OR($A26="",I$4=""),0,COUNTIFS(Formulas!$A$2:$A$1501,I$4,Formulas!$B$2:$B$1501,$A26))</f>
        <v>1</v>
      </c>
      <c r="J26" s="21" t="n">
        <f aca="false">IF(OR($A26="",J$4=""),0,COUNTIFS(Formulas!$A$2:$A$1501,J$4,Formulas!$B$2:$B$1501,$A26))</f>
        <v>1</v>
      </c>
      <c r="K26" s="21" t="n">
        <f aca="false">IF(OR($A26="",K$4=""),0,COUNTIFS(Formulas!$A$2:$A$1501,K$4,Formulas!$B$2:$B$1501,$A26))</f>
        <v>0</v>
      </c>
      <c r="L26" s="21" t="n">
        <f aca="false">IF(OR($A26="",L$4=""),0,COUNTIFS(Formulas!$A$2:$A$1501,L$4,Formulas!$B$2:$B$1501,$A26))</f>
        <v>0</v>
      </c>
      <c r="M26" s="21" t="n">
        <f aca="false">IF(OR($A26="",M$4=""),0,COUNTIFS(Formulas!$A$2:$A$1501,M$4,Formulas!$B$2:$B$1501,$A26))</f>
        <v>0</v>
      </c>
      <c r="N26" s="21" t="n">
        <f aca="false">IF(OR($A26="",N$4=""),0,COUNTIFS(Formulas!$A$2:$A$1501,N$4,Formulas!$B$2:$B$1501,$A26))</f>
        <v>0</v>
      </c>
      <c r="O26" s="21" t="n">
        <f aca="false">IF(OR($A26="",O$4=""),0,COUNTIFS(Formulas!$A$2:$A$1501,O$4,Formulas!$B$2:$B$1501,$A26))</f>
        <v>0</v>
      </c>
      <c r="P26" s="21" t="n">
        <f aca="false">IF(OR($A26="",P$4=""),0,COUNTIFS(Formulas!$A$2:$A$1501,P$4,Formulas!$B$2:$B$1501,$A26))</f>
        <v>0</v>
      </c>
      <c r="Q26" s="21" t="n">
        <f aca="false">IF(OR($A26="",Q$4=""),0,COUNTIFS(Formulas!$A$2:$A$1501,Q$4,Formulas!$B$2:$B$1501,$A26))</f>
        <v>0</v>
      </c>
      <c r="R26" s="21" t="n">
        <f aca="false">IF(OR($A26="",R$4=""),0,COUNTIFS(Formulas!$A$2:$A$1501,R$4,Formulas!$B$2:$B$1501,$A26))</f>
        <v>0</v>
      </c>
      <c r="S26" s="21" t="n">
        <f aca="false">IF(OR($A26="",S$4=""),0,COUNTIFS(Formulas!$A$2:$A$1501,S$4,Formulas!$B$2:$B$1501,$A26))</f>
        <v>0</v>
      </c>
      <c r="T26" s="21" t="n">
        <f aca="false">IF(OR($A26="",T$4=""),0,COUNTIFS(Formulas!$A$2:$A$1501,T$4,Formulas!$B$2:$B$1501,$A26))</f>
        <v>0</v>
      </c>
      <c r="U26" s="21" t="n">
        <f aca="false">IF(OR($A26="",U$4=""),0,COUNTIFS(Formulas!$A$2:$A$1501,U$4,Formulas!$B$2:$B$1501,$A26))</f>
        <v>0</v>
      </c>
      <c r="V26" s="21" t="n">
        <f aca="false">IF(OR($A26="",V$4=""),0,COUNTIFS(Formulas!$A$2:$A$1501,V$4,Formulas!$B$2:$B$1501,$A26))</f>
        <v>0</v>
      </c>
      <c r="W26" s="21" t="n">
        <f aca="false">IF(OR($A26="",W$4=""),0,COUNTIFS(Formulas!$A$2:$A$1501,W$4,Formulas!$B$2:$B$1501,$A26))</f>
        <v>0</v>
      </c>
      <c r="X26" s="21" t="n">
        <f aca="false">IF(OR($A26="",X$4=""),0,COUNTIFS(Formulas!$A$2:$A$1501,X$4,Formulas!$B$2:$B$1501,$A26))</f>
        <v>0</v>
      </c>
      <c r="Y26" s="21" t="n">
        <f aca="false">IF(OR($A26="",Y$4=""),0,COUNTIFS(Formulas!$A$2:$A$1501,Y$4,Formulas!$B$2:$B$1501,$A26))</f>
        <v>0</v>
      </c>
      <c r="Z26" s="21" t="n">
        <f aca="false">IF(OR($A26="",Z$4=""),0,COUNTIFS(Formulas!$A$2:$A$1501,Z$4,Formulas!$B$2:$B$1501,$A26))</f>
        <v>0</v>
      </c>
      <c r="AA26" s="21" t="n">
        <f aca="false">IF(OR($A26="",AA$4=""),0,COUNTIFS(Formulas!$A$2:$A$1501,AA$4,Formulas!$B$2:$B$1501,$A26))</f>
        <v>0</v>
      </c>
      <c r="AB26" s="21" t="n">
        <f aca="false">IF(OR($A26="",AB$4=""),0,COUNTIFS(Formulas!$A$2:$A$1501,AB$4,Formulas!$B$2:$B$1501,$A26))</f>
        <v>0</v>
      </c>
      <c r="AC26" s="21" t="n">
        <f aca="false">IF(OR($A26="",AC$4=""),0,COUNTIFS(Formulas!$A$2:$A$1501,AC$4,Formulas!$B$2:$B$1501,$A26))</f>
        <v>0</v>
      </c>
      <c r="AD26" s="21" t="n">
        <f aca="false">IF(OR($A26="",AD$4=""),0,COUNTIFS(Formulas!$A$2:$A$1501,AD$4,Formulas!$B$2:$B$1501,$A26))</f>
        <v>0</v>
      </c>
      <c r="AE26" s="21" t="n">
        <f aca="false">IF(OR($A26="",AE$4=""),0,COUNTIFS(Formulas!$A$2:$A$1501,AE$4,Formulas!$B$2:$B$1501,$A26))</f>
        <v>0</v>
      </c>
      <c r="AF26" s="21" t="n">
        <f aca="false">IF(OR($A26="",AF$4=""),0,COUNTIFS(Formulas!$A$2:$A$1501,AF$4,Formulas!$B$2:$B$1501,$A26))</f>
        <v>0</v>
      </c>
      <c r="AG26" s="21" t="n">
        <f aca="false">IF(OR($A26="",AG$4=""),0,COUNTIFS(Formulas!$A$2:$A$1501,AG$4,Formulas!$B$2:$B$1501,$A26))</f>
        <v>0</v>
      </c>
      <c r="AH26" s="21" t="n">
        <f aca="false">IF(OR($A26="",AH$4=""),0,COUNTIFS(Formulas!$A$2:$A$1501,AH$4,Formulas!$B$2:$B$1501,$A26))</f>
        <v>0</v>
      </c>
      <c r="AI26" s="21" t="n">
        <f aca="false">IF(OR($A26="",AI$4=""),0,COUNTIFS(Formulas!$A$2:$A$1501,AI$4,Formulas!$B$2:$B$1501,$A26))</f>
        <v>0</v>
      </c>
      <c r="AJ26" s="21" t="n">
        <f aca="false">IF(OR($A26="",AJ$4=""),0,COUNTIFS(Formulas!$A$2:$A$1501,AJ$4,Formulas!$B$2:$B$1501,$A26))</f>
        <v>0</v>
      </c>
      <c r="AK26" s="21" t="n">
        <f aca="false">IF(OR($A26="",AK$4=""),0,COUNTIFS(Formulas!$A$2:$A$1501,AK$4,Formulas!$B$2:$B$1501,$A26))</f>
        <v>0</v>
      </c>
      <c r="AL26" s="21" t="n">
        <f aca="false">IF(OR($A26="",AL$4=""),0,COUNTIFS(Formulas!$A$2:$A$1501,AL$4,Formulas!$B$2:$B$1501,$A26))</f>
        <v>0</v>
      </c>
      <c r="AM26" s="21" t="n">
        <f aca="false">IF(OR($A26="",AM$4=""),0,COUNTIFS(Formulas!$A$2:$A$1501,AM$4,Formulas!$B$2:$B$1501,$A26))</f>
        <v>0</v>
      </c>
      <c r="AN26" s="21" t="n">
        <f aca="false">IF(OR($A26="",AN$4=""),0,COUNTIFS(Formulas!$A$2:$A$1501,AN$4,Formulas!$B$2:$B$1501,$A26))</f>
        <v>0</v>
      </c>
      <c r="AO26" s="21" t="n">
        <f aca="false">IF(OR($A26="",AO$4=""),0,COUNTIFS(Formulas!$A$2:$A$1501,AO$4,Formulas!$B$2:$B$1501,$A26))</f>
        <v>0</v>
      </c>
      <c r="AP26" s="21" t="n">
        <f aca="false">IF(OR($A26="",AP$4=""),0,COUNTIFS(Formulas!$A$2:$A$1501,AP$4,Formulas!$B$2:$B$1501,$A26))</f>
        <v>0</v>
      </c>
      <c r="AQ26" s="21" t="n">
        <f aca="false">IF(OR($A26="",AQ$4=""),0,COUNTIFS(Formulas!$A$2:$A$1501,AQ$4,Formulas!$B$2:$B$1501,$A26))</f>
        <v>0</v>
      </c>
      <c r="AR26" s="21" t="n">
        <f aca="false">IF(OR($A26="",AR$4=""),0,COUNTIFS(Formulas!$A$2:$A$1501,AR$4,Formulas!$B$2:$B$1501,$A26))</f>
        <v>0</v>
      </c>
      <c r="AS26" s="21" t="n">
        <f aca="false">IF(OR($A26="",AS$4=""),0,COUNTIFS(Formulas!$A$2:$A$1501,AS$4,Formulas!$B$2:$B$1501,$A26))</f>
        <v>0</v>
      </c>
      <c r="AT26" s="21" t="n">
        <f aca="false">IF(OR($A26="",AT$4=""),0,COUNTIFS(Formulas!$A$2:$A$1501,AT$4,Formulas!$B$2:$B$1501,$A26))</f>
        <v>0</v>
      </c>
      <c r="AU26" s="21" t="n">
        <f aca="false">IF(OR($A26="",AU$4=""),0,COUNTIFS(Formulas!$A$2:$A$1501,AU$4,Formulas!$B$2:$B$1501,$A26))</f>
        <v>0</v>
      </c>
      <c r="AV26" s="21" t="n">
        <f aca="false">IF(OR($A26="",AV$4=""),0,COUNTIFS(Formulas!$A$2:$A$1501,AV$4,Formulas!$B$2:$B$1501,$A26))</f>
        <v>0</v>
      </c>
      <c r="AW26" s="21" t="n">
        <f aca="false">IF(OR($A26="",AW$4=""),0,COUNTIFS(Formulas!$A$2:$A$1501,AW$4,Formulas!$B$2:$B$1501,$A26))</f>
        <v>0</v>
      </c>
      <c r="AX26" s="21" t="n">
        <f aca="false">IF(OR($A26="",AX$4=""),0,COUNTIFS(Formulas!$A$2:$A$1501,AX$4,Formulas!$B$2:$B$1501,$A26))</f>
        <v>0</v>
      </c>
      <c r="AY26" s="21" t="n">
        <f aca="false">IF(OR($A26="",AY$4=""),0,COUNTIFS(Formulas!$A$2:$A$1501,AY$4,Formulas!$B$2:$B$1501,$A26))</f>
        <v>0</v>
      </c>
      <c r="AZ26" s="21" t="n">
        <f aca="false">IF(OR($A26="",AZ$4=""),0,COUNTIFS(Formulas!$A$2:$A$1501,AZ$4,Formulas!$B$2:$B$1501,$A26))</f>
        <v>0</v>
      </c>
      <c r="BA26" s="21" t="n">
        <f aca="false">IF(OR($A26="",BA$4=""),0,COUNTIFS(Formulas!$A$2:$A$1501,BA$4,Formulas!$B$2:$B$1501,$A26))</f>
        <v>0</v>
      </c>
      <c r="BB26" s="21" t="n">
        <f aca="false">IF(OR($A26="",BB$4=""),0,COUNTIFS(Formulas!$A$2:$A$1501,BB$4,Formulas!$B$2:$B$1501,$A26))</f>
        <v>0</v>
      </c>
      <c r="BC26" s="21" t="n">
        <f aca="false">IF(OR($A26="",BC$4=""),0,COUNTIFS(Formulas!$A$2:$A$1501,BC$4,Formulas!$B$2:$B$1501,$A26))</f>
        <v>0</v>
      </c>
      <c r="BD26" s="21" t="n">
        <f aca="false">IF(OR($A26="",BD$4=""),0,COUNTIFS(Formulas!$A$2:$A$1501,BD$4,Formulas!$B$2:$B$1501,$A26))</f>
        <v>0</v>
      </c>
      <c r="BE26" s="21" t="n">
        <f aca="false">IF(OR($A26="",BE$4=""),0,COUNTIFS(Formulas!$A$2:$A$1501,BE$4,Formulas!$B$2:$B$1501,$A26))</f>
        <v>0</v>
      </c>
      <c r="BF26" s="21" t="n">
        <f aca="false">IF(OR($A26="",BF$4=""),0,COUNTIFS(Formulas!$A$2:$A$1501,BF$4,Formulas!$B$2:$B$1501,$A26))</f>
        <v>0</v>
      </c>
      <c r="BG26" s="21" t="n">
        <f aca="false">IF(OR($A26="",BG$4=""),0,COUNTIFS(Formulas!$A$2:$A$1501,BG$4,Formulas!$B$2:$B$1501,$A26))</f>
        <v>0</v>
      </c>
      <c r="BH26" s="21" t="n">
        <f aca="false">IF(OR($A26="",BH$4=""),0,COUNTIFS(Formulas!$A$2:$A$1501,BH$4,Formulas!$B$2:$B$1501,$A26))</f>
        <v>0</v>
      </c>
      <c r="BI26" s="21" t="n">
        <f aca="false">IF(OR($A26="",BI$4=""),0,COUNTIFS(Formulas!$A$2:$A$1501,BI$4,Formulas!$B$2:$B$1501,$A26))</f>
        <v>0</v>
      </c>
      <c r="BJ26" s="21" t="n">
        <f aca="false">IF(OR($A26="",BJ$4=""),0,COUNTIFS(Formulas!$A$2:$A$1501,BJ$4,Formulas!$B$2:$B$1501,$A26))</f>
        <v>0</v>
      </c>
    </row>
    <row r="27" customFormat="false" ht="15" hidden="false" customHeight="false" outlineLevel="0" collapsed="false">
      <c r="A27" s="13" t="str">
        <f aca="false">IF(INDEX(Materials!$A$2:$A$201,23)="","",INDEX(Materials!$A$2:$A$201,23))</f>
        <v>Lactose Monohydrate</v>
      </c>
      <c r="B27" s="19" t="n">
        <f aca="false">IF(A27="","",COUNTIF(C27:BJ27,"&gt;0"))</f>
        <v>2</v>
      </c>
      <c r="C27" s="21" t="n">
        <f aca="false">IF(OR($A27="",C$4=""),0,COUNTIFS(Formulas!$A$2:$A$1501,C$4,Formulas!$B$2:$B$1501,$A27))</f>
        <v>0</v>
      </c>
      <c r="D27" s="21" t="n">
        <f aca="false">IF(OR($A27="",D$4=""),0,COUNTIFS(Formulas!$A$2:$A$1501,D$4,Formulas!$B$2:$B$1501,$A27))</f>
        <v>0</v>
      </c>
      <c r="E27" s="21" t="n">
        <f aca="false">IF(OR($A27="",E$4=""),0,COUNTIFS(Formulas!$A$2:$A$1501,E$4,Formulas!$B$2:$B$1501,$A27))</f>
        <v>0</v>
      </c>
      <c r="F27" s="21" t="n">
        <f aca="false">IF(OR($A27="",F$4=""),0,COUNTIFS(Formulas!$A$2:$A$1501,F$4,Formulas!$B$2:$B$1501,$A27))</f>
        <v>0</v>
      </c>
      <c r="G27" s="21" t="n">
        <f aca="false">IF(OR($A27="",G$4=""),0,COUNTIFS(Formulas!$A$2:$A$1501,G$4,Formulas!$B$2:$B$1501,$A27))</f>
        <v>0</v>
      </c>
      <c r="H27" s="21" t="n">
        <f aca="false">IF(OR($A27="",H$4=""),0,COUNTIFS(Formulas!$A$2:$A$1501,H$4,Formulas!$B$2:$B$1501,$A27))</f>
        <v>0</v>
      </c>
      <c r="I27" s="21" t="n">
        <f aca="false">IF(OR($A27="",I$4=""),0,COUNTIFS(Formulas!$A$2:$A$1501,I$4,Formulas!$B$2:$B$1501,$A27))</f>
        <v>1</v>
      </c>
      <c r="J27" s="21" t="n">
        <f aca="false">IF(OR($A27="",J$4=""),0,COUNTIFS(Formulas!$A$2:$A$1501,J$4,Formulas!$B$2:$B$1501,$A27))</f>
        <v>1</v>
      </c>
      <c r="K27" s="21" t="n">
        <f aca="false">IF(OR($A27="",K$4=""),0,COUNTIFS(Formulas!$A$2:$A$1501,K$4,Formulas!$B$2:$B$1501,$A27))</f>
        <v>0</v>
      </c>
      <c r="L27" s="21" t="n">
        <f aca="false">IF(OR($A27="",L$4=""),0,COUNTIFS(Formulas!$A$2:$A$1501,L$4,Formulas!$B$2:$B$1501,$A27))</f>
        <v>0</v>
      </c>
      <c r="M27" s="21" t="n">
        <f aca="false">IF(OR($A27="",M$4=""),0,COUNTIFS(Formulas!$A$2:$A$1501,M$4,Formulas!$B$2:$B$1501,$A27))</f>
        <v>0</v>
      </c>
      <c r="N27" s="21" t="n">
        <f aca="false">IF(OR($A27="",N$4=""),0,COUNTIFS(Formulas!$A$2:$A$1501,N$4,Formulas!$B$2:$B$1501,$A27))</f>
        <v>0</v>
      </c>
      <c r="O27" s="21" t="n">
        <f aca="false">IF(OR($A27="",O$4=""),0,COUNTIFS(Formulas!$A$2:$A$1501,O$4,Formulas!$B$2:$B$1501,$A27))</f>
        <v>0</v>
      </c>
      <c r="P27" s="21" t="n">
        <f aca="false">IF(OR($A27="",P$4=""),0,COUNTIFS(Formulas!$A$2:$A$1501,P$4,Formulas!$B$2:$B$1501,$A27))</f>
        <v>0</v>
      </c>
      <c r="Q27" s="21" t="n">
        <f aca="false">IF(OR($A27="",Q$4=""),0,COUNTIFS(Formulas!$A$2:$A$1501,Q$4,Formulas!$B$2:$B$1501,$A27))</f>
        <v>0</v>
      </c>
      <c r="R27" s="21" t="n">
        <f aca="false">IF(OR($A27="",R$4=""),0,COUNTIFS(Formulas!$A$2:$A$1501,R$4,Formulas!$B$2:$B$1501,$A27))</f>
        <v>0</v>
      </c>
      <c r="S27" s="21" t="n">
        <f aca="false">IF(OR($A27="",S$4=""),0,COUNTIFS(Formulas!$A$2:$A$1501,S$4,Formulas!$B$2:$B$1501,$A27))</f>
        <v>0</v>
      </c>
      <c r="T27" s="21" t="n">
        <f aca="false">IF(OR($A27="",T$4=""),0,COUNTIFS(Formulas!$A$2:$A$1501,T$4,Formulas!$B$2:$B$1501,$A27))</f>
        <v>0</v>
      </c>
      <c r="U27" s="21" t="n">
        <f aca="false">IF(OR($A27="",U$4=""),0,COUNTIFS(Formulas!$A$2:$A$1501,U$4,Formulas!$B$2:$B$1501,$A27))</f>
        <v>0</v>
      </c>
      <c r="V27" s="21" t="n">
        <f aca="false">IF(OR($A27="",V$4=""),0,COUNTIFS(Formulas!$A$2:$A$1501,V$4,Formulas!$B$2:$B$1501,$A27))</f>
        <v>0</v>
      </c>
      <c r="W27" s="21" t="n">
        <f aca="false">IF(OR($A27="",W$4=""),0,COUNTIFS(Formulas!$A$2:$A$1501,W$4,Formulas!$B$2:$B$1501,$A27))</f>
        <v>0</v>
      </c>
      <c r="X27" s="21" t="n">
        <f aca="false">IF(OR($A27="",X$4=""),0,COUNTIFS(Formulas!$A$2:$A$1501,X$4,Formulas!$B$2:$B$1501,$A27))</f>
        <v>0</v>
      </c>
      <c r="Y27" s="21" t="n">
        <f aca="false">IF(OR($A27="",Y$4=""),0,COUNTIFS(Formulas!$A$2:$A$1501,Y$4,Formulas!$B$2:$B$1501,$A27))</f>
        <v>0</v>
      </c>
      <c r="Z27" s="21" t="n">
        <f aca="false">IF(OR($A27="",Z$4=""),0,COUNTIFS(Formulas!$A$2:$A$1501,Z$4,Formulas!$B$2:$B$1501,$A27))</f>
        <v>0</v>
      </c>
      <c r="AA27" s="21" t="n">
        <f aca="false">IF(OR($A27="",AA$4=""),0,COUNTIFS(Formulas!$A$2:$A$1501,AA$4,Formulas!$B$2:$B$1501,$A27))</f>
        <v>0</v>
      </c>
      <c r="AB27" s="21" t="n">
        <f aca="false">IF(OR($A27="",AB$4=""),0,COUNTIFS(Formulas!$A$2:$A$1501,AB$4,Formulas!$B$2:$B$1501,$A27))</f>
        <v>0</v>
      </c>
      <c r="AC27" s="21" t="n">
        <f aca="false">IF(OR($A27="",AC$4=""),0,COUNTIFS(Formulas!$A$2:$A$1501,AC$4,Formulas!$B$2:$B$1501,$A27))</f>
        <v>0</v>
      </c>
      <c r="AD27" s="21" t="n">
        <f aca="false">IF(OR($A27="",AD$4=""),0,COUNTIFS(Formulas!$A$2:$A$1501,AD$4,Formulas!$B$2:$B$1501,$A27))</f>
        <v>0</v>
      </c>
      <c r="AE27" s="21" t="n">
        <f aca="false">IF(OR($A27="",AE$4=""),0,COUNTIFS(Formulas!$A$2:$A$1501,AE$4,Formulas!$B$2:$B$1501,$A27))</f>
        <v>0</v>
      </c>
      <c r="AF27" s="21" t="n">
        <f aca="false">IF(OR($A27="",AF$4=""),0,COUNTIFS(Formulas!$A$2:$A$1501,AF$4,Formulas!$B$2:$B$1501,$A27))</f>
        <v>0</v>
      </c>
      <c r="AG27" s="21" t="n">
        <f aca="false">IF(OR($A27="",AG$4=""),0,COUNTIFS(Formulas!$A$2:$A$1501,AG$4,Formulas!$B$2:$B$1501,$A27))</f>
        <v>0</v>
      </c>
      <c r="AH27" s="21" t="n">
        <f aca="false">IF(OR($A27="",AH$4=""),0,COUNTIFS(Formulas!$A$2:$A$1501,AH$4,Formulas!$B$2:$B$1501,$A27))</f>
        <v>0</v>
      </c>
      <c r="AI27" s="21" t="n">
        <f aca="false">IF(OR($A27="",AI$4=""),0,COUNTIFS(Formulas!$A$2:$A$1501,AI$4,Formulas!$B$2:$B$1501,$A27))</f>
        <v>0</v>
      </c>
      <c r="AJ27" s="21" t="n">
        <f aca="false">IF(OR($A27="",AJ$4=""),0,COUNTIFS(Formulas!$A$2:$A$1501,AJ$4,Formulas!$B$2:$B$1501,$A27))</f>
        <v>0</v>
      </c>
      <c r="AK27" s="21" t="n">
        <f aca="false">IF(OR($A27="",AK$4=""),0,COUNTIFS(Formulas!$A$2:$A$1501,AK$4,Formulas!$B$2:$B$1501,$A27))</f>
        <v>0</v>
      </c>
      <c r="AL27" s="21" t="n">
        <f aca="false">IF(OR($A27="",AL$4=""),0,COUNTIFS(Formulas!$A$2:$A$1501,AL$4,Formulas!$B$2:$B$1501,$A27))</f>
        <v>0</v>
      </c>
      <c r="AM27" s="21" t="n">
        <f aca="false">IF(OR($A27="",AM$4=""),0,COUNTIFS(Formulas!$A$2:$A$1501,AM$4,Formulas!$B$2:$B$1501,$A27))</f>
        <v>0</v>
      </c>
      <c r="AN27" s="21" t="n">
        <f aca="false">IF(OR($A27="",AN$4=""),0,COUNTIFS(Formulas!$A$2:$A$1501,AN$4,Formulas!$B$2:$B$1501,$A27))</f>
        <v>0</v>
      </c>
      <c r="AO27" s="21" t="n">
        <f aca="false">IF(OR($A27="",AO$4=""),0,COUNTIFS(Formulas!$A$2:$A$1501,AO$4,Formulas!$B$2:$B$1501,$A27))</f>
        <v>0</v>
      </c>
      <c r="AP27" s="21" t="n">
        <f aca="false">IF(OR($A27="",AP$4=""),0,COUNTIFS(Formulas!$A$2:$A$1501,AP$4,Formulas!$B$2:$B$1501,$A27))</f>
        <v>0</v>
      </c>
      <c r="AQ27" s="21" t="n">
        <f aca="false">IF(OR($A27="",AQ$4=""),0,COUNTIFS(Formulas!$A$2:$A$1501,AQ$4,Formulas!$B$2:$B$1501,$A27))</f>
        <v>0</v>
      </c>
      <c r="AR27" s="21" t="n">
        <f aca="false">IF(OR($A27="",AR$4=""),0,COUNTIFS(Formulas!$A$2:$A$1501,AR$4,Formulas!$B$2:$B$1501,$A27))</f>
        <v>0</v>
      </c>
      <c r="AS27" s="21" t="n">
        <f aca="false">IF(OR($A27="",AS$4=""),0,COUNTIFS(Formulas!$A$2:$A$1501,AS$4,Formulas!$B$2:$B$1501,$A27))</f>
        <v>0</v>
      </c>
      <c r="AT27" s="21" t="n">
        <f aca="false">IF(OR($A27="",AT$4=""),0,COUNTIFS(Formulas!$A$2:$A$1501,AT$4,Formulas!$B$2:$B$1501,$A27))</f>
        <v>0</v>
      </c>
      <c r="AU27" s="21" t="n">
        <f aca="false">IF(OR($A27="",AU$4=""),0,COUNTIFS(Formulas!$A$2:$A$1501,AU$4,Formulas!$B$2:$B$1501,$A27))</f>
        <v>0</v>
      </c>
      <c r="AV27" s="21" t="n">
        <f aca="false">IF(OR($A27="",AV$4=""),0,COUNTIFS(Formulas!$A$2:$A$1501,AV$4,Formulas!$B$2:$B$1501,$A27))</f>
        <v>0</v>
      </c>
      <c r="AW27" s="21" t="n">
        <f aca="false">IF(OR($A27="",AW$4=""),0,COUNTIFS(Formulas!$A$2:$A$1501,AW$4,Formulas!$B$2:$B$1501,$A27))</f>
        <v>0</v>
      </c>
      <c r="AX27" s="21" t="n">
        <f aca="false">IF(OR($A27="",AX$4=""),0,COUNTIFS(Formulas!$A$2:$A$1501,AX$4,Formulas!$B$2:$B$1501,$A27))</f>
        <v>0</v>
      </c>
      <c r="AY27" s="21" t="n">
        <f aca="false">IF(OR($A27="",AY$4=""),0,COUNTIFS(Formulas!$A$2:$A$1501,AY$4,Formulas!$B$2:$B$1501,$A27))</f>
        <v>0</v>
      </c>
      <c r="AZ27" s="21" t="n">
        <f aca="false">IF(OR($A27="",AZ$4=""),0,COUNTIFS(Formulas!$A$2:$A$1501,AZ$4,Formulas!$B$2:$B$1501,$A27))</f>
        <v>0</v>
      </c>
      <c r="BA27" s="21" t="n">
        <f aca="false">IF(OR($A27="",BA$4=""),0,COUNTIFS(Formulas!$A$2:$A$1501,BA$4,Formulas!$B$2:$B$1501,$A27))</f>
        <v>0</v>
      </c>
      <c r="BB27" s="21" t="n">
        <f aca="false">IF(OR($A27="",BB$4=""),0,COUNTIFS(Formulas!$A$2:$A$1501,BB$4,Formulas!$B$2:$B$1501,$A27))</f>
        <v>0</v>
      </c>
      <c r="BC27" s="21" t="n">
        <f aca="false">IF(OR($A27="",BC$4=""),0,COUNTIFS(Formulas!$A$2:$A$1501,BC$4,Formulas!$B$2:$B$1501,$A27))</f>
        <v>0</v>
      </c>
      <c r="BD27" s="21" t="n">
        <f aca="false">IF(OR($A27="",BD$4=""),0,COUNTIFS(Formulas!$A$2:$A$1501,BD$4,Formulas!$B$2:$B$1501,$A27))</f>
        <v>0</v>
      </c>
      <c r="BE27" s="21" t="n">
        <f aca="false">IF(OR($A27="",BE$4=""),0,COUNTIFS(Formulas!$A$2:$A$1501,BE$4,Formulas!$B$2:$B$1501,$A27))</f>
        <v>0</v>
      </c>
      <c r="BF27" s="21" t="n">
        <f aca="false">IF(OR($A27="",BF$4=""),0,COUNTIFS(Formulas!$A$2:$A$1501,BF$4,Formulas!$B$2:$B$1501,$A27))</f>
        <v>0</v>
      </c>
      <c r="BG27" s="21" t="n">
        <f aca="false">IF(OR($A27="",BG$4=""),0,COUNTIFS(Formulas!$A$2:$A$1501,BG$4,Formulas!$B$2:$B$1501,$A27))</f>
        <v>0</v>
      </c>
      <c r="BH27" s="21" t="n">
        <f aca="false">IF(OR($A27="",BH$4=""),0,COUNTIFS(Formulas!$A$2:$A$1501,BH$4,Formulas!$B$2:$B$1501,$A27))</f>
        <v>0</v>
      </c>
      <c r="BI27" s="21" t="n">
        <f aca="false">IF(OR($A27="",BI$4=""),0,COUNTIFS(Formulas!$A$2:$A$1501,BI$4,Formulas!$B$2:$B$1501,$A27))</f>
        <v>0</v>
      </c>
      <c r="BJ27" s="21" t="n">
        <f aca="false">IF(OR($A27="",BJ$4=""),0,COUNTIFS(Formulas!$A$2:$A$1501,BJ$4,Formulas!$B$2:$B$1501,$A27))</f>
        <v>0</v>
      </c>
    </row>
    <row r="28" customFormat="false" ht="15" hidden="false" customHeight="false" outlineLevel="0" collapsed="false">
      <c r="A28" s="13" t="str">
        <f aca="false">IF(INDEX(Materials!$A$2:$A$201,24)="","",INDEX(Materials!$A$2:$A$201,24))</f>
        <v>Microcrystalline Cellulose PH 101</v>
      </c>
      <c r="B28" s="19" t="n">
        <f aca="false">IF(A28="","",COUNTIF(C28:BJ28,"&gt;0"))</f>
        <v>4</v>
      </c>
      <c r="C28" s="21" t="n">
        <f aca="false">IF(OR($A28="",C$4=""),0,COUNTIFS(Formulas!$A$2:$A$1501,C$4,Formulas!$B$2:$B$1501,$A28))</f>
        <v>0</v>
      </c>
      <c r="D28" s="21" t="n">
        <f aca="false">IF(OR($A28="",D$4=""),0,COUNTIFS(Formulas!$A$2:$A$1501,D$4,Formulas!$B$2:$B$1501,$A28))</f>
        <v>0</v>
      </c>
      <c r="E28" s="21" t="n">
        <f aca="false">IF(OR($A28="",E$4=""),0,COUNTIFS(Formulas!$A$2:$A$1501,E$4,Formulas!$B$2:$B$1501,$A28))</f>
        <v>0</v>
      </c>
      <c r="F28" s="21" t="n">
        <f aca="false">IF(OR($A28="",F$4=""),0,COUNTIFS(Formulas!$A$2:$A$1501,F$4,Formulas!$B$2:$B$1501,$A28))</f>
        <v>0</v>
      </c>
      <c r="G28" s="21" t="n">
        <f aca="false">IF(OR($A28="",G$4=""),0,COUNTIFS(Formulas!$A$2:$A$1501,G$4,Formulas!$B$2:$B$1501,$A28))</f>
        <v>0</v>
      </c>
      <c r="H28" s="21" t="n">
        <f aca="false">IF(OR($A28="",H$4=""),0,COUNTIFS(Formulas!$A$2:$A$1501,H$4,Formulas!$B$2:$B$1501,$A28))</f>
        <v>0</v>
      </c>
      <c r="I28" s="21" t="n">
        <f aca="false">IF(OR($A28="",I$4=""),0,COUNTIFS(Formulas!$A$2:$A$1501,I$4,Formulas!$B$2:$B$1501,$A28))</f>
        <v>1</v>
      </c>
      <c r="J28" s="21" t="n">
        <f aca="false">IF(OR($A28="",J$4=""),0,COUNTIFS(Formulas!$A$2:$A$1501,J$4,Formulas!$B$2:$B$1501,$A28))</f>
        <v>1</v>
      </c>
      <c r="K28" s="21" t="n">
        <f aca="false">IF(OR($A28="",K$4=""),0,COUNTIFS(Formulas!$A$2:$A$1501,K$4,Formulas!$B$2:$B$1501,$A28))</f>
        <v>1</v>
      </c>
      <c r="L28" s="21" t="n">
        <f aca="false">IF(OR($A28="",L$4=""),0,COUNTIFS(Formulas!$A$2:$A$1501,L$4,Formulas!$B$2:$B$1501,$A28))</f>
        <v>1</v>
      </c>
      <c r="M28" s="21" t="n">
        <f aca="false">IF(OR($A28="",M$4=""),0,COUNTIFS(Formulas!$A$2:$A$1501,M$4,Formulas!$B$2:$B$1501,$A28))</f>
        <v>0</v>
      </c>
      <c r="N28" s="21" t="n">
        <f aca="false">IF(OR($A28="",N$4=""),0,COUNTIFS(Formulas!$A$2:$A$1501,N$4,Formulas!$B$2:$B$1501,$A28))</f>
        <v>0</v>
      </c>
      <c r="O28" s="21" t="n">
        <f aca="false">IF(OR($A28="",O$4=""),0,COUNTIFS(Formulas!$A$2:$A$1501,O$4,Formulas!$B$2:$B$1501,$A28))</f>
        <v>0</v>
      </c>
      <c r="P28" s="21" t="n">
        <f aca="false">IF(OR($A28="",P$4=""),0,COUNTIFS(Formulas!$A$2:$A$1501,P$4,Formulas!$B$2:$B$1501,$A28))</f>
        <v>0</v>
      </c>
      <c r="Q28" s="21" t="n">
        <f aca="false">IF(OR($A28="",Q$4=""),0,COUNTIFS(Formulas!$A$2:$A$1501,Q$4,Formulas!$B$2:$B$1501,$A28))</f>
        <v>0</v>
      </c>
      <c r="R28" s="21" t="n">
        <f aca="false">IF(OR($A28="",R$4=""),0,COUNTIFS(Formulas!$A$2:$A$1501,R$4,Formulas!$B$2:$B$1501,$A28))</f>
        <v>0</v>
      </c>
      <c r="S28" s="21" t="n">
        <f aca="false">IF(OR($A28="",S$4=""),0,COUNTIFS(Formulas!$A$2:$A$1501,S$4,Formulas!$B$2:$B$1501,$A28))</f>
        <v>0</v>
      </c>
      <c r="T28" s="21" t="n">
        <f aca="false">IF(OR($A28="",T$4=""),0,COUNTIFS(Formulas!$A$2:$A$1501,T$4,Formulas!$B$2:$B$1501,$A28))</f>
        <v>0</v>
      </c>
      <c r="U28" s="21" t="n">
        <f aca="false">IF(OR($A28="",U$4=""),0,COUNTIFS(Formulas!$A$2:$A$1501,U$4,Formulas!$B$2:$B$1501,$A28))</f>
        <v>0</v>
      </c>
      <c r="V28" s="21" t="n">
        <f aca="false">IF(OR($A28="",V$4=""),0,COUNTIFS(Formulas!$A$2:$A$1501,V$4,Formulas!$B$2:$B$1501,$A28))</f>
        <v>0</v>
      </c>
      <c r="W28" s="21" t="n">
        <f aca="false">IF(OR($A28="",W$4=""),0,COUNTIFS(Formulas!$A$2:$A$1501,W$4,Formulas!$B$2:$B$1501,$A28))</f>
        <v>0</v>
      </c>
      <c r="X28" s="21" t="n">
        <f aca="false">IF(OR($A28="",X$4=""),0,COUNTIFS(Formulas!$A$2:$A$1501,X$4,Formulas!$B$2:$B$1501,$A28))</f>
        <v>0</v>
      </c>
      <c r="Y28" s="21" t="n">
        <f aca="false">IF(OR($A28="",Y$4=""),0,COUNTIFS(Formulas!$A$2:$A$1501,Y$4,Formulas!$B$2:$B$1501,$A28))</f>
        <v>0</v>
      </c>
      <c r="Z28" s="21" t="n">
        <f aca="false">IF(OR($A28="",Z$4=""),0,COUNTIFS(Formulas!$A$2:$A$1501,Z$4,Formulas!$B$2:$B$1501,$A28))</f>
        <v>0</v>
      </c>
      <c r="AA28" s="21" t="n">
        <f aca="false">IF(OR($A28="",AA$4=""),0,COUNTIFS(Formulas!$A$2:$A$1501,AA$4,Formulas!$B$2:$B$1501,$A28))</f>
        <v>0</v>
      </c>
      <c r="AB28" s="21" t="n">
        <f aca="false">IF(OR($A28="",AB$4=""),0,COUNTIFS(Formulas!$A$2:$A$1501,AB$4,Formulas!$B$2:$B$1501,$A28))</f>
        <v>0</v>
      </c>
      <c r="AC28" s="21" t="n">
        <f aca="false">IF(OR($A28="",AC$4=""),0,COUNTIFS(Formulas!$A$2:$A$1501,AC$4,Formulas!$B$2:$B$1501,$A28))</f>
        <v>0</v>
      </c>
      <c r="AD28" s="21" t="n">
        <f aca="false">IF(OR($A28="",AD$4=""),0,COUNTIFS(Formulas!$A$2:$A$1501,AD$4,Formulas!$B$2:$B$1501,$A28))</f>
        <v>0</v>
      </c>
      <c r="AE28" s="21" t="n">
        <f aca="false">IF(OR($A28="",AE$4=""),0,COUNTIFS(Formulas!$A$2:$A$1501,AE$4,Formulas!$B$2:$B$1501,$A28))</f>
        <v>0</v>
      </c>
      <c r="AF28" s="21" t="n">
        <f aca="false">IF(OR($A28="",AF$4=""),0,COUNTIFS(Formulas!$A$2:$A$1501,AF$4,Formulas!$B$2:$B$1501,$A28))</f>
        <v>0</v>
      </c>
      <c r="AG28" s="21" t="n">
        <f aca="false">IF(OR($A28="",AG$4=""),0,COUNTIFS(Formulas!$A$2:$A$1501,AG$4,Formulas!$B$2:$B$1501,$A28))</f>
        <v>0</v>
      </c>
      <c r="AH28" s="21" t="n">
        <f aca="false">IF(OR($A28="",AH$4=""),0,COUNTIFS(Formulas!$A$2:$A$1501,AH$4,Formulas!$B$2:$B$1501,$A28))</f>
        <v>0</v>
      </c>
      <c r="AI28" s="21" t="n">
        <f aca="false">IF(OR($A28="",AI$4=""),0,COUNTIFS(Formulas!$A$2:$A$1501,AI$4,Formulas!$B$2:$B$1501,$A28))</f>
        <v>0</v>
      </c>
      <c r="AJ28" s="21" t="n">
        <f aca="false">IF(OR($A28="",AJ$4=""),0,COUNTIFS(Formulas!$A$2:$A$1501,AJ$4,Formulas!$B$2:$B$1501,$A28))</f>
        <v>0</v>
      </c>
      <c r="AK28" s="21" t="n">
        <f aca="false">IF(OR($A28="",AK$4=""),0,COUNTIFS(Formulas!$A$2:$A$1501,AK$4,Formulas!$B$2:$B$1501,$A28))</f>
        <v>0</v>
      </c>
      <c r="AL28" s="21" t="n">
        <f aca="false">IF(OR($A28="",AL$4=""),0,COUNTIFS(Formulas!$A$2:$A$1501,AL$4,Formulas!$B$2:$B$1501,$A28))</f>
        <v>0</v>
      </c>
      <c r="AM28" s="21" t="n">
        <f aca="false">IF(OR($A28="",AM$4=""),0,COUNTIFS(Formulas!$A$2:$A$1501,AM$4,Formulas!$B$2:$B$1501,$A28))</f>
        <v>0</v>
      </c>
      <c r="AN28" s="21" t="n">
        <f aca="false">IF(OR($A28="",AN$4=""),0,COUNTIFS(Formulas!$A$2:$A$1501,AN$4,Formulas!$B$2:$B$1501,$A28))</f>
        <v>0</v>
      </c>
      <c r="AO28" s="21" t="n">
        <f aca="false">IF(OR($A28="",AO$4=""),0,COUNTIFS(Formulas!$A$2:$A$1501,AO$4,Formulas!$B$2:$B$1501,$A28))</f>
        <v>0</v>
      </c>
      <c r="AP28" s="21" t="n">
        <f aca="false">IF(OR($A28="",AP$4=""),0,COUNTIFS(Formulas!$A$2:$A$1501,AP$4,Formulas!$B$2:$B$1501,$A28))</f>
        <v>0</v>
      </c>
      <c r="AQ28" s="21" t="n">
        <f aca="false">IF(OR($A28="",AQ$4=""),0,COUNTIFS(Formulas!$A$2:$A$1501,AQ$4,Formulas!$B$2:$B$1501,$A28))</f>
        <v>0</v>
      </c>
      <c r="AR28" s="21" t="n">
        <f aca="false">IF(OR($A28="",AR$4=""),0,COUNTIFS(Formulas!$A$2:$A$1501,AR$4,Formulas!$B$2:$B$1501,$A28))</f>
        <v>0</v>
      </c>
      <c r="AS28" s="21" t="n">
        <f aca="false">IF(OR($A28="",AS$4=""),0,COUNTIFS(Formulas!$A$2:$A$1501,AS$4,Formulas!$B$2:$B$1501,$A28))</f>
        <v>0</v>
      </c>
      <c r="AT28" s="21" t="n">
        <f aca="false">IF(OR($A28="",AT$4=""),0,COUNTIFS(Formulas!$A$2:$A$1501,AT$4,Formulas!$B$2:$B$1501,$A28))</f>
        <v>0</v>
      </c>
      <c r="AU28" s="21" t="n">
        <f aca="false">IF(OR($A28="",AU$4=""),0,COUNTIFS(Formulas!$A$2:$A$1501,AU$4,Formulas!$B$2:$B$1501,$A28))</f>
        <v>0</v>
      </c>
      <c r="AV28" s="21" t="n">
        <f aca="false">IF(OR($A28="",AV$4=""),0,COUNTIFS(Formulas!$A$2:$A$1501,AV$4,Formulas!$B$2:$B$1501,$A28))</f>
        <v>0</v>
      </c>
      <c r="AW28" s="21" t="n">
        <f aca="false">IF(OR($A28="",AW$4=""),0,COUNTIFS(Formulas!$A$2:$A$1501,AW$4,Formulas!$B$2:$B$1501,$A28))</f>
        <v>0</v>
      </c>
      <c r="AX28" s="21" t="n">
        <f aca="false">IF(OR($A28="",AX$4=""),0,COUNTIFS(Formulas!$A$2:$A$1501,AX$4,Formulas!$B$2:$B$1501,$A28))</f>
        <v>0</v>
      </c>
      <c r="AY28" s="21" t="n">
        <f aca="false">IF(OR($A28="",AY$4=""),0,COUNTIFS(Formulas!$A$2:$A$1501,AY$4,Formulas!$B$2:$B$1501,$A28))</f>
        <v>0</v>
      </c>
      <c r="AZ28" s="21" t="n">
        <f aca="false">IF(OR($A28="",AZ$4=""),0,COUNTIFS(Formulas!$A$2:$A$1501,AZ$4,Formulas!$B$2:$B$1501,$A28))</f>
        <v>0</v>
      </c>
      <c r="BA28" s="21" t="n">
        <f aca="false">IF(OR($A28="",BA$4=""),0,COUNTIFS(Formulas!$A$2:$A$1501,BA$4,Formulas!$B$2:$B$1501,$A28))</f>
        <v>0</v>
      </c>
      <c r="BB28" s="21" t="n">
        <f aca="false">IF(OR($A28="",BB$4=""),0,COUNTIFS(Formulas!$A$2:$A$1501,BB$4,Formulas!$B$2:$B$1501,$A28))</f>
        <v>0</v>
      </c>
      <c r="BC28" s="21" t="n">
        <f aca="false">IF(OR($A28="",BC$4=""),0,COUNTIFS(Formulas!$A$2:$A$1501,BC$4,Formulas!$B$2:$B$1501,$A28))</f>
        <v>0</v>
      </c>
      <c r="BD28" s="21" t="n">
        <f aca="false">IF(OR($A28="",BD$4=""),0,COUNTIFS(Formulas!$A$2:$A$1501,BD$4,Formulas!$B$2:$B$1501,$A28))</f>
        <v>0</v>
      </c>
      <c r="BE28" s="21" t="n">
        <f aca="false">IF(OR($A28="",BE$4=""),0,COUNTIFS(Formulas!$A$2:$A$1501,BE$4,Formulas!$B$2:$B$1501,$A28))</f>
        <v>0</v>
      </c>
      <c r="BF28" s="21" t="n">
        <f aca="false">IF(OR($A28="",BF$4=""),0,COUNTIFS(Formulas!$A$2:$A$1501,BF$4,Formulas!$B$2:$B$1501,$A28))</f>
        <v>0</v>
      </c>
      <c r="BG28" s="21" t="n">
        <f aca="false">IF(OR($A28="",BG$4=""),0,COUNTIFS(Formulas!$A$2:$A$1501,BG$4,Formulas!$B$2:$B$1501,$A28))</f>
        <v>0</v>
      </c>
      <c r="BH28" s="21" t="n">
        <f aca="false">IF(OR($A28="",BH$4=""),0,COUNTIFS(Formulas!$A$2:$A$1501,BH$4,Formulas!$B$2:$B$1501,$A28))</f>
        <v>0</v>
      </c>
      <c r="BI28" s="21" t="n">
        <f aca="false">IF(OR($A28="",BI$4=""),0,COUNTIFS(Formulas!$A$2:$A$1501,BI$4,Formulas!$B$2:$B$1501,$A28))</f>
        <v>0</v>
      </c>
      <c r="BJ28" s="21" t="n">
        <f aca="false">IF(OR($A28="",BJ$4=""),0,COUNTIFS(Formulas!$A$2:$A$1501,BJ$4,Formulas!$B$2:$B$1501,$A28))</f>
        <v>0</v>
      </c>
    </row>
    <row r="29" customFormat="false" ht="15" hidden="false" customHeight="false" outlineLevel="0" collapsed="false">
      <c r="A29" s="13" t="str">
        <f aca="false">IF(INDEX(Materials!$A$2:$A$201,25)="","",INDEX(Materials!$A$2:$A$201,25))</f>
        <v>Alcohol</v>
      </c>
      <c r="B29" s="19" t="n">
        <f aca="false">IF(A29="","",COUNTIF(C29:BJ29,"&gt;0"))</f>
        <v>2</v>
      </c>
      <c r="C29" s="21" t="n">
        <f aca="false">IF(OR($A29="",C$4=""),0,COUNTIFS(Formulas!$A$2:$A$1501,C$4,Formulas!$B$2:$B$1501,$A29))</f>
        <v>0</v>
      </c>
      <c r="D29" s="21" t="n">
        <f aca="false">IF(OR($A29="",D$4=""),0,COUNTIFS(Formulas!$A$2:$A$1501,D$4,Formulas!$B$2:$B$1501,$A29))</f>
        <v>0</v>
      </c>
      <c r="E29" s="21" t="n">
        <f aca="false">IF(OR($A29="",E$4=""),0,COUNTIFS(Formulas!$A$2:$A$1501,E$4,Formulas!$B$2:$B$1501,$A29))</f>
        <v>0</v>
      </c>
      <c r="F29" s="21" t="n">
        <f aca="false">IF(OR($A29="",F$4=""),0,COUNTIFS(Formulas!$A$2:$A$1501,F$4,Formulas!$B$2:$B$1501,$A29))</f>
        <v>0</v>
      </c>
      <c r="G29" s="21" t="n">
        <f aca="false">IF(OR($A29="",G$4=""),0,COUNTIFS(Formulas!$A$2:$A$1501,G$4,Formulas!$B$2:$B$1501,$A29))</f>
        <v>0</v>
      </c>
      <c r="H29" s="21" t="n">
        <f aca="false">IF(OR($A29="",H$4=""),0,COUNTIFS(Formulas!$A$2:$A$1501,H$4,Formulas!$B$2:$B$1501,$A29))</f>
        <v>0</v>
      </c>
      <c r="I29" s="21" t="n">
        <f aca="false">IF(OR($A29="",I$4=""),0,COUNTIFS(Formulas!$A$2:$A$1501,I$4,Formulas!$B$2:$B$1501,$A29))</f>
        <v>1</v>
      </c>
      <c r="J29" s="21" t="n">
        <f aca="false">IF(OR($A29="",J$4=""),0,COUNTIFS(Formulas!$A$2:$A$1501,J$4,Formulas!$B$2:$B$1501,$A29))</f>
        <v>1</v>
      </c>
      <c r="K29" s="21" t="n">
        <f aca="false">IF(OR($A29="",K$4=""),0,COUNTIFS(Formulas!$A$2:$A$1501,K$4,Formulas!$B$2:$B$1501,$A29))</f>
        <v>0</v>
      </c>
      <c r="L29" s="21" t="n">
        <f aca="false">IF(OR($A29="",L$4=""),0,COUNTIFS(Formulas!$A$2:$A$1501,L$4,Formulas!$B$2:$B$1501,$A29))</f>
        <v>0</v>
      </c>
      <c r="M29" s="21" t="n">
        <f aca="false">IF(OR($A29="",M$4=""),0,COUNTIFS(Formulas!$A$2:$A$1501,M$4,Formulas!$B$2:$B$1501,$A29))</f>
        <v>0</v>
      </c>
      <c r="N29" s="21" t="n">
        <f aca="false">IF(OR($A29="",N$4=""),0,COUNTIFS(Formulas!$A$2:$A$1501,N$4,Formulas!$B$2:$B$1501,$A29))</f>
        <v>0</v>
      </c>
      <c r="O29" s="21" t="n">
        <f aca="false">IF(OR($A29="",O$4=""),0,COUNTIFS(Formulas!$A$2:$A$1501,O$4,Formulas!$B$2:$B$1501,$A29))</f>
        <v>0</v>
      </c>
      <c r="P29" s="21" t="n">
        <f aca="false">IF(OR($A29="",P$4=""),0,COUNTIFS(Formulas!$A$2:$A$1501,P$4,Formulas!$B$2:$B$1501,$A29))</f>
        <v>0</v>
      </c>
      <c r="Q29" s="21" t="n">
        <f aca="false">IF(OR($A29="",Q$4=""),0,COUNTIFS(Formulas!$A$2:$A$1501,Q$4,Formulas!$B$2:$B$1501,$A29))</f>
        <v>0</v>
      </c>
      <c r="R29" s="21" t="n">
        <f aca="false">IF(OR($A29="",R$4=""),0,COUNTIFS(Formulas!$A$2:$A$1501,R$4,Formulas!$B$2:$B$1501,$A29))</f>
        <v>0</v>
      </c>
      <c r="S29" s="21" t="n">
        <f aca="false">IF(OR($A29="",S$4=""),0,COUNTIFS(Formulas!$A$2:$A$1501,S$4,Formulas!$B$2:$B$1501,$A29))</f>
        <v>0</v>
      </c>
      <c r="T29" s="21" t="n">
        <f aca="false">IF(OR($A29="",T$4=""),0,COUNTIFS(Formulas!$A$2:$A$1501,T$4,Formulas!$B$2:$B$1501,$A29))</f>
        <v>0</v>
      </c>
      <c r="U29" s="21" t="n">
        <f aca="false">IF(OR($A29="",U$4=""),0,COUNTIFS(Formulas!$A$2:$A$1501,U$4,Formulas!$B$2:$B$1501,$A29))</f>
        <v>0</v>
      </c>
      <c r="V29" s="21" t="n">
        <f aca="false">IF(OR($A29="",V$4=""),0,COUNTIFS(Formulas!$A$2:$A$1501,V$4,Formulas!$B$2:$B$1501,$A29))</f>
        <v>0</v>
      </c>
      <c r="W29" s="21" t="n">
        <f aca="false">IF(OR($A29="",W$4=""),0,COUNTIFS(Formulas!$A$2:$A$1501,W$4,Formulas!$B$2:$B$1501,$A29))</f>
        <v>0</v>
      </c>
      <c r="X29" s="21" t="n">
        <f aca="false">IF(OR($A29="",X$4=""),0,COUNTIFS(Formulas!$A$2:$A$1501,X$4,Formulas!$B$2:$B$1501,$A29))</f>
        <v>0</v>
      </c>
      <c r="Y29" s="21" t="n">
        <f aca="false">IF(OR($A29="",Y$4=""),0,COUNTIFS(Formulas!$A$2:$A$1501,Y$4,Formulas!$B$2:$B$1501,$A29))</f>
        <v>0</v>
      </c>
      <c r="Z29" s="21" t="n">
        <f aca="false">IF(OR($A29="",Z$4=""),0,COUNTIFS(Formulas!$A$2:$A$1501,Z$4,Formulas!$B$2:$B$1501,$A29))</f>
        <v>0</v>
      </c>
      <c r="AA29" s="21" t="n">
        <f aca="false">IF(OR($A29="",AA$4=""),0,COUNTIFS(Formulas!$A$2:$A$1501,AA$4,Formulas!$B$2:$B$1501,$A29))</f>
        <v>0</v>
      </c>
      <c r="AB29" s="21" t="n">
        <f aca="false">IF(OR($A29="",AB$4=""),0,COUNTIFS(Formulas!$A$2:$A$1501,AB$4,Formulas!$B$2:$B$1501,$A29))</f>
        <v>0</v>
      </c>
      <c r="AC29" s="21" t="n">
        <f aca="false">IF(OR($A29="",AC$4=""),0,COUNTIFS(Formulas!$A$2:$A$1501,AC$4,Formulas!$B$2:$B$1501,$A29))</f>
        <v>0</v>
      </c>
      <c r="AD29" s="21" t="n">
        <f aca="false">IF(OR($A29="",AD$4=""),0,COUNTIFS(Formulas!$A$2:$A$1501,AD$4,Formulas!$B$2:$B$1501,$A29))</f>
        <v>0</v>
      </c>
      <c r="AE29" s="21" t="n">
        <f aca="false">IF(OR($A29="",AE$4=""),0,COUNTIFS(Formulas!$A$2:$A$1501,AE$4,Formulas!$B$2:$B$1501,$A29))</f>
        <v>0</v>
      </c>
      <c r="AF29" s="21" t="n">
        <f aca="false">IF(OR($A29="",AF$4=""),0,COUNTIFS(Formulas!$A$2:$A$1501,AF$4,Formulas!$B$2:$B$1501,$A29))</f>
        <v>0</v>
      </c>
      <c r="AG29" s="21" t="n">
        <f aca="false">IF(OR($A29="",AG$4=""),0,COUNTIFS(Formulas!$A$2:$A$1501,AG$4,Formulas!$B$2:$B$1501,$A29))</f>
        <v>0</v>
      </c>
      <c r="AH29" s="21" t="n">
        <f aca="false">IF(OR($A29="",AH$4=""),0,COUNTIFS(Formulas!$A$2:$A$1501,AH$4,Formulas!$B$2:$B$1501,$A29))</f>
        <v>0</v>
      </c>
      <c r="AI29" s="21" t="n">
        <f aca="false">IF(OR($A29="",AI$4=""),0,COUNTIFS(Formulas!$A$2:$A$1501,AI$4,Formulas!$B$2:$B$1501,$A29))</f>
        <v>0</v>
      </c>
      <c r="AJ29" s="21" t="n">
        <f aca="false">IF(OR($A29="",AJ$4=""),0,COUNTIFS(Formulas!$A$2:$A$1501,AJ$4,Formulas!$B$2:$B$1501,$A29))</f>
        <v>0</v>
      </c>
      <c r="AK29" s="21" t="n">
        <f aca="false">IF(OR($A29="",AK$4=""),0,COUNTIFS(Formulas!$A$2:$A$1501,AK$4,Formulas!$B$2:$B$1501,$A29))</f>
        <v>0</v>
      </c>
      <c r="AL29" s="21" t="n">
        <f aca="false">IF(OR($A29="",AL$4=""),0,COUNTIFS(Formulas!$A$2:$A$1501,AL$4,Formulas!$B$2:$B$1501,$A29))</f>
        <v>0</v>
      </c>
      <c r="AM29" s="21" t="n">
        <f aca="false">IF(OR($A29="",AM$4=""),0,COUNTIFS(Formulas!$A$2:$A$1501,AM$4,Formulas!$B$2:$B$1501,$A29))</f>
        <v>0</v>
      </c>
      <c r="AN29" s="21" t="n">
        <f aca="false">IF(OR($A29="",AN$4=""),0,COUNTIFS(Formulas!$A$2:$A$1501,AN$4,Formulas!$B$2:$B$1501,$A29))</f>
        <v>0</v>
      </c>
      <c r="AO29" s="21" t="n">
        <f aca="false">IF(OR($A29="",AO$4=""),0,COUNTIFS(Formulas!$A$2:$A$1501,AO$4,Formulas!$B$2:$B$1501,$A29))</f>
        <v>0</v>
      </c>
      <c r="AP29" s="21" t="n">
        <f aca="false">IF(OR($A29="",AP$4=""),0,COUNTIFS(Formulas!$A$2:$A$1501,AP$4,Formulas!$B$2:$B$1501,$A29))</f>
        <v>0</v>
      </c>
      <c r="AQ29" s="21" t="n">
        <f aca="false">IF(OR($A29="",AQ$4=""),0,COUNTIFS(Formulas!$A$2:$A$1501,AQ$4,Formulas!$B$2:$B$1501,$A29))</f>
        <v>0</v>
      </c>
      <c r="AR29" s="21" t="n">
        <f aca="false">IF(OR($A29="",AR$4=""),0,COUNTIFS(Formulas!$A$2:$A$1501,AR$4,Formulas!$B$2:$B$1501,$A29))</f>
        <v>0</v>
      </c>
      <c r="AS29" s="21" t="n">
        <f aca="false">IF(OR($A29="",AS$4=""),0,COUNTIFS(Formulas!$A$2:$A$1501,AS$4,Formulas!$B$2:$B$1501,$A29))</f>
        <v>0</v>
      </c>
      <c r="AT29" s="21" t="n">
        <f aca="false">IF(OR($A29="",AT$4=""),0,COUNTIFS(Formulas!$A$2:$A$1501,AT$4,Formulas!$B$2:$B$1501,$A29))</f>
        <v>0</v>
      </c>
      <c r="AU29" s="21" t="n">
        <f aca="false">IF(OR($A29="",AU$4=""),0,COUNTIFS(Formulas!$A$2:$A$1501,AU$4,Formulas!$B$2:$B$1501,$A29))</f>
        <v>0</v>
      </c>
      <c r="AV29" s="21" t="n">
        <f aca="false">IF(OR($A29="",AV$4=""),0,COUNTIFS(Formulas!$A$2:$A$1501,AV$4,Formulas!$B$2:$B$1501,$A29))</f>
        <v>0</v>
      </c>
      <c r="AW29" s="21" t="n">
        <f aca="false">IF(OR($A29="",AW$4=""),0,COUNTIFS(Formulas!$A$2:$A$1501,AW$4,Formulas!$B$2:$B$1501,$A29))</f>
        <v>0</v>
      </c>
      <c r="AX29" s="21" t="n">
        <f aca="false">IF(OR($A29="",AX$4=""),0,COUNTIFS(Formulas!$A$2:$A$1501,AX$4,Formulas!$B$2:$B$1501,$A29))</f>
        <v>0</v>
      </c>
      <c r="AY29" s="21" t="n">
        <f aca="false">IF(OR($A29="",AY$4=""),0,COUNTIFS(Formulas!$A$2:$A$1501,AY$4,Formulas!$B$2:$B$1501,$A29))</f>
        <v>0</v>
      </c>
      <c r="AZ29" s="21" t="n">
        <f aca="false">IF(OR($A29="",AZ$4=""),0,COUNTIFS(Formulas!$A$2:$A$1501,AZ$4,Formulas!$B$2:$B$1501,$A29))</f>
        <v>0</v>
      </c>
      <c r="BA29" s="21" t="n">
        <f aca="false">IF(OR($A29="",BA$4=""),0,COUNTIFS(Formulas!$A$2:$A$1501,BA$4,Formulas!$B$2:$B$1501,$A29))</f>
        <v>0</v>
      </c>
      <c r="BB29" s="21" t="n">
        <f aca="false">IF(OR($A29="",BB$4=""),0,COUNTIFS(Formulas!$A$2:$A$1501,BB$4,Formulas!$B$2:$B$1501,$A29))</f>
        <v>0</v>
      </c>
      <c r="BC29" s="21" t="n">
        <f aca="false">IF(OR($A29="",BC$4=""),0,COUNTIFS(Formulas!$A$2:$A$1501,BC$4,Formulas!$B$2:$B$1501,$A29))</f>
        <v>0</v>
      </c>
      <c r="BD29" s="21" t="n">
        <f aca="false">IF(OR($A29="",BD$4=""),0,COUNTIFS(Formulas!$A$2:$A$1501,BD$4,Formulas!$B$2:$B$1501,$A29))</f>
        <v>0</v>
      </c>
      <c r="BE29" s="21" t="n">
        <f aca="false">IF(OR($A29="",BE$4=""),0,COUNTIFS(Formulas!$A$2:$A$1501,BE$4,Formulas!$B$2:$B$1501,$A29))</f>
        <v>0</v>
      </c>
      <c r="BF29" s="21" t="n">
        <f aca="false">IF(OR($A29="",BF$4=""),0,COUNTIFS(Formulas!$A$2:$A$1501,BF$4,Formulas!$B$2:$B$1501,$A29))</f>
        <v>0</v>
      </c>
      <c r="BG29" s="21" t="n">
        <f aca="false">IF(OR($A29="",BG$4=""),0,COUNTIFS(Formulas!$A$2:$A$1501,BG$4,Formulas!$B$2:$B$1501,$A29))</f>
        <v>0</v>
      </c>
      <c r="BH29" s="21" t="n">
        <f aca="false">IF(OR($A29="",BH$4=""),0,COUNTIFS(Formulas!$A$2:$A$1501,BH$4,Formulas!$B$2:$B$1501,$A29))</f>
        <v>0</v>
      </c>
      <c r="BI29" s="21" t="n">
        <f aca="false">IF(OR($A29="",BI$4=""),0,COUNTIFS(Formulas!$A$2:$A$1501,BI$4,Formulas!$B$2:$B$1501,$A29))</f>
        <v>0</v>
      </c>
      <c r="BJ29" s="21" t="n">
        <f aca="false">IF(OR($A29="",BJ$4=""),0,COUNTIFS(Formulas!$A$2:$A$1501,BJ$4,Formulas!$B$2:$B$1501,$A29))</f>
        <v>0</v>
      </c>
    </row>
    <row r="30" customFormat="false" ht="15" hidden="false" customHeight="false" outlineLevel="0" collapsed="false">
      <c r="A30" s="13" t="str">
        <f aca="false">IF(INDEX(Materials!$A$2:$A$201,26)="","",INDEX(Materials!$A$2:$A$201,26))</f>
        <v>Telmisartan</v>
      </c>
      <c r="B30" s="19" t="n">
        <f aca="false">IF(A30="","",COUNTIF(C30:BJ30,"&gt;0"))</f>
        <v>2</v>
      </c>
      <c r="C30" s="21" t="n">
        <f aca="false">IF(OR($A30="",C$4=""),0,COUNTIFS(Formulas!$A$2:$A$1501,C$4,Formulas!$B$2:$B$1501,$A30))</f>
        <v>0</v>
      </c>
      <c r="D30" s="21" t="n">
        <f aca="false">IF(OR($A30="",D$4=""),0,COUNTIFS(Formulas!$A$2:$A$1501,D$4,Formulas!$B$2:$B$1501,$A30))</f>
        <v>0</v>
      </c>
      <c r="E30" s="21" t="n">
        <f aca="false">IF(OR($A30="",E$4=""),0,COUNTIFS(Formulas!$A$2:$A$1501,E$4,Formulas!$B$2:$B$1501,$A30))</f>
        <v>0</v>
      </c>
      <c r="F30" s="21" t="n">
        <f aca="false">IF(OR($A30="",F$4=""),0,COUNTIFS(Formulas!$A$2:$A$1501,F$4,Formulas!$B$2:$B$1501,$A30))</f>
        <v>0</v>
      </c>
      <c r="G30" s="21" t="n">
        <f aca="false">IF(OR($A30="",G$4=""),0,COUNTIFS(Formulas!$A$2:$A$1501,G$4,Formulas!$B$2:$B$1501,$A30))</f>
        <v>0</v>
      </c>
      <c r="H30" s="21" t="n">
        <f aca="false">IF(OR($A30="",H$4=""),0,COUNTIFS(Formulas!$A$2:$A$1501,H$4,Formulas!$B$2:$B$1501,$A30))</f>
        <v>0</v>
      </c>
      <c r="I30" s="21" t="n">
        <f aca="false">IF(OR($A30="",I$4=""),0,COUNTIFS(Formulas!$A$2:$A$1501,I$4,Formulas!$B$2:$B$1501,$A30))</f>
        <v>0</v>
      </c>
      <c r="J30" s="21" t="n">
        <f aca="false">IF(OR($A30="",J$4=""),0,COUNTIFS(Formulas!$A$2:$A$1501,J$4,Formulas!$B$2:$B$1501,$A30))</f>
        <v>0</v>
      </c>
      <c r="K30" s="21" t="n">
        <f aca="false">IF(OR($A30="",K$4=""),0,COUNTIFS(Formulas!$A$2:$A$1501,K$4,Formulas!$B$2:$B$1501,$A30))</f>
        <v>1</v>
      </c>
      <c r="L30" s="21" t="n">
        <f aca="false">IF(OR($A30="",L$4=""),0,COUNTIFS(Formulas!$A$2:$A$1501,L$4,Formulas!$B$2:$B$1501,$A30))</f>
        <v>1</v>
      </c>
      <c r="M30" s="21" t="n">
        <f aca="false">IF(OR($A30="",M$4=""),0,COUNTIFS(Formulas!$A$2:$A$1501,M$4,Formulas!$B$2:$B$1501,$A30))</f>
        <v>0</v>
      </c>
      <c r="N30" s="21" t="n">
        <f aca="false">IF(OR($A30="",N$4=""),0,COUNTIFS(Formulas!$A$2:$A$1501,N$4,Formulas!$B$2:$B$1501,$A30))</f>
        <v>0</v>
      </c>
      <c r="O30" s="21" t="n">
        <f aca="false">IF(OR($A30="",O$4=""),0,COUNTIFS(Formulas!$A$2:$A$1501,O$4,Formulas!$B$2:$B$1501,$A30))</f>
        <v>0</v>
      </c>
      <c r="P30" s="21" t="n">
        <f aca="false">IF(OR($A30="",P$4=""),0,COUNTIFS(Formulas!$A$2:$A$1501,P$4,Formulas!$B$2:$B$1501,$A30))</f>
        <v>0</v>
      </c>
      <c r="Q30" s="21" t="n">
        <f aca="false">IF(OR($A30="",Q$4=""),0,COUNTIFS(Formulas!$A$2:$A$1501,Q$4,Formulas!$B$2:$B$1501,$A30))</f>
        <v>0</v>
      </c>
      <c r="R30" s="21" t="n">
        <f aca="false">IF(OR($A30="",R$4=""),0,COUNTIFS(Formulas!$A$2:$A$1501,R$4,Formulas!$B$2:$B$1501,$A30))</f>
        <v>0</v>
      </c>
      <c r="S30" s="21" t="n">
        <f aca="false">IF(OR($A30="",S$4=""),0,COUNTIFS(Formulas!$A$2:$A$1501,S$4,Formulas!$B$2:$B$1501,$A30))</f>
        <v>0</v>
      </c>
      <c r="T30" s="21" t="n">
        <f aca="false">IF(OR($A30="",T$4=""),0,COUNTIFS(Formulas!$A$2:$A$1501,T$4,Formulas!$B$2:$B$1501,$A30))</f>
        <v>0</v>
      </c>
      <c r="U30" s="21" t="n">
        <f aca="false">IF(OR($A30="",U$4=""),0,COUNTIFS(Formulas!$A$2:$A$1501,U$4,Formulas!$B$2:$B$1501,$A30))</f>
        <v>0</v>
      </c>
      <c r="V30" s="21" t="n">
        <f aca="false">IF(OR($A30="",V$4=""),0,COUNTIFS(Formulas!$A$2:$A$1501,V$4,Formulas!$B$2:$B$1501,$A30))</f>
        <v>0</v>
      </c>
      <c r="W30" s="21" t="n">
        <f aca="false">IF(OR($A30="",W$4=""),0,COUNTIFS(Formulas!$A$2:$A$1501,W$4,Formulas!$B$2:$B$1501,$A30))</f>
        <v>0</v>
      </c>
      <c r="X30" s="21" t="n">
        <f aca="false">IF(OR($A30="",X$4=""),0,COUNTIFS(Formulas!$A$2:$A$1501,X$4,Formulas!$B$2:$B$1501,$A30))</f>
        <v>0</v>
      </c>
      <c r="Y30" s="21" t="n">
        <f aca="false">IF(OR($A30="",Y$4=""),0,COUNTIFS(Formulas!$A$2:$A$1501,Y$4,Formulas!$B$2:$B$1501,$A30))</f>
        <v>0</v>
      </c>
      <c r="Z30" s="21" t="n">
        <f aca="false">IF(OR($A30="",Z$4=""),0,COUNTIFS(Formulas!$A$2:$A$1501,Z$4,Formulas!$B$2:$B$1501,$A30))</f>
        <v>0</v>
      </c>
      <c r="AA30" s="21" t="n">
        <f aca="false">IF(OR($A30="",AA$4=""),0,COUNTIFS(Formulas!$A$2:$A$1501,AA$4,Formulas!$B$2:$B$1501,$A30))</f>
        <v>0</v>
      </c>
      <c r="AB30" s="21" t="n">
        <f aca="false">IF(OR($A30="",AB$4=""),0,COUNTIFS(Formulas!$A$2:$A$1501,AB$4,Formulas!$B$2:$B$1501,$A30))</f>
        <v>0</v>
      </c>
      <c r="AC30" s="21" t="n">
        <f aca="false">IF(OR($A30="",AC$4=""),0,COUNTIFS(Formulas!$A$2:$A$1501,AC$4,Formulas!$B$2:$B$1501,$A30))</f>
        <v>0</v>
      </c>
      <c r="AD30" s="21" t="n">
        <f aca="false">IF(OR($A30="",AD$4=""),0,COUNTIFS(Formulas!$A$2:$A$1501,AD$4,Formulas!$B$2:$B$1501,$A30))</f>
        <v>0</v>
      </c>
      <c r="AE30" s="21" t="n">
        <f aca="false">IF(OR($A30="",AE$4=""),0,COUNTIFS(Formulas!$A$2:$A$1501,AE$4,Formulas!$B$2:$B$1501,$A30))</f>
        <v>0</v>
      </c>
      <c r="AF30" s="21" t="n">
        <f aca="false">IF(OR($A30="",AF$4=""),0,COUNTIFS(Formulas!$A$2:$A$1501,AF$4,Formulas!$B$2:$B$1501,$A30))</f>
        <v>0</v>
      </c>
      <c r="AG30" s="21" t="n">
        <f aca="false">IF(OR($A30="",AG$4=""),0,COUNTIFS(Formulas!$A$2:$A$1501,AG$4,Formulas!$B$2:$B$1501,$A30))</f>
        <v>0</v>
      </c>
      <c r="AH30" s="21" t="n">
        <f aca="false">IF(OR($A30="",AH$4=""),0,COUNTIFS(Formulas!$A$2:$A$1501,AH$4,Formulas!$B$2:$B$1501,$A30))</f>
        <v>0</v>
      </c>
      <c r="AI30" s="21" t="n">
        <f aca="false">IF(OR($A30="",AI$4=""),0,COUNTIFS(Formulas!$A$2:$A$1501,AI$4,Formulas!$B$2:$B$1501,$A30))</f>
        <v>0</v>
      </c>
      <c r="AJ30" s="21" t="n">
        <f aca="false">IF(OR($A30="",AJ$4=""),0,COUNTIFS(Formulas!$A$2:$A$1501,AJ$4,Formulas!$B$2:$B$1501,$A30))</f>
        <v>0</v>
      </c>
      <c r="AK30" s="21" t="n">
        <f aca="false">IF(OR($A30="",AK$4=""),0,COUNTIFS(Formulas!$A$2:$A$1501,AK$4,Formulas!$B$2:$B$1501,$A30))</f>
        <v>0</v>
      </c>
      <c r="AL30" s="21" t="n">
        <f aca="false">IF(OR($A30="",AL$4=""),0,COUNTIFS(Formulas!$A$2:$A$1501,AL$4,Formulas!$B$2:$B$1501,$A30))</f>
        <v>0</v>
      </c>
      <c r="AM30" s="21" t="n">
        <f aca="false">IF(OR($A30="",AM$4=""),0,COUNTIFS(Formulas!$A$2:$A$1501,AM$4,Formulas!$B$2:$B$1501,$A30))</f>
        <v>0</v>
      </c>
      <c r="AN30" s="21" t="n">
        <f aca="false">IF(OR($A30="",AN$4=""),0,COUNTIFS(Formulas!$A$2:$A$1501,AN$4,Formulas!$B$2:$B$1501,$A30))</f>
        <v>0</v>
      </c>
      <c r="AO30" s="21" t="n">
        <f aca="false">IF(OR($A30="",AO$4=""),0,COUNTIFS(Formulas!$A$2:$A$1501,AO$4,Formulas!$B$2:$B$1501,$A30))</f>
        <v>0</v>
      </c>
      <c r="AP30" s="21" t="n">
        <f aca="false">IF(OR($A30="",AP$4=""),0,COUNTIFS(Formulas!$A$2:$A$1501,AP$4,Formulas!$B$2:$B$1501,$A30))</f>
        <v>0</v>
      </c>
      <c r="AQ30" s="21" t="n">
        <f aca="false">IF(OR($A30="",AQ$4=""),0,COUNTIFS(Formulas!$A$2:$A$1501,AQ$4,Formulas!$B$2:$B$1501,$A30))</f>
        <v>0</v>
      </c>
      <c r="AR30" s="21" t="n">
        <f aca="false">IF(OR($A30="",AR$4=""),0,COUNTIFS(Formulas!$A$2:$A$1501,AR$4,Formulas!$B$2:$B$1501,$A30))</f>
        <v>0</v>
      </c>
      <c r="AS30" s="21" t="n">
        <f aca="false">IF(OR($A30="",AS$4=""),0,COUNTIFS(Formulas!$A$2:$A$1501,AS$4,Formulas!$B$2:$B$1501,$A30))</f>
        <v>0</v>
      </c>
      <c r="AT30" s="21" t="n">
        <f aca="false">IF(OR($A30="",AT$4=""),0,COUNTIFS(Formulas!$A$2:$A$1501,AT$4,Formulas!$B$2:$B$1501,$A30))</f>
        <v>0</v>
      </c>
      <c r="AU30" s="21" t="n">
        <f aca="false">IF(OR($A30="",AU$4=""),0,COUNTIFS(Formulas!$A$2:$A$1501,AU$4,Formulas!$B$2:$B$1501,$A30))</f>
        <v>0</v>
      </c>
      <c r="AV30" s="21" t="n">
        <f aca="false">IF(OR($A30="",AV$4=""),0,COUNTIFS(Formulas!$A$2:$A$1501,AV$4,Formulas!$B$2:$B$1501,$A30))</f>
        <v>0</v>
      </c>
      <c r="AW30" s="21" t="n">
        <f aca="false">IF(OR($A30="",AW$4=""),0,COUNTIFS(Formulas!$A$2:$A$1501,AW$4,Formulas!$B$2:$B$1501,$A30))</f>
        <v>0</v>
      </c>
      <c r="AX30" s="21" t="n">
        <f aca="false">IF(OR($A30="",AX$4=""),0,COUNTIFS(Formulas!$A$2:$A$1501,AX$4,Formulas!$B$2:$B$1501,$A30))</f>
        <v>0</v>
      </c>
      <c r="AY30" s="21" t="n">
        <f aca="false">IF(OR($A30="",AY$4=""),0,COUNTIFS(Formulas!$A$2:$A$1501,AY$4,Formulas!$B$2:$B$1501,$A30))</f>
        <v>0</v>
      </c>
      <c r="AZ30" s="21" t="n">
        <f aca="false">IF(OR($A30="",AZ$4=""),0,COUNTIFS(Formulas!$A$2:$A$1501,AZ$4,Formulas!$B$2:$B$1501,$A30))</f>
        <v>0</v>
      </c>
      <c r="BA30" s="21" t="n">
        <f aca="false">IF(OR($A30="",BA$4=""),0,COUNTIFS(Formulas!$A$2:$A$1501,BA$4,Formulas!$B$2:$B$1501,$A30))</f>
        <v>0</v>
      </c>
      <c r="BB30" s="21" t="n">
        <f aca="false">IF(OR($A30="",BB$4=""),0,COUNTIFS(Formulas!$A$2:$A$1501,BB$4,Formulas!$B$2:$B$1501,$A30))</f>
        <v>0</v>
      </c>
      <c r="BC30" s="21" t="n">
        <f aca="false">IF(OR($A30="",BC$4=""),0,COUNTIFS(Formulas!$A$2:$A$1501,BC$4,Formulas!$B$2:$B$1501,$A30))</f>
        <v>0</v>
      </c>
      <c r="BD30" s="21" t="n">
        <f aca="false">IF(OR($A30="",BD$4=""),0,COUNTIFS(Formulas!$A$2:$A$1501,BD$4,Formulas!$B$2:$B$1501,$A30))</f>
        <v>0</v>
      </c>
      <c r="BE30" s="21" t="n">
        <f aca="false">IF(OR($A30="",BE$4=""),0,COUNTIFS(Formulas!$A$2:$A$1501,BE$4,Formulas!$B$2:$B$1501,$A30))</f>
        <v>0</v>
      </c>
      <c r="BF30" s="21" t="n">
        <f aca="false">IF(OR($A30="",BF$4=""),0,COUNTIFS(Formulas!$A$2:$A$1501,BF$4,Formulas!$B$2:$B$1501,$A30))</f>
        <v>0</v>
      </c>
      <c r="BG30" s="21" t="n">
        <f aca="false">IF(OR($A30="",BG$4=""),0,COUNTIFS(Formulas!$A$2:$A$1501,BG$4,Formulas!$B$2:$B$1501,$A30))</f>
        <v>0</v>
      </c>
      <c r="BH30" s="21" t="n">
        <f aca="false">IF(OR($A30="",BH$4=""),0,COUNTIFS(Formulas!$A$2:$A$1501,BH$4,Formulas!$B$2:$B$1501,$A30))</f>
        <v>0</v>
      </c>
      <c r="BI30" s="21" t="n">
        <f aca="false">IF(OR($A30="",BI$4=""),0,COUNTIFS(Formulas!$A$2:$A$1501,BI$4,Formulas!$B$2:$B$1501,$A30))</f>
        <v>0</v>
      </c>
      <c r="BJ30" s="21" t="n">
        <f aca="false">IF(OR($A30="",BJ$4=""),0,COUNTIFS(Formulas!$A$2:$A$1501,BJ$4,Formulas!$B$2:$B$1501,$A30))</f>
        <v>0</v>
      </c>
    </row>
    <row r="31" customFormat="false" ht="15" hidden="false" customHeight="false" outlineLevel="0" collapsed="false">
      <c r="A31" s="13" t="str">
        <f aca="false">IF(INDEX(Materials!$A$2:$A$201,27)="","",INDEX(Materials!$A$2:$A$201,27))</f>
        <v>Meglumine</v>
      </c>
      <c r="B31" s="19" t="n">
        <f aca="false">IF(A31="","",COUNTIF(C31:BJ31,"&gt;0"))</f>
        <v>2</v>
      </c>
      <c r="C31" s="21" t="n">
        <f aca="false">IF(OR($A31="",C$4=""),0,COUNTIFS(Formulas!$A$2:$A$1501,C$4,Formulas!$B$2:$B$1501,$A31))</f>
        <v>0</v>
      </c>
      <c r="D31" s="21" t="n">
        <f aca="false">IF(OR($A31="",D$4=""),0,COUNTIFS(Formulas!$A$2:$A$1501,D$4,Formulas!$B$2:$B$1501,$A31))</f>
        <v>0</v>
      </c>
      <c r="E31" s="21" t="n">
        <f aca="false">IF(OR($A31="",E$4=""),0,COUNTIFS(Formulas!$A$2:$A$1501,E$4,Formulas!$B$2:$B$1501,$A31))</f>
        <v>0</v>
      </c>
      <c r="F31" s="21" t="n">
        <f aca="false">IF(OR($A31="",F$4=""),0,COUNTIFS(Formulas!$A$2:$A$1501,F$4,Formulas!$B$2:$B$1501,$A31))</f>
        <v>0</v>
      </c>
      <c r="G31" s="21" t="n">
        <f aca="false">IF(OR($A31="",G$4=""),0,COUNTIFS(Formulas!$A$2:$A$1501,G$4,Formulas!$B$2:$B$1501,$A31))</f>
        <v>0</v>
      </c>
      <c r="H31" s="21" t="n">
        <f aca="false">IF(OR($A31="",H$4=""),0,COUNTIFS(Formulas!$A$2:$A$1501,H$4,Formulas!$B$2:$B$1501,$A31))</f>
        <v>0</v>
      </c>
      <c r="I31" s="21" t="n">
        <f aca="false">IF(OR($A31="",I$4=""),0,COUNTIFS(Formulas!$A$2:$A$1501,I$4,Formulas!$B$2:$B$1501,$A31))</f>
        <v>0</v>
      </c>
      <c r="J31" s="21" t="n">
        <f aca="false">IF(OR($A31="",J$4=""),0,COUNTIFS(Formulas!$A$2:$A$1501,J$4,Formulas!$B$2:$B$1501,$A31))</f>
        <v>0</v>
      </c>
      <c r="K31" s="21" t="n">
        <f aca="false">IF(OR($A31="",K$4=""),0,COUNTIFS(Formulas!$A$2:$A$1501,K$4,Formulas!$B$2:$B$1501,$A31))</f>
        <v>1</v>
      </c>
      <c r="L31" s="21" t="n">
        <f aca="false">IF(OR($A31="",L$4=""),0,COUNTIFS(Formulas!$A$2:$A$1501,L$4,Formulas!$B$2:$B$1501,$A31))</f>
        <v>1</v>
      </c>
      <c r="M31" s="21" t="n">
        <f aca="false">IF(OR($A31="",M$4=""),0,COUNTIFS(Formulas!$A$2:$A$1501,M$4,Formulas!$B$2:$B$1501,$A31))</f>
        <v>0</v>
      </c>
      <c r="N31" s="21" t="n">
        <f aca="false">IF(OR($A31="",N$4=""),0,COUNTIFS(Formulas!$A$2:$A$1501,N$4,Formulas!$B$2:$B$1501,$A31))</f>
        <v>0</v>
      </c>
      <c r="O31" s="21" t="n">
        <f aca="false">IF(OR($A31="",O$4=""),0,COUNTIFS(Formulas!$A$2:$A$1501,O$4,Formulas!$B$2:$B$1501,$A31))</f>
        <v>0</v>
      </c>
      <c r="P31" s="21" t="n">
        <f aca="false">IF(OR($A31="",P$4=""),0,COUNTIFS(Formulas!$A$2:$A$1501,P$4,Formulas!$B$2:$B$1501,$A31))</f>
        <v>0</v>
      </c>
      <c r="Q31" s="21" t="n">
        <f aca="false">IF(OR($A31="",Q$4=""),0,COUNTIFS(Formulas!$A$2:$A$1501,Q$4,Formulas!$B$2:$B$1501,$A31))</f>
        <v>0</v>
      </c>
      <c r="R31" s="21" t="n">
        <f aca="false">IF(OR($A31="",R$4=""),0,COUNTIFS(Formulas!$A$2:$A$1501,R$4,Formulas!$B$2:$B$1501,$A31))</f>
        <v>0</v>
      </c>
      <c r="S31" s="21" t="n">
        <f aca="false">IF(OR($A31="",S$4=""),0,COUNTIFS(Formulas!$A$2:$A$1501,S$4,Formulas!$B$2:$B$1501,$A31))</f>
        <v>0</v>
      </c>
      <c r="T31" s="21" t="n">
        <f aca="false">IF(OR($A31="",T$4=""),0,COUNTIFS(Formulas!$A$2:$A$1501,T$4,Formulas!$B$2:$B$1501,$A31))</f>
        <v>0</v>
      </c>
      <c r="U31" s="21" t="n">
        <f aca="false">IF(OR($A31="",U$4=""),0,COUNTIFS(Formulas!$A$2:$A$1501,U$4,Formulas!$B$2:$B$1501,$A31))</f>
        <v>0</v>
      </c>
      <c r="V31" s="21" t="n">
        <f aca="false">IF(OR($A31="",V$4=""),0,COUNTIFS(Formulas!$A$2:$A$1501,V$4,Formulas!$B$2:$B$1501,$A31))</f>
        <v>0</v>
      </c>
      <c r="W31" s="21" t="n">
        <f aca="false">IF(OR($A31="",W$4=""),0,COUNTIFS(Formulas!$A$2:$A$1501,W$4,Formulas!$B$2:$B$1501,$A31))</f>
        <v>0</v>
      </c>
      <c r="X31" s="21" t="n">
        <f aca="false">IF(OR($A31="",X$4=""),0,COUNTIFS(Formulas!$A$2:$A$1501,X$4,Formulas!$B$2:$B$1501,$A31))</f>
        <v>0</v>
      </c>
      <c r="Y31" s="21" t="n">
        <f aca="false">IF(OR($A31="",Y$4=""),0,COUNTIFS(Formulas!$A$2:$A$1501,Y$4,Formulas!$B$2:$B$1501,$A31))</f>
        <v>0</v>
      </c>
      <c r="Z31" s="21" t="n">
        <f aca="false">IF(OR($A31="",Z$4=""),0,COUNTIFS(Formulas!$A$2:$A$1501,Z$4,Formulas!$B$2:$B$1501,$A31))</f>
        <v>0</v>
      </c>
      <c r="AA31" s="21" t="n">
        <f aca="false">IF(OR($A31="",AA$4=""),0,COUNTIFS(Formulas!$A$2:$A$1501,AA$4,Formulas!$B$2:$B$1501,$A31))</f>
        <v>0</v>
      </c>
      <c r="AB31" s="21" t="n">
        <f aca="false">IF(OR($A31="",AB$4=""),0,COUNTIFS(Formulas!$A$2:$A$1501,AB$4,Formulas!$B$2:$B$1501,$A31))</f>
        <v>0</v>
      </c>
      <c r="AC31" s="21" t="n">
        <f aca="false">IF(OR($A31="",AC$4=""),0,COUNTIFS(Formulas!$A$2:$A$1501,AC$4,Formulas!$B$2:$B$1501,$A31))</f>
        <v>0</v>
      </c>
      <c r="AD31" s="21" t="n">
        <f aca="false">IF(OR($A31="",AD$4=""),0,COUNTIFS(Formulas!$A$2:$A$1501,AD$4,Formulas!$B$2:$B$1501,$A31))</f>
        <v>0</v>
      </c>
      <c r="AE31" s="21" t="n">
        <f aca="false">IF(OR($A31="",AE$4=""),0,COUNTIFS(Formulas!$A$2:$A$1501,AE$4,Formulas!$B$2:$B$1501,$A31))</f>
        <v>0</v>
      </c>
      <c r="AF31" s="21" t="n">
        <f aca="false">IF(OR($A31="",AF$4=""),0,COUNTIFS(Formulas!$A$2:$A$1501,AF$4,Formulas!$B$2:$B$1501,$A31))</f>
        <v>0</v>
      </c>
      <c r="AG31" s="21" t="n">
        <f aca="false">IF(OR($A31="",AG$4=""),0,COUNTIFS(Formulas!$A$2:$A$1501,AG$4,Formulas!$B$2:$B$1501,$A31))</f>
        <v>0</v>
      </c>
      <c r="AH31" s="21" t="n">
        <f aca="false">IF(OR($A31="",AH$4=""),0,COUNTIFS(Formulas!$A$2:$A$1501,AH$4,Formulas!$B$2:$B$1501,$A31))</f>
        <v>0</v>
      </c>
      <c r="AI31" s="21" t="n">
        <f aca="false">IF(OR($A31="",AI$4=""),0,COUNTIFS(Formulas!$A$2:$A$1501,AI$4,Formulas!$B$2:$B$1501,$A31))</f>
        <v>0</v>
      </c>
      <c r="AJ31" s="21" t="n">
        <f aca="false">IF(OR($A31="",AJ$4=""),0,COUNTIFS(Formulas!$A$2:$A$1501,AJ$4,Formulas!$B$2:$B$1501,$A31))</f>
        <v>0</v>
      </c>
      <c r="AK31" s="21" t="n">
        <f aca="false">IF(OR($A31="",AK$4=""),0,COUNTIFS(Formulas!$A$2:$A$1501,AK$4,Formulas!$B$2:$B$1501,$A31))</f>
        <v>0</v>
      </c>
      <c r="AL31" s="21" t="n">
        <f aca="false">IF(OR($A31="",AL$4=""),0,COUNTIFS(Formulas!$A$2:$A$1501,AL$4,Formulas!$B$2:$B$1501,$A31))</f>
        <v>0</v>
      </c>
      <c r="AM31" s="21" t="n">
        <f aca="false">IF(OR($A31="",AM$4=""),0,COUNTIFS(Formulas!$A$2:$A$1501,AM$4,Formulas!$B$2:$B$1501,$A31))</f>
        <v>0</v>
      </c>
      <c r="AN31" s="21" t="n">
        <f aca="false">IF(OR($A31="",AN$4=""),0,COUNTIFS(Formulas!$A$2:$A$1501,AN$4,Formulas!$B$2:$B$1501,$A31))</f>
        <v>0</v>
      </c>
      <c r="AO31" s="21" t="n">
        <f aca="false">IF(OR($A31="",AO$4=""),0,COUNTIFS(Formulas!$A$2:$A$1501,AO$4,Formulas!$B$2:$B$1501,$A31))</f>
        <v>0</v>
      </c>
      <c r="AP31" s="21" t="n">
        <f aca="false">IF(OR($A31="",AP$4=""),0,COUNTIFS(Formulas!$A$2:$A$1501,AP$4,Formulas!$B$2:$B$1501,$A31))</f>
        <v>0</v>
      </c>
      <c r="AQ31" s="21" t="n">
        <f aca="false">IF(OR($A31="",AQ$4=""),0,COUNTIFS(Formulas!$A$2:$A$1501,AQ$4,Formulas!$B$2:$B$1501,$A31))</f>
        <v>0</v>
      </c>
      <c r="AR31" s="21" t="n">
        <f aca="false">IF(OR($A31="",AR$4=""),0,COUNTIFS(Formulas!$A$2:$A$1501,AR$4,Formulas!$B$2:$B$1501,$A31))</f>
        <v>0</v>
      </c>
      <c r="AS31" s="21" t="n">
        <f aca="false">IF(OR($A31="",AS$4=""),0,COUNTIFS(Formulas!$A$2:$A$1501,AS$4,Formulas!$B$2:$B$1501,$A31))</f>
        <v>0</v>
      </c>
      <c r="AT31" s="21" t="n">
        <f aca="false">IF(OR($A31="",AT$4=""),0,COUNTIFS(Formulas!$A$2:$A$1501,AT$4,Formulas!$B$2:$B$1501,$A31))</f>
        <v>0</v>
      </c>
      <c r="AU31" s="21" t="n">
        <f aca="false">IF(OR($A31="",AU$4=""),0,COUNTIFS(Formulas!$A$2:$A$1501,AU$4,Formulas!$B$2:$B$1501,$A31))</f>
        <v>0</v>
      </c>
      <c r="AV31" s="21" t="n">
        <f aca="false">IF(OR($A31="",AV$4=""),0,COUNTIFS(Formulas!$A$2:$A$1501,AV$4,Formulas!$B$2:$B$1501,$A31))</f>
        <v>0</v>
      </c>
      <c r="AW31" s="21" t="n">
        <f aca="false">IF(OR($A31="",AW$4=""),0,COUNTIFS(Formulas!$A$2:$A$1501,AW$4,Formulas!$B$2:$B$1501,$A31))</f>
        <v>0</v>
      </c>
      <c r="AX31" s="21" t="n">
        <f aca="false">IF(OR($A31="",AX$4=""),0,COUNTIFS(Formulas!$A$2:$A$1501,AX$4,Formulas!$B$2:$B$1501,$A31))</f>
        <v>0</v>
      </c>
      <c r="AY31" s="21" t="n">
        <f aca="false">IF(OR($A31="",AY$4=""),0,COUNTIFS(Formulas!$A$2:$A$1501,AY$4,Formulas!$B$2:$B$1501,$A31))</f>
        <v>0</v>
      </c>
      <c r="AZ31" s="21" t="n">
        <f aca="false">IF(OR($A31="",AZ$4=""),0,COUNTIFS(Formulas!$A$2:$A$1501,AZ$4,Formulas!$B$2:$B$1501,$A31))</f>
        <v>0</v>
      </c>
      <c r="BA31" s="21" t="n">
        <f aca="false">IF(OR($A31="",BA$4=""),0,COUNTIFS(Formulas!$A$2:$A$1501,BA$4,Formulas!$B$2:$B$1501,$A31))</f>
        <v>0</v>
      </c>
      <c r="BB31" s="21" t="n">
        <f aca="false">IF(OR($A31="",BB$4=""),0,COUNTIFS(Formulas!$A$2:$A$1501,BB$4,Formulas!$B$2:$B$1501,$A31))</f>
        <v>0</v>
      </c>
      <c r="BC31" s="21" t="n">
        <f aca="false">IF(OR($A31="",BC$4=""),0,COUNTIFS(Formulas!$A$2:$A$1501,BC$4,Formulas!$B$2:$B$1501,$A31))</f>
        <v>0</v>
      </c>
      <c r="BD31" s="21" t="n">
        <f aca="false">IF(OR($A31="",BD$4=""),0,COUNTIFS(Formulas!$A$2:$A$1501,BD$4,Formulas!$B$2:$B$1501,$A31))</f>
        <v>0</v>
      </c>
      <c r="BE31" s="21" t="n">
        <f aca="false">IF(OR($A31="",BE$4=""),0,COUNTIFS(Formulas!$A$2:$A$1501,BE$4,Formulas!$B$2:$B$1501,$A31))</f>
        <v>0</v>
      </c>
      <c r="BF31" s="21" t="n">
        <f aca="false">IF(OR($A31="",BF$4=""),0,COUNTIFS(Formulas!$A$2:$A$1501,BF$4,Formulas!$B$2:$B$1501,$A31))</f>
        <v>0</v>
      </c>
      <c r="BG31" s="21" t="n">
        <f aca="false">IF(OR($A31="",BG$4=""),0,COUNTIFS(Formulas!$A$2:$A$1501,BG$4,Formulas!$B$2:$B$1501,$A31))</f>
        <v>0</v>
      </c>
      <c r="BH31" s="21" t="n">
        <f aca="false">IF(OR($A31="",BH$4=""),0,COUNTIFS(Formulas!$A$2:$A$1501,BH$4,Formulas!$B$2:$B$1501,$A31))</f>
        <v>0</v>
      </c>
      <c r="BI31" s="21" t="n">
        <f aca="false">IF(OR($A31="",BI$4=""),0,COUNTIFS(Formulas!$A$2:$A$1501,BI$4,Formulas!$B$2:$B$1501,$A31))</f>
        <v>0</v>
      </c>
      <c r="BJ31" s="21" t="n">
        <f aca="false">IF(OR($A31="",BJ$4=""),0,COUNTIFS(Formulas!$A$2:$A$1501,BJ$4,Formulas!$B$2:$B$1501,$A31))</f>
        <v>0</v>
      </c>
    </row>
    <row r="32" customFormat="false" ht="15" hidden="false" customHeight="false" outlineLevel="0" collapsed="false">
      <c r="A32" s="13" t="str">
        <f aca="false">IF(INDEX(Materials!$A$2:$A$201,28)="","",INDEX(Materials!$A$2:$A$201,28))</f>
        <v>Sodium Hydroxide</v>
      </c>
      <c r="B32" s="19" t="n">
        <f aca="false">IF(A32="","",COUNTIF(C32:BJ32,"&gt;0"))</f>
        <v>2</v>
      </c>
      <c r="C32" s="21" t="n">
        <f aca="false">IF(OR($A32="",C$4=""),0,COUNTIFS(Formulas!$A$2:$A$1501,C$4,Formulas!$B$2:$B$1501,$A32))</f>
        <v>0</v>
      </c>
      <c r="D32" s="21" t="n">
        <f aca="false">IF(OR($A32="",D$4=""),0,COUNTIFS(Formulas!$A$2:$A$1501,D$4,Formulas!$B$2:$B$1501,$A32))</f>
        <v>0</v>
      </c>
      <c r="E32" s="21" t="n">
        <f aca="false">IF(OR($A32="",E$4=""),0,COUNTIFS(Formulas!$A$2:$A$1501,E$4,Formulas!$B$2:$B$1501,$A32))</f>
        <v>0</v>
      </c>
      <c r="F32" s="21" t="n">
        <f aca="false">IF(OR($A32="",F$4=""),0,COUNTIFS(Formulas!$A$2:$A$1501,F$4,Formulas!$B$2:$B$1501,$A32))</f>
        <v>0</v>
      </c>
      <c r="G32" s="21" t="n">
        <f aca="false">IF(OR($A32="",G$4=""),0,COUNTIFS(Formulas!$A$2:$A$1501,G$4,Formulas!$B$2:$B$1501,$A32))</f>
        <v>0</v>
      </c>
      <c r="H32" s="21" t="n">
        <f aca="false">IF(OR($A32="",H$4=""),0,COUNTIFS(Formulas!$A$2:$A$1501,H$4,Formulas!$B$2:$B$1501,$A32))</f>
        <v>0</v>
      </c>
      <c r="I32" s="21" t="n">
        <f aca="false">IF(OR($A32="",I$4=""),0,COUNTIFS(Formulas!$A$2:$A$1501,I$4,Formulas!$B$2:$B$1501,$A32))</f>
        <v>0</v>
      </c>
      <c r="J32" s="21" t="n">
        <f aca="false">IF(OR($A32="",J$4=""),0,COUNTIFS(Formulas!$A$2:$A$1501,J$4,Formulas!$B$2:$B$1501,$A32))</f>
        <v>0</v>
      </c>
      <c r="K32" s="21" t="n">
        <f aca="false">IF(OR($A32="",K$4=""),0,COUNTIFS(Formulas!$A$2:$A$1501,K$4,Formulas!$B$2:$B$1501,$A32))</f>
        <v>1</v>
      </c>
      <c r="L32" s="21" t="n">
        <f aca="false">IF(OR($A32="",L$4=""),0,COUNTIFS(Formulas!$A$2:$A$1501,L$4,Formulas!$B$2:$B$1501,$A32))</f>
        <v>1</v>
      </c>
      <c r="M32" s="21" t="n">
        <f aca="false">IF(OR($A32="",M$4=""),0,COUNTIFS(Formulas!$A$2:$A$1501,M$4,Formulas!$B$2:$B$1501,$A32))</f>
        <v>0</v>
      </c>
      <c r="N32" s="21" t="n">
        <f aca="false">IF(OR($A32="",N$4=""),0,COUNTIFS(Formulas!$A$2:$A$1501,N$4,Formulas!$B$2:$B$1501,$A32))</f>
        <v>0</v>
      </c>
      <c r="O32" s="21" t="n">
        <f aca="false">IF(OR($A32="",O$4=""),0,COUNTIFS(Formulas!$A$2:$A$1501,O$4,Formulas!$B$2:$B$1501,$A32))</f>
        <v>0</v>
      </c>
      <c r="P32" s="21" t="n">
        <f aca="false">IF(OR($A32="",P$4=""),0,COUNTIFS(Formulas!$A$2:$A$1501,P$4,Formulas!$B$2:$B$1501,$A32))</f>
        <v>0</v>
      </c>
      <c r="Q32" s="21" t="n">
        <f aca="false">IF(OR($A32="",Q$4=""),0,COUNTIFS(Formulas!$A$2:$A$1501,Q$4,Formulas!$B$2:$B$1501,$A32))</f>
        <v>0</v>
      </c>
      <c r="R32" s="21" t="n">
        <f aca="false">IF(OR($A32="",R$4=""),0,COUNTIFS(Formulas!$A$2:$A$1501,R$4,Formulas!$B$2:$B$1501,$A32))</f>
        <v>0</v>
      </c>
      <c r="S32" s="21" t="n">
        <f aca="false">IF(OR($A32="",S$4=""),0,COUNTIFS(Formulas!$A$2:$A$1501,S$4,Formulas!$B$2:$B$1501,$A32))</f>
        <v>0</v>
      </c>
      <c r="T32" s="21" t="n">
        <f aca="false">IF(OR($A32="",T$4=""),0,COUNTIFS(Formulas!$A$2:$A$1501,T$4,Formulas!$B$2:$B$1501,$A32))</f>
        <v>0</v>
      </c>
      <c r="U32" s="21" t="n">
        <f aca="false">IF(OR($A32="",U$4=""),0,COUNTIFS(Formulas!$A$2:$A$1501,U$4,Formulas!$B$2:$B$1501,$A32))</f>
        <v>0</v>
      </c>
      <c r="V32" s="21" t="n">
        <f aca="false">IF(OR($A32="",V$4=""),0,COUNTIFS(Formulas!$A$2:$A$1501,V$4,Formulas!$B$2:$B$1501,$A32))</f>
        <v>0</v>
      </c>
      <c r="W32" s="21" t="n">
        <f aca="false">IF(OR($A32="",W$4=""),0,COUNTIFS(Formulas!$A$2:$A$1501,W$4,Formulas!$B$2:$B$1501,$A32))</f>
        <v>0</v>
      </c>
      <c r="X32" s="21" t="n">
        <f aca="false">IF(OR($A32="",X$4=""),0,COUNTIFS(Formulas!$A$2:$A$1501,X$4,Formulas!$B$2:$B$1501,$A32))</f>
        <v>0</v>
      </c>
      <c r="Y32" s="21" t="n">
        <f aca="false">IF(OR($A32="",Y$4=""),0,COUNTIFS(Formulas!$A$2:$A$1501,Y$4,Formulas!$B$2:$B$1501,$A32))</f>
        <v>0</v>
      </c>
      <c r="Z32" s="21" t="n">
        <f aca="false">IF(OR($A32="",Z$4=""),0,COUNTIFS(Formulas!$A$2:$A$1501,Z$4,Formulas!$B$2:$B$1501,$A32))</f>
        <v>0</v>
      </c>
      <c r="AA32" s="21" t="n">
        <f aca="false">IF(OR($A32="",AA$4=""),0,COUNTIFS(Formulas!$A$2:$A$1501,AA$4,Formulas!$B$2:$B$1501,$A32))</f>
        <v>0</v>
      </c>
      <c r="AB32" s="21" t="n">
        <f aca="false">IF(OR($A32="",AB$4=""),0,COUNTIFS(Formulas!$A$2:$A$1501,AB$4,Formulas!$B$2:$B$1501,$A32))</f>
        <v>0</v>
      </c>
      <c r="AC32" s="21" t="n">
        <f aca="false">IF(OR($A32="",AC$4=""),0,COUNTIFS(Formulas!$A$2:$A$1501,AC$4,Formulas!$B$2:$B$1501,$A32))</f>
        <v>0</v>
      </c>
      <c r="AD32" s="21" t="n">
        <f aca="false">IF(OR($A32="",AD$4=""),0,COUNTIFS(Formulas!$A$2:$A$1501,AD$4,Formulas!$B$2:$B$1501,$A32))</f>
        <v>0</v>
      </c>
      <c r="AE32" s="21" t="n">
        <f aca="false">IF(OR($A32="",AE$4=""),0,COUNTIFS(Formulas!$A$2:$A$1501,AE$4,Formulas!$B$2:$B$1501,$A32))</f>
        <v>0</v>
      </c>
      <c r="AF32" s="21" t="n">
        <f aca="false">IF(OR($A32="",AF$4=""),0,COUNTIFS(Formulas!$A$2:$A$1501,AF$4,Formulas!$B$2:$B$1501,$A32))</f>
        <v>0</v>
      </c>
      <c r="AG32" s="21" t="n">
        <f aca="false">IF(OR($A32="",AG$4=""),0,COUNTIFS(Formulas!$A$2:$A$1501,AG$4,Formulas!$B$2:$B$1501,$A32))</f>
        <v>0</v>
      </c>
      <c r="AH32" s="21" t="n">
        <f aca="false">IF(OR($A32="",AH$4=""),0,COUNTIFS(Formulas!$A$2:$A$1501,AH$4,Formulas!$B$2:$B$1501,$A32))</f>
        <v>0</v>
      </c>
      <c r="AI32" s="21" t="n">
        <f aca="false">IF(OR($A32="",AI$4=""),0,COUNTIFS(Formulas!$A$2:$A$1501,AI$4,Formulas!$B$2:$B$1501,$A32))</f>
        <v>0</v>
      </c>
      <c r="AJ32" s="21" t="n">
        <f aca="false">IF(OR($A32="",AJ$4=""),0,COUNTIFS(Formulas!$A$2:$A$1501,AJ$4,Formulas!$B$2:$B$1501,$A32))</f>
        <v>0</v>
      </c>
      <c r="AK32" s="21" t="n">
        <f aca="false">IF(OR($A32="",AK$4=""),0,COUNTIFS(Formulas!$A$2:$A$1501,AK$4,Formulas!$B$2:$B$1501,$A32))</f>
        <v>0</v>
      </c>
      <c r="AL32" s="21" t="n">
        <f aca="false">IF(OR($A32="",AL$4=""),0,COUNTIFS(Formulas!$A$2:$A$1501,AL$4,Formulas!$B$2:$B$1501,$A32))</f>
        <v>0</v>
      </c>
      <c r="AM32" s="21" t="n">
        <f aca="false">IF(OR($A32="",AM$4=""),0,COUNTIFS(Formulas!$A$2:$A$1501,AM$4,Formulas!$B$2:$B$1501,$A32))</f>
        <v>0</v>
      </c>
      <c r="AN32" s="21" t="n">
        <f aca="false">IF(OR($A32="",AN$4=""),0,COUNTIFS(Formulas!$A$2:$A$1501,AN$4,Formulas!$B$2:$B$1501,$A32))</f>
        <v>0</v>
      </c>
      <c r="AO32" s="21" t="n">
        <f aca="false">IF(OR($A32="",AO$4=""),0,COUNTIFS(Formulas!$A$2:$A$1501,AO$4,Formulas!$B$2:$B$1501,$A32))</f>
        <v>0</v>
      </c>
      <c r="AP32" s="21" t="n">
        <f aca="false">IF(OR($A32="",AP$4=""),0,COUNTIFS(Formulas!$A$2:$A$1501,AP$4,Formulas!$B$2:$B$1501,$A32))</f>
        <v>0</v>
      </c>
      <c r="AQ32" s="21" t="n">
        <f aca="false">IF(OR($A32="",AQ$4=""),0,COUNTIFS(Formulas!$A$2:$A$1501,AQ$4,Formulas!$B$2:$B$1501,$A32))</f>
        <v>0</v>
      </c>
      <c r="AR32" s="21" t="n">
        <f aca="false">IF(OR($A32="",AR$4=""),0,COUNTIFS(Formulas!$A$2:$A$1501,AR$4,Formulas!$B$2:$B$1501,$A32))</f>
        <v>0</v>
      </c>
      <c r="AS32" s="21" t="n">
        <f aca="false">IF(OR($A32="",AS$4=""),0,COUNTIFS(Formulas!$A$2:$A$1501,AS$4,Formulas!$B$2:$B$1501,$A32))</f>
        <v>0</v>
      </c>
      <c r="AT32" s="21" t="n">
        <f aca="false">IF(OR($A32="",AT$4=""),0,COUNTIFS(Formulas!$A$2:$A$1501,AT$4,Formulas!$B$2:$B$1501,$A32))</f>
        <v>0</v>
      </c>
      <c r="AU32" s="21" t="n">
        <f aca="false">IF(OR($A32="",AU$4=""),0,COUNTIFS(Formulas!$A$2:$A$1501,AU$4,Formulas!$B$2:$B$1501,$A32))</f>
        <v>0</v>
      </c>
      <c r="AV32" s="21" t="n">
        <f aca="false">IF(OR($A32="",AV$4=""),0,COUNTIFS(Formulas!$A$2:$A$1501,AV$4,Formulas!$B$2:$B$1501,$A32))</f>
        <v>0</v>
      </c>
      <c r="AW32" s="21" t="n">
        <f aca="false">IF(OR($A32="",AW$4=""),0,COUNTIFS(Formulas!$A$2:$A$1501,AW$4,Formulas!$B$2:$B$1501,$A32))</f>
        <v>0</v>
      </c>
      <c r="AX32" s="21" t="n">
        <f aca="false">IF(OR($A32="",AX$4=""),0,COUNTIFS(Formulas!$A$2:$A$1501,AX$4,Formulas!$B$2:$B$1501,$A32))</f>
        <v>0</v>
      </c>
      <c r="AY32" s="21" t="n">
        <f aca="false">IF(OR($A32="",AY$4=""),0,COUNTIFS(Formulas!$A$2:$A$1501,AY$4,Formulas!$B$2:$B$1501,$A32))</f>
        <v>0</v>
      </c>
      <c r="AZ32" s="21" t="n">
        <f aca="false">IF(OR($A32="",AZ$4=""),0,COUNTIFS(Formulas!$A$2:$A$1501,AZ$4,Formulas!$B$2:$B$1501,$A32))</f>
        <v>0</v>
      </c>
      <c r="BA32" s="21" t="n">
        <f aca="false">IF(OR($A32="",BA$4=""),0,COUNTIFS(Formulas!$A$2:$A$1501,BA$4,Formulas!$B$2:$B$1501,$A32))</f>
        <v>0</v>
      </c>
      <c r="BB32" s="21" t="n">
        <f aca="false">IF(OR($A32="",BB$4=""),0,COUNTIFS(Formulas!$A$2:$A$1501,BB$4,Formulas!$B$2:$B$1501,$A32))</f>
        <v>0</v>
      </c>
      <c r="BC32" s="21" t="n">
        <f aca="false">IF(OR($A32="",BC$4=""),0,COUNTIFS(Formulas!$A$2:$A$1501,BC$4,Formulas!$B$2:$B$1501,$A32))</f>
        <v>0</v>
      </c>
      <c r="BD32" s="21" t="n">
        <f aca="false">IF(OR($A32="",BD$4=""),0,COUNTIFS(Formulas!$A$2:$A$1501,BD$4,Formulas!$B$2:$B$1501,$A32))</f>
        <v>0</v>
      </c>
      <c r="BE32" s="21" t="n">
        <f aca="false">IF(OR($A32="",BE$4=""),0,COUNTIFS(Formulas!$A$2:$A$1501,BE$4,Formulas!$B$2:$B$1501,$A32))</f>
        <v>0</v>
      </c>
      <c r="BF32" s="21" t="n">
        <f aca="false">IF(OR($A32="",BF$4=""),0,COUNTIFS(Formulas!$A$2:$A$1501,BF$4,Formulas!$B$2:$B$1501,$A32))</f>
        <v>0</v>
      </c>
      <c r="BG32" s="21" t="n">
        <f aca="false">IF(OR($A32="",BG$4=""),0,COUNTIFS(Formulas!$A$2:$A$1501,BG$4,Formulas!$B$2:$B$1501,$A32))</f>
        <v>0</v>
      </c>
      <c r="BH32" s="21" t="n">
        <f aca="false">IF(OR($A32="",BH$4=""),0,COUNTIFS(Formulas!$A$2:$A$1501,BH$4,Formulas!$B$2:$B$1501,$A32))</f>
        <v>0</v>
      </c>
      <c r="BI32" s="21" t="n">
        <f aca="false">IF(OR($A32="",BI$4=""),0,COUNTIFS(Formulas!$A$2:$A$1501,BI$4,Formulas!$B$2:$B$1501,$A32))</f>
        <v>0</v>
      </c>
      <c r="BJ32" s="21" t="n">
        <f aca="false">IF(OR($A32="",BJ$4=""),0,COUNTIFS(Formulas!$A$2:$A$1501,BJ$4,Formulas!$B$2:$B$1501,$A32))</f>
        <v>0</v>
      </c>
    </row>
    <row r="33" customFormat="false" ht="15" hidden="false" customHeight="false" outlineLevel="0" collapsed="false">
      <c r="A33" s="13" t="str">
        <f aca="false">IF(INDEX(Materials!$A$2:$A$201,29)="","",INDEX(Materials!$A$2:$A$201,29))</f>
        <v>Crospovidone</v>
      </c>
      <c r="B33" s="19" t="n">
        <f aca="false">IF(A33="","",COUNTIF(C33:BJ33,"&gt;0"))</f>
        <v>2</v>
      </c>
      <c r="C33" s="21" t="n">
        <f aca="false">IF(OR($A33="",C$4=""),0,COUNTIFS(Formulas!$A$2:$A$1501,C$4,Formulas!$B$2:$B$1501,$A33))</f>
        <v>0</v>
      </c>
      <c r="D33" s="21" t="n">
        <f aca="false">IF(OR($A33="",D$4=""),0,COUNTIFS(Formulas!$A$2:$A$1501,D$4,Formulas!$B$2:$B$1501,$A33))</f>
        <v>0</v>
      </c>
      <c r="E33" s="21" t="n">
        <f aca="false">IF(OR($A33="",E$4=""),0,COUNTIFS(Formulas!$A$2:$A$1501,E$4,Formulas!$B$2:$B$1501,$A33))</f>
        <v>0</v>
      </c>
      <c r="F33" s="21" t="n">
        <f aca="false">IF(OR($A33="",F$4=""),0,COUNTIFS(Formulas!$A$2:$A$1501,F$4,Formulas!$B$2:$B$1501,$A33))</f>
        <v>0</v>
      </c>
      <c r="G33" s="21" t="n">
        <f aca="false">IF(OR($A33="",G$4=""),0,COUNTIFS(Formulas!$A$2:$A$1501,G$4,Formulas!$B$2:$B$1501,$A33))</f>
        <v>0</v>
      </c>
      <c r="H33" s="21" t="n">
        <f aca="false">IF(OR($A33="",H$4=""),0,COUNTIFS(Formulas!$A$2:$A$1501,H$4,Formulas!$B$2:$B$1501,$A33))</f>
        <v>0</v>
      </c>
      <c r="I33" s="21" t="n">
        <f aca="false">IF(OR($A33="",I$4=""),0,COUNTIFS(Formulas!$A$2:$A$1501,I$4,Formulas!$B$2:$B$1501,$A33))</f>
        <v>0</v>
      </c>
      <c r="J33" s="21" t="n">
        <f aca="false">IF(OR($A33="",J$4=""),0,COUNTIFS(Formulas!$A$2:$A$1501,J$4,Formulas!$B$2:$B$1501,$A33))</f>
        <v>0</v>
      </c>
      <c r="K33" s="21" t="n">
        <f aca="false">IF(OR($A33="",K$4=""),0,COUNTIFS(Formulas!$A$2:$A$1501,K$4,Formulas!$B$2:$B$1501,$A33))</f>
        <v>1</v>
      </c>
      <c r="L33" s="21" t="n">
        <f aca="false">IF(OR($A33="",L$4=""),0,COUNTIFS(Formulas!$A$2:$A$1501,L$4,Formulas!$B$2:$B$1501,$A33))</f>
        <v>1</v>
      </c>
      <c r="M33" s="21" t="n">
        <f aca="false">IF(OR($A33="",M$4=""),0,COUNTIFS(Formulas!$A$2:$A$1501,M$4,Formulas!$B$2:$B$1501,$A33))</f>
        <v>0</v>
      </c>
      <c r="N33" s="21" t="n">
        <f aca="false">IF(OR($A33="",N$4=""),0,COUNTIFS(Formulas!$A$2:$A$1501,N$4,Formulas!$B$2:$B$1501,$A33))</f>
        <v>0</v>
      </c>
      <c r="O33" s="21" t="n">
        <f aca="false">IF(OR($A33="",O$4=""),0,COUNTIFS(Formulas!$A$2:$A$1501,O$4,Formulas!$B$2:$B$1501,$A33))</f>
        <v>0</v>
      </c>
      <c r="P33" s="21" t="n">
        <f aca="false">IF(OR($A33="",P$4=""),0,COUNTIFS(Formulas!$A$2:$A$1501,P$4,Formulas!$B$2:$B$1501,$A33))</f>
        <v>0</v>
      </c>
      <c r="Q33" s="21" t="n">
        <f aca="false">IF(OR($A33="",Q$4=""),0,COUNTIFS(Formulas!$A$2:$A$1501,Q$4,Formulas!$B$2:$B$1501,$A33))</f>
        <v>0</v>
      </c>
      <c r="R33" s="21" t="n">
        <f aca="false">IF(OR($A33="",R$4=""),0,COUNTIFS(Formulas!$A$2:$A$1501,R$4,Formulas!$B$2:$B$1501,$A33))</f>
        <v>0</v>
      </c>
      <c r="S33" s="21" t="n">
        <f aca="false">IF(OR($A33="",S$4=""),0,COUNTIFS(Formulas!$A$2:$A$1501,S$4,Formulas!$B$2:$B$1501,$A33))</f>
        <v>0</v>
      </c>
      <c r="T33" s="21" t="n">
        <f aca="false">IF(OR($A33="",T$4=""),0,COUNTIFS(Formulas!$A$2:$A$1501,T$4,Formulas!$B$2:$B$1501,$A33))</f>
        <v>0</v>
      </c>
      <c r="U33" s="21" t="n">
        <f aca="false">IF(OR($A33="",U$4=""),0,COUNTIFS(Formulas!$A$2:$A$1501,U$4,Formulas!$B$2:$B$1501,$A33))</f>
        <v>0</v>
      </c>
      <c r="V33" s="21" t="n">
        <f aca="false">IF(OR($A33="",V$4=""),0,COUNTIFS(Formulas!$A$2:$A$1501,V$4,Formulas!$B$2:$B$1501,$A33))</f>
        <v>0</v>
      </c>
      <c r="W33" s="21" t="n">
        <f aca="false">IF(OR($A33="",W$4=""),0,COUNTIFS(Formulas!$A$2:$A$1501,W$4,Formulas!$B$2:$B$1501,$A33))</f>
        <v>0</v>
      </c>
      <c r="X33" s="21" t="n">
        <f aca="false">IF(OR($A33="",X$4=""),0,COUNTIFS(Formulas!$A$2:$A$1501,X$4,Formulas!$B$2:$B$1501,$A33))</f>
        <v>0</v>
      </c>
      <c r="Y33" s="21" t="n">
        <f aca="false">IF(OR($A33="",Y$4=""),0,COUNTIFS(Formulas!$A$2:$A$1501,Y$4,Formulas!$B$2:$B$1501,$A33))</f>
        <v>0</v>
      </c>
      <c r="Z33" s="21" t="n">
        <f aca="false">IF(OR($A33="",Z$4=""),0,COUNTIFS(Formulas!$A$2:$A$1501,Z$4,Formulas!$B$2:$B$1501,$A33))</f>
        <v>0</v>
      </c>
      <c r="AA33" s="21" t="n">
        <f aca="false">IF(OR($A33="",AA$4=""),0,COUNTIFS(Formulas!$A$2:$A$1501,AA$4,Formulas!$B$2:$B$1501,$A33))</f>
        <v>0</v>
      </c>
      <c r="AB33" s="21" t="n">
        <f aca="false">IF(OR($A33="",AB$4=""),0,COUNTIFS(Formulas!$A$2:$A$1501,AB$4,Formulas!$B$2:$B$1501,$A33))</f>
        <v>0</v>
      </c>
      <c r="AC33" s="21" t="n">
        <f aca="false">IF(OR($A33="",AC$4=""),0,COUNTIFS(Formulas!$A$2:$A$1501,AC$4,Formulas!$B$2:$B$1501,$A33))</f>
        <v>0</v>
      </c>
      <c r="AD33" s="21" t="n">
        <f aca="false">IF(OR($A33="",AD$4=""),0,COUNTIFS(Formulas!$A$2:$A$1501,AD$4,Formulas!$B$2:$B$1501,$A33))</f>
        <v>0</v>
      </c>
      <c r="AE33" s="21" t="n">
        <f aca="false">IF(OR($A33="",AE$4=""),0,COUNTIFS(Formulas!$A$2:$A$1501,AE$4,Formulas!$B$2:$B$1501,$A33))</f>
        <v>0</v>
      </c>
      <c r="AF33" s="21" t="n">
        <f aca="false">IF(OR($A33="",AF$4=""),0,COUNTIFS(Formulas!$A$2:$A$1501,AF$4,Formulas!$B$2:$B$1501,$A33))</f>
        <v>0</v>
      </c>
      <c r="AG33" s="21" t="n">
        <f aca="false">IF(OR($A33="",AG$4=""),0,COUNTIFS(Formulas!$A$2:$A$1501,AG$4,Formulas!$B$2:$B$1501,$A33))</f>
        <v>0</v>
      </c>
      <c r="AH33" s="21" t="n">
        <f aca="false">IF(OR($A33="",AH$4=""),0,COUNTIFS(Formulas!$A$2:$A$1501,AH$4,Formulas!$B$2:$B$1501,$A33))</f>
        <v>0</v>
      </c>
      <c r="AI33" s="21" t="n">
        <f aca="false">IF(OR($A33="",AI$4=""),0,COUNTIFS(Formulas!$A$2:$A$1501,AI$4,Formulas!$B$2:$B$1501,$A33))</f>
        <v>0</v>
      </c>
      <c r="AJ33" s="21" t="n">
        <f aca="false">IF(OR($A33="",AJ$4=""),0,COUNTIFS(Formulas!$A$2:$A$1501,AJ$4,Formulas!$B$2:$B$1501,$A33))</f>
        <v>0</v>
      </c>
      <c r="AK33" s="21" t="n">
        <f aca="false">IF(OR($A33="",AK$4=""),0,COUNTIFS(Formulas!$A$2:$A$1501,AK$4,Formulas!$B$2:$B$1501,$A33))</f>
        <v>0</v>
      </c>
      <c r="AL33" s="21" t="n">
        <f aca="false">IF(OR($A33="",AL$4=""),0,COUNTIFS(Formulas!$A$2:$A$1501,AL$4,Formulas!$B$2:$B$1501,$A33))</f>
        <v>0</v>
      </c>
      <c r="AM33" s="21" t="n">
        <f aca="false">IF(OR($A33="",AM$4=""),0,COUNTIFS(Formulas!$A$2:$A$1501,AM$4,Formulas!$B$2:$B$1501,$A33))</f>
        <v>0</v>
      </c>
      <c r="AN33" s="21" t="n">
        <f aca="false">IF(OR($A33="",AN$4=""),0,COUNTIFS(Formulas!$A$2:$A$1501,AN$4,Formulas!$B$2:$B$1501,$A33))</f>
        <v>0</v>
      </c>
      <c r="AO33" s="21" t="n">
        <f aca="false">IF(OR($A33="",AO$4=""),0,COUNTIFS(Formulas!$A$2:$A$1501,AO$4,Formulas!$B$2:$B$1501,$A33))</f>
        <v>0</v>
      </c>
      <c r="AP33" s="21" t="n">
        <f aca="false">IF(OR($A33="",AP$4=""),0,COUNTIFS(Formulas!$A$2:$A$1501,AP$4,Formulas!$B$2:$B$1501,$A33))</f>
        <v>0</v>
      </c>
      <c r="AQ33" s="21" t="n">
        <f aca="false">IF(OR($A33="",AQ$4=""),0,COUNTIFS(Formulas!$A$2:$A$1501,AQ$4,Formulas!$B$2:$B$1501,$A33))</f>
        <v>0</v>
      </c>
      <c r="AR33" s="21" t="n">
        <f aca="false">IF(OR($A33="",AR$4=""),0,COUNTIFS(Formulas!$A$2:$A$1501,AR$4,Formulas!$B$2:$B$1501,$A33))</f>
        <v>0</v>
      </c>
      <c r="AS33" s="21" t="n">
        <f aca="false">IF(OR($A33="",AS$4=""),0,COUNTIFS(Formulas!$A$2:$A$1501,AS$4,Formulas!$B$2:$B$1501,$A33))</f>
        <v>0</v>
      </c>
      <c r="AT33" s="21" t="n">
        <f aca="false">IF(OR($A33="",AT$4=""),0,COUNTIFS(Formulas!$A$2:$A$1501,AT$4,Formulas!$B$2:$B$1501,$A33))</f>
        <v>0</v>
      </c>
      <c r="AU33" s="21" t="n">
        <f aca="false">IF(OR($A33="",AU$4=""),0,COUNTIFS(Formulas!$A$2:$A$1501,AU$4,Formulas!$B$2:$B$1501,$A33))</f>
        <v>0</v>
      </c>
      <c r="AV33" s="21" t="n">
        <f aca="false">IF(OR($A33="",AV$4=""),0,COUNTIFS(Formulas!$A$2:$A$1501,AV$4,Formulas!$B$2:$B$1501,$A33))</f>
        <v>0</v>
      </c>
      <c r="AW33" s="21" t="n">
        <f aca="false">IF(OR($A33="",AW$4=""),0,COUNTIFS(Formulas!$A$2:$A$1501,AW$4,Formulas!$B$2:$B$1501,$A33))</f>
        <v>0</v>
      </c>
      <c r="AX33" s="21" t="n">
        <f aca="false">IF(OR($A33="",AX$4=""),0,COUNTIFS(Formulas!$A$2:$A$1501,AX$4,Formulas!$B$2:$B$1501,$A33))</f>
        <v>0</v>
      </c>
      <c r="AY33" s="21" t="n">
        <f aca="false">IF(OR($A33="",AY$4=""),0,COUNTIFS(Formulas!$A$2:$A$1501,AY$4,Formulas!$B$2:$B$1501,$A33))</f>
        <v>0</v>
      </c>
      <c r="AZ33" s="21" t="n">
        <f aca="false">IF(OR($A33="",AZ$4=""),0,COUNTIFS(Formulas!$A$2:$A$1501,AZ$4,Formulas!$B$2:$B$1501,$A33))</f>
        <v>0</v>
      </c>
      <c r="BA33" s="21" t="n">
        <f aca="false">IF(OR($A33="",BA$4=""),0,COUNTIFS(Formulas!$A$2:$A$1501,BA$4,Formulas!$B$2:$B$1501,$A33))</f>
        <v>0</v>
      </c>
      <c r="BB33" s="21" t="n">
        <f aca="false">IF(OR($A33="",BB$4=""),0,COUNTIFS(Formulas!$A$2:$A$1501,BB$4,Formulas!$B$2:$B$1501,$A33))</f>
        <v>0</v>
      </c>
      <c r="BC33" s="21" t="n">
        <f aca="false">IF(OR($A33="",BC$4=""),0,COUNTIFS(Formulas!$A$2:$A$1501,BC$4,Formulas!$B$2:$B$1501,$A33))</f>
        <v>0</v>
      </c>
      <c r="BD33" s="21" t="n">
        <f aca="false">IF(OR($A33="",BD$4=""),0,COUNTIFS(Formulas!$A$2:$A$1501,BD$4,Formulas!$B$2:$B$1501,$A33))</f>
        <v>0</v>
      </c>
      <c r="BE33" s="21" t="n">
        <f aca="false">IF(OR($A33="",BE$4=""),0,COUNTIFS(Formulas!$A$2:$A$1501,BE$4,Formulas!$B$2:$B$1501,$A33))</f>
        <v>0</v>
      </c>
      <c r="BF33" s="21" t="n">
        <f aca="false">IF(OR($A33="",BF$4=""),0,COUNTIFS(Formulas!$A$2:$A$1501,BF$4,Formulas!$B$2:$B$1501,$A33))</f>
        <v>0</v>
      </c>
      <c r="BG33" s="21" t="n">
        <f aca="false">IF(OR($A33="",BG$4=""),0,COUNTIFS(Formulas!$A$2:$A$1501,BG$4,Formulas!$B$2:$B$1501,$A33))</f>
        <v>0</v>
      </c>
      <c r="BH33" s="21" t="n">
        <f aca="false">IF(OR($A33="",BH$4=""),0,COUNTIFS(Formulas!$A$2:$A$1501,BH$4,Formulas!$B$2:$B$1501,$A33))</f>
        <v>0</v>
      </c>
      <c r="BI33" s="21" t="n">
        <f aca="false">IF(OR($A33="",BI$4=""),0,COUNTIFS(Formulas!$A$2:$A$1501,BI$4,Formulas!$B$2:$B$1501,$A33))</f>
        <v>0</v>
      </c>
      <c r="BJ33" s="21" t="n">
        <f aca="false">IF(OR($A33="",BJ$4=""),0,COUNTIFS(Formulas!$A$2:$A$1501,BJ$4,Formulas!$B$2:$B$1501,$A33))</f>
        <v>0</v>
      </c>
    </row>
    <row r="34" customFormat="false" ht="15" hidden="false" customHeight="false" outlineLevel="0" collapsed="false">
      <c r="A34" s="13" t="str">
        <f aca="false">IF(INDEX(Materials!$A$2:$A$201,30)="","",INDEX(Materials!$A$2:$A$201,30))</f>
        <v>Water</v>
      </c>
      <c r="B34" s="19" t="n">
        <f aca="false">IF(A34="","",COUNTIF(C34:BJ34,"&gt;0"))</f>
        <v>2</v>
      </c>
      <c r="C34" s="21" t="n">
        <f aca="false">IF(OR($A34="",C$4=""),0,COUNTIFS(Formulas!$A$2:$A$1501,C$4,Formulas!$B$2:$B$1501,$A34))</f>
        <v>0</v>
      </c>
      <c r="D34" s="21" t="n">
        <f aca="false">IF(OR($A34="",D$4=""),0,COUNTIFS(Formulas!$A$2:$A$1501,D$4,Formulas!$B$2:$B$1501,$A34))</f>
        <v>0</v>
      </c>
      <c r="E34" s="21" t="n">
        <f aca="false">IF(OR($A34="",E$4=""),0,COUNTIFS(Formulas!$A$2:$A$1501,E$4,Formulas!$B$2:$B$1501,$A34))</f>
        <v>0</v>
      </c>
      <c r="F34" s="21" t="n">
        <f aca="false">IF(OR($A34="",F$4=""),0,COUNTIFS(Formulas!$A$2:$A$1501,F$4,Formulas!$B$2:$B$1501,$A34))</f>
        <v>0</v>
      </c>
      <c r="G34" s="21" t="n">
        <f aca="false">IF(OR($A34="",G$4=""),0,COUNTIFS(Formulas!$A$2:$A$1501,G$4,Formulas!$B$2:$B$1501,$A34))</f>
        <v>0</v>
      </c>
      <c r="H34" s="21" t="n">
        <f aca="false">IF(OR($A34="",H$4=""),0,COUNTIFS(Formulas!$A$2:$A$1501,H$4,Formulas!$B$2:$B$1501,$A34))</f>
        <v>0</v>
      </c>
      <c r="I34" s="21" t="n">
        <f aca="false">IF(OR($A34="",I$4=""),0,COUNTIFS(Formulas!$A$2:$A$1501,I$4,Formulas!$B$2:$B$1501,$A34))</f>
        <v>0</v>
      </c>
      <c r="J34" s="21" t="n">
        <f aca="false">IF(OR($A34="",J$4=""),0,COUNTIFS(Formulas!$A$2:$A$1501,J$4,Formulas!$B$2:$B$1501,$A34))</f>
        <v>0</v>
      </c>
      <c r="K34" s="21" t="n">
        <f aca="false">IF(OR($A34="",K$4=""),0,COUNTIFS(Formulas!$A$2:$A$1501,K$4,Formulas!$B$2:$B$1501,$A34))</f>
        <v>1</v>
      </c>
      <c r="L34" s="21" t="n">
        <f aca="false">IF(OR($A34="",L$4=""),0,COUNTIFS(Formulas!$A$2:$A$1501,L$4,Formulas!$B$2:$B$1501,$A34))</f>
        <v>1</v>
      </c>
      <c r="M34" s="21" t="n">
        <f aca="false">IF(OR($A34="",M$4=""),0,COUNTIFS(Formulas!$A$2:$A$1501,M$4,Formulas!$B$2:$B$1501,$A34))</f>
        <v>0</v>
      </c>
      <c r="N34" s="21" t="n">
        <f aca="false">IF(OR($A34="",N$4=""),0,COUNTIFS(Formulas!$A$2:$A$1501,N$4,Formulas!$B$2:$B$1501,$A34))</f>
        <v>0</v>
      </c>
      <c r="O34" s="21" t="n">
        <f aca="false">IF(OR($A34="",O$4=""),0,COUNTIFS(Formulas!$A$2:$A$1501,O$4,Formulas!$B$2:$B$1501,$A34))</f>
        <v>0</v>
      </c>
      <c r="P34" s="21" t="n">
        <f aca="false">IF(OR($A34="",P$4=""),0,COUNTIFS(Formulas!$A$2:$A$1501,P$4,Formulas!$B$2:$B$1501,$A34))</f>
        <v>0</v>
      </c>
      <c r="Q34" s="21" t="n">
        <f aca="false">IF(OR($A34="",Q$4=""),0,COUNTIFS(Formulas!$A$2:$A$1501,Q$4,Formulas!$B$2:$B$1501,$A34))</f>
        <v>0</v>
      </c>
      <c r="R34" s="21" t="n">
        <f aca="false">IF(OR($A34="",R$4=""),0,COUNTIFS(Formulas!$A$2:$A$1501,R$4,Formulas!$B$2:$B$1501,$A34))</f>
        <v>0</v>
      </c>
      <c r="S34" s="21" t="n">
        <f aca="false">IF(OR($A34="",S$4=""),0,COUNTIFS(Formulas!$A$2:$A$1501,S$4,Formulas!$B$2:$B$1501,$A34))</f>
        <v>0</v>
      </c>
      <c r="T34" s="21" t="n">
        <f aca="false">IF(OR($A34="",T$4=""),0,COUNTIFS(Formulas!$A$2:$A$1501,T$4,Formulas!$B$2:$B$1501,$A34))</f>
        <v>0</v>
      </c>
      <c r="U34" s="21" t="n">
        <f aca="false">IF(OR($A34="",U$4=""),0,COUNTIFS(Formulas!$A$2:$A$1501,U$4,Formulas!$B$2:$B$1501,$A34))</f>
        <v>0</v>
      </c>
      <c r="V34" s="21" t="n">
        <f aca="false">IF(OR($A34="",V$4=""),0,COUNTIFS(Formulas!$A$2:$A$1501,V$4,Formulas!$B$2:$B$1501,$A34))</f>
        <v>0</v>
      </c>
      <c r="W34" s="21" t="n">
        <f aca="false">IF(OR($A34="",W$4=""),0,COUNTIFS(Formulas!$A$2:$A$1501,W$4,Formulas!$B$2:$B$1501,$A34))</f>
        <v>0</v>
      </c>
      <c r="X34" s="21" t="n">
        <f aca="false">IF(OR($A34="",X$4=""),0,COUNTIFS(Formulas!$A$2:$A$1501,X$4,Formulas!$B$2:$B$1501,$A34))</f>
        <v>0</v>
      </c>
      <c r="Y34" s="21" t="n">
        <f aca="false">IF(OR($A34="",Y$4=""),0,COUNTIFS(Formulas!$A$2:$A$1501,Y$4,Formulas!$B$2:$B$1501,$A34))</f>
        <v>0</v>
      </c>
      <c r="Z34" s="21" t="n">
        <f aca="false">IF(OR($A34="",Z$4=""),0,COUNTIFS(Formulas!$A$2:$A$1501,Z$4,Formulas!$B$2:$B$1501,$A34))</f>
        <v>0</v>
      </c>
      <c r="AA34" s="21" t="n">
        <f aca="false">IF(OR($A34="",AA$4=""),0,COUNTIFS(Formulas!$A$2:$A$1501,AA$4,Formulas!$B$2:$B$1501,$A34))</f>
        <v>0</v>
      </c>
      <c r="AB34" s="21" t="n">
        <f aca="false">IF(OR($A34="",AB$4=""),0,COUNTIFS(Formulas!$A$2:$A$1501,AB$4,Formulas!$B$2:$B$1501,$A34))</f>
        <v>0</v>
      </c>
      <c r="AC34" s="21" t="n">
        <f aca="false">IF(OR($A34="",AC$4=""),0,COUNTIFS(Formulas!$A$2:$A$1501,AC$4,Formulas!$B$2:$B$1501,$A34))</f>
        <v>0</v>
      </c>
      <c r="AD34" s="21" t="n">
        <f aca="false">IF(OR($A34="",AD$4=""),0,COUNTIFS(Formulas!$A$2:$A$1501,AD$4,Formulas!$B$2:$B$1501,$A34))</f>
        <v>0</v>
      </c>
      <c r="AE34" s="21" t="n">
        <f aca="false">IF(OR($A34="",AE$4=""),0,COUNTIFS(Formulas!$A$2:$A$1501,AE$4,Formulas!$B$2:$B$1501,$A34))</f>
        <v>0</v>
      </c>
      <c r="AF34" s="21" t="n">
        <f aca="false">IF(OR($A34="",AF$4=""),0,COUNTIFS(Formulas!$A$2:$A$1501,AF$4,Formulas!$B$2:$B$1501,$A34))</f>
        <v>0</v>
      </c>
      <c r="AG34" s="21" t="n">
        <f aca="false">IF(OR($A34="",AG$4=""),0,COUNTIFS(Formulas!$A$2:$A$1501,AG$4,Formulas!$B$2:$B$1501,$A34))</f>
        <v>0</v>
      </c>
      <c r="AH34" s="21" t="n">
        <f aca="false">IF(OR($A34="",AH$4=""),0,COUNTIFS(Formulas!$A$2:$A$1501,AH$4,Formulas!$B$2:$B$1501,$A34))</f>
        <v>0</v>
      </c>
      <c r="AI34" s="21" t="n">
        <f aca="false">IF(OR($A34="",AI$4=""),0,COUNTIFS(Formulas!$A$2:$A$1501,AI$4,Formulas!$B$2:$B$1501,$A34))</f>
        <v>0</v>
      </c>
      <c r="AJ34" s="21" t="n">
        <f aca="false">IF(OR($A34="",AJ$4=""),0,COUNTIFS(Formulas!$A$2:$A$1501,AJ$4,Formulas!$B$2:$B$1501,$A34))</f>
        <v>0</v>
      </c>
      <c r="AK34" s="21" t="n">
        <f aca="false">IF(OR($A34="",AK$4=""),0,COUNTIFS(Formulas!$A$2:$A$1501,AK$4,Formulas!$B$2:$B$1501,$A34))</f>
        <v>0</v>
      </c>
      <c r="AL34" s="21" t="n">
        <f aca="false">IF(OR($A34="",AL$4=""),0,COUNTIFS(Formulas!$A$2:$A$1501,AL$4,Formulas!$B$2:$B$1501,$A34))</f>
        <v>0</v>
      </c>
      <c r="AM34" s="21" t="n">
        <f aca="false">IF(OR($A34="",AM$4=""),0,COUNTIFS(Formulas!$A$2:$A$1501,AM$4,Formulas!$B$2:$B$1501,$A34))</f>
        <v>0</v>
      </c>
      <c r="AN34" s="21" t="n">
        <f aca="false">IF(OR($A34="",AN$4=""),0,COUNTIFS(Formulas!$A$2:$A$1501,AN$4,Formulas!$B$2:$B$1501,$A34))</f>
        <v>0</v>
      </c>
      <c r="AO34" s="21" t="n">
        <f aca="false">IF(OR($A34="",AO$4=""),0,COUNTIFS(Formulas!$A$2:$A$1501,AO$4,Formulas!$B$2:$B$1501,$A34))</f>
        <v>0</v>
      </c>
      <c r="AP34" s="21" t="n">
        <f aca="false">IF(OR($A34="",AP$4=""),0,COUNTIFS(Formulas!$A$2:$A$1501,AP$4,Formulas!$B$2:$B$1501,$A34))</f>
        <v>0</v>
      </c>
      <c r="AQ34" s="21" t="n">
        <f aca="false">IF(OR($A34="",AQ$4=""),0,COUNTIFS(Formulas!$A$2:$A$1501,AQ$4,Formulas!$B$2:$B$1501,$A34))</f>
        <v>0</v>
      </c>
      <c r="AR34" s="21" t="n">
        <f aca="false">IF(OR($A34="",AR$4=""),0,COUNTIFS(Formulas!$A$2:$A$1501,AR$4,Formulas!$B$2:$B$1501,$A34))</f>
        <v>0</v>
      </c>
      <c r="AS34" s="21" t="n">
        <f aca="false">IF(OR($A34="",AS$4=""),0,COUNTIFS(Formulas!$A$2:$A$1501,AS$4,Formulas!$B$2:$B$1501,$A34))</f>
        <v>0</v>
      </c>
      <c r="AT34" s="21" t="n">
        <f aca="false">IF(OR($A34="",AT$4=""),0,COUNTIFS(Formulas!$A$2:$A$1501,AT$4,Formulas!$B$2:$B$1501,$A34))</f>
        <v>0</v>
      </c>
      <c r="AU34" s="21" t="n">
        <f aca="false">IF(OR($A34="",AU$4=""),0,COUNTIFS(Formulas!$A$2:$A$1501,AU$4,Formulas!$B$2:$B$1501,$A34))</f>
        <v>0</v>
      </c>
      <c r="AV34" s="21" t="n">
        <f aca="false">IF(OR($A34="",AV$4=""),0,COUNTIFS(Formulas!$A$2:$A$1501,AV$4,Formulas!$B$2:$B$1501,$A34))</f>
        <v>0</v>
      </c>
      <c r="AW34" s="21" t="n">
        <f aca="false">IF(OR($A34="",AW$4=""),0,COUNTIFS(Formulas!$A$2:$A$1501,AW$4,Formulas!$B$2:$B$1501,$A34))</f>
        <v>0</v>
      </c>
      <c r="AX34" s="21" t="n">
        <f aca="false">IF(OR($A34="",AX$4=""),0,COUNTIFS(Formulas!$A$2:$A$1501,AX$4,Formulas!$B$2:$B$1501,$A34))</f>
        <v>0</v>
      </c>
      <c r="AY34" s="21" t="n">
        <f aca="false">IF(OR($A34="",AY$4=""),0,COUNTIFS(Formulas!$A$2:$A$1501,AY$4,Formulas!$B$2:$B$1501,$A34))</f>
        <v>0</v>
      </c>
      <c r="AZ34" s="21" t="n">
        <f aca="false">IF(OR($A34="",AZ$4=""),0,COUNTIFS(Formulas!$A$2:$A$1501,AZ$4,Formulas!$B$2:$B$1501,$A34))</f>
        <v>0</v>
      </c>
      <c r="BA34" s="21" t="n">
        <f aca="false">IF(OR($A34="",BA$4=""),0,COUNTIFS(Formulas!$A$2:$A$1501,BA$4,Formulas!$B$2:$B$1501,$A34))</f>
        <v>0</v>
      </c>
      <c r="BB34" s="21" t="n">
        <f aca="false">IF(OR($A34="",BB$4=""),0,COUNTIFS(Formulas!$A$2:$A$1501,BB$4,Formulas!$B$2:$B$1501,$A34))</f>
        <v>0</v>
      </c>
      <c r="BC34" s="21" t="n">
        <f aca="false">IF(OR($A34="",BC$4=""),0,COUNTIFS(Formulas!$A$2:$A$1501,BC$4,Formulas!$B$2:$B$1501,$A34))</f>
        <v>0</v>
      </c>
      <c r="BD34" s="21" t="n">
        <f aca="false">IF(OR($A34="",BD$4=""),0,COUNTIFS(Formulas!$A$2:$A$1501,BD$4,Formulas!$B$2:$B$1501,$A34))</f>
        <v>0</v>
      </c>
      <c r="BE34" s="21" t="n">
        <f aca="false">IF(OR($A34="",BE$4=""),0,COUNTIFS(Formulas!$A$2:$A$1501,BE$4,Formulas!$B$2:$B$1501,$A34))</f>
        <v>0</v>
      </c>
      <c r="BF34" s="21" t="n">
        <f aca="false">IF(OR($A34="",BF$4=""),0,COUNTIFS(Formulas!$A$2:$A$1501,BF$4,Formulas!$B$2:$B$1501,$A34))</f>
        <v>0</v>
      </c>
      <c r="BG34" s="21" t="n">
        <f aca="false">IF(OR($A34="",BG$4=""),0,COUNTIFS(Formulas!$A$2:$A$1501,BG$4,Formulas!$B$2:$B$1501,$A34))</f>
        <v>0</v>
      </c>
      <c r="BH34" s="21" t="n">
        <f aca="false">IF(OR($A34="",BH$4=""),0,COUNTIFS(Formulas!$A$2:$A$1501,BH$4,Formulas!$B$2:$B$1501,$A34))</f>
        <v>0</v>
      </c>
      <c r="BI34" s="21" t="n">
        <f aca="false">IF(OR($A34="",BI$4=""),0,COUNTIFS(Formulas!$A$2:$A$1501,BI$4,Formulas!$B$2:$B$1501,$A34))</f>
        <v>0</v>
      </c>
      <c r="BJ34" s="21" t="n">
        <f aca="false">IF(OR($A34="",BJ$4=""),0,COUNTIFS(Formulas!$A$2:$A$1501,BJ$4,Formulas!$B$2:$B$1501,$A34))</f>
        <v>0</v>
      </c>
    </row>
    <row r="35" customFormat="false" ht="15" hidden="false" customHeight="false" outlineLevel="0" collapsed="false">
      <c r="A35" s="13" t="str">
        <f aca="false">IF(INDEX(Materials!$A$2:$A$201,31)="","",INDEX(Materials!$A$2:$A$201,31))</f>
        <v/>
      </c>
      <c r="B35" s="19" t="str">
        <f aca="false">IF(A35="","",COUNTIF(C35:BJ35,"&gt;0"))</f>
        <v/>
      </c>
      <c r="C35" s="21" t="n">
        <f aca="false">IF(OR($A35="",C$4=""),0,COUNTIFS(Formulas!$A$2:$A$1501,C$4,Formulas!$B$2:$B$1501,$A35))</f>
        <v>0</v>
      </c>
      <c r="D35" s="21" t="n">
        <f aca="false">IF(OR($A35="",D$4=""),0,COUNTIFS(Formulas!$A$2:$A$1501,D$4,Formulas!$B$2:$B$1501,$A35))</f>
        <v>0</v>
      </c>
      <c r="E35" s="21" t="n">
        <f aca="false">IF(OR($A35="",E$4=""),0,COUNTIFS(Formulas!$A$2:$A$1501,E$4,Formulas!$B$2:$B$1501,$A35))</f>
        <v>0</v>
      </c>
      <c r="F35" s="21" t="n">
        <f aca="false">IF(OR($A35="",F$4=""),0,COUNTIFS(Formulas!$A$2:$A$1501,F$4,Formulas!$B$2:$B$1501,$A35))</f>
        <v>0</v>
      </c>
      <c r="G35" s="21" t="n">
        <f aca="false">IF(OR($A35="",G$4=""),0,COUNTIFS(Formulas!$A$2:$A$1501,G$4,Formulas!$B$2:$B$1501,$A35))</f>
        <v>0</v>
      </c>
      <c r="H35" s="21" t="n">
        <f aca="false">IF(OR($A35="",H$4=""),0,COUNTIFS(Formulas!$A$2:$A$1501,H$4,Formulas!$B$2:$B$1501,$A35))</f>
        <v>0</v>
      </c>
      <c r="I35" s="21" t="n">
        <f aca="false">IF(OR($A35="",I$4=""),0,COUNTIFS(Formulas!$A$2:$A$1501,I$4,Formulas!$B$2:$B$1501,$A35))</f>
        <v>0</v>
      </c>
      <c r="J35" s="21" t="n">
        <f aca="false">IF(OR($A35="",J$4=""),0,COUNTIFS(Formulas!$A$2:$A$1501,J$4,Formulas!$B$2:$B$1501,$A35))</f>
        <v>0</v>
      </c>
      <c r="K35" s="21" t="n">
        <f aca="false">IF(OR($A35="",K$4=""),0,COUNTIFS(Formulas!$A$2:$A$1501,K$4,Formulas!$B$2:$B$1501,$A35))</f>
        <v>0</v>
      </c>
      <c r="L35" s="21" t="n">
        <f aca="false">IF(OR($A35="",L$4=""),0,COUNTIFS(Formulas!$A$2:$A$1501,L$4,Formulas!$B$2:$B$1501,$A35))</f>
        <v>0</v>
      </c>
      <c r="M35" s="21" t="n">
        <f aca="false">IF(OR($A35="",M$4=""),0,COUNTIFS(Formulas!$A$2:$A$1501,M$4,Formulas!$B$2:$B$1501,$A35))</f>
        <v>0</v>
      </c>
      <c r="N35" s="21" t="n">
        <f aca="false">IF(OR($A35="",N$4=""),0,COUNTIFS(Formulas!$A$2:$A$1501,N$4,Formulas!$B$2:$B$1501,$A35))</f>
        <v>0</v>
      </c>
      <c r="O35" s="21" t="n">
        <f aca="false">IF(OR($A35="",O$4=""),0,COUNTIFS(Formulas!$A$2:$A$1501,O$4,Formulas!$B$2:$B$1501,$A35))</f>
        <v>0</v>
      </c>
      <c r="P35" s="21" t="n">
        <f aca="false">IF(OR($A35="",P$4=""),0,COUNTIFS(Formulas!$A$2:$A$1501,P$4,Formulas!$B$2:$B$1501,$A35))</f>
        <v>0</v>
      </c>
      <c r="Q35" s="21" t="n">
        <f aca="false">IF(OR($A35="",Q$4=""),0,COUNTIFS(Formulas!$A$2:$A$1501,Q$4,Formulas!$B$2:$B$1501,$A35))</f>
        <v>0</v>
      </c>
      <c r="R35" s="21" t="n">
        <f aca="false">IF(OR($A35="",R$4=""),0,COUNTIFS(Formulas!$A$2:$A$1501,R$4,Formulas!$B$2:$B$1501,$A35))</f>
        <v>0</v>
      </c>
      <c r="S35" s="21" t="n">
        <f aca="false">IF(OR($A35="",S$4=""),0,COUNTIFS(Formulas!$A$2:$A$1501,S$4,Formulas!$B$2:$B$1501,$A35))</f>
        <v>0</v>
      </c>
      <c r="T35" s="21" t="n">
        <f aca="false">IF(OR($A35="",T$4=""),0,COUNTIFS(Formulas!$A$2:$A$1501,T$4,Formulas!$B$2:$B$1501,$A35))</f>
        <v>0</v>
      </c>
      <c r="U35" s="21" t="n">
        <f aca="false">IF(OR($A35="",U$4=""),0,COUNTIFS(Formulas!$A$2:$A$1501,U$4,Formulas!$B$2:$B$1501,$A35))</f>
        <v>0</v>
      </c>
      <c r="V35" s="21" t="n">
        <f aca="false">IF(OR($A35="",V$4=""),0,COUNTIFS(Formulas!$A$2:$A$1501,V$4,Formulas!$B$2:$B$1501,$A35))</f>
        <v>0</v>
      </c>
      <c r="W35" s="21" t="n">
        <f aca="false">IF(OR($A35="",W$4=""),0,COUNTIFS(Formulas!$A$2:$A$1501,W$4,Formulas!$B$2:$B$1501,$A35))</f>
        <v>0</v>
      </c>
      <c r="X35" s="21" t="n">
        <f aca="false">IF(OR($A35="",X$4=""),0,COUNTIFS(Formulas!$A$2:$A$1501,X$4,Formulas!$B$2:$B$1501,$A35))</f>
        <v>0</v>
      </c>
      <c r="Y35" s="21" t="n">
        <f aca="false">IF(OR($A35="",Y$4=""),0,COUNTIFS(Formulas!$A$2:$A$1501,Y$4,Formulas!$B$2:$B$1501,$A35))</f>
        <v>0</v>
      </c>
      <c r="Z35" s="21" t="n">
        <f aca="false">IF(OR($A35="",Z$4=""),0,COUNTIFS(Formulas!$A$2:$A$1501,Z$4,Formulas!$B$2:$B$1501,$A35))</f>
        <v>0</v>
      </c>
      <c r="AA35" s="21" t="n">
        <f aca="false">IF(OR($A35="",AA$4=""),0,COUNTIFS(Formulas!$A$2:$A$1501,AA$4,Formulas!$B$2:$B$1501,$A35))</f>
        <v>0</v>
      </c>
      <c r="AB35" s="21" t="n">
        <f aca="false">IF(OR($A35="",AB$4=""),0,COUNTIFS(Formulas!$A$2:$A$1501,AB$4,Formulas!$B$2:$B$1501,$A35))</f>
        <v>0</v>
      </c>
      <c r="AC35" s="21" t="n">
        <f aca="false">IF(OR($A35="",AC$4=""),0,COUNTIFS(Formulas!$A$2:$A$1501,AC$4,Formulas!$B$2:$B$1501,$A35))</f>
        <v>0</v>
      </c>
      <c r="AD35" s="21" t="n">
        <f aca="false">IF(OR($A35="",AD$4=""),0,COUNTIFS(Formulas!$A$2:$A$1501,AD$4,Formulas!$B$2:$B$1501,$A35))</f>
        <v>0</v>
      </c>
      <c r="AE35" s="21" t="n">
        <f aca="false">IF(OR($A35="",AE$4=""),0,COUNTIFS(Formulas!$A$2:$A$1501,AE$4,Formulas!$B$2:$B$1501,$A35))</f>
        <v>0</v>
      </c>
      <c r="AF35" s="21" t="n">
        <f aca="false">IF(OR($A35="",AF$4=""),0,COUNTIFS(Formulas!$A$2:$A$1501,AF$4,Formulas!$B$2:$B$1501,$A35))</f>
        <v>0</v>
      </c>
      <c r="AG35" s="21" t="n">
        <f aca="false">IF(OR($A35="",AG$4=""),0,COUNTIFS(Formulas!$A$2:$A$1501,AG$4,Formulas!$B$2:$B$1501,$A35))</f>
        <v>0</v>
      </c>
      <c r="AH35" s="21" t="n">
        <f aca="false">IF(OR($A35="",AH$4=""),0,COUNTIFS(Formulas!$A$2:$A$1501,AH$4,Formulas!$B$2:$B$1501,$A35))</f>
        <v>0</v>
      </c>
      <c r="AI35" s="21" t="n">
        <f aca="false">IF(OR($A35="",AI$4=""),0,COUNTIFS(Formulas!$A$2:$A$1501,AI$4,Formulas!$B$2:$B$1501,$A35))</f>
        <v>0</v>
      </c>
      <c r="AJ35" s="21" t="n">
        <f aca="false">IF(OR($A35="",AJ$4=""),0,COUNTIFS(Formulas!$A$2:$A$1501,AJ$4,Formulas!$B$2:$B$1501,$A35))</f>
        <v>0</v>
      </c>
      <c r="AK35" s="21" t="n">
        <f aca="false">IF(OR($A35="",AK$4=""),0,COUNTIFS(Formulas!$A$2:$A$1501,AK$4,Formulas!$B$2:$B$1501,$A35))</f>
        <v>0</v>
      </c>
      <c r="AL35" s="21" t="n">
        <f aca="false">IF(OR($A35="",AL$4=""),0,COUNTIFS(Formulas!$A$2:$A$1501,AL$4,Formulas!$B$2:$B$1501,$A35))</f>
        <v>0</v>
      </c>
      <c r="AM35" s="21" t="n">
        <f aca="false">IF(OR($A35="",AM$4=""),0,COUNTIFS(Formulas!$A$2:$A$1501,AM$4,Formulas!$B$2:$B$1501,$A35))</f>
        <v>0</v>
      </c>
      <c r="AN35" s="21" t="n">
        <f aca="false">IF(OR($A35="",AN$4=""),0,COUNTIFS(Formulas!$A$2:$A$1501,AN$4,Formulas!$B$2:$B$1501,$A35))</f>
        <v>0</v>
      </c>
      <c r="AO35" s="21" t="n">
        <f aca="false">IF(OR($A35="",AO$4=""),0,COUNTIFS(Formulas!$A$2:$A$1501,AO$4,Formulas!$B$2:$B$1501,$A35))</f>
        <v>0</v>
      </c>
      <c r="AP35" s="21" t="n">
        <f aca="false">IF(OR($A35="",AP$4=""),0,COUNTIFS(Formulas!$A$2:$A$1501,AP$4,Formulas!$B$2:$B$1501,$A35))</f>
        <v>0</v>
      </c>
      <c r="AQ35" s="21" t="n">
        <f aca="false">IF(OR($A35="",AQ$4=""),0,COUNTIFS(Formulas!$A$2:$A$1501,AQ$4,Formulas!$B$2:$B$1501,$A35))</f>
        <v>0</v>
      </c>
      <c r="AR35" s="21" t="n">
        <f aca="false">IF(OR($A35="",AR$4=""),0,COUNTIFS(Formulas!$A$2:$A$1501,AR$4,Formulas!$B$2:$B$1501,$A35))</f>
        <v>0</v>
      </c>
      <c r="AS35" s="21" t="n">
        <f aca="false">IF(OR($A35="",AS$4=""),0,COUNTIFS(Formulas!$A$2:$A$1501,AS$4,Formulas!$B$2:$B$1501,$A35))</f>
        <v>0</v>
      </c>
      <c r="AT35" s="21" t="n">
        <f aca="false">IF(OR($A35="",AT$4=""),0,COUNTIFS(Formulas!$A$2:$A$1501,AT$4,Formulas!$B$2:$B$1501,$A35))</f>
        <v>0</v>
      </c>
      <c r="AU35" s="21" t="n">
        <f aca="false">IF(OR($A35="",AU$4=""),0,COUNTIFS(Formulas!$A$2:$A$1501,AU$4,Formulas!$B$2:$B$1501,$A35))</f>
        <v>0</v>
      </c>
      <c r="AV35" s="21" t="n">
        <f aca="false">IF(OR($A35="",AV$4=""),0,COUNTIFS(Formulas!$A$2:$A$1501,AV$4,Formulas!$B$2:$B$1501,$A35))</f>
        <v>0</v>
      </c>
      <c r="AW35" s="21" t="n">
        <f aca="false">IF(OR($A35="",AW$4=""),0,COUNTIFS(Formulas!$A$2:$A$1501,AW$4,Formulas!$B$2:$B$1501,$A35))</f>
        <v>0</v>
      </c>
      <c r="AX35" s="21" t="n">
        <f aca="false">IF(OR($A35="",AX$4=""),0,COUNTIFS(Formulas!$A$2:$A$1501,AX$4,Formulas!$B$2:$B$1501,$A35))</f>
        <v>0</v>
      </c>
      <c r="AY35" s="21" t="n">
        <f aca="false">IF(OR($A35="",AY$4=""),0,COUNTIFS(Formulas!$A$2:$A$1501,AY$4,Formulas!$B$2:$B$1501,$A35))</f>
        <v>0</v>
      </c>
      <c r="AZ35" s="21" t="n">
        <f aca="false">IF(OR($A35="",AZ$4=""),0,COUNTIFS(Formulas!$A$2:$A$1501,AZ$4,Formulas!$B$2:$B$1501,$A35))</f>
        <v>0</v>
      </c>
      <c r="BA35" s="21" t="n">
        <f aca="false">IF(OR($A35="",BA$4=""),0,COUNTIFS(Formulas!$A$2:$A$1501,BA$4,Formulas!$B$2:$B$1501,$A35))</f>
        <v>0</v>
      </c>
      <c r="BB35" s="21" t="n">
        <f aca="false">IF(OR($A35="",BB$4=""),0,COUNTIFS(Formulas!$A$2:$A$1501,BB$4,Formulas!$B$2:$B$1501,$A35))</f>
        <v>0</v>
      </c>
      <c r="BC35" s="21" t="n">
        <f aca="false">IF(OR($A35="",BC$4=""),0,COUNTIFS(Formulas!$A$2:$A$1501,BC$4,Formulas!$B$2:$B$1501,$A35))</f>
        <v>0</v>
      </c>
      <c r="BD35" s="21" t="n">
        <f aca="false">IF(OR($A35="",BD$4=""),0,COUNTIFS(Formulas!$A$2:$A$1501,BD$4,Formulas!$B$2:$B$1501,$A35))</f>
        <v>0</v>
      </c>
      <c r="BE35" s="21" t="n">
        <f aca="false">IF(OR($A35="",BE$4=""),0,COUNTIFS(Formulas!$A$2:$A$1501,BE$4,Formulas!$B$2:$B$1501,$A35))</f>
        <v>0</v>
      </c>
      <c r="BF35" s="21" t="n">
        <f aca="false">IF(OR($A35="",BF$4=""),0,COUNTIFS(Formulas!$A$2:$A$1501,BF$4,Formulas!$B$2:$B$1501,$A35))</f>
        <v>0</v>
      </c>
      <c r="BG35" s="21" t="n">
        <f aca="false">IF(OR($A35="",BG$4=""),0,COUNTIFS(Formulas!$A$2:$A$1501,BG$4,Formulas!$B$2:$B$1501,$A35))</f>
        <v>0</v>
      </c>
      <c r="BH35" s="21" t="n">
        <f aca="false">IF(OR($A35="",BH$4=""),0,COUNTIFS(Formulas!$A$2:$A$1501,BH$4,Formulas!$B$2:$B$1501,$A35))</f>
        <v>0</v>
      </c>
      <c r="BI35" s="21" t="n">
        <f aca="false">IF(OR($A35="",BI$4=""),0,COUNTIFS(Formulas!$A$2:$A$1501,BI$4,Formulas!$B$2:$B$1501,$A35))</f>
        <v>0</v>
      </c>
      <c r="BJ35" s="21" t="n">
        <f aca="false">IF(OR($A35="",BJ$4=""),0,COUNTIFS(Formulas!$A$2:$A$1501,BJ$4,Formulas!$B$2:$B$1501,$A35))</f>
        <v>0</v>
      </c>
    </row>
    <row r="36" customFormat="false" ht="15" hidden="false" customHeight="false" outlineLevel="0" collapsed="false">
      <c r="A36" s="13" t="str">
        <f aca="false">IF(INDEX(Materials!$A$2:$A$201,32)="","",INDEX(Materials!$A$2:$A$201,32))</f>
        <v/>
      </c>
      <c r="B36" s="19" t="str">
        <f aca="false">IF(A36="","",COUNTIF(C36:BJ36,"&gt;0"))</f>
        <v/>
      </c>
      <c r="C36" s="21" t="n">
        <f aca="false">IF(OR($A36="",C$4=""),0,COUNTIFS(Formulas!$A$2:$A$1501,C$4,Formulas!$B$2:$B$1501,$A36))</f>
        <v>0</v>
      </c>
      <c r="D36" s="21" t="n">
        <f aca="false">IF(OR($A36="",D$4=""),0,COUNTIFS(Formulas!$A$2:$A$1501,D$4,Formulas!$B$2:$B$1501,$A36))</f>
        <v>0</v>
      </c>
      <c r="E36" s="21" t="n">
        <f aca="false">IF(OR($A36="",E$4=""),0,COUNTIFS(Formulas!$A$2:$A$1501,E$4,Formulas!$B$2:$B$1501,$A36))</f>
        <v>0</v>
      </c>
      <c r="F36" s="21" t="n">
        <f aca="false">IF(OR($A36="",F$4=""),0,COUNTIFS(Formulas!$A$2:$A$1501,F$4,Formulas!$B$2:$B$1501,$A36))</f>
        <v>0</v>
      </c>
      <c r="G36" s="21" t="n">
        <f aca="false">IF(OR($A36="",G$4=""),0,COUNTIFS(Formulas!$A$2:$A$1501,G$4,Formulas!$B$2:$B$1501,$A36))</f>
        <v>0</v>
      </c>
      <c r="H36" s="21" t="n">
        <f aca="false">IF(OR($A36="",H$4=""),0,COUNTIFS(Formulas!$A$2:$A$1501,H$4,Formulas!$B$2:$B$1501,$A36))</f>
        <v>0</v>
      </c>
      <c r="I36" s="21" t="n">
        <f aca="false">IF(OR($A36="",I$4=""),0,COUNTIFS(Formulas!$A$2:$A$1501,I$4,Formulas!$B$2:$B$1501,$A36))</f>
        <v>0</v>
      </c>
      <c r="J36" s="21" t="n">
        <f aca="false">IF(OR($A36="",J$4=""),0,COUNTIFS(Formulas!$A$2:$A$1501,J$4,Formulas!$B$2:$B$1501,$A36))</f>
        <v>0</v>
      </c>
      <c r="K36" s="21" t="n">
        <f aca="false">IF(OR($A36="",K$4=""),0,COUNTIFS(Formulas!$A$2:$A$1501,K$4,Formulas!$B$2:$B$1501,$A36))</f>
        <v>0</v>
      </c>
      <c r="L36" s="21" t="n">
        <f aca="false">IF(OR($A36="",L$4=""),0,COUNTIFS(Formulas!$A$2:$A$1501,L$4,Formulas!$B$2:$B$1501,$A36))</f>
        <v>0</v>
      </c>
      <c r="M36" s="21" t="n">
        <f aca="false">IF(OR($A36="",M$4=""),0,COUNTIFS(Formulas!$A$2:$A$1501,M$4,Formulas!$B$2:$B$1501,$A36))</f>
        <v>0</v>
      </c>
      <c r="N36" s="21" t="n">
        <f aca="false">IF(OR($A36="",N$4=""),0,COUNTIFS(Formulas!$A$2:$A$1501,N$4,Formulas!$B$2:$B$1501,$A36))</f>
        <v>0</v>
      </c>
      <c r="O36" s="21" t="n">
        <f aca="false">IF(OR($A36="",O$4=""),0,COUNTIFS(Formulas!$A$2:$A$1501,O$4,Formulas!$B$2:$B$1501,$A36))</f>
        <v>0</v>
      </c>
      <c r="P36" s="21" t="n">
        <f aca="false">IF(OR($A36="",P$4=""),0,COUNTIFS(Formulas!$A$2:$A$1501,P$4,Formulas!$B$2:$B$1501,$A36))</f>
        <v>0</v>
      </c>
      <c r="Q36" s="21" t="n">
        <f aca="false">IF(OR($A36="",Q$4=""),0,COUNTIFS(Formulas!$A$2:$A$1501,Q$4,Formulas!$B$2:$B$1501,$A36))</f>
        <v>0</v>
      </c>
      <c r="R36" s="21" t="n">
        <f aca="false">IF(OR($A36="",R$4=""),0,COUNTIFS(Formulas!$A$2:$A$1501,R$4,Formulas!$B$2:$B$1501,$A36))</f>
        <v>0</v>
      </c>
      <c r="S36" s="21" t="n">
        <f aca="false">IF(OR($A36="",S$4=""),0,COUNTIFS(Formulas!$A$2:$A$1501,S$4,Formulas!$B$2:$B$1501,$A36))</f>
        <v>0</v>
      </c>
      <c r="T36" s="21" t="n">
        <f aca="false">IF(OR($A36="",T$4=""),0,COUNTIFS(Formulas!$A$2:$A$1501,T$4,Formulas!$B$2:$B$1501,$A36))</f>
        <v>0</v>
      </c>
      <c r="U36" s="21" t="n">
        <f aca="false">IF(OR($A36="",U$4=""),0,COUNTIFS(Formulas!$A$2:$A$1501,U$4,Formulas!$B$2:$B$1501,$A36))</f>
        <v>0</v>
      </c>
      <c r="V36" s="21" t="n">
        <f aca="false">IF(OR($A36="",V$4=""),0,COUNTIFS(Formulas!$A$2:$A$1501,V$4,Formulas!$B$2:$B$1501,$A36))</f>
        <v>0</v>
      </c>
      <c r="W36" s="21" t="n">
        <f aca="false">IF(OR($A36="",W$4=""),0,COUNTIFS(Formulas!$A$2:$A$1501,W$4,Formulas!$B$2:$B$1501,$A36))</f>
        <v>0</v>
      </c>
      <c r="X36" s="21" t="n">
        <f aca="false">IF(OR($A36="",X$4=""),0,COUNTIFS(Formulas!$A$2:$A$1501,X$4,Formulas!$B$2:$B$1501,$A36))</f>
        <v>0</v>
      </c>
      <c r="Y36" s="21" t="n">
        <f aca="false">IF(OR($A36="",Y$4=""),0,COUNTIFS(Formulas!$A$2:$A$1501,Y$4,Formulas!$B$2:$B$1501,$A36))</f>
        <v>0</v>
      </c>
      <c r="Z36" s="21" t="n">
        <f aca="false">IF(OR($A36="",Z$4=""),0,COUNTIFS(Formulas!$A$2:$A$1501,Z$4,Formulas!$B$2:$B$1501,$A36))</f>
        <v>0</v>
      </c>
      <c r="AA36" s="21" t="n">
        <f aca="false">IF(OR($A36="",AA$4=""),0,COUNTIFS(Formulas!$A$2:$A$1501,AA$4,Formulas!$B$2:$B$1501,$A36))</f>
        <v>0</v>
      </c>
      <c r="AB36" s="21" t="n">
        <f aca="false">IF(OR($A36="",AB$4=""),0,COUNTIFS(Formulas!$A$2:$A$1501,AB$4,Formulas!$B$2:$B$1501,$A36))</f>
        <v>0</v>
      </c>
      <c r="AC36" s="21" t="n">
        <f aca="false">IF(OR($A36="",AC$4=""),0,COUNTIFS(Formulas!$A$2:$A$1501,AC$4,Formulas!$B$2:$B$1501,$A36))</f>
        <v>0</v>
      </c>
      <c r="AD36" s="21" t="n">
        <f aca="false">IF(OR($A36="",AD$4=""),0,COUNTIFS(Formulas!$A$2:$A$1501,AD$4,Formulas!$B$2:$B$1501,$A36))</f>
        <v>0</v>
      </c>
      <c r="AE36" s="21" t="n">
        <f aca="false">IF(OR($A36="",AE$4=""),0,COUNTIFS(Formulas!$A$2:$A$1501,AE$4,Formulas!$B$2:$B$1501,$A36))</f>
        <v>0</v>
      </c>
      <c r="AF36" s="21" t="n">
        <f aca="false">IF(OR($A36="",AF$4=""),0,COUNTIFS(Formulas!$A$2:$A$1501,AF$4,Formulas!$B$2:$B$1501,$A36))</f>
        <v>0</v>
      </c>
      <c r="AG36" s="21" t="n">
        <f aca="false">IF(OR($A36="",AG$4=""),0,COUNTIFS(Formulas!$A$2:$A$1501,AG$4,Formulas!$B$2:$B$1501,$A36))</f>
        <v>0</v>
      </c>
      <c r="AH36" s="21" t="n">
        <f aca="false">IF(OR($A36="",AH$4=""),0,COUNTIFS(Formulas!$A$2:$A$1501,AH$4,Formulas!$B$2:$B$1501,$A36))</f>
        <v>0</v>
      </c>
      <c r="AI36" s="21" t="n">
        <f aca="false">IF(OR($A36="",AI$4=""),0,COUNTIFS(Formulas!$A$2:$A$1501,AI$4,Formulas!$B$2:$B$1501,$A36))</f>
        <v>0</v>
      </c>
      <c r="AJ36" s="21" t="n">
        <f aca="false">IF(OR($A36="",AJ$4=""),0,COUNTIFS(Formulas!$A$2:$A$1501,AJ$4,Formulas!$B$2:$B$1501,$A36))</f>
        <v>0</v>
      </c>
      <c r="AK36" s="21" t="n">
        <f aca="false">IF(OR($A36="",AK$4=""),0,COUNTIFS(Formulas!$A$2:$A$1501,AK$4,Formulas!$B$2:$B$1501,$A36))</f>
        <v>0</v>
      </c>
      <c r="AL36" s="21" t="n">
        <f aca="false">IF(OR($A36="",AL$4=""),0,COUNTIFS(Formulas!$A$2:$A$1501,AL$4,Formulas!$B$2:$B$1501,$A36))</f>
        <v>0</v>
      </c>
      <c r="AM36" s="21" t="n">
        <f aca="false">IF(OR($A36="",AM$4=""),0,COUNTIFS(Formulas!$A$2:$A$1501,AM$4,Formulas!$B$2:$B$1501,$A36))</f>
        <v>0</v>
      </c>
      <c r="AN36" s="21" t="n">
        <f aca="false">IF(OR($A36="",AN$4=""),0,COUNTIFS(Formulas!$A$2:$A$1501,AN$4,Formulas!$B$2:$B$1501,$A36))</f>
        <v>0</v>
      </c>
      <c r="AO36" s="21" t="n">
        <f aca="false">IF(OR($A36="",AO$4=""),0,COUNTIFS(Formulas!$A$2:$A$1501,AO$4,Formulas!$B$2:$B$1501,$A36))</f>
        <v>0</v>
      </c>
      <c r="AP36" s="21" t="n">
        <f aca="false">IF(OR($A36="",AP$4=""),0,COUNTIFS(Formulas!$A$2:$A$1501,AP$4,Formulas!$B$2:$B$1501,$A36))</f>
        <v>0</v>
      </c>
      <c r="AQ36" s="21" t="n">
        <f aca="false">IF(OR($A36="",AQ$4=""),0,COUNTIFS(Formulas!$A$2:$A$1501,AQ$4,Formulas!$B$2:$B$1501,$A36))</f>
        <v>0</v>
      </c>
      <c r="AR36" s="21" t="n">
        <f aca="false">IF(OR($A36="",AR$4=""),0,COUNTIFS(Formulas!$A$2:$A$1501,AR$4,Formulas!$B$2:$B$1501,$A36))</f>
        <v>0</v>
      </c>
      <c r="AS36" s="21" t="n">
        <f aca="false">IF(OR($A36="",AS$4=""),0,COUNTIFS(Formulas!$A$2:$A$1501,AS$4,Formulas!$B$2:$B$1501,$A36))</f>
        <v>0</v>
      </c>
      <c r="AT36" s="21" t="n">
        <f aca="false">IF(OR($A36="",AT$4=""),0,COUNTIFS(Formulas!$A$2:$A$1501,AT$4,Formulas!$B$2:$B$1501,$A36))</f>
        <v>0</v>
      </c>
      <c r="AU36" s="21" t="n">
        <f aca="false">IF(OR($A36="",AU$4=""),0,COUNTIFS(Formulas!$A$2:$A$1501,AU$4,Formulas!$B$2:$B$1501,$A36))</f>
        <v>0</v>
      </c>
      <c r="AV36" s="21" t="n">
        <f aca="false">IF(OR($A36="",AV$4=""),0,COUNTIFS(Formulas!$A$2:$A$1501,AV$4,Formulas!$B$2:$B$1501,$A36))</f>
        <v>0</v>
      </c>
      <c r="AW36" s="21" t="n">
        <f aca="false">IF(OR($A36="",AW$4=""),0,COUNTIFS(Formulas!$A$2:$A$1501,AW$4,Formulas!$B$2:$B$1501,$A36))</f>
        <v>0</v>
      </c>
      <c r="AX36" s="21" t="n">
        <f aca="false">IF(OR($A36="",AX$4=""),0,COUNTIFS(Formulas!$A$2:$A$1501,AX$4,Formulas!$B$2:$B$1501,$A36))</f>
        <v>0</v>
      </c>
      <c r="AY36" s="21" t="n">
        <f aca="false">IF(OR($A36="",AY$4=""),0,COUNTIFS(Formulas!$A$2:$A$1501,AY$4,Formulas!$B$2:$B$1501,$A36))</f>
        <v>0</v>
      </c>
      <c r="AZ36" s="21" t="n">
        <f aca="false">IF(OR($A36="",AZ$4=""),0,COUNTIFS(Formulas!$A$2:$A$1501,AZ$4,Formulas!$B$2:$B$1501,$A36))</f>
        <v>0</v>
      </c>
      <c r="BA36" s="21" t="n">
        <f aca="false">IF(OR($A36="",BA$4=""),0,COUNTIFS(Formulas!$A$2:$A$1501,BA$4,Formulas!$B$2:$B$1501,$A36))</f>
        <v>0</v>
      </c>
      <c r="BB36" s="21" t="n">
        <f aca="false">IF(OR($A36="",BB$4=""),0,COUNTIFS(Formulas!$A$2:$A$1501,BB$4,Formulas!$B$2:$B$1501,$A36))</f>
        <v>0</v>
      </c>
      <c r="BC36" s="21" t="n">
        <f aca="false">IF(OR($A36="",BC$4=""),0,COUNTIFS(Formulas!$A$2:$A$1501,BC$4,Formulas!$B$2:$B$1501,$A36))</f>
        <v>0</v>
      </c>
      <c r="BD36" s="21" t="n">
        <f aca="false">IF(OR($A36="",BD$4=""),0,COUNTIFS(Formulas!$A$2:$A$1501,BD$4,Formulas!$B$2:$B$1501,$A36))</f>
        <v>0</v>
      </c>
      <c r="BE36" s="21" t="n">
        <f aca="false">IF(OR($A36="",BE$4=""),0,COUNTIFS(Formulas!$A$2:$A$1501,BE$4,Formulas!$B$2:$B$1501,$A36))</f>
        <v>0</v>
      </c>
      <c r="BF36" s="21" t="n">
        <f aca="false">IF(OR($A36="",BF$4=""),0,COUNTIFS(Formulas!$A$2:$A$1501,BF$4,Formulas!$B$2:$B$1501,$A36))</f>
        <v>0</v>
      </c>
      <c r="BG36" s="21" t="n">
        <f aca="false">IF(OR($A36="",BG$4=""),0,COUNTIFS(Formulas!$A$2:$A$1501,BG$4,Formulas!$B$2:$B$1501,$A36))</f>
        <v>0</v>
      </c>
      <c r="BH36" s="21" t="n">
        <f aca="false">IF(OR($A36="",BH$4=""),0,COUNTIFS(Formulas!$A$2:$A$1501,BH$4,Formulas!$B$2:$B$1501,$A36))</f>
        <v>0</v>
      </c>
      <c r="BI36" s="21" t="n">
        <f aca="false">IF(OR($A36="",BI$4=""),0,COUNTIFS(Formulas!$A$2:$A$1501,BI$4,Formulas!$B$2:$B$1501,$A36))</f>
        <v>0</v>
      </c>
      <c r="BJ36" s="21" t="n">
        <f aca="false">IF(OR($A36="",BJ$4=""),0,COUNTIFS(Formulas!$A$2:$A$1501,BJ$4,Formulas!$B$2:$B$1501,$A36))</f>
        <v>0</v>
      </c>
    </row>
    <row r="37" customFormat="false" ht="15" hidden="false" customHeight="false" outlineLevel="0" collapsed="false">
      <c r="A37" s="13" t="str">
        <f aca="false">IF(INDEX(Materials!$A$2:$A$201,33)="","",INDEX(Materials!$A$2:$A$201,33))</f>
        <v/>
      </c>
      <c r="B37" s="19" t="str">
        <f aca="false">IF(A37="","",COUNTIF(C37:BJ37,"&gt;0"))</f>
        <v/>
      </c>
      <c r="C37" s="21" t="n">
        <f aca="false">IF(OR($A37="",C$4=""),0,COUNTIFS(Formulas!$A$2:$A$1501,C$4,Formulas!$B$2:$B$1501,$A37))</f>
        <v>0</v>
      </c>
      <c r="D37" s="21" t="n">
        <f aca="false">IF(OR($A37="",D$4=""),0,COUNTIFS(Formulas!$A$2:$A$1501,D$4,Formulas!$B$2:$B$1501,$A37))</f>
        <v>0</v>
      </c>
      <c r="E37" s="21" t="n">
        <f aca="false">IF(OR($A37="",E$4=""),0,COUNTIFS(Formulas!$A$2:$A$1501,E$4,Formulas!$B$2:$B$1501,$A37))</f>
        <v>0</v>
      </c>
      <c r="F37" s="21" t="n">
        <f aca="false">IF(OR($A37="",F$4=""),0,COUNTIFS(Formulas!$A$2:$A$1501,F$4,Formulas!$B$2:$B$1501,$A37))</f>
        <v>0</v>
      </c>
      <c r="G37" s="21" t="n">
        <f aca="false">IF(OR($A37="",G$4=""),0,COUNTIFS(Formulas!$A$2:$A$1501,G$4,Formulas!$B$2:$B$1501,$A37))</f>
        <v>0</v>
      </c>
      <c r="H37" s="21" t="n">
        <f aca="false">IF(OR($A37="",H$4=""),0,COUNTIFS(Formulas!$A$2:$A$1501,H$4,Formulas!$B$2:$B$1501,$A37))</f>
        <v>0</v>
      </c>
      <c r="I37" s="21" t="n">
        <f aca="false">IF(OR($A37="",I$4=""),0,COUNTIFS(Formulas!$A$2:$A$1501,I$4,Formulas!$B$2:$B$1501,$A37))</f>
        <v>0</v>
      </c>
      <c r="J37" s="21" t="n">
        <f aca="false">IF(OR($A37="",J$4=""),0,COUNTIFS(Formulas!$A$2:$A$1501,J$4,Formulas!$B$2:$B$1501,$A37))</f>
        <v>0</v>
      </c>
      <c r="K37" s="21" t="n">
        <f aca="false">IF(OR($A37="",K$4=""),0,COUNTIFS(Formulas!$A$2:$A$1501,K$4,Formulas!$B$2:$B$1501,$A37))</f>
        <v>0</v>
      </c>
      <c r="L37" s="21" t="n">
        <f aca="false">IF(OR($A37="",L$4=""),0,COUNTIFS(Formulas!$A$2:$A$1501,L$4,Formulas!$B$2:$B$1501,$A37))</f>
        <v>0</v>
      </c>
      <c r="M37" s="21" t="n">
        <f aca="false">IF(OR($A37="",M$4=""),0,COUNTIFS(Formulas!$A$2:$A$1501,M$4,Formulas!$B$2:$B$1501,$A37))</f>
        <v>0</v>
      </c>
      <c r="N37" s="21" t="n">
        <f aca="false">IF(OR($A37="",N$4=""),0,COUNTIFS(Formulas!$A$2:$A$1501,N$4,Formulas!$B$2:$B$1501,$A37))</f>
        <v>0</v>
      </c>
      <c r="O37" s="21" t="n">
        <f aca="false">IF(OR($A37="",O$4=""),0,COUNTIFS(Formulas!$A$2:$A$1501,O$4,Formulas!$B$2:$B$1501,$A37))</f>
        <v>0</v>
      </c>
      <c r="P37" s="21" t="n">
        <f aca="false">IF(OR($A37="",P$4=""),0,COUNTIFS(Formulas!$A$2:$A$1501,P$4,Formulas!$B$2:$B$1501,$A37))</f>
        <v>0</v>
      </c>
      <c r="Q37" s="21" t="n">
        <f aca="false">IF(OR($A37="",Q$4=""),0,COUNTIFS(Formulas!$A$2:$A$1501,Q$4,Formulas!$B$2:$B$1501,$A37))</f>
        <v>0</v>
      </c>
      <c r="R37" s="21" t="n">
        <f aca="false">IF(OR($A37="",R$4=""),0,COUNTIFS(Formulas!$A$2:$A$1501,R$4,Formulas!$B$2:$B$1501,$A37))</f>
        <v>0</v>
      </c>
      <c r="S37" s="21" t="n">
        <f aca="false">IF(OR($A37="",S$4=""),0,COUNTIFS(Formulas!$A$2:$A$1501,S$4,Formulas!$B$2:$B$1501,$A37))</f>
        <v>0</v>
      </c>
      <c r="T37" s="21" t="n">
        <f aca="false">IF(OR($A37="",T$4=""),0,COUNTIFS(Formulas!$A$2:$A$1501,T$4,Formulas!$B$2:$B$1501,$A37))</f>
        <v>0</v>
      </c>
      <c r="U37" s="21" t="n">
        <f aca="false">IF(OR($A37="",U$4=""),0,COUNTIFS(Formulas!$A$2:$A$1501,U$4,Formulas!$B$2:$B$1501,$A37))</f>
        <v>0</v>
      </c>
      <c r="V37" s="21" t="n">
        <f aca="false">IF(OR($A37="",V$4=""),0,COUNTIFS(Formulas!$A$2:$A$1501,V$4,Formulas!$B$2:$B$1501,$A37))</f>
        <v>0</v>
      </c>
      <c r="W37" s="21" t="n">
        <f aca="false">IF(OR($A37="",W$4=""),0,COUNTIFS(Formulas!$A$2:$A$1501,W$4,Formulas!$B$2:$B$1501,$A37))</f>
        <v>0</v>
      </c>
      <c r="X37" s="21" t="n">
        <f aca="false">IF(OR($A37="",X$4=""),0,COUNTIFS(Formulas!$A$2:$A$1501,X$4,Formulas!$B$2:$B$1501,$A37))</f>
        <v>0</v>
      </c>
      <c r="Y37" s="21" t="n">
        <f aca="false">IF(OR($A37="",Y$4=""),0,COUNTIFS(Formulas!$A$2:$A$1501,Y$4,Formulas!$B$2:$B$1501,$A37))</f>
        <v>0</v>
      </c>
      <c r="Z37" s="21" t="n">
        <f aca="false">IF(OR($A37="",Z$4=""),0,COUNTIFS(Formulas!$A$2:$A$1501,Z$4,Formulas!$B$2:$B$1501,$A37))</f>
        <v>0</v>
      </c>
      <c r="AA37" s="21" t="n">
        <f aca="false">IF(OR($A37="",AA$4=""),0,COUNTIFS(Formulas!$A$2:$A$1501,AA$4,Formulas!$B$2:$B$1501,$A37))</f>
        <v>0</v>
      </c>
      <c r="AB37" s="21" t="n">
        <f aca="false">IF(OR($A37="",AB$4=""),0,COUNTIFS(Formulas!$A$2:$A$1501,AB$4,Formulas!$B$2:$B$1501,$A37))</f>
        <v>0</v>
      </c>
      <c r="AC37" s="21" t="n">
        <f aca="false">IF(OR($A37="",AC$4=""),0,COUNTIFS(Formulas!$A$2:$A$1501,AC$4,Formulas!$B$2:$B$1501,$A37))</f>
        <v>0</v>
      </c>
      <c r="AD37" s="21" t="n">
        <f aca="false">IF(OR($A37="",AD$4=""),0,COUNTIFS(Formulas!$A$2:$A$1501,AD$4,Formulas!$B$2:$B$1501,$A37))</f>
        <v>0</v>
      </c>
      <c r="AE37" s="21" t="n">
        <f aca="false">IF(OR($A37="",AE$4=""),0,COUNTIFS(Formulas!$A$2:$A$1501,AE$4,Formulas!$B$2:$B$1501,$A37))</f>
        <v>0</v>
      </c>
      <c r="AF37" s="21" t="n">
        <f aca="false">IF(OR($A37="",AF$4=""),0,COUNTIFS(Formulas!$A$2:$A$1501,AF$4,Formulas!$B$2:$B$1501,$A37))</f>
        <v>0</v>
      </c>
      <c r="AG37" s="21" t="n">
        <f aca="false">IF(OR($A37="",AG$4=""),0,COUNTIFS(Formulas!$A$2:$A$1501,AG$4,Formulas!$B$2:$B$1501,$A37))</f>
        <v>0</v>
      </c>
      <c r="AH37" s="21" t="n">
        <f aca="false">IF(OR($A37="",AH$4=""),0,COUNTIFS(Formulas!$A$2:$A$1501,AH$4,Formulas!$B$2:$B$1501,$A37))</f>
        <v>0</v>
      </c>
      <c r="AI37" s="21" t="n">
        <f aca="false">IF(OR($A37="",AI$4=""),0,COUNTIFS(Formulas!$A$2:$A$1501,AI$4,Formulas!$B$2:$B$1501,$A37))</f>
        <v>0</v>
      </c>
      <c r="AJ37" s="21" t="n">
        <f aca="false">IF(OR($A37="",AJ$4=""),0,COUNTIFS(Formulas!$A$2:$A$1501,AJ$4,Formulas!$B$2:$B$1501,$A37))</f>
        <v>0</v>
      </c>
      <c r="AK37" s="21" t="n">
        <f aca="false">IF(OR($A37="",AK$4=""),0,COUNTIFS(Formulas!$A$2:$A$1501,AK$4,Formulas!$B$2:$B$1501,$A37))</f>
        <v>0</v>
      </c>
      <c r="AL37" s="21" t="n">
        <f aca="false">IF(OR($A37="",AL$4=""),0,COUNTIFS(Formulas!$A$2:$A$1501,AL$4,Formulas!$B$2:$B$1501,$A37))</f>
        <v>0</v>
      </c>
      <c r="AM37" s="21" t="n">
        <f aca="false">IF(OR($A37="",AM$4=""),0,COUNTIFS(Formulas!$A$2:$A$1501,AM$4,Formulas!$B$2:$B$1501,$A37))</f>
        <v>0</v>
      </c>
      <c r="AN37" s="21" t="n">
        <f aca="false">IF(OR($A37="",AN$4=""),0,COUNTIFS(Formulas!$A$2:$A$1501,AN$4,Formulas!$B$2:$B$1501,$A37))</f>
        <v>0</v>
      </c>
      <c r="AO37" s="21" t="n">
        <f aca="false">IF(OR($A37="",AO$4=""),0,COUNTIFS(Formulas!$A$2:$A$1501,AO$4,Formulas!$B$2:$B$1501,$A37))</f>
        <v>0</v>
      </c>
      <c r="AP37" s="21" t="n">
        <f aca="false">IF(OR($A37="",AP$4=""),0,COUNTIFS(Formulas!$A$2:$A$1501,AP$4,Formulas!$B$2:$B$1501,$A37))</f>
        <v>0</v>
      </c>
      <c r="AQ37" s="21" t="n">
        <f aca="false">IF(OR($A37="",AQ$4=""),0,COUNTIFS(Formulas!$A$2:$A$1501,AQ$4,Formulas!$B$2:$B$1501,$A37))</f>
        <v>0</v>
      </c>
      <c r="AR37" s="21" t="n">
        <f aca="false">IF(OR($A37="",AR$4=""),0,COUNTIFS(Formulas!$A$2:$A$1501,AR$4,Formulas!$B$2:$B$1501,$A37))</f>
        <v>0</v>
      </c>
      <c r="AS37" s="21" t="n">
        <f aca="false">IF(OR($A37="",AS$4=""),0,COUNTIFS(Formulas!$A$2:$A$1501,AS$4,Formulas!$B$2:$B$1501,$A37))</f>
        <v>0</v>
      </c>
      <c r="AT37" s="21" t="n">
        <f aca="false">IF(OR($A37="",AT$4=""),0,COUNTIFS(Formulas!$A$2:$A$1501,AT$4,Formulas!$B$2:$B$1501,$A37))</f>
        <v>0</v>
      </c>
      <c r="AU37" s="21" t="n">
        <f aca="false">IF(OR($A37="",AU$4=""),0,COUNTIFS(Formulas!$A$2:$A$1501,AU$4,Formulas!$B$2:$B$1501,$A37))</f>
        <v>0</v>
      </c>
      <c r="AV37" s="21" t="n">
        <f aca="false">IF(OR($A37="",AV$4=""),0,COUNTIFS(Formulas!$A$2:$A$1501,AV$4,Formulas!$B$2:$B$1501,$A37))</f>
        <v>0</v>
      </c>
      <c r="AW37" s="21" t="n">
        <f aca="false">IF(OR($A37="",AW$4=""),0,COUNTIFS(Formulas!$A$2:$A$1501,AW$4,Formulas!$B$2:$B$1501,$A37))</f>
        <v>0</v>
      </c>
      <c r="AX37" s="21" t="n">
        <f aca="false">IF(OR($A37="",AX$4=""),0,COUNTIFS(Formulas!$A$2:$A$1501,AX$4,Formulas!$B$2:$B$1501,$A37))</f>
        <v>0</v>
      </c>
      <c r="AY37" s="21" t="n">
        <f aca="false">IF(OR($A37="",AY$4=""),0,COUNTIFS(Formulas!$A$2:$A$1501,AY$4,Formulas!$B$2:$B$1501,$A37))</f>
        <v>0</v>
      </c>
      <c r="AZ37" s="21" t="n">
        <f aca="false">IF(OR($A37="",AZ$4=""),0,COUNTIFS(Formulas!$A$2:$A$1501,AZ$4,Formulas!$B$2:$B$1501,$A37))</f>
        <v>0</v>
      </c>
      <c r="BA37" s="21" t="n">
        <f aca="false">IF(OR($A37="",BA$4=""),0,COUNTIFS(Formulas!$A$2:$A$1501,BA$4,Formulas!$B$2:$B$1501,$A37))</f>
        <v>0</v>
      </c>
      <c r="BB37" s="21" t="n">
        <f aca="false">IF(OR($A37="",BB$4=""),0,COUNTIFS(Formulas!$A$2:$A$1501,BB$4,Formulas!$B$2:$B$1501,$A37))</f>
        <v>0</v>
      </c>
      <c r="BC37" s="21" t="n">
        <f aca="false">IF(OR($A37="",BC$4=""),0,COUNTIFS(Formulas!$A$2:$A$1501,BC$4,Formulas!$B$2:$B$1501,$A37))</f>
        <v>0</v>
      </c>
      <c r="BD37" s="21" t="n">
        <f aca="false">IF(OR($A37="",BD$4=""),0,COUNTIFS(Formulas!$A$2:$A$1501,BD$4,Formulas!$B$2:$B$1501,$A37))</f>
        <v>0</v>
      </c>
      <c r="BE37" s="21" t="n">
        <f aca="false">IF(OR($A37="",BE$4=""),0,COUNTIFS(Formulas!$A$2:$A$1501,BE$4,Formulas!$B$2:$B$1501,$A37))</f>
        <v>0</v>
      </c>
      <c r="BF37" s="21" t="n">
        <f aca="false">IF(OR($A37="",BF$4=""),0,COUNTIFS(Formulas!$A$2:$A$1501,BF$4,Formulas!$B$2:$B$1501,$A37))</f>
        <v>0</v>
      </c>
      <c r="BG37" s="21" t="n">
        <f aca="false">IF(OR($A37="",BG$4=""),0,COUNTIFS(Formulas!$A$2:$A$1501,BG$4,Formulas!$B$2:$B$1501,$A37))</f>
        <v>0</v>
      </c>
      <c r="BH37" s="21" t="n">
        <f aca="false">IF(OR($A37="",BH$4=""),0,COUNTIFS(Formulas!$A$2:$A$1501,BH$4,Formulas!$B$2:$B$1501,$A37))</f>
        <v>0</v>
      </c>
      <c r="BI37" s="21" t="n">
        <f aca="false">IF(OR($A37="",BI$4=""),0,COUNTIFS(Formulas!$A$2:$A$1501,BI$4,Formulas!$B$2:$B$1501,$A37))</f>
        <v>0</v>
      </c>
      <c r="BJ37" s="21" t="n">
        <f aca="false">IF(OR($A37="",BJ$4=""),0,COUNTIFS(Formulas!$A$2:$A$1501,BJ$4,Formulas!$B$2:$B$1501,$A37))</f>
        <v>0</v>
      </c>
    </row>
    <row r="38" customFormat="false" ht="15" hidden="false" customHeight="false" outlineLevel="0" collapsed="false">
      <c r="A38" s="13" t="str">
        <f aca="false">IF(INDEX(Materials!$A$2:$A$201,34)="","",INDEX(Materials!$A$2:$A$201,34))</f>
        <v/>
      </c>
      <c r="B38" s="19" t="str">
        <f aca="false">IF(A38="","",COUNTIF(C38:BJ38,"&gt;0"))</f>
        <v/>
      </c>
      <c r="C38" s="21" t="n">
        <f aca="false">IF(OR($A38="",C$4=""),0,COUNTIFS(Formulas!$A$2:$A$1501,C$4,Formulas!$B$2:$B$1501,$A38))</f>
        <v>0</v>
      </c>
      <c r="D38" s="21" t="n">
        <f aca="false">IF(OR($A38="",D$4=""),0,COUNTIFS(Formulas!$A$2:$A$1501,D$4,Formulas!$B$2:$B$1501,$A38))</f>
        <v>0</v>
      </c>
      <c r="E38" s="21" t="n">
        <f aca="false">IF(OR($A38="",E$4=""),0,COUNTIFS(Formulas!$A$2:$A$1501,E$4,Formulas!$B$2:$B$1501,$A38))</f>
        <v>0</v>
      </c>
      <c r="F38" s="21" t="n">
        <f aca="false">IF(OR($A38="",F$4=""),0,COUNTIFS(Formulas!$A$2:$A$1501,F$4,Formulas!$B$2:$B$1501,$A38))</f>
        <v>0</v>
      </c>
      <c r="G38" s="21" t="n">
        <f aca="false">IF(OR($A38="",G$4=""),0,COUNTIFS(Formulas!$A$2:$A$1501,G$4,Formulas!$B$2:$B$1501,$A38))</f>
        <v>0</v>
      </c>
      <c r="H38" s="21" t="n">
        <f aca="false">IF(OR($A38="",H$4=""),0,COUNTIFS(Formulas!$A$2:$A$1501,H$4,Formulas!$B$2:$B$1501,$A38))</f>
        <v>0</v>
      </c>
      <c r="I38" s="21" t="n">
        <f aca="false">IF(OR($A38="",I$4=""),0,COUNTIFS(Formulas!$A$2:$A$1501,I$4,Formulas!$B$2:$B$1501,$A38))</f>
        <v>0</v>
      </c>
      <c r="J38" s="21" t="n">
        <f aca="false">IF(OR($A38="",J$4=""),0,COUNTIFS(Formulas!$A$2:$A$1501,J$4,Formulas!$B$2:$B$1501,$A38))</f>
        <v>0</v>
      </c>
      <c r="K38" s="21" t="n">
        <f aca="false">IF(OR($A38="",K$4=""),0,COUNTIFS(Formulas!$A$2:$A$1501,K$4,Formulas!$B$2:$B$1501,$A38))</f>
        <v>0</v>
      </c>
      <c r="L38" s="21" t="n">
        <f aca="false">IF(OR($A38="",L$4=""),0,COUNTIFS(Formulas!$A$2:$A$1501,L$4,Formulas!$B$2:$B$1501,$A38))</f>
        <v>0</v>
      </c>
      <c r="M38" s="21" t="n">
        <f aca="false">IF(OR($A38="",M$4=""),0,COUNTIFS(Formulas!$A$2:$A$1501,M$4,Formulas!$B$2:$B$1501,$A38))</f>
        <v>0</v>
      </c>
      <c r="N38" s="21" t="n">
        <f aca="false">IF(OR($A38="",N$4=""),0,COUNTIFS(Formulas!$A$2:$A$1501,N$4,Formulas!$B$2:$B$1501,$A38))</f>
        <v>0</v>
      </c>
      <c r="O38" s="21" t="n">
        <f aca="false">IF(OR($A38="",O$4=""),0,COUNTIFS(Formulas!$A$2:$A$1501,O$4,Formulas!$B$2:$B$1501,$A38))</f>
        <v>0</v>
      </c>
      <c r="P38" s="21" t="n">
        <f aca="false">IF(OR($A38="",P$4=""),0,COUNTIFS(Formulas!$A$2:$A$1501,P$4,Formulas!$B$2:$B$1501,$A38))</f>
        <v>0</v>
      </c>
      <c r="Q38" s="21" t="n">
        <f aca="false">IF(OR($A38="",Q$4=""),0,COUNTIFS(Formulas!$A$2:$A$1501,Q$4,Formulas!$B$2:$B$1501,$A38))</f>
        <v>0</v>
      </c>
      <c r="R38" s="21" t="n">
        <f aca="false">IF(OR($A38="",R$4=""),0,COUNTIFS(Formulas!$A$2:$A$1501,R$4,Formulas!$B$2:$B$1501,$A38))</f>
        <v>0</v>
      </c>
      <c r="S38" s="21" t="n">
        <f aca="false">IF(OR($A38="",S$4=""),0,COUNTIFS(Formulas!$A$2:$A$1501,S$4,Formulas!$B$2:$B$1501,$A38))</f>
        <v>0</v>
      </c>
      <c r="T38" s="21" t="n">
        <f aca="false">IF(OR($A38="",T$4=""),0,COUNTIFS(Formulas!$A$2:$A$1501,T$4,Formulas!$B$2:$B$1501,$A38))</f>
        <v>0</v>
      </c>
      <c r="U38" s="21" t="n">
        <f aca="false">IF(OR($A38="",U$4=""),0,COUNTIFS(Formulas!$A$2:$A$1501,U$4,Formulas!$B$2:$B$1501,$A38))</f>
        <v>0</v>
      </c>
      <c r="V38" s="21" t="n">
        <f aca="false">IF(OR($A38="",V$4=""),0,COUNTIFS(Formulas!$A$2:$A$1501,V$4,Formulas!$B$2:$B$1501,$A38))</f>
        <v>0</v>
      </c>
      <c r="W38" s="21" t="n">
        <f aca="false">IF(OR($A38="",W$4=""),0,COUNTIFS(Formulas!$A$2:$A$1501,W$4,Formulas!$B$2:$B$1501,$A38))</f>
        <v>0</v>
      </c>
      <c r="X38" s="21" t="n">
        <f aca="false">IF(OR($A38="",X$4=""),0,COUNTIFS(Formulas!$A$2:$A$1501,X$4,Formulas!$B$2:$B$1501,$A38))</f>
        <v>0</v>
      </c>
      <c r="Y38" s="21" t="n">
        <f aca="false">IF(OR($A38="",Y$4=""),0,COUNTIFS(Formulas!$A$2:$A$1501,Y$4,Formulas!$B$2:$B$1501,$A38))</f>
        <v>0</v>
      </c>
      <c r="Z38" s="21" t="n">
        <f aca="false">IF(OR($A38="",Z$4=""),0,COUNTIFS(Formulas!$A$2:$A$1501,Z$4,Formulas!$B$2:$B$1501,$A38))</f>
        <v>0</v>
      </c>
      <c r="AA38" s="21" t="n">
        <f aca="false">IF(OR($A38="",AA$4=""),0,COUNTIFS(Formulas!$A$2:$A$1501,AA$4,Formulas!$B$2:$B$1501,$A38))</f>
        <v>0</v>
      </c>
      <c r="AB38" s="21" t="n">
        <f aca="false">IF(OR($A38="",AB$4=""),0,COUNTIFS(Formulas!$A$2:$A$1501,AB$4,Formulas!$B$2:$B$1501,$A38))</f>
        <v>0</v>
      </c>
      <c r="AC38" s="21" t="n">
        <f aca="false">IF(OR($A38="",AC$4=""),0,COUNTIFS(Formulas!$A$2:$A$1501,AC$4,Formulas!$B$2:$B$1501,$A38))</f>
        <v>0</v>
      </c>
      <c r="AD38" s="21" t="n">
        <f aca="false">IF(OR($A38="",AD$4=""),0,COUNTIFS(Formulas!$A$2:$A$1501,AD$4,Formulas!$B$2:$B$1501,$A38))</f>
        <v>0</v>
      </c>
      <c r="AE38" s="21" t="n">
        <f aca="false">IF(OR($A38="",AE$4=""),0,COUNTIFS(Formulas!$A$2:$A$1501,AE$4,Formulas!$B$2:$B$1501,$A38))</f>
        <v>0</v>
      </c>
      <c r="AF38" s="21" t="n">
        <f aca="false">IF(OR($A38="",AF$4=""),0,COUNTIFS(Formulas!$A$2:$A$1501,AF$4,Formulas!$B$2:$B$1501,$A38))</f>
        <v>0</v>
      </c>
      <c r="AG38" s="21" t="n">
        <f aca="false">IF(OR($A38="",AG$4=""),0,COUNTIFS(Formulas!$A$2:$A$1501,AG$4,Formulas!$B$2:$B$1501,$A38))</f>
        <v>0</v>
      </c>
      <c r="AH38" s="21" t="n">
        <f aca="false">IF(OR($A38="",AH$4=""),0,COUNTIFS(Formulas!$A$2:$A$1501,AH$4,Formulas!$B$2:$B$1501,$A38))</f>
        <v>0</v>
      </c>
      <c r="AI38" s="21" t="n">
        <f aca="false">IF(OR($A38="",AI$4=""),0,COUNTIFS(Formulas!$A$2:$A$1501,AI$4,Formulas!$B$2:$B$1501,$A38))</f>
        <v>0</v>
      </c>
      <c r="AJ38" s="21" t="n">
        <f aca="false">IF(OR($A38="",AJ$4=""),0,COUNTIFS(Formulas!$A$2:$A$1501,AJ$4,Formulas!$B$2:$B$1501,$A38))</f>
        <v>0</v>
      </c>
      <c r="AK38" s="21" t="n">
        <f aca="false">IF(OR($A38="",AK$4=""),0,COUNTIFS(Formulas!$A$2:$A$1501,AK$4,Formulas!$B$2:$B$1501,$A38))</f>
        <v>0</v>
      </c>
      <c r="AL38" s="21" t="n">
        <f aca="false">IF(OR($A38="",AL$4=""),0,COUNTIFS(Formulas!$A$2:$A$1501,AL$4,Formulas!$B$2:$B$1501,$A38))</f>
        <v>0</v>
      </c>
      <c r="AM38" s="21" t="n">
        <f aca="false">IF(OR($A38="",AM$4=""),0,COUNTIFS(Formulas!$A$2:$A$1501,AM$4,Formulas!$B$2:$B$1501,$A38))</f>
        <v>0</v>
      </c>
      <c r="AN38" s="21" t="n">
        <f aca="false">IF(OR($A38="",AN$4=""),0,COUNTIFS(Formulas!$A$2:$A$1501,AN$4,Formulas!$B$2:$B$1501,$A38))</f>
        <v>0</v>
      </c>
      <c r="AO38" s="21" t="n">
        <f aca="false">IF(OR($A38="",AO$4=""),0,COUNTIFS(Formulas!$A$2:$A$1501,AO$4,Formulas!$B$2:$B$1501,$A38))</f>
        <v>0</v>
      </c>
      <c r="AP38" s="21" t="n">
        <f aca="false">IF(OR($A38="",AP$4=""),0,COUNTIFS(Formulas!$A$2:$A$1501,AP$4,Formulas!$B$2:$B$1501,$A38))</f>
        <v>0</v>
      </c>
      <c r="AQ38" s="21" t="n">
        <f aca="false">IF(OR($A38="",AQ$4=""),0,COUNTIFS(Formulas!$A$2:$A$1501,AQ$4,Formulas!$B$2:$B$1501,$A38))</f>
        <v>0</v>
      </c>
      <c r="AR38" s="21" t="n">
        <f aca="false">IF(OR($A38="",AR$4=""),0,COUNTIFS(Formulas!$A$2:$A$1501,AR$4,Formulas!$B$2:$B$1501,$A38))</f>
        <v>0</v>
      </c>
      <c r="AS38" s="21" t="n">
        <f aca="false">IF(OR($A38="",AS$4=""),0,COUNTIFS(Formulas!$A$2:$A$1501,AS$4,Formulas!$B$2:$B$1501,$A38))</f>
        <v>0</v>
      </c>
      <c r="AT38" s="21" t="n">
        <f aca="false">IF(OR($A38="",AT$4=""),0,COUNTIFS(Formulas!$A$2:$A$1501,AT$4,Formulas!$B$2:$B$1501,$A38))</f>
        <v>0</v>
      </c>
      <c r="AU38" s="21" t="n">
        <f aca="false">IF(OR($A38="",AU$4=""),0,COUNTIFS(Formulas!$A$2:$A$1501,AU$4,Formulas!$B$2:$B$1501,$A38))</f>
        <v>0</v>
      </c>
      <c r="AV38" s="21" t="n">
        <f aca="false">IF(OR($A38="",AV$4=""),0,COUNTIFS(Formulas!$A$2:$A$1501,AV$4,Formulas!$B$2:$B$1501,$A38))</f>
        <v>0</v>
      </c>
      <c r="AW38" s="21" t="n">
        <f aca="false">IF(OR($A38="",AW$4=""),0,COUNTIFS(Formulas!$A$2:$A$1501,AW$4,Formulas!$B$2:$B$1501,$A38))</f>
        <v>0</v>
      </c>
      <c r="AX38" s="21" t="n">
        <f aca="false">IF(OR($A38="",AX$4=""),0,COUNTIFS(Formulas!$A$2:$A$1501,AX$4,Formulas!$B$2:$B$1501,$A38))</f>
        <v>0</v>
      </c>
      <c r="AY38" s="21" t="n">
        <f aca="false">IF(OR($A38="",AY$4=""),0,COUNTIFS(Formulas!$A$2:$A$1501,AY$4,Formulas!$B$2:$B$1501,$A38))</f>
        <v>0</v>
      </c>
      <c r="AZ38" s="21" t="n">
        <f aca="false">IF(OR($A38="",AZ$4=""),0,COUNTIFS(Formulas!$A$2:$A$1501,AZ$4,Formulas!$B$2:$B$1501,$A38))</f>
        <v>0</v>
      </c>
      <c r="BA38" s="21" t="n">
        <f aca="false">IF(OR($A38="",BA$4=""),0,COUNTIFS(Formulas!$A$2:$A$1501,BA$4,Formulas!$B$2:$B$1501,$A38))</f>
        <v>0</v>
      </c>
      <c r="BB38" s="21" t="n">
        <f aca="false">IF(OR($A38="",BB$4=""),0,COUNTIFS(Formulas!$A$2:$A$1501,BB$4,Formulas!$B$2:$B$1501,$A38))</f>
        <v>0</v>
      </c>
      <c r="BC38" s="21" t="n">
        <f aca="false">IF(OR($A38="",BC$4=""),0,COUNTIFS(Formulas!$A$2:$A$1501,BC$4,Formulas!$B$2:$B$1501,$A38))</f>
        <v>0</v>
      </c>
      <c r="BD38" s="21" t="n">
        <f aca="false">IF(OR($A38="",BD$4=""),0,COUNTIFS(Formulas!$A$2:$A$1501,BD$4,Formulas!$B$2:$B$1501,$A38))</f>
        <v>0</v>
      </c>
      <c r="BE38" s="21" t="n">
        <f aca="false">IF(OR($A38="",BE$4=""),0,COUNTIFS(Formulas!$A$2:$A$1501,BE$4,Formulas!$B$2:$B$1501,$A38))</f>
        <v>0</v>
      </c>
      <c r="BF38" s="21" t="n">
        <f aca="false">IF(OR($A38="",BF$4=""),0,COUNTIFS(Formulas!$A$2:$A$1501,BF$4,Formulas!$B$2:$B$1501,$A38))</f>
        <v>0</v>
      </c>
      <c r="BG38" s="21" t="n">
        <f aca="false">IF(OR($A38="",BG$4=""),0,COUNTIFS(Formulas!$A$2:$A$1501,BG$4,Formulas!$B$2:$B$1501,$A38))</f>
        <v>0</v>
      </c>
      <c r="BH38" s="21" t="n">
        <f aca="false">IF(OR($A38="",BH$4=""),0,COUNTIFS(Formulas!$A$2:$A$1501,BH$4,Formulas!$B$2:$B$1501,$A38))</f>
        <v>0</v>
      </c>
      <c r="BI38" s="21" t="n">
        <f aca="false">IF(OR($A38="",BI$4=""),0,COUNTIFS(Formulas!$A$2:$A$1501,BI$4,Formulas!$B$2:$B$1501,$A38))</f>
        <v>0</v>
      </c>
      <c r="BJ38" s="21" t="n">
        <f aca="false">IF(OR($A38="",BJ$4=""),0,COUNTIFS(Formulas!$A$2:$A$1501,BJ$4,Formulas!$B$2:$B$1501,$A38))</f>
        <v>0</v>
      </c>
    </row>
    <row r="39" customFormat="false" ht="15" hidden="false" customHeight="false" outlineLevel="0" collapsed="false">
      <c r="A39" s="13" t="str">
        <f aca="false">IF(INDEX(Materials!$A$2:$A$201,35)="","",INDEX(Materials!$A$2:$A$201,35))</f>
        <v/>
      </c>
      <c r="B39" s="19" t="str">
        <f aca="false">IF(A39="","",COUNTIF(C39:BJ39,"&gt;0"))</f>
        <v/>
      </c>
      <c r="C39" s="21" t="n">
        <f aca="false">IF(OR($A39="",C$4=""),0,COUNTIFS(Formulas!$A$2:$A$1501,C$4,Formulas!$B$2:$B$1501,$A39))</f>
        <v>0</v>
      </c>
      <c r="D39" s="21" t="n">
        <f aca="false">IF(OR($A39="",D$4=""),0,COUNTIFS(Formulas!$A$2:$A$1501,D$4,Formulas!$B$2:$B$1501,$A39))</f>
        <v>0</v>
      </c>
      <c r="E39" s="21" t="n">
        <f aca="false">IF(OR($A39="",E$4=""),0,COUNTIFS(Formulas!$A$2:$A$1501,E$4,Formulas!$B$2:$B$1501,$A39))</f>
        <v>0</v>
      </c>
      <c r="F39" s="21" t="n">
        <f aca="false">IF(OR($A39="",F$4=""),0,COUNTIFS(Formulas!$A$2:$A$1501,F$4,Formulas!$B$2:$B$1501,$A39))</f>
        <v>0</v>
      </c>
      <c r="G39" s="21" t="n">
        <f aca="false">IF(OR($A39="",G$4=""),0,COUNTIFS(Formulas!$A$2:$A$1501,G$4,Formulas!$B$2:$B$1501,$A39))</f>
        <v>0</v>
      </c>
      <c r="H39" s="21" t="n">
        <f aca="false">IF(OR($A39="",H$4=""),0,COUNTIFS(Formulas!$A$2:$A$1501,H$4,Formulas!$B$2:$B$1501,$A39))</f>
        <v>0</v>
      </c>
      <c r="I39" s="21" t="n">
        <f aca="false">IF(OR($A39="",I$4=""),0,COUNTIFS(Formulas!$A$2:$A$1501,I$4,Formulas!$B$2:$B$1501,$A39))</f>
        <v>0</v>
      </c>
      <c r="J39" s="21" t="n">
        <f aca="false">IF(OR($A39="",J$4=""),0,COUNTIFS(Formulas!$A$2:$A$1501,J$4,Formulas!$B$2:$B$1501,$A39))</f>
        <v>0</v>
      </c>
      <c r="K39" s="21" t="n">
        <f aca="false">IF(OR($A39="",K$4=""),0,COUNTIFS(Formulas!$A$2:$A$1501,K$4,Formulas!$B$2:$B$1501,$A39))</f>
        <v>0</v>
      </c>
      <c r="L39" s="21" t="n">
        <f aca="false">IF(OR($A39="",L$4=""),0,COUNTIFS(Formulas!$A$2:$A$1501,L$4,Formulas!$B$2:$B$1501,$A39))</f>
        <v>0</v>
      </c>
      <c r="M39" s="21" t="n">
        <f aca="false">IF(OR($A39="",M$4=""),0,COUNTIFS(Formulas!$A$2:$A$1501,M$4,Formulas!$B$2:$B$1501,$A39))</f>
        <v>0</v>
      </c>
      <c r="N39" s="21" t="n">
        <f aca="false">IF(OR($A39="",N$4=""),0,COUNTIFS(Formulas!$A$2:$A$1501,N$4,Formulas!$B$2:$B$1501,$A39))</f>
        <v>0</v>
      </c>
      <c r="O39" s="21" t="n">
        <f aca="false">IF(OR($A39="",O$4=""),0,COUNTIFS(Formulas!$A$2:$A$1501,O$4,Formulas!$B$2:$B$1501,$A39))</f>
        <v>0</v>
      </c>
      <c r="P39" s="21" t="n">
        <f aca="false">IF(OR($A39="",P$4=""),0,COUNTIFS(Formulas!$A$2:$A$1501,P$4,Formulas!$B$2:$B$1501,$A39))</f>
        <v>0</v>
      </c>
      <c r="Q39" s="21" t="n">
        <f aca="false">IF(OR($A39="",Q$4=""),0,COUNTIFS(Formulas!$A$2:$A$1501,Q$4,Formulas!$B$2:$B$1501,$A39))</f>
        <v>0</v>
      </c>
      <c r="R39" s="21" t="n">
        <f aca="false">IF(OR($A39="",R$4=""),0,COUNTIFS(Formulas!$A$2:$A$1501,R$4,Formulas!$B$2:$B$1501,$A39))</f>
        <v>0</v>
      </c>
      <c r="S39" s="21" t="n">
        <f aca="false">IF(OR($A39="",S$4=""),0,COUNTIFS(Formulas!$A$2:$A$1501,S$4,Formulas!$B$2:$B$1501,$A39))</f>
        <v>0</v>
      </c>
      <c r="T39" s="21" t="n">
        <f aca="false">IF(OR($A39="",T$4=""),0,COUNTIFS(Formulas!$A$2:$A$1501,T$4,Formulas!$B$2:$B$1501,$A39))</f>
        <v>0</v>
      </c>
      <c r="U39" s="21" t="n">
        <f aca="false">IF(OR($A39="",U$4=""),0,COUNTIFS(Formulas!$A$2:$A$1501,U$4,Formulas!$B$2:$B$1501,$A39))</f>
        <v>0</v>
      </c>
      <c r="V39" s="21" t="n">
        <f aca="false">IF(OR($A39="",V$4=""),0,COUNTIFS(Formulas!$A$2:$A$1501,V$4,Formulas!$B$2:$B$1501,$A39))</f>
        <v>0</v>
      </c>
      <c r="W39" s="21" t="n">
        <f aca="false">IF(OR($A39="",W$4=""),0,COUNTIFS(Formulas!$A$2:$A$1501,W$4,Formulas!$B$2:$B$1501,$A39))</f>
        <v>0</v>
      </c>
      <c r="X39" s="21" t="n">
        <f aca="false">IF(OR($A39="",X$4=""),0,COUNTIFS(Formulas!$A$2:$A$1501,X$4,Formulas!$B$2:$B$1501,$A39))</f>
        <v>0</v>
      </c>
      <c r="Y39" s="21" t="n">
        <f aca="false">IF(OR($A39="",Y$4=""),0,COUNTIFS(Formulas!$A$2:$A$1501,Y$4,Formulas!$B$2:$B$1501,$A39))</f>
        <v>0</v>
      </c>
      <c r="Z39" s="21" t="n">
        <f aca="false">IF(OR($A39="",Z$4=""),0,COUNTIFS(Formulas!$A$2:$A$1501,Z$4,Formulas!$B$2:$B$1501,$A39))</f>
        <v>0</v>
      </c>
      <c r="AA39" s="21" t="n">
        <f aca="false">IF(OR($A39="",AA$4=""),0,COUNTIFS(Formulas!$A$2:$A$1501,AA$4,Formulas!$B$2:$B$1501,$A39))</f>
        <v>0</v>
      </c>
      <c r="AB39" s="21" t="n">
        <f aca="false">IF(OR($A39="",AB$4=""),0,COUNTIFS(Formulas!$A$2:$A$1501,AB$4,Formulas!$B$2:$B$1501,$A39))</f>
        <v>0</v>
      </c>
      <c r="AC39" s="21" t="n">
        <f aca="false">IF(OR($A39="",AC$4=""),0,COUNTIFS(Formulas!$A$2:$A$1501,AC$4,Formulas!$B$2:$B$1501,$A39))</f>
        <v>0</v>
      </c>
      <c r="AD39" s="21" t="n">
        <f aca="false">IF(OR($A39="",AD$4=""),0,COUNTIFS(Formulas!$A$2:$A$1501,AD$4,Formulas!$B$2:$B$1501,$A39))</f>
        <v>0</v>
      </c>
      <c r="AE39" s="21" t="n">
        <f aca="false">IF(OR($A39="",AE$4=""),0,COUNTIFS(Formulas!$A$2:$A$1501,AE$4,Formulas!$B$2:$B$1501,$A39))</f>
        <v>0</v>
      </c>
      <c r="AF39" s="21" t="n">
        <f aca="false">IF(OR($A39="",AF$4=""),0,COUNTIFS(Formulas!$A$2:$A$1501,AF$4,Formulas!$B$2:$B$1501,$A39))</f>
        <v>0</v>
      </c>
      <c r="AG39" s="21" t="n">
        <f aca="false">IF(OR($A39="",AG$4=""),0,COUNTIFS(Formulas!$A$2:$A$1501,AG$4,Formulas!$B$2:$B$1501,$A39))</f>
        <v>0</v>
      </c>
      <c r="AH39" s="21" t="n">
        <f aca="false">IF(OR($A39="",AH$4=""),0,COUNTIFS(Formulas!$A$2:$A$1501,AH$4,Formulas!$B$2:$B$1501,$A39))</f>
        <v>0</v>
      </c>
      <c r="AI39" s="21" t="n">
        <f aca="false">IF(OR($A39="",AI$4=""),0,COUNTIFS(Formulas!$A$2:$A$1501,AI$4,Formulas!$B$2:$B$1501,$A39))</f>
        <v>0</v>
      </c>
      <c r="AJ39" s="21" t="n">
        <f aca="false">IF(OR($A39="",AJ$4=""),0,COUNTIFS(Formulas!$A$2:$A$1501,AJ$4,Formulas!$B$2:$B$1501,$A39))</f>
        <v>0</v>
      </c>
      <c r="AK39" s="21" t="n">
        <f aca="false">IF(OR($A39="",AK$4=""),0,COUNTIFS(Formulas!$A$2:$A$1501,AK$4,Formulas!$B$2:$B$1501,$A39))</f>
        <v>0</v>
      </c>
      <c r="AL39" s="21" t="n">
        <f aca="false">IF(OR($A39="",AL$4=""),0,COUNTIFS(Formulas!$A$2:$A$1501,AL$4,Formulas!$B$2:$B$1501,$A39))</f>
        <v>0</v>
      </c>
      <c r="AM39" s="21" t="n">
        <f aca="false">IF(OR($A39="",AM$4=""),0,COUNTIFS(Formulas!$A$2:$A$1501,AM$4,Formulas!$B$2:$B$1501,$A39))</f>
        <v>0</v>
      </c>
      <c r="AN39" s="21" t="n">
        <f aca="false">IF(OR($A39="",AN$4=""),0,COUNTIFS(Formulas!$A$2:$A$1501,AN$4,Formulas!$B$2:$B$1501,$A39))</f>
        <v>0</v>
      </c>
      <c r="AO39" s="21" t="n">
        <f aca="false">IF(OR($A39="",AO$4=""),0,COUNTIFS(Formulas!$A$2:$A$1501,AO$4,Formulas!$B$2:$B$1501,$A39))</f>
        <v>0</v>
      </c>
      <c r="AP39" s="21" t="n">
        <f aca="false">IF(OR($A39="",AP$4=""),0,COUNTIFS(Formulas!$A$2:$A$1501,AP$4,Formulas!$B$2:$B$1501,$A39))</f>
        <v>0</v>
      </c>
      <c r="AQ39" s="21" t="n">
        <f aca="false">IF(OR($A39="",AQ$4=""),0,COUNTIFS(Formulas!$A$2:$A$1501,AQ$4,Formulas!$B$2:$B$1501,$A39))</f>
        <v>0</v>
      </c>
      <c r="AR39" s="21" t="n">
        <f aca="false">IF(OR($A39="",AR$4=""),0,COUNTIFS(Formulas!$A$2:$A$1501,AR$4,Formulas!$B$2:$B$1501,$A39))</f>
        <v>0</v>
      </c>
      <c r="AS39" s="21" t="n">
        <f aca="false">IF(OR($A39="",AS$4=""),0,COUNTIFS(Formulas!$A$2:$A$1501,AS$4,Formulas!$B$2:$B$1501,$A39))</f>
        <v>0</v>
      </c>
      <c r="AT39" s="21" t="n">
        <f aca="false">IF(OR($A39="",AT$4=""),0,COUNTIFS(Formulas!$A$2:$A$1501,AT$4,Formulas!$B$2:$B$1501,$A39))</f>
        <v>0</v>
      </c>
      <c r="AU39" s="21" t="n">
        <f aca="false">IF(OR($A39="",AU$4=""),0,COUNTIFS(Formulas!$A$2:$A$1501,AU$4,Formulas!$B$2:$B$1501,$A39))</f>
        <v>0</v>
      </c>
      <c r="AV39" s="21" t="n">
        <f aca="false">IF(OR($A39="",AV$4=""),0,COUNTIFS(Formulas!$A$2:$A$1501,AV$4,Formulas!$B$2:$B$1501,$A39))</f>
        <v>0</v>
      </c>
      <c r="AW39" s="21" t="n">
        <f aca="false">IF(OR($A39="",AW$4=""),0,COUNTIFS(Formulas!$A$2:$A$1501,AW$4,Formulas!$B$2:$B$1501,$A39))</f>
        <v>0</v>
      </c>
      <c r="AX39" s="21" t="n">
        <f aca="false">IF(OR($A39="",AX$4=""),0,COUNTIFS(Formulas!$A$2:$A$1501,AX$4,Formulas!$B$2:$B$1501,$A39))</f>
        <v>0</v>
      </c>
      <c r="AY39" s="21" t="n">
        <f aca="false">IF(OR($A39="",AY$4=""),0,COUNTIFS(Formulas!$A$2:$A$1501,AY$4,Formulas!$B$2:$B$1501,$A39))</f>
        <v>0</v>
      </c>
      <c r="AZ39" s="21" t="n">
        <f aca="false">IF(OR($A39="",AZ$4=""),0,COUNTIFS(Formulas!$A$2:$A$1501,AZ$4,Formulas!$B$2:$B$1501,$A39))</f>
        <v>0</v>
      </c>
      <c r="BA39" s="21" t="n">
        <f aca="false">IF(OR($A39="",BA$4=""),0,COUNTIFS(Formulas!$A$2:$A$1501,BA$4,Formulas!$B$2:$B$1501,$A39))</f>
        <v>0</v>
      </c>
      <c r="BB39" s="21" t="n">
        <f aca="false">IF(OR($A39="",BB$4=""),0,COUNTIFS(Formulas!$A$2:$A$1501,BB$4,Formulas!$B$2:$B$1501,$A39))</f>
        <v>0</v>
      </c>
      <c r="BC39" s="21" t="n">
        <f aca="false">IF(OR($A39="",BC$4=""),0,COUNTIFS(Formulas!$A$2:$A$1501,BC$4,Formulas!$B$2:$B$1501,$A39))</f>
        <v>0</v>
      </c>
      <c r="BD39" s="21" t="n">
        <f aca="false">IF(OR($A39="",BD$4=""),0,COUNTIFS(Formulas!$A$2:$A$1501,BD$4,Formulas!$B$2:$B$1501,$A39))</f>
        <v>0</v>
      </c>
      <c r="BE39" s="21" t="n">
        <f aca="false">IF(OR($A39="",BE$4=""),0,COUNTIFS(Formulas!$A$2:$A$1501,BE$4,Formulas!$B$2:$B$1501,$A39))</f>
        <v>0</v>
      </c>
      <c r="BF39" s="21" t="n">
        <f aca="false">IF(OR($A39="",BF$4=""),0,COUNTIFS(Formulas!$A$2:$A$1501,BF$4,Formulas!$B$2:$B$1501,$A39))</f>
        <v>0</v>
      </c>
      <c r="BG39" s="21" t="n">
        <f aca="false">IF(OR($A39="",BG$4=""),0,COUNTIFS(Formulas!$A$2:$A$1501,BG$4,Formulas!$B$2:$B$1501,$A39))</f>
        <v>0</v>
      </c>
      <c r="BH39" s="21" t="n">
        <f aca="false">IF(OR($A39="",BH$4=""),0,COUNTIFS(Formulas!$A$2:$A$1501,BH$4,Formulas!$B$2:$B$1501,$A39))</f>
        <v>0</v>
      </c>
      <c r="BI39" s="21" t="n">
        <f aca="false">IF(OR($A39="",BI$4=""),0,COUNTIFS(Formulas!$A$2:$A$1501,BI$4,Formulas!$B$2:$B$1501,$A39))</f>
        <v>0</v>
      </c>
      <c r="BJ39" s="21" t="n">
        <f aca="false">IF(OR($A39="",BJ$4=""),0,COUNTIFS(Formulas!$A$2:$A$1501,BJ$4,Formulas!$B$2:$B$1501,$A39))</f>
        <v>0</v>
      </c>
    </row>
    <row r="40" customFormat="false" ht="15" hidden="false" customHeight="false" outlineLevel="0" collapsed="false">
      <c r="A40" s="13" t="str">
        <f aca="false">IF(INDEX(Materials!$A$2:$A$201,36)="","",INDEX(Materials!$A$2:$A$201,36))</f>
        <v/>
      </c>
      <c r="B40" s="19" t="str">
        <f aca="false">IF(A40="","",COUNTIF(C40:BJ40,"&gt;0"))</f>
        <v/>
      </c>
      <c r="C40" s="21" t="n">
        <f aca="false">IF(OR($A40="",C$4=""),0,COUNTIFS(Formulas!$A$2:$A$1501,C$4,Formulas!$B$2:$B$1501,$A40))</f>
        <v>0</v>
      </c>
      <c r="D40" s="21" t="n">
        <f aca="false">IF(OR($A40="",D$4=""),0,COUNTIFS(Formulas!$A$2:$A$1501,D$4,Formulas!$B$2:$B$1501,$A40))</f>
        <v>0</v>
      </c>
      <c r="E40" s="21" t="n">
        <f aca="false">IF(OR($A40="",E$4=""),0,COUNTIFS(Formulas!$A$2:$A$1501,E$4,Formulas!$B$2:$B$1501,$A40))</f>
        <v>0</v>
      </c>
      <c r="F40" s="21" t="n">
        <f aca="false">IF(OR($A40="",F$4=""),0,COUNTIFS(Formulas!$A$2:$A$1501,F$4,Formulas!$B$2:$B$1501,$A40))</f>
        <v>0</v>
      </c>
      <c r="G40" s="21" t="n">
        <f aca="false">IF(OR($A40="",G$4=""),0,COUNTIFS(Formulas!$A$2:$A$1501,G$4,Formulas!$B$2:$B$1501,$A40))</f>
        <v>0</v>
      </c>
      <c r="H40" s="21" t="n">
        <f aca="false">IF(OR($A40="",H$4=""),0,COUNTIFS(Formulas!$A$2:$A$1501,H$4,Formulas!$B$2:$B$1501,$A40))</f>
        <v>0</v>
      </c>
      <c r="I40" s="21" t="n">
        <f aca="false">IF(OR($A40="",I$4=""),0,COUNTIFS(Formulas!$A$2:$A$1501,I$4,Formulas!$B$2:$B$1501,$A40))</f>
        <v>0</v>
      </c>
      <c r="J40" s="21" t="n">
        <f aca="false">IF(OR($A40="",J$4=""),0,COUNTIFS(Formulas!$A$2:$A$1501,J$4,Formulas!$B$2:$B$1501,$A40))</f>
        <v>0</v>
      </c>
      <c r="K40" s="21" t="n">
        <f aca="false">IF(OR($A40="",K$4=""),0,COUNTIFS(Formulas!$A$2:$A$1501,K$4,Formulas!$B$2:$B$1501,$A40))</f>
        <v>0</v>
      </c>
      <c r="L40" s="21" t="n">
        <f aca="false">IF(OR($A40="",L$4=""),0,COUNTIFS(Formulas!$A$2:$A$1501,L$4,Formulas!$B$2:$B$1501,$A40))</f>
        <v>0</v>
      </c>
      <c r="M40" s="21" t="n">
        <f aca="false">IF(OR($A40="",M$4=""),0,COUNTIFS(Formulas!$A$2:$A$1501,M$4,Formulas!$B$2:$B$1501,$A40))</f>
        <v>0</v>
      </c>
      <c r="N40" s="21" t="n">
        <f aca="false">IF(OR($A40="",N$4=""),0,COUNTIFS(Formulas!$A$2:$A$1501,N$4,Formulas!$B$2:$B$1501,$A40))</f>
        <v>0</v>
      </c>
      <c r="O40" s="21" t="n">
        <f aca="false">IF(OR($A40="",O$4=""),0,COUNTIFS(Formulas!$A$2:$A$1501,O$4,Formulas!$B$2:$B$1501,$A40))</f>
        <v>0</v>
      </c>
      <c r="P40" s="21" t="n">
        <f aca="false">IF(OR($A40="",P$4=""),0,COUNTIFS(Formulas!$A$2:$A$1501,P$4,Formulas!$B$2:$B$1501,$A40))</f>
        <v>0</v>
      </c>
      <c r="Q40" s="21" t="n">
        <f aca="false">IF(OR($A40="",Q$4=""),0,COUNTIFS(Formulas!$A$2:$A$1501,Q$4,Formulas!$B$2:$B$1501,$A40))</f>
        <v>0</v>
      </c>
      <c r="R40" s="21" t="n">
        <f aca="false">IF(OR($A40="",R$4=""),0,COUNTIFS(Formulas!$A$2:$A$1501,R$4,Formulas!$B$2:$B$1501,$A40))</f>
        <v>0</v>
      </c>
      <c r="S40" s="21" t="n">
        <f aca="false">IF(OR($A40="",S$4=""),0,COUNTIFS(Formulas!$A$2:$A$1501,S$4,Formulas!$B$2:$B$1501,$A40))</f>
        <v>0</v>
      </c>
      <c r="T40" s="21" t="n">
        <f aca="false">IF(OR($A40="",T$4=""),0,COUNTIFS(Formulas!$A$2:$A$1501,T$4,Formulas!$B$2:$B$1501,$A40))</f>
        <v>0</v>
      </c>
      <c r="U40" s="21" t="n">
        <f aca="false">IF(OR($A40="",U$4=""),0,COUNTIFS(Formulas!$A$2:$A$1501,U$4,Formulas!$B$2:$B$1501,$A40))</f>
        <v>0</v>
      </c>
      <c r="V40" s="21" t="n">
        <f aca="false">IF(OR($A40="",V$4=""),0,COUNTIFS(Formulas!$A$2:$A$1501,V$4,Formulas!$B$2:$B$1501,$A40))</f>
        <v>0</v>
      </c>
      <c r="W40" s="21" t="n">
        <f aca="false">IF(OR($A40="",W$4=""),0,COUNTIFS(Formulas!$A$2:$A$1501,W$4,Formulas!$B$2:$B$1501,$A40))</f>
        <v>0</v>
      </c>
      <c r="X40" s="21" t="n">
        <f aca="false">IF(OR($A40="",X$4=""),0,COUNTIFS(Formulas!$A$2:$A$1501,X$4,Formulas!$B$2:$B$1501,$A40))</f>
        <v>0</v>
      </c>
      <c r="Y40" s="21" t="n">
        <f aca="false">IF(OR($A40="",Y$4=""),0,COUNTIFS(Formulas!$A$2:$A$1501,Y$4,Formulas!$B$2:$B$1501,$A40))</f>
        <v>0</v>
      </c>
      <c r="Z40" s="21" t="n">
        <f aca="false">IF(OR($A40="",Z$4=""),0,COUNTIFS(Formulas!$A$2:$A$1501,Z$4,Formulas!$B$2:$B$1501,$A40))</f>
        <v>0</v>
      </c>
      <c r="AA40" s="21" t="n">
        <f aca="false">IF(OR($A40="",AA$4=""),0,COUNTIFS(Formulas!$A$2:$A$1501,AA$4,Formulas!$B$2:$B$1501,$A40))</f>
        <v>0</v>
      </c>
      <c r="AB40" s="21" t="n">
        <f aca="false">IF(OR($A40="",AB$4=""),0,COUNTIFS(Formulas!$A$2:$A$1501,AB$4,Formulas!$B$2:$B$1501,$A40))</f>
        <v>0</v>
      </c>
      <c r="AC40" s="21" t="n">
        <f aca="false">IF(OR($A40="",AC$4=""),0,COUNTIFS(Formulas!$A$2:$A$1501,AC$4,Formulas!$B$2:$B$1501,$A40))</f>
        <v>0</v>
      </c>
      <c r="AD40" s="21" t="n">
        <f aca="false">IF(OR($A40="",AD$4=""),0,COUNTIFS(Formulas!$A$2:$A$1501,AD$4,Formulas!$B$2:$B$1501,$A40))</f>
        <v>0</v>
      </c>
      <c r="AE40" s="21" t="n">
        <f aca="false">IF(OR($A40="",AE$4=""),0,COUNTIFS(Formulas!$A$2:$A$1501,AE$4,Formulas!$B$2:$B$1501,$A40))</f>
        <v>0</v>
      </c>
      <c r="AF40" s="21" t="n">
        <f aca="false">IF(OR($A40="",AF$4=""),0,COUNTIFS(Formulas!$A$2:$A$1501,AF$4,Formulas!$B$2:$B$1501,$A40))</f>
        <v>0</v>
      </c>
      <c r="AG40" s="21" t="n">
        <f aca="false">IF(OR($A40="",AG$4=""),0,COUNTIFS(Formulas!$A$2:$A$1501,AG$4,Formulas!$B$2:$B$1501,$A40))</f>
        <v>0</v>
      </c>
      <c r="AH40" s="21" t="n">
        <f aca="false">IF(OR($A40="",AH$4=""),0,COUNTIFS(Formulas!$A$2:$A$1501,AH$4,Formulas!$B$2:$B$1501,$A40))</f>
        <v>0</v>
      </c>
      <c r="AI40" s="21" t="n">
        <f aca="false">IF(OR($A40="",AI$4=""),0,COUNTIFS(Formulas!$A$2:$A$1501,AI$4,Formulas!$B$2:$B$1501,$A40))</f>
        <v>0</v>
      </c>
      <c r="AJ40" s="21" t="n">
        <f aca="false">IF(OR($A40="",AJ$4=""),0,COUNTIFS(Formulas!$A$2:$A$1501,AJ$4,Formulas!$B$2:$B$1501,$A40))</f>
        <v>0</v>
      </c>
      <c r="AK40" s="21" t="n">
        <f aca="false">IF(OR($A40="",AK$4=""),0,COUNTIFS(Formulas!$A$2:$A$1501,AK$4,Formulas!$B$2:$B$1501,$A40))</f>
        <v>0</v>
      </c>
      <c r="AL40" s="21" t="n">
        <f aca="false">IF(OR($A40="",AL$4=""),0,COUNTIFS(Formulas!$A$2:$A$1501,AL$4,Formulas!$B$2:$B$1501,$A40))</f>
        <v>0</v>
      </c>
      <c r="AM40" s="21" t="n">
        <f aca="false">IF(OR($A40="",AM$4=""),0,COUNTIFS(Formulas!$A$2:$A$1501,AM$4,Formulas!$B$2:$B$1501,$A40))</f>
        <v>0</v>
      </c>
      <c r="AN40" s="21" t="n">
        <f aca="false">IF(OR($A40="",AN$4=""),0,COUNTIFS(Formulas!$A$2:$A$1501,AN$4,Formulas!$B$2:$B$1501,$A40))</f>
        <v>0</v>
      </c>
      <c r="AO40" s="21" t="n">
        <f aca="false">IF(OR($A40="",AO$4=""),0,COUNTIFS(Formulas!$A$2:$A$1501,AO$4,Formulas!$B$2:$B$1501,$A40))</f>
        <v>0</v>
      </c>
      <c r="AP40" s="21" t="n">
        <f aca="false">IF(OR($A40="",AP$4=""),0,COUNTIFS(Formulas!$A$2:$A$1501,AP$4,Formulas!$B$2:$B$1501,$A40))</f>
        <v>0</v>
      </c>
      <c r="AQ40" s="21" t="n">
        <f aca="false">IF(OR($A40="",AQ$4=""),0,COUNTIFS(Formulas!$A$2:$A$1501,AQ$4,Formulas!$B$2:$B$1501,$A40))</f>
        <v>0</v>
      </c>
      <c r="AR40" s="21" t="n">
        <f aca="false">IF(OR($A40="",AR$4=""),0,COUNTIFS(Formulas!$A$2:$A$1501,AR$4,Formulas!$B$2:$B$1501,$A40))</f>
        <v>0</v>
      </c>
      <c r="AS40" s="21" t="n">
        <f aca="false">IF(OR($A40="",AS$4=""),0,COUNTIFS(Formulas!$A$2:$A$1501,AS$4,Formulas!$B$2:$B$1501,$A40))</f>
        <v>0</v>
      </c>
      <c r="AT40" s="21" t="n">
        <f aca="false">IF(OR($A40="",AT$4=""),0,COUNTIFS(Formulas!$A$2:$A$1501,AT$4,Formulas!$B$2:$B$1501,$A40))</f>
        <v>0</v>
      </c>
      <c r="AU40" s="21" t="n">
        <f aca="false">IF(OR($A40="",AU$4=""),0,COUNTIFS(Formulas!$A$2:$A$1501,AU$4,Formulas!$B$2:$B$1501,$A40))</f>
        <v>0</v>
      </c>
      <c r="AV40" s="21" t="n">
        <f aca="false">IF(OR($A40="",AV$4=""),0,COUNTIFS(Formulas!$A$2:$A$1501,AV$4,Formulas!$B$2:$B$1501,$A40))</f>
        <v>0</v>
      </c>
      <c r="AW40" s="21" t="n">
        <f aca="false">IF(OR($A40="",AW$4=""),0,COUNTIFS(Formulas!$A$2:$A$1501,AW$4,Formulas!$B$2:$B$1501,$A40))</f>
        <v>0</v>
      </c>
      <c r="AX40" s="21" t="n">
        <f aca="false">IF(OR($A40="",AX$4=""),0,COUNTIFS(Formulas!$A$2:$A$1501,AX$4,Formulas!$B$2:$B$1501,$A40))</f>
        <v>0</v>
      </c>
      <c r="AY40" s="21" t="n">
        <f aca="false">IF(OR($A40="",AY$4=""),0,COUNTIFS(Formulas!$A$2:$A$1501,AY$4,Formulas!$B$2:$B$1501,$A40))</f>
        <v>0</v>
      </c>
      <c r="AZ40" s="21" t="n">
        <f aca="false">IF(OR($A40="",AZ$4=""),0,COUNTIFS(Formulas!$A$2:$A$1501,AZ$4,Formulas!$B$2:$B$1501,$A40))</f>
        <v>0</v>
      </c>
      <c r="BA40" s="21" t="n">
        <f aca="false">IF(OR($A40="",BA$4=""),0,COUNTIFS(Formulas!$A$2:$A$1501,BA$4,Formulas!$B$2:$B$1501,$A40))</f>
        <v>0</v>
      </c>
      <c r="BB40" s="21" t="n">
        <f aca="false">IF(OR($A40="",BB$4=""),0,COUNTIFS(Formulas!$A$2:$A$1501,BB$4,Formulas!$B$2:$B$1501,$A40))</f>
        <v>0</v>
      </c>
      <c r="BC40" s="21" t="n">
        <f aca="false">IF(OR($A40="",BC$4=""),0,COUNTIFS(Formulas!$A$2:$A$1501,BC$4,Formulas!$B$2:$B$1501,$A40))</f>
        <v>0</v>
      </c>
      <c r="BD40" s="21" t="n">
        <f aca="false">IF(OR($A40="",BD$4=""),0,COUNTIFS(Formulas!$A$2:$A$1501,BD$4,Formulas!$B$2:$B$1501,$A40))</f>
        <v>0</v>
      </c>
      <c r="BE40" s="21" t="n">
        <f aca="false">IF(OR($A40="",BE$4=""),0,COUNTIFS(Formulas!$A$2:$A$1501,BE$4,Formulas!$B$2:$B$1501,$A40))</f>
        <v>0</v>
      </c>
      <c r="BF40" s="21" t="n">
        <f aca="false">IF(OR($A40="",BF$4=""),0,COUNTIFS(Formulas!$A$2:$A$1501,BF$4,Formulas!$B$2:$B$1501,$A40))</f>
        <v>0</v>
      </c>
      <c r="BG40" s="21" t="n">
        <f aca="false">IF(OR($A40="",BG$4=""),0,COUNTIFS(Formulas!$A$2:$A$1501,BG$4,Formulas!$B$2:$B$1501,$A40))</f>
        <v>0</v>
      </c>
      <c r="BH40" s="21" t="n">
        <f aca="false">IF(OR($A40="",BH$4=""),0,COUNTIFS(Formulas!$A$2:$A$1501,BH$4,Formulas!$B$2:$B$1501,$A40))</f>
        <v>0</v>
      </c>
      <c r="BI40" s="21" t="n">
        <f aca="false">IF(OR($A40="",BI$4=""),0,COUNTIFS(Formulas!$A$2:$A$1501,BI$4,Formulas!$B$2:$B$1501,$A40))</f>
        <v>0</v>
      </c>
      <c r="BJ40" s="21" t="n">
        <f aca="false">IF(OR($A40="",BJ$4=""),0,COUNTIFS(Formulas!$A$2:$A$1501,BJ$4,Formulas!$B$2:$B$1501,$A40))</f>
        <v>0</v>
      </c>
    </row>
    <row r="41" customFormat="false" ht="15" hidden="false" customHeight="false" outlineLevel="0" collapsed="false">
      <c r="A41" s="13" t="str">
        <f aca="false">IF(INDEX(Materials!$A$2:$A$201,37)="","",INDEX(Materials!$A$2:$A$201,37))</f>
        <v/>
      </c>
      <c r="B41" s="19" t="str">
        <f aca="false">IF(A41="","",COUNTIF(C41:BJ41,"&gt;0"))</f>
        <v/>
      </c>
      <c r="C41" s="21" t="n">
        <f aca="false">IF(OR($A41="",C$4=""),0,COUNTIFS(Formulas!$A$2:$A$1501,C$4,Formulas!$B$2:$B$1501,$A41))</f>
        <v>0</v>
      </c>
      <c r="D41" s="21" t="n">
        <f aca="false">IF(OR($A41="",D$4=""),0,COUNTIFS(Formulas!$A$2:$A$1501,D$4,Formulas!$B$2:$B$1501,$A41))</f>
        <v>0</v>
      </c>
      <c r="E41" s="21" t="n">
        <f aca="false">IF(OR($A41="",E$4=""),0,COUNTIFS(Formulas!$A$2:$A$1501,E$4,Formulas!$B$2:$B$1501,$A41))</f>
        <v>0</v>
      </c>
      <c r="F41" s="21" t="n">
        <f aca="false">IF(OR($A41="",F$4=""),0,COUNTIFS(Formulas!$A$2:$A$1501,F$4,Formulas!$B$2:$B$1501,$A41))</f>
        <v>0</v>
      </c>
      <c r="G41" s="21" t="n">
        <f aca="false">IF(OR($A41="",G$4=""),0,COUNTIFS(Formulas!$A$2:$A$1501,G$4,Formulas!$B$2:$B$1501,$A41))</f>
        <v>0</v>
      </c>
      <c r="H41" s="21" t="n">
        <f aca="false">IF(OR($A41="",H$4=""),0,COUNTIFS(Formulas!$A$2:$A$1501,H$4,Formulas!$B$2:$B$1501,$A41))</f>
        <v>0</v>
      </c>
      <c r="I41" s="21" t="n">
        <f aca="false">IF(OR($A41="",I$4=""),0,COUNTIFS(Formulas!$A$2:$A$1501,I$4,Formulas!$B$2:$B$1501,$A41))</f>
        <v>0</v>
      </c>
      <c r="J41" s="21" t="n">
        <f aca="false">IF(OR($A41="",J$4=""),0,COUNTIFS(Formulas!$A$2:$A$1501,J$4,Formulas!$B$2:$B$1501,$A41))</f>
        <v>0</v>
      </c>
      <c r="K41" s="21" t="n">
        <f aca="false">IF(OR($A41="",K$4=""),0,COUNTIFS(Formulas!$A$2:$A$1501,K$4,Formulas!$B$2:$B$1501,$A41))</f>
        <v>0</v>
      </c>
      <c r="L41" s="21" t="n">
        <f aca="false">IF(OR($A41="",L$4=""),0,COUNTIFS(Formulas!$A$2:$A$1501,L$4,Formulas!$B$2:$B$1501,$A41))</f>
        <v>0</v>
      </c>
      <c r="M41" s="21" t="n">
        <f aca="false">IF(OR($A41="",M$4=""),0,COUNTIFS(Formulas!$A$2:$A$1501,M$4,Formulas!$B$2:$B$1501,$A41))</f>
        <v>0</v>
      </c>
      <c r="N41" s="21" t="n">
        <f aca="false">IF(OR($A41="",N$4=""),0,COUNTIFS(Formulas!$A$2:$A$1501,N$4,Formulas!$B$2:$B$1501,$A41))</f>
        <v>0</v>
      </c>
      <c r="O41" s="21" t="n">
        <f aca="false">IF(OR($A41="",O$4=""),0,COUNTIFS(Formulas!$A$2:$A$1501,O$4,Formulas!$B$2:$B$1501,$A41))</f>
        <v>0</v>
      </c>
      <c r="P41" s="21" t="n">
        <f aca="false">IF(OR($A41="",P$4=""),0,COUNTIFS(Formulas!$A$2:$A$1501,P$4,Formulas!$B$2:$B$1501,$A41))</f>
        <v>0</v>
      </c>
      <c r="Q41" s="21" t="n">
        <f aca="false">IF(OR($A41="",Q$4=""),0,COUNTIFS(Formulas!$A$2:$A$1501,Q$4,Formulas!$B$2:$B$1501,$A41))</f>
        <v>0</v>
      </c>
      <c r="R41" s="21" t="n">
        <f aca="false">IF(OR($A41="",R$4=""),0,COUNTIFS(Formulas!$A$2:$A$1501,R$4,Formulas!$B$2:$B$1501,$A41))</f>
        <v>0</v>
      </c>
      <c r="S41" s="21" t="n">
        <f aca="false">IF(OR($A41="",S$4=""),0,COUNTIFS(Formulas!$A$2:$A$1501,S$4,Formulas!$B$2:$B$1501,$A41))</f>
        <v>0</v>
      </c>
      <c r="T41" s="21" t="n">
        <f aca="false">IF(OR($A41="",T$4=""),0,COUNTIFS(Formulas!$A$2:$A$1501,T$4,Formulas!$B$2:$B$1501,$A41))</f>
        <v>0</v>
      </c>
      <c r="U41" s="21" t="n">
        <f aca="false">IF(OR($A41="",U$4=""),0,COUNTIFS(Formulas!$A$2:$A$1501,U$4,Formulas!$B$2:$B$1501,$A41))</f>
        <v>0</v>
      </c>
      <c r="V41" s="21" t="n">
        <f aca="false">IF(OR($A41="",V$4=""),0,COUNTIFS(Formulas!$A$2:$A$1501,V$4,Formulas!$B$2:$B$1501,$A41))</f>
        <v>0</v>
      </c>
      <c r="W41" s="21" t="n">
        <f aca="false">IF(OR($A41="",W$4=""),0,COUNTIFS(Formulas!$A$2:$A$1501,W$4,Formulas!$B$2:$B$1501,$A41))</f>
        <v>0</v>
      </c>
      <c r="X41" s="21" t="n">
        <f aca="false">IF(OR($A41="",X$4=""),0,COUNTIFS(Formulas!$A$2:$A$1501,X$4,Formulas!$B$2:$B$1501,$A41))</f>
        <v>0</v>
      </c>
      <c r="Y41" s="21" t="n">
        <f aca="false">IF(OR($A41="",Y$4=""),0,COUNTIFS(Formulas!$A$2:$A$1501,Y$4,Formulas!$B$2:$B$1501,$A41))</f>
        <v>0</v>
      </c>
      <c r="Z41" s="21" t="n">
        <f aca="false">IF(OR($A41="",Z$4=""),0,COUNTIFS(Formulas!$A$2:$A$1501,Z$4,Formulas!$B$2:$B$1501,$A41))</f>
        <v>0</v>
      </c>
      <c r="AA41" s="21" t="n">
        <f aca="false">IF(OR($A41="",AA$4=""),0,COUNTIFS(Formulas!$A$2:$A$1501,AA$4,Formulas!$B$2:$B$1501,$A41))</f>
        <v>0</v>
      </c>
      <c r="AB41" s="21" t="n">
        <f aca="false">IF(OR($A41="",AB$4=""),0,COUNTIFS(Formulas!$A$2:$A$1501,AB$4,Formulas!$B$2:$B$1501,$A41))</f>
        <v>0</v>
      </c>
      <c r="AC41" s="21" t="n">
        <f aca="false">IF(OR($A41="",AC$4=""),0,COUNTIFS(Formulas!$A$2:$A$1501,AC$4,Formulas!$B$2:$B$1501,$A41))</f>
        <v>0</v>
      </c>
      <c r="AD41" s="21" t="n">
        <f aca="false">IF(OR($A41="",AD$4=""),0,COUNTIFS(Formulas!$A$2:$A$1501,AD$4,Formulas!$B$2:$B$1501,$A41))</f>
        <v>0</v>
      </c>
      <c r="AE41" s="21" t="n">
        <f aca="false">IF(OR($A41="",AE$4=""),0,COUNTIFS(Formulas!$A$2:$A$1501,AE$4,Formulas!$B$2:$B$1501,$A41))</f>
        <v>0</v>
      </c>
      <c r="AF41" s="21" t="n">
        <f aca="false">IF(OR($A41="",AF$4=""),0,COUNTIFS(Formulas!$A$2:$A$1501,AF$4,Formulas!$B$2:$B$1501,$A41))</f>
        <v>0</v>
      </c>
      <c r="AG41" s="21" t="n">
        <f aca="false">IF(OR($A41="",AG$4=""),0,COUNTIFS(Formulas!$A$2:$A$1501,AG$4,Formulas!$B$2:$B$1501,$A41))</f>
        <v>0</v>
      </c>
      <c r="AH41" s="21" t="n">
        <f aca="false">IF(OR($A41="",AH$4=""),0,COUNTIFS(Formulas!$A$2:$A$1501,AH$4,Formulas!$B$2:$B$1501,$A41))</f>
        <v>0</v>
      </c>
      <c r="AI41" s="21" t="n">
        <f aca="false">IF(OR($A41="",AI$4=""),0,COUNTIFS(Formulas!$A$2:$A$1501,AI$4,Formulas!$B$2:$B$1501,$A41))</f>
        <v>0</v>
      </c>
      <c r="AJ41" s="21" t="n">
        <f aca="false">IF(OR($A41="",AJ$4=""),0,COUNTIFS(Formulas!$A$2:$A$1501,AJ$4,Formulas!$B$2:$B$1501,$A41))</f>
        <v>0</v>
      </c>
      <c r="AK41" s="21" t="n">
        <f aca="false">IF(OR($A41="",AK$4=""),0,COUNTIFS(Formulas!$A$2:$A$1501,AK$4,Formulas!$B$2:$B$1501,$A41))</f>
        <v>0</v>
      </c>
      <c r="AL41" s="21" t="n">
        <f aca="false">IF(OR($A41="",AL$4=""),0,COUNTIFS(Formulas!$A$2:$A$1501,AL$4,Formulas!$B$2:$B$1501,$A41))</f>
        <v>0</v>
      </c>
      <c r="AM41" s="21" t="n">
        <f aca="false">IF(OR($A41="",AM$4=""),0,COUNTIFS(Formulas!$A$2:$A$1501,AM$4,Formulas!$B$2:$B$1501,$A41))</f>
        <v>0</v>
      </c>
      <c r="AN41" s="21" t="n">
        <f aca="false">IF(OR($A41="",AN$4=""),0,COUNTIFS(Formulas!$A$2:$A$1501,AN$4,Formulas!$B$2:$B$1501,$A41))</f>
        <v>0</v>
      </c>
      <c r="AO41" s="21" t="n">
        <f aca="false">IF(OR($A41="",AO$4=""),0,COUNTIFS(Formulas!$A$2:$A$1501,AO$4,Formulas!$B$2:$B$1501,$A41))</f>
        <v>0</v>
      </c>
      <c r="AP41" s="21" t="n">
        <f aca="false">IF(OR($A41="",AP$4=""),0,COUNTIFS(Formulas!$A$2:$A$1501,AP$4,Formulas!$B$2:$B$1501,$A41))</f>
        <v>0</v>
      </c>
      <c r="AQ41" s="21" t="n">
        <f aca="false">IF(OR($A41="",AQ$4=""),0,COUNTIFS(Formulas!$A$2:$A$1501,AQ$4,Formulas!$B$2:$B$1501,$A41))</f>
        <v>0</v>
      </c>
      <c r="AR41" s="21" t="n">
        <f aca="false">IF(OR($A41="",AR$4=""),0,COUNTIFS(Formulas!$A$2:$A$1501,AR$4,Formulas!$B$2:$B$1501,$A41))</f>
        <v>0</v>
      </c>
      <c r="AS41" s="21" t="n">
        <f aca="false">IF(OR($A41="",AS$4=""),0,COUNTIFS(Formulas!$A$2:$A$1501,AS$4,Formulas!$B$2:$B$1501,$A41))</f>
        <v>0</v>
      </c>
      <c r="AT41" s="21" t="n">
        <f aca="false">IF(OR($A41="",AT$4=""),0,COUNTIFS(Formulas!$A$2:$A$1501,AT$4,Formulas!$B$2:$B$1501,$A41))</f>
        <v>0</v>
      </c>
      <c r="AU41" s="21" t="n">
        <f aca="false">IF(OR($A41="",AU$4=""),0,COUNTIFS(Formulas!$A$2:$A$1501,AU$4,Formulas!$B$2:$B$1501,$A41))</f>
        <v>0</v>
      </c>
      <c r="AV41" s="21" t="n">
        <f aca="false">IF(OR($A41="",AV$4=""),0,COUNTIFS(Formulas!$A$2:$A$1501,AV$4,Formulas!$B$2:$B$1501,$A41))</f>
        <v>0</v>
      </c>
      <c r="AW41" s="21" t="n">
        <f aca="false">IF(OR($A41="",AW$4=""),0,COUNTIFS(Formulas!$A$2:$A$1501,AW$4,Formulas!$B$2:$B$1501,$A41))</f>
        <v>0</v>
      </c>
      <c r="AX41" s="21" t="n">
        <f aca="false">IF(OR($A41="",AX$4=""),0,COUNTIFS(Formulas!$A$2:$A$1501,AX$4,Formulas!$B$2:$B$1501,$A41))</f>
        <v>0</v>
      </c>
      <c r="AY41" s="21" t="n">
        <f aca="false">IF(OR($A41="",AY$4=""),0,COUNTIFS(Formulas!$A$2:$A$1501,AY$4,Formulas!$B$2:$B$1501,$A41))</f>
        <v>0</v>
      </c>
      <c r="AZ41" s="21" t="n">
        <f aca="false">IF(OR($A41="",AZ$4=""),0,COUNTIFS(Formulas!$A$2:$A$1501,AZ$4,Formulas!$B$2:$B$1501,$A41))</f>
        <v>0</v>
      </c>
      <c r="BA41" s="21" t="n">
        <f aca="false">IF(OR($A41="",BA$4=""),0,COUNTIFS(Formulas!$A$2:$A$1501,BA$4,Formulas!$B$2:$B$1501,$A41))</f>
        <v>0</v>
      </c>
      <c r="BB41" s="21" t="n">
        <f aca="false">IF(OR($A41="",BB$4=""),0,COUNTIFS(Formulas!$A$2:$A$1501,BB$4,Formulas!$B$2:$B$1501,$A41))</f>
        <v>0</v>
      </c>
      <c r="BC41" s="21" t="n">
        <f aca="false">IF(OR($A41="",BC$4=""),0,COUNTIFS(Formulas!$A$2:$A$1501,BC$4,Formulas!$B$2:$B$1501,$A41))</f>
        <v>0</v>
      </c>
      <c r="BD41" s="21" t="n">
        <f aca="false">IF(OR($A41="",BD$4=""),0,COUNTIFS(Formulas!$A$2:$A$1501,BD$4,Formulas!$B$2:$B$1501,$A41))</f>
        <v>0</v>
      </c>
      <c r="BE41" s="21" t="n">
        <f aca="false">IF(OR($A41="",BE$4=""),0,COUNTIFS(Formulas!$A$2:$A$1501,BE$4,Formulas!$B$2:$B$1501,$A41))</f>
        <v>0</v>
      </c>
      <c r="BF41" s="21" t="n">
        <f aca="false">IF(OR($A41="",BF$4=""),0,COUNTIFS(Formulas!$A$2:$A$1501,BF$4,Formulas!$B$2:$B$1501,$A41))</f>
        <v>0</v>
      </c>
      <c r="BG41" s="21" t="n">
        <f aca="false">IF(OR($A41="",BG$4=""),0,COUNTIFS(Formulas!$A$2:$A$1501,BG$4,Formulas!$B$2:$B$1501,$A41))</f>
        <v>0</v>
      </c>
      <c r="BH41" s="21" t="n">
        <f aca="false">IF(OR($A41="",BH$4=""),0,COUNTIFS(Formulas!$A$2:$A$1501,BH$4,Formulas!$B$2:$B$1501,$A41))</f>
        <v>0</v>
      </c>
      <c r="BI41" s="21" t="n">
        <f aca="false">IF(OR($A41="",BI$4=""),0,COUNTIFS(Formulas!$A$2:$A$1501,BI$4,Formulas!$B$2:$B$1501,$A41))</f>
        <v>0</v>
      </c>
      <c r="BJ41" s="21" t="n">
        <f aca="false">IF(OR($A41="",BJ$4=""),0,COUNTIFS(Formulas!$A$2:$A$1501,BJ$4,Formulas!$B$2:$B$1501,$A41))</f>
        <v>0</v>
      </c>
    </row>
    <row r="42" customFormat="false" ht="15" hidden="false" customHeight="false" outlineLevel="0" collapsed="false">
      <c r="A42" s="13" t="str">
        <f aca="false">IF(INDEX(Materials!$A$2:$A$201,38)="","",INDEX(Materials!$A$2:$A$201,38))</f>
        <v/>
      </c>
      <c r="B42" s="19" t="str">
        <f aca="false">IF(A42="","",COUNTIF(C42:BJ42,"&gt;0"))</f>
        <v/>
      </c>
      <c r="C42" s="21" t="n">
        <f aca="false">IF(OR($A42="",C$4=""),0,COUNTIFS(Formulas!$A$2:$A$1501,C$4,Formulas!$B$2:$B$1501,$A42))</f>
        <v>0</v>
      </c>
      <c r="D42" s="21" t="n">
        <f aca="false">IF(OR($A42="",D$4=""),0,COUNTIFS(Formulas!$A$2:$A$1501,D$4,Formulas!$B$2:$B$1501,$A42))</f>
        <v>0</v>
      </c>
      <c r="E42" s="21" t="n">
        <f aca="false">IF(OR($A42="",E$4=""),0,COUNTIFS(Formulas!$A$2:$A$1501,E$4,Formulas!$B$2:$B$1501,$A42))</f>
        <v>0</v>
      </c>
      <c r="F42" s="21" t="n">
        <f aca="false">IF(OR($A42="",F$4=""),0,COUNTIFS(Formulas!$A$2:$A$1501,F$4,Formulas!$B$2:$B$1501,$A42))</f>
        <v>0</v>
      </c>
      <c r="G42" s="21" t="n">
        <f aca="false">IF(OR($A42="",G$4=""),0,COUNTIFS(Formulas!$A$2:$A$1501,G$4,Formulas!$B$2:$B$1501,$A42))</f>
        <v>0</v>
      </c>
      <c r="H42" s="21" t="n">
        <f aca="false">IF(OR($A42="",H$4=""),0,COUNTIFS(Formulas!$A$2:$A$1501,H$4,Formulas!$B$2:$B$1501,$A42))</f>
        <v>0</v>
      </c>
      <c r="I42" s="21" t="n">
        <f aca="false">IF(OR($A42="",I$4=""),0,COUNTIFS(Formulas!$A$2:$A$1501,I$4,Formulas!$B$2:$B$1501,$A42))</f>
        <v>0</v>
      </c>
      <c r="J42" s="21" t="n">
        <f aca="false">IF(OR($A42="",J$4=""),0,COUNTIFS(Formulas!$A$2:$A$1501,J$4,Formulas!$B$2:$B$1501,$A42))</f>
        <v>0</v>
      </c>
      <c r="K42" s="21" t="n">
        <f aca="false">IF(OR($A42="",K$4=""),0,COUNTIFS(Formulas!$A$2:$A$1501,K$4,Formulas!$B$2:$B$1501,$A42))</f>
        <v>0</v>
      </c>
      <c r="L42" s="21" t="n">
        <f aca="false">IF(OR($A42="",L$4=""),0,COUNTIFS(Formulas!$A$2:$A$1501,L$4,Formulas!$B$2:$B$1501,$A42))</f>
        <v>0</v>
      </c>
      <c r="M42" s="21" t="n">
        <f aca="false">IF(OR($A42="",M$4=""),0,COUNTIFS(Formulas!$A$2:$A$1501,M$4,Formulas!$B$2:$B$1501,$A42))</f>
        <v>0</v>
      </c>
      <c r="N42" s="21" t="n">
        <f aca="false">IF(OR($A42="",N$4=""),0,COUNTIFS(Formulas!$A$2:$A$1501,N$4,Formulas!$B$2:$B$1501,$A42))</f>
        <v>0</v>
      </c>
      <c r="O42" s="21" t="n">
        <f aca="false">IF(OR($A42="",O$4=""),0,COUNTIFS(Formulas!$A$2:$A$1501,O$4,Formulas!$B$2:$B$1501,$A42))</f>
        <v>0</v>
      </c>
      <c r="P42" s="21" t="n">
        <f aca="false">IF(OR($A42="",P$4=""),0,COUNTIFS(Formulas!$A$2:$A$1501,P$4,Formulas!$B$2:$B$1501,$A42))</f>
        <v>0</v>
      </c>
      <c r="Q42" s="21" t="n">
        <f aca="false">IF(OR($A42="",Q$4=""),0,COUNTIFS(Formulas!$A$2:$A$1501,Q$4,Formulas!$B$2:$B$1501,$A42))</f>
        <v>0</v>
      </c>
      <c r="R42" s="21" t="n">
        <f aca="false">IF(OR($A42="",R$4=""),0,COUNTIFS(Formulas!$A$2:$A$1501,R$4,Formulas!$B$2:$B$1501,$A42))</f>
        <v>0</v>
      </c>
      <c r="S42" s="21" t="n">
        <f aca="false">IF(OR($A42="",S$4=""),0,COUNTIFS(Formulas!$A$2:$A$1501,S$4,Formulas!$B$2:$B$1501,$A42))</f>
        <v>0</v>
      </c>
      <c r="T42" s="21" t="n">
        <f aca="false">IF(OR($A42="",T$4=""),0,COUNTIFS(Formulas!$A$2:$A$1501,T$4,Formulas!$B$2:$B$1501,$A42))</f>
        <v>0</v>
      </c>
      <c r="U42" s="21" t="n">
        <f aca="false">IF(OR($A42="",U$4=""),0,COUNTIFS(Formulas!$A$2:$A$1501,U$4,Formulas!$B$2:$B$1501,$A42))</f>
        <v>0</v>
      </c>
      <c r="V42" s="21" t="n">
        <f aca="false">IF(OR($A42="",V$4=""),0,COUNTIFS(Formulas!$A$2:$A$1501,V$4,Formulas!$B$2:$B$1501,$A42))</f>
        <v>0</v>
      </c>
      <c r="W42" s="21" t="n">
        <f aca="false">IF(OR($A42="",W$4=""),0,COUNTIFS(Formulas!$A$2:$A$1501,W$4,Formulas!$B$2:$B$1501,$A42))</f>
        <v>0</v>
      </c>
      <c r="X42" s="21" t="n">
        <f aca="false">IF(OR($A42="",X$4=""),0,COUNTIFS(Formulas!$A$2:$A$1501,X$4,Formulas!$B$2:$B$1501,$A42))</f>
        <v>0</v>
      </c>
      <c r="Y42" s="21" t="n">
        <f aca="false">IF(OR($A42="",Y$4=""),0,COUNTIFS(Formulas!$A$2:$A$1501,Y$4,Formulas!$B$2:$B$1501,$A42))</f>
        <v>0</v>
      </c>
      <c r="Z42" s="21" t="n">
        <f aca="false">IF(OR($A42="",Z$4=""),0,COUNTIFS(Formulas!$A$2:$A$1501,Z$4,Formulas!$B$2:$B$1501,$A42))</f>
        <v>0</v>
      </c>
      <c r="AA42" s="21" t="n">
        <f aca="false">IF(OR($A42="",AA$4=""),0,COUNTIFS(Formulas!$A$2:$A$1501,AA$4,Formulas!$B$2:$B$1501,$A42))</f>
        <v>0</v>
      </c>
      <c r="AB42" s="21" t="n">
        <f aca="false">IF(OR($A42="",AB$4=""),0,COUNTIFS(Formulas!$A$2:$A$1501,AB$4,Formulas!$B$2:$B$1501,$A42))</f>
        <v>0</v>
      </c>
      <c r="AC42" s="21" t="n">
        <f aca="false">IF(OR($A42="",AC$4=""),0,COUNTIFS(Formulas!$A$2:$A$1501,AC$4,Formulas!$B$2:$B$1501,$A42))</f>
        <v>0</v>
      </c>
      <c r="AD42" s="21" t="n">
        <f aca="false">IF(OR($A42="",AD$4=""),0,COUNTIFS(Formulas!$A$2:$A$1501,AD$4,Formulas!$B$2:$B$1501,$A42))</f>
        <v>0</v>
      </c>
      <c r="AE42" s="21" t="n">
        <f aca="false">IF(OR($A42="",AE$4=""),0,COUNTIFS(Formulas!$A$2:$A$1501,AE$4,Formulas!$B$2:$B$1501,$A42))</f>
        <v>0</v>
      </c>
      <c r="AF42" s="21" t="n">
        <f aca="false">IF(OR($A42="",AF$4=""),0,COUNTIFS(Formulas!$A$2:$A$1501,AF$4,Formulas!$B$2:$B$1501,$A42))</f>
        <v>0</v>
      </c>
      <c r="AG42" s="21" t="n">
        <f aca="false">IF(OR($A42="",AG$4=""),0,COUNTIFS(Formulas!$A$2:$A$1501,AG$4,Formulas!$B$2:$B$1501,$A42))</f>
        <v>0</v>
      </c>
      <c r="AH42" s="21" t="n">
        <f aca="false">IF(OR($A42="",AH$4=""),0,COUNTIFS(Formulas!$A$2:$A$1501,AH$4,Formulas!$B$2:$B$1501,$A42))</f>
        <v>0</v>
      </c>
      <c r="AI42" s="21" t="n">
        <f aca="false">IF(OR($A42="",AI$4=""),0,COUNTIFS(Formulas!$A$2:$A$1501,AI$4,Formulas!$B$2:$B$1501,$A42))</f>
        <v>0</v>
      </c>
      <c r="AJ42" s="21" t="n">
        <f aca="false">IF(OR($A42="",AJ$4=""),0,COUNTIFS(Formulas!$A$2:$A$1501,AJ$4,Formulas!$B$2:$B$1501,$A42))</f>
        <v>0</v>
      </c>
      <c r="AK42" s="21" t="n">
        <f aca="false">IF(OR($A42="",AK$4=""),0,COUNTIFS(Formulas!$A$2:$A$1501,AK$4,Formulas!$B$2:$B$1501,$A42))</f>
        <v>0</v>
      </c>
      <c r="AL42" s="21" t="n">
        <f aca="false">IF(OR($A42="",AL$4=""),0,COUNTIFS(Formulas!$A$2:$A$1501,AL$4,Formulas!$B$2:$B$1501,$A42))</f>
        <v>0</v>
      </c>
      <c r="AM42" s="21" t="n">
        <f aca="false">IF(OR($A42="",AM$4=""),0,COUNTIFS(Formulas!$A$2:$A$1501,AM$4,Formulas!$B$2:$B$1501,$A42))</f>
        <v>0</v>
      </c>
      <c r="AN42" s="21" t="n">
        <f aca="false">IF(OR($A42="",AN$4=""),0,COUNTIFS(Formulas!$A$2:$A$1501,AN$4,Formulas!$B$2:$B$1501,$A42))</f>
        <v>0</v>
      </c>
      <c r="AO42" s="21" t="n">
        <f aca="false">IF(OR($A42="",AO$4=""),0,COUNTIFS(Formulas!$A$2:$A$1501,AO$4,Formulas!$B$2:$B$1501,$A42))</f>
        <v>0</v>
      </c>
      <c r="AP42" s="21" t="n">
        <f aca="false">IF(OR($A42="",AP$4=""),0,COUNTIFS(Formulas!$A$2:$A$1501,AP$4,Formulas!$B$2:$B$1501,$A42))</f>
        <v>0</v>
      </c>
      <c r="AQ42" s="21" t="n">
        <f aca="false">IF(OR($A42="",AQ$4=""),0,COUNTIFS(Formulas!$A$2:$A$1501,AQ$4,Formulas!$B$2:$B$1501,$A42))</f>
        <v>0</v>
      </c>
      <c r="AR42" s="21" t="n">
        <f aca="false">IF(OR($A42="",AR$4=""),0,COUNTIFS(Formulas!$A$2:$A$1501,AR$4,Formulas!$B$2:$B$1501,$A42))</f>
        <v>0</v>
      </c>
      <c r="AS42" s="21" t="n">
        <f aca="false">IF(OR($A42="",AS$4=""),0,COUNTIFS(Formulas!$A$2:$A$1501,AS$4,Formulas!$B$2:$B$1501,$A42))</f>
        <v>0</v>
      </c>
      <c r="AT42" s="21" t="n">
        <f aca="false">IF(OR($A42="",AT$4=""),0,COUNTIFS(Formulas!$A$2:$A$1501,AT$4,Formulas!$B$2:$B$1501,$A42))</f>
        <v>0</v>
      </c>
      <c r="AU42" s="21" t="n">
        <f aca="false">IF(OR($A42="",AU$4=""),0,COUNTIFS(Formulas!$A$2:$A$1501,AU$4,Formulas!$B$2:$B$1501,$A42))</f>
        <v>0</v>
      </c>
      <c r="AV42" s="21" t="n">
        <f aca="false">IF(OR($A42="",AV$4=""),0,COUNTIFS(Formulas!$A$2:$A$1501,AV$4,Formulas!$B$2:$B$1501,$A42))</f>
        <v>0</v>
      </c>
      <c r="AW42" s="21" t="n">
        <f aca="false">IF(OR($A42="",AW$4=""),0,COUNTIFS(Formulas!$A$2:$A$1501,AW$4,Formulas!$B$2:$B$1501,$A42))</f>
        <v>0</v>
      </c>
      <c r="AX42" s="21" t="n">
        <f aca="false">IF(OR($A42="",AX$4=""),0,COUNTIFS(Formulas!$A$2:$A$1501,AX$4,Formulas!$B$2:$B$1501,$A42))</f>
        <v>0</v>
      </c>
      <c r="AY42" s="21" t="n">
        <f aca="false">IF(OR($A42="",AY$4=""),0,COUNTIFS(Formulas!$A$2:$A$1501,AY$4,Formulas!$B$2:$B$1501,$A42))</f>
        <v>0</v>
      </c>
      <c r="AZ42" s="21" t="n">
        <f aca="false">IF(OR($A42="",AZ$4=""),0,COUNTIFS(Formulas!$A$2:$A$1501,AZ$4,Formulas!$B$2:$B$1501,$A42))</f>
        <v>0</v>
      </c>
      <c r="BA42" s="21" t="n">
        <f aca="false">IF(OR($A42="",BA$4=""),0,COUNTIFS(Formulas!$A$2:$A$1501,BA$4,Formulas!$B$2:$B$1501,$A42))</f>
        <v>0</v>
      </c>
      <c r="BB42" s="21" t="n">
        <f aca="false">IF(OR($A42="",BB$4=""),0,COUNTIFS(Formulas!$A$2:$A$1501,BB$4,Formulas!$B$2:$B$1501,$A42))</f>
        <v>0</v>
      </c>
      <c r="BC42" s="21" t="n">
        <f aca="false">IF(OR($A42="",BC$4=""),0,COUNTIFS(Formulas!$A$2:$A$1501,BC$4,Formulas!$B$2:$B$1501,$A42))</f>
        <v>0</v>
      </c>
      <c r="BD42" s="21" t="n">
        <f aca="false">IF(OR($A42="",BD$4=""),0,COUNTIFS(Formulas!$A$2:$A$1501,BD$4,Formulas!$B$2:$B$1501,$A42))</f>
        <v>0</v>
      </c>
      <c r="BE42" s="21" t="n">
        <f aca="false">IF(OR($A42="",BE$4=""),0,COUNTIFS(Formulas!$A$2:$A$1501,BE$4,Formulas!$B$2:$B$1501,$A42))</f>
        <v>0</v>
      </c>
      <c r="BF42" s="21" t="n">
        <f aca="false">IF(OR($A42="",BF$4=""),0,COUNTIFS(Formulas!$A$2:$A$1501,BF$4,Formulas!$B$2:$B$1501,$A42))</f>
        <v>0</v>
      </c>
      <c r="BG42" s="21" t="n">
        <f aca="false">IF(OR($A42="",BG$4=""),0,COUNTIFS(Formulas!$A$2:$A$1501,BG$4,Formulas!$B$2:$B$1501,$A42))</f>
        <v>0</v>
      </c>
      <c r="BH42" s="21" t="n">
        <f aca="false">IF(OR($A42="",BH$4=""),0,COUNTIFS(Formulas!$A$2:$A$1501,BH$4,Formulas!$B$2:$B$1501,$A42))</f>
        <v>0</v>
      </c>
      <c r="BI42" s="21" t="n">
        <f aca="false">IF(OR($A42="",BI$4=""),0,COUNTIFS(Formulas!$A$2:$A$1501,BI$4,Formulas!$B$2:$B$1501,$A42))</f>
        <v>0</v>
      </c>
      <c r="BJ42" s="21" t="n">
        <f aca="false">IF(OR($A42="",BJ$4=""),0,COUNTIFS(Formulas!$A$2:$A$1501,BJ$4,Formulas!$B$2:$B$1501,$A42))</f>
        <v>0</v>
      </c>
    </row>
    <row r="43" customFormat="false" ht="15" hidden="false" customHeight="false" outlineLevel="0" collapsed="false">
      <c r="A43" s="13" t="str">
        <f aca="false">IF(INDEX(Materials!$A$2:$A$201,39)="","",INDEX(Materials!$A$2:$A$201,39))</f>
        <v/>
      </c>
      <c r="B43" s="19" t="str">
        <f aca="false">IF(A43="","",COUNTIF(C43:BJ43,"&gt;0"))</f>
        <v/>
      </c>
      <c r="C43" s="21" t="n">
        <f aca="false">IF(OR($A43="",C$4=""),0,COUNTIFS(Formulas!$A$2:$A$1501,C$4,Formulas!$B$2:$B$1501,$A43))</f>
        <v>0</v>
      </c>
      <c r="D43" s="21" t="n">
        <f aca="false">IF(OR($A43="",D$4=""),0,COUNTIFS(Formulas!$A$2:$A$1501,D$4,Formulas!$B$2:$B$1501,$A43))</f>
        <v>0</v>
      </c>
      <c r="E43" s="21" t="n">
        <f aca="false">IF(OR($A43="",E$4=""),0,COUNTIFS(Formulas!$A$2:$A$1501,E$4,Formulas!$B$2:$B$1501,$A43))</f>
        <v>0</v>
      </c>
      <c r="F43" s="21" t="n">
        <f aca="false">IF(OR($A43="",F$4=""),0,COUNTIFS(Formulas!$A$2:$A$1501,F$4,Formulas!$B$2:$B$1501,$A43))</f>
        <v>0</v>
      </c>
      <c r="G43" s="21" t="n">
        <f aca="false">IF(OR($A43="",G$4=""),0,COUNTIFS(Formulas!$A$2:$A$1501,G$4,Formulas!$B$2:$B$1501,$A43))</f>
        <v>0</v>
      </c>
      <c r="H43" s="21" t="n">
        <f aca="false">IF(OR($A43="",H$4=""),0,COUNTIFS(Formulas!$A$2:$A$1501,H$4,Formulas!$B$2:$B$1501,$A43))</f>
        <v>0</v>
      </c>
      <c r="I43" s="21" t="n">
        <f aca="false">IF(OR($A43="",I$4=""),0,COUNTIFS(Formulas!$A$2:$A$1501,I$4,Formulas!$B$2:$B$1501,$A43))</f>
        <v>0</v>
      </c>
      <c r="J43" s="21" t="n">
        <f aca="false">IF(OR($A43="",J$4=""),0,COUNTIFS(Formulas!$A$2:$A$1501,J$4,Formulas!$B$2:$B$1501,$A43))</f>
        <v>0</v>
      </c>
      <c r="K43" s="21" t="n">
        <f aca="false">IF(OR($A43="",K$4=""),0,COUNTIFS(Formulas!$A$2:$A$1501,K$4,Formulas!$B$2:$B$1501,$A43))</f>
        <v>0</v>
      </c>
      <c r="L43" s="21" t="n">
        <f aca="false">IF(OR($A43="",L$4=""),0,COUNTIFS(Formulas!$A$2:$A$1501,L$4,Formulas!$B$2:$B$1501,$A43))</f>
        <v>0</v>
      </c>
      <c r="M43" s="21" t="n">
        <f aca="false">IF(OR($A43="",M$4=""),0,COUNTIFS(Formulas!$A$2:$A$1501,M$4,Formulas!$B$2:$B$1501,$A43))</f>
        <v>0</v>
      </c>
      <c r="N43" s="21" t="n">
        <f aca="false">IF(OR($A43="",N$4=""),0,COUNTIFS(Formulas!$A$2:$A$1501,N$4,Formulas!$B$2:$B$1501,$A43))</f>
        <v>0</v>
      </c>
      <c r="O43" s="21" t="n">
        <f aca="false">IF(OR($A43="",O$4=""),0,COUNTIFS(Formulas!$A$2:$A$1501,O$4,Formulas!$B$2:$B$1501,$A43))</f>
        <v>0</v>
      </c>
      <c r="P43" s="21" t="n">
        <f aca="false">IF(OR($A43="",P$4=""),0,COUNTIFS(Formulas!$A$2:$A$1501,P$4,Formulas!$B$2:$B$1501,$A43))</f>
        <v>0</v>
      </c>
      <c r="Q43" s="21" t="n">
        <f aca="false">IF(OR($A43="",Q$4=""),0,COUNTIFS(Formulas!$A$2:$A$1501,Q$4,Formulas!$B$2:$B$1501,$A43))</f>
        <v>0</v>
      </c>
      <c r="R43" s="21" t="n">
        <f aca="false">IF(OR($A43="",R$4=""),0,COUNTIFS(Formulas!$A$2:$A$1501,R$4,Formulas!$B$2:$B$1501,$A43))</f>
        <v>0</v>
      </c>
      <c r="S43" s="21" t="n">
        <f aca="false">IF(OR($A43="",S$4=""),0,COUNTIFS(Formulas!$A$2:$A$1501,S$4,Formulas!$B$2:$B$1501,$A43))</f>
        <v>0</v>
      </c>
      <c r="T43" s="21" t="n">
        <f aca="false">IF(OR($A43="",T$4=""),0,COUNTIFS(Formulas!$A$2:$A$1501,T$4,Formulas!$B$2:$B$1501,$A43))</f>
        <v>0</v>
      </c>
      <c r="U43" s="21" t="n">
        <f aca="false">IF(OR($A43="",U$4=""),0,COUNTIFS(Formulas!$A$2:$A$1501,U$4,Formulas!$B$2:$B$1501,$A43))</f>
        <v>0</v>
      </c>
      <c r="V43" s="21" t="n">
        <f aca="false">IF(OR($A43="",V$4=""),0,COUNTIFS(Formulas!$A$2:$A$1501,V$4,Formulas!$B$2:$B$1501,$A43))</f>
        <v>0</v>
      </c>
      <c r="W43" s="21" t="n">
        <f aca="false">IF(OR($A43="",W$4=""),0,COUNTIFS(Formulas!$A$2:$A$1501,W$4,Formulas!$B$2:$B$1501,$A43))</f>
        <v>0</v>
      </c>
      <c r="X43" s="21" t="n">
        <f aca="false">IF(OR($A43="",X$4=""),0,COUNTIFS(Formulas!$A$2:$A$1501,X$4,Formulas!$B$2:$B$1501,$A43))</f>
        <v>0</v>
      </c>
      <c r="Y43" s="21" t="n">
        <f aca="false">IF(OR($A43="",Y$4=""),0,COUNTIFS(Formulas!$A$2:$A$1501,Y$4,Formulas!$B$2:$B$1501,$A43))</f>
        <v>0</v>
      </c>
      <c r="Z43" s="21" t="n">
        <f aca="false">IF(OR($A43="",Z$4=""),0,COUNTIFS(Formulas!$A$2:$A$1501,Z$4,Formulas!$B$2:$B$1501,$A43))</f>
        <v>0</v>
      </c>
      <c r="AA43" s="21" t="n">
        <f aca="false">IF(OR($A43="",AA$4=""),0,COUNTIFS(Formulas!$A$2:$A$1501,AA$4,Formulas!$B$2:$B$1501,$A43))</f>
        <v>0</v>
      </c>
      <c r="AB43" s="21" t="n">
        <f aca="false">IF(OR($A43="",AB$4=""),0,COUNTIFS(Formulas!$A$2:$A$1501,AB$4,Formulas!$B$2:$B$1501,$A43))</f>
        <v>0</v>
      </c>
      <c r="AC43" s="21" t="n">
        <f aca="false">IF(OR($A43="",AC$4=""),0,COUNTIFS(Formulas!$A$2:$A$1501,AC$4,Formulas!$B$2:$B$1501,$A43))</f>
        <v>0</v>
      </c>
      <c r="AD43" s="21" t="n">
        <f aca="false">IF(OR($A43="",AD$4=""),0,COUNTIFS(Formulas!$A$2:$A$1501,AD$4,Formulas!$B$2:$B$1501,$A43))</f>
        <v>0</v>
      </c>
      <c r="AE43" s="21" t="n">
        <f aca="false">IF(OR($A43="",AE$4=""),0,COUNTIFS(Formulas!$A$2:$A$1501,AE$4,Formulas!$B$2:$B$1501,$A43))</f>
        <v>0</v>
      </c>
      <c r="AF43" s="21" t="n">
        <f aca="false">IF(OR($A43="",AF$4=""),0,COUNTIFS(Formulas!$A$2:$A$1501,AF$4,Formulas!$B$2:$B$1501,$A43))</f>
        <v>0</v>
      </c>
      <c r="AG43" s="21" t="n">
        <f aca="false">IF(OR($A43="",AG$4=""),0,COUNTIFS(Formulas!$A$2:$A$1501,AG$4,Formulas!$B$2:$B$1501,$A43))</f>
        <v>0</v>
      </c>
      <c r="AH43" s="21" t="n">
        <f aca="false">IF(OR($A43="",AH$4=""),0,COUNTIFS(Formulas!$A$2:$A$1501,AH$4,Formulas!$B$2:$B$1501,$A43))</f>
        <v>0</v>
      </c>
      <c r="AI43" s="21" t="n">
        <f aca="false">IF(OR($A43="",AI$4=""),0,COUNTIFS(Formulas!$A$2:$A$1501,AI$4,Formulas!$B$2:$B$1501,$A43))</f>
        <v>0</v>
      </c>
      <c r="AJ43" s="21" t="n">
        <f aca="false">IF(OR($A43="",AJ$4=""),0,COUNTIFS(Formulas!$A$2:$A$1501,AJ$4,Formulas!$B$2:$B$1501,$A43))</f>
        <v>0</v>
      </c>
      <c r="AK43" s="21" t="n">
        <f aca="false">IF(OR($A43="",AK$4=""),0,COUNTIFS(Formulas!$A$2:$A$1501,AK$4,Formulas!$B$2:$B$1501,$A43))</f>
        <v>0</v>
      </c>
      <c r="AL43" s="21" t="n">
        <f aca="false">IF(OR($A43="",AL$4=""),0,COUNTIFS(Formulas!$A$2:$A$1501,AL$4,Formulas!$B$2:$B$1501,$A43))</f>
        <v>0</v>
      </c>
      <c r="AM43" s="21" t="n">
        <f aca="false">IF(OR($A43="",AM$4=""),0,COUNTIFS(Formulas!$A$2:$A$1501,AM$4,Formulas!$B$2:$B$1501,$A43))</f>
        <v>0</v>
      </c>
      <c r="AN43" s="21" t="n">
        <f aca="false">IF(OR($A43="",AN$4=""),0,COUNTIFS(Formulas!$A$2:$A$1501,AN$4,Formulas!$B$2:$B$1501,$A43))</f>
        <v>0</v>
      </c>
      <c r="AO43" s="21" t="n">
        <f aca="false">IF(OR($A43="",AO$4=""),0,COUNTIFS(Formulas!$A$2:$A$1501,AO$4,Formulas!$B$2:$B$1501,$A43))</f>
        <v>0</v>
      </c>
      <c r="AP43" s="21" t="n">
        <f aca="false">IF(OR($A43="",AP$4=""),0,COUNTIFS(Formulas!$A$2:$A$1501,AP$4,Formulas!$B$2:$B$1501,$A43))</f>
        <v>0</v>
      </c>
      <c r="AQ43" s="21" t="n">
        <f aca="false">IF(OR($A43="",AQ$4=""),0,COUNTIFS(Formulas!$A$2:$A$1501,AQ$4,Formulas!$B$2:$B$1501,$A43))</f>
        <v>0</v>
      </c>
      <c r="AR43" s="21" t="n">
        <f aca="false">IF(OR($A43="",AR$4=""),0,COUNTIFS(Formulas!$A$2:$A$1501,AR$4,Formulas!$B$2:$B$1501,$A43))</f>
        <v>0</v>
      </c>
      <c r="AS43" s="21" t="n">
        <f aca="false">IF(OR($A43="",AS$4=""),0,COUNTIFS(Formulas!$A$2:$A$1501,AS$4,Formulas!$B$2:$B$1501,$A43))</f>
        <v>0</v>
      </c>
      <c r="AT43" s="21" t="n">
        <f aca="false">IF(OR($A43="",AT$4=""),0,COUNTIFS(Formulas!$A$2:$A$1501,AT$4,Formulas!$B$2:$B$1501,$A43))</f>
        <v>0</v>
      </c>
      <c r="AU43" s="21" t="n">
        <f aca="false">IF(OR($A43="",AU$4=""),0,COUNTIFS(Formulas!$A$2:$A$1501,AU$4,Formulas!$B$2:$B$1501,$A43))</f>
        <v>0</v>
      </c>
      <c r="AV43" s="21" t="n">
        <f aca="false">IF(OR($A43="",AV$4=""),0,COUNTIFS(Formulas!$A$2:$A$1501,AV$4,Formulas!$B$2:$B$1501,$A43))</f>
        <v>0</v>
      </c>
      <c r="AW43" s="21" t="n">
        <f aca="false">IF(OR($A43="",AW$4=""),0,COUNTIFS(Formulas!$A$2:$A$1501,AW$4,Formulas!$B$2:$B$1501,$A43))</f>
        <v>0</v>
      </c>
      <c r="AX43" s="21" t="n">
        <f aca="false">IF(OR($A43="",AX$4=""),0,COUNTIFS(Formulas!$A$2:$A$1501,AX$4,Formulas!$B$2:$B$1501,$A43))</f>
        <v>0</v>
      </c>
      <c r="AY43" s="21" t="n">
        <f aca="false">IF(OR($A43="",AY$4=""),0,COUNTIFS(Formulas!$A$2:$A$1501,AY$4,Formulas!$B$2:$B$1501,$A43))</f>
        <v>0</v>
      </c>
      <c r="AZ43" s="21" t="n">
        <f aca="false">IF(OR($A43="",AZ$4=""),0,COUNTIFS(Formulas!$A$2:$A$1501,AZ$4,Formulas!$B$2:$B$1501,$A43))</f>
        <v>0</v>
      </c>
      <c r="BA43" s="21" t="n">
        <f aca="false">IF(OR($A43="",BA$4=""),0,COUNTIFS(Formulas!$A$2:$A$1501,BA$4,Formulas!$B$2:$B$1501,$A43))</f>
        <v>0</v>
      </c>
      <c r="BB43" s="21" t="n">
        <f aca="false">IF(OR($A43="",BB$4=""),0,COUNTIFS(Formulas!$A$2:$A$1501,BB$4,Formulas!$B$2:$B$1501,$A43))</f>
        <v>0</v>
      </c>
      <c r="BC43" s="21" t="n">
        <f aca="false">IF(OR($A43="",BC$4=""),0,COUNTIFS(Formulas!$A$2:$A$1501,BC$4,Formulas!$B$2:$B$1501,$A43))</f>
        <v>0</v>
      </c>
      <c r="BD43" s="21" t="n">
        <f aca="false">IF(OR($A43="",BD$4=""),0,COUNTIFS(Formulas!$A$2:$A$1501,BD$4,Formulas!$B$2:$B$1501,$A43))</f>
        <v>0</v>
      </c>
      <c r="BE43" s="21" t="n">
        <f aca="false">IF(OR($A43="",BE$4=""),0,COUNTIFS(Formulas!$A$2:$A$1501,BE$4,Formulas!$B$2:$B$1501,$A43))</f>
        <v>0</v>
      </c>
      <c r="BF43" s="21" t="n">
        <f aca="false">IF(OR($A43="",BF$4=""),0,COUNTIFS(Formulas!$A$2:$A$1501,BF$4,Formulas!$B$2:$B$1501,$A43))</f>
        <v>0</v>
      </c>
      <c r="BG43" s="21" t="n">
        <f aca="false">IF(OR($A43="",BG$4=""),0,COUNTIFS(Formulas!$A$2:$A$1501,BG$4,Formulas!$B$2:$B$1501,$A43))</f>
        <v>0</v>
      </c>
      <c r="BH43" s="21" t="n">
        <f aca="false">IF(OR($A43="",BH$4=""),0,COUNTIFS(Formulas!$A$2:$A$1501,BH$4,Formulas!$B$2:$B$1501,$A43))</f>
        <v>0</v>
      </c>
      <c r="BI43" s="21" t="n">
        <f aca="false">IF(OR($A43="",BI$4=""),0,COUNTIFS(Formulas!$A$2:$A$1501,BI$4,Formulas!$B$2:$B$1501,$A43))</f>
        <v>0</v>
      </c>
      <c r="BJ43" s="21" t="n">
        <f aca="false">IF(OR($A43="",BJ$4=""),0,COUNTIFS(Formulas!$A$2:$A$1501,BJ$4,Formulas!$B$2:$B$1501,$A43))</f>
        <v>0</v>
      </c>
    </row>
    <row r="44" customFormat="false" ht="15" hidden="false" customHeight="false" outlineLevel="0" collapsed="false">
      <c r="A44" s="13" t="str">
        <f aca="false">IF(INDEX(Materials!$A$2:$A$201,40)="","",INDEX(Materials!$A$2:$A$201,40))</f>
        <v/>
      </c>
      <c r="B44" s="19" t="str">
        <f aca="false">IF(A44="","",COUNTIF(C44:BJ44,"&gt;0"))</f>
        <v/>
      </c>
      <c r="C44" s="21" t="n">
        <f aca="false">IF(OR($A44="",C$4=""),0,COUNTIFS(Formulas!$A$2:$A$1501,C$4,Formulas!$B$2:$B$1501,$A44))</f>
        <v>0</v>
      </c>
      <c r="D44" s="21" t="n">
        <f aca="false">IF(OR($A44="",D$4=""),0,COUNTIFS(Formulas!$A$2:$A$1501,D$4,Formulas!$B$2:$B$1501,$A44))</f>
        <v>0</v>
      </c>
      <c r="E44" s="21" t="n">
        <f aca="false">IF(OR($A44="",E$4=""),0,COUNTIFS(Formulas!$A$2:$A$1501,E$4,Formulas!$B$2:$B$1501,$A44))</f>
        <v>0</v>
      </c>
      <c r="F44" s="21" t="n">
        <f aca="false">IF(OR($A44="",F$4=""),0,COUNTIFS(Formulas!$A$2:$A$1501,F$4,Formulas!$B$2:$B$1501,$A44))</f>
        <v>0</v>
      </c>
      <c r="G44" s="21" t="n">
        <f aca="false">IF(OR($A44="",G$4=""),0,COUNTIFS(Formulas!$A$2:$A$1501,G$4,Formulas!$B$2:$B$1501,$A44))</f>
        <v>0</v>
      </c>
      <c r="H44" s="21" t="n">
        <f aca="false">IF(OR($A44="",H$4=""),0,COUNTIFS(Formulas!$A$2:$A$1501,H$4,Formulas!$B$2:$B$1501,$A44))</f>
        <v>0</v>
      </c>
      <c r="I44" s="21" t="n">
        <f aca="false">IF(OR($A44="",I$4=""),0,COUNTIFS(Formulas!$A$2:$A$1501,I$4,Formulas!$B$2:$B$1501,$A44))</f>
        <v>0</v>
      </c>
      <c r="J44" s="21" t="n">
        <f aca="false">IF(OR($A44="",J$4=""),0,COUNTIFS(Formulas!$A$2:$A$1501,J$4,Formulas!$B$2:$B$1501,$A44))</f>
        <v>0</v>
      </c>
      <c r="K44" s="21" t="n">
        <f aca="false">IF(OR($A44="",K$4=""),0,COUNTIFS(Formulas!$A$2:$A$1501,K$4,Formulas!$B$2:$B$1501,$A44))</f>
        <v>0</v>
      </c>
      <c r="L44" s="21" t="n">
        <f aca="false">IF(OR($A44="",L$4=""),0,COUNTIFS(Formulas!$A$2:$A$1501,L$4,Formulas!$B$2:$B$1501,$A44))</f>
        <v>0</v>
      </c>
      <c r="M44" s="21" t="n">
        <f aca="false">IF(OR($A44="",M$4=""),0,COUNTIFS(Formulas!$A$2:$A$1501,M$4,Formulas!$B$2:$B$1501,$A44))</f>
        <v>0</v>
      </c>
      <c r="N44" s="21" t="n">
        <f aca="false">IF(OR($A44="",N$4=""),0,COUNTIFS(Formulas!$A$2:$A$1501,N$4,Formulas!$B$2:$B$1501,$A44))</f>
        <v>0</v>
      </c>
      <c r="O44" s="21" t="n">
        <f aca="false">IF(OR($A44="",O$4=""),0,COUNTIFS(Formulas!$A$2:$A$1501,O$4,Formulas!$B$2:$B$1501,$A44))</f>
        <v>0</v>
      </c>
      <c r="P44" s="21" t="n">
        <f aca="false">IF(OR($A44="",P$4=""),0,COUNTIFS(Formulas!$A$2:$A$1501,P$4,Formulas!$B$2:$B$1501,$A44))</f>
        <v>0</v>
      </c>
      <c r="Q44" s="21" t="n">
        <f aca="false">IF(OR($A44="",Q$4=""),0,COUNTIFS(Formulas!$A$2:$A$1501,Q$4,Formulas!$B$2:$B$1501,$A44))</f>
        <v>0</v>
      </c>
      <c r="R44" s="21" t="n">
        <f aca="false">IF(OR($A44="",R$4=""),0,COUNTIFS(Formulas!$A$2:$A$1501,R$4,Formulas!$B$2:$B$1501,$A44))</f>
        <v>0</v>
      </c>
      <c r="S44" s="21" t="n">
        <f aca="false">IF(OR($A44="",S$4=""),0,COUNTIFS(Formulas!$A$2:$A$1501,S$4,Formulas!$B$2:$B$1501,$A44))</f>
        <v>0</v>
      </c>
      <c r="T44" s="21" t="n">
        <f aca="false">IF(OR($A44="",T$4=""),0,COUNTIFS(Formulas!$A$2:$A$1501,T$4,Formulas!$B$2:$B$1501,$A44))</f>
        <v>0</v>
      </c>
      <c r="U44" s="21" t="n">
        <f aca="false">IF(OR($A44="",U$4=""),0,COUNTIFS(Formulas!$A$2:$A$1501,U$4,Formulas!$B$2:$B$1501,$A44))</f>
        <v>0</v>
      </c>
      <c r="V44" s="21" t="n">
        <f aca="false">IF(OR($A44="",V$4=""),0,COUNTIFS(Formulas!$A$2:$A$1501,V$4,Formulas!$B$2:$B$1501,$A44))</f>
        <v>0</v>
      </c>
      <c r="W44" s="21" t="n">
        <f aca="false">IF(OR($A44="",W$4=""),0,COUNTIFS(Formulas!$A$2:$A$1501,W$4,Formulas!$B$2:$B$1501,$A44))</f>
        <v>0</v>
      </c>
      <c r="X44" s="21" t="n">
        <f aca="false">IF(OR($A44="",X$4=""),0,COUNTIFS(Formulas!$A$2:$A$1501,X$4,Formulas!$B$2:$B$1501,$A44))</f>
        <v>0</v>
      </c>
      <c r="Y44" s="21" t="n">
        <f aca="false">IF(OR($A44="",Y$4=""),0,COUNTIFS(Formulas!$A$2:$A$1501,Y$4,Formulas!$B$2:$B$1501,$A44))</f>
        <v>0</v>
      </c>
      <c r="Z44" s="21" t="n">
        <f aca="false">IF(OR($A44="",Z$4=""),0,COUNTIFS(Formulas!$A$2:$A$1501,Z$4,Formulas!$B$2:$B$1501,$A44))</f>
        <v>0</v>
      </c>
      <c r="AA44" s="21" t="n">
        <f aca="false">IF(OR($A44="",AA$4=""),0,COUNTIFS(Formulas!$A$2:$A$1501,AA$4,Formulas!$B$2:$B$1501,$A44))</f>
        <v>0</v>
      </c>
      <c r="AB44" s="21" t="n">
        <f aca="false">IF(OR($A44="",AB$4=""),0,COUNTIFS(Formulas!$A$2:$A$1501,AB$4,Formulas!$B$2:$B$1501,$A44))</f>
        <v>0</v>
      </c>
      <c r="AC44" s="21" t="n">
        <f aca="false">IF(OR($A44="",AC$4=""),0,COUNTIFS(Formulas!$A$2:$A$1501,AC$4,Formulas!$B$2:$B$1501,$A44))</f>
        <v>0</v>
      </c>
      <c r="AD44" s="21" t="n">
        <f aca="false">IF(OR($A44="",AD$4=""),0,COUNTIFS(Formulas!$A$2:$A$1501,AD$4,Formulas!$B$2:$B$1501,$A44))</f>
        <v>0</v>
      </c>
      <c r="AE44" s="21" t="n">
        <f aca="false">IF(OR($A44="",AE$4=""),0,COUNTIFS(Formulas!$A$2:$A$1501,AE$4,Formulas!$B$2:$B$1501,$A44))</f>
        <v>0</v>
      </c>
      <c r="AF44" s="21" t="n">
        <f aca="false">IF(OR($A44="",AF$4=""),0,COUNTIFS(Formulas!$A$2:$A$1501,AF$4,Formulas!$B$2:$B$1501,$A44))</f>
        <v>0</v>
      </c>
      <c r="AG44" s="21" t="n">
        <f aca="false">IF(OR($A44="",AG$4=""),0,COUNTIFS(Formulas!$A$2:$A$1501,AG$4,Formulas!$B$2:$B$1501,$A44))</f>
        <v>0</v>
      </c>
      <c r="AH44" s="21" t="n">
        <f aca="false">IF(OR($A44="",AH$4=""),0,COUNTIFS(Formulas!$A$2:$A$1501,AH$4,Formulas!$B$2:$B$1501,$A44))</f>
        <v>0</v>
      </c>
      <c r="AI44" s="21" t="n">
        <f aca="false">IF(OR($A44="",AI$4=""),0,COUNTIFS(Formulas!$A$2:$A$1501,AI$4,Formulas!$B$2:$B$1501,$A44))</f>
        <v>0</v>
      </c>
      <c r="AJ44" s="21" t="n">
        <f aca="false">IF(OR($A44="",AJ$4=""),0,COUNTIFS(Formulas!$A$2:$A$1501,AJ$4,Formulas!$B$2:$B$1501,$A44))</f>
        <v>0</v>
      </c>
      <c r="AK44" s="21" t="n">
        <f aca="false">IF(OR($A44="",AK$4=""),0,COUNTIFS(Formulas!$A$2:$A$1501,AK$4,Formulas!$B$2:$B$1501,$A44))</f>
        <v>0</v>
      </c>
      <c r="AL44" s="21" t="n">
        <f aca="false">IF(OR($A44="",AL$4=""),0,COUNTIFS(Formulas!$A$2:$A$1501,AL$4,Formulas!$B$2:$B$1501,$A44))</f>
        <v>0</v>
      </c>
      <c r="AM44" s="21" t="n">
        <f aca="false">IF(OR($A44="",AM$4=""),0,COUNTIFS(Formulas!$A$2:$A$1501,AM$4,Formulas!$B$2:$B$1501,$A44))</f>
        <v>0</v>
      </c>
      <c r="AN44" s="21" t="n">
        <f aca="false">IF(OR($A44="",AN$4=""),0,COUNTIFS(Formulas!$A$2:$A$1501,AN$4,Formulas!$B$2:$B$1501,$A44))</f>
        <v>0</v>
      </c>
      <c r="AO44" s="21" t="n">
        <f aca="false">IF(OR($A44="",AO$4=""),0,COUNTIFS(Formulas!$A$2:$A$1501,AO$4,Formulas!$B$2:$B$1501,$A44))</f>
        <v>0</v>
      </c>
      <c r="AP44" s="21" t="n">
        <f aca="false">IF(OR($A44="",AP$4=""),0,COUNTIFS(Formulas!$A$2:$A$1501,AP$4,Formulas!$B$2:$B$1501,$A44))</f>
        <v>0</v>
      </c>
      <c r="AQ44" s="21" t="n">
        <f aca="false">IF(OR($A44="",AQ$4=""),0,COUNTIFS(Formulas!$A$2:$A$1501,AQ$4,Formulas!$B$2:$B$1501,$A44))</f>
        <v>0</v>
      </c>
      <c r="AR44" s="21" t="n">
        <f aca="false">IF(OR($A44="",AR$4=""),0,COUNTIFS(Formulas!$A$2:$A$1501,AR$4,Formulas!$B$2:$B$1501,$A44))</f>
        <v>0</v>
      </c>
      <c r="AS44" s="21" t="n">
        <f aca="false">IF(OR($A44="",AS$4=""),0,COUNTIFS(Formulas!$A$2:$A$1501,AS$4,Formulas!$B$2:$B$1501,$A44))</f>
        <v>0</v>
      </c>
      <c r="AT44" s="21" t="n">
        <f aca="false">IF(OR($A44="",AT$4=""),0,COUNTIFS(Formulas!$A$2:$A$1501,AT$4,Formulas!$B$2:$B$1501,$A44))</f>
        <v>0</v>
      </c>
      <c r="AU44" s="21" t="n">
        <f aca="false">IF(OR($A44="",AU$4=""),0,COUNTIFS(Formulas!$A$2:$A$1501,AU$4,Formulas!$B$2:$B$1501,$A44))</f>
        <v>0</v>
      </c>
      <c r="AV44" s="21" t="n">
        <f aca="false">IF(OR($A44="",AV$4=""),0,COUNTIFS(Formulas!$A$2:$A$1501,AV$4,Formulas!$B$2:$B$1501,$A44))</f>
        <v>0</v>
      </c>
      <c r="AW44" s="21" t="n">
        <f aca="false">IF(OR($A44="",AW$4=""),0,COUNTIFS(Formulas!$A$2:$A$1501,AW$4,Formulas!$B$2:$B$1501,$A44))</f>
        <v>0</v>
      </c>
      <c r="AX44" s="21" t="n">
        <f aca="false">IF(OR($A44="",AX$4=""),0,COUNTIFS(Formulas!$A$2:$A$1501,AX$4,Formulas!$B$2:$B$1501,$A44))</f>
        <v>0</v>
      </c>
      <c r="AY44" s="21" t="n">
        <f aca="false">IF(OR($A44="",AY$4=""),0,COUNTIFS(Formulas!$A$2:$A$1501,AY$4,Formulas!$B$2:$B$1501,$A44))</f>
        <v>0</v>
      </c>
      <c r="AZ44" s="21" t="n">
        <f aca="false">IF(OR($A44="",AZ$4=""),0,COUNTIFS(Formulas!$A$2:$A$1501,AZ$4,Formulas!$B$2:$B$1501,$A44))</f>
        <v>0</v>
      </c>
      <c r="BA44" s="21" t="n">
        <f aca="false">IF(OR($A44="",BA$4=""),0,COUNTIFS(Formulas!$A$2:$A$1501,BA$4,Formulas!$B$2:$B$1501,$A44))</f>
        <v>0</v>
      </c>
      <c r="BB44" s="21" t="n">
        <f aca="false">IF(OR($A44="",BB$4=""),0,COUNTIFS(Formulas!$A$2:$A$1501,BB$4,Formulas!$B$2:$B$1501,$A44))</f>
        <v>0</v>
      </c>
      <c r="BC44" s="21" t="n">
        <f aca="false">IF(OR($A44="",BC$4=""),0,COUNTIFS(Formulas!$A$2:$A$1501,BC$4,Formulas!$B$2:$B$1501,$A44))</f>
        <v>0</v>
      </c>
      <c r="BD44" s="21" t="n">
        <f aca="false">IF(OR($A44="",BD$4=""),0,COUNTIFS(Formulas!$A$2:$A$1501,BD$4,Formulas!$B$2:$B$1501,$A44))</f>
        <v>0</v>
      </c>
      <c r="BE44" s="21" t="n">
        <f aca="false">IF(OR($A44="",BE$4=""),0,COUNTIFS(Formulas!$A$2:$A$1501,BE$4,Formulas!$B$2:$B$1501,$A44))</f>
        <v>0</v>
      </c>
      <c r="BF44" s="21" t="n">
        <f aca="false">IF(OR($A44="",BF$4=""),0,COUNTIFS(Formulas!$A$2:$A$1501,BF$4,Formulas!$B$2:$B$1501,$A44))</f>
        <v>0</v>
      </c>
      <c r="BG44" s="21" t="n">
        <f aca="false">IF(OR($A44="",BG$4=""),0,COUNTIFS(Formulas!$A$2:$A$1501,BG$4,Formulas!$B$2:$B$1501,$A44))</f>
        <v>0</v>
      </c>
      <c r="BH44" s="21" t="n">
        <f aca="false">IF(OR($A44="",BH$4=""),0,COUNTIFS(Formulas!$A$2:$A$1501,BH$4,Formulas!$B$2:$B$1501,$A44))</f>
        <v>0</v>
      </c>
      <c r="BI44" s="21" t="n">
        <f aca="false">IF(OR($A44="",BI$4=""),0,COUNTIFS(Formulas!$A$2:$A$1501,BI$4,Formulas!$B$2:$B$1501,$A44))</f>
        <v>0</v>
      </c>
      <c r="BJ44" s="21" t="n">
        <f aca="false">IF(OR($A44="",BJ$4=""),0,COUNTIFS(Formulas!$A$2:$A$1501,BJ$4,Formulas!$B$2:$B$1501,$A44))</f>
        <v>0</v>
      </c>
    </row>
    <row r="45" customFormat="false" ht="15" hidden="false" customHeight="false" outlineLevel="0" collapsed="false">
      <c r="A45" s="13" t="str">
        <f aca="false">IF(INDEX(Materials!$A$2:$A$201,41)="","",INDEX(Materials!$A$2:$A$201,41))</f>
        <v/>
      </c>
      <c r="B45" s="19" t="str">
        <f aca="false">IF(A45="","",COUNTIF(C45:BJ45,"&gt;0"))</f>
        <v/>
      </c>
      <c r="C45" s="21" t="n">
        <f aca="false">IF(OR($A45="",C$4=""),0,COUNTIFS(Formulas!$A$2:$A$1501,C$4,Formulas!$B$2:$B$1501,$A45))</f>
        <v>0</v>
      </c>
      <c r="D45" s="21" t="n">
        <f aca="false">IF(OR($A45="",D$4=""),0,COUNTIFS(Formulas!$A$2:$A$1501,D$4,Formulas!$B$2:$B$1501,$A45))</f>
        <v>0</v>
      </c>
      <c r="E45" s="21" t="n">
        <f aca="false">IF(OR($A45="",E$4=""),0,COUNTIFS(Formulas!$A$2:$A$1501,E$4,Formulas!$B$2:$B$1501,$A45))</f>
        <v>0</v>
      </c>
      <c r="F45" s="21" t="n">
        <f aca="false">IF(OR($A45="",F$4=""),0,COUNTIFS(Formulas!$A$2:$A$1501,F$4,Formulas!$B$2:$B$1501,$A45))</f>
        <v>0</v>
      </c>
      <c r="G45" s="21" t="n">
        <f aca="false">IF(OR($A45="",G$4=""),0,COUNTIFS(Formulas!$A$2:$A$1501,G$4,Formulas!$B$2:$B$1501,$A45))</f>
        <v>0</v>
      </c>
      <c r="H45" s="21" t="n">
        <f aca="false">IF(OR($A45="",H$4=""),0,COUNTIFS(Formulas!$A$2:$A$1501,H$4,Formulas!$B$2:$B$1501,$A45))</f>
        <v>0</v>
      </c>
      <c r="I45" s="21" t="n">
        <f aca="false">IF(OR($A45="",I$4=""),0,COUNTIFS(Formulas!$A$2:$A$1501,I$4,Formulas!$B$2:$B$1501,$A45))</f>
        <v>0</v>
      </c>
      <c r="J45" s="21" t="n">
        <f aca="false">IF(OR($A45="",J$4=""),0,COUNTIFS(Formulas!$A$2:$A$1501,J$4,Formulas!$B$2:$B$1501,$A45))</f>
        <v>0</v>
      </c>
      <c r="K45" s="21" t="n">
        <f aca="false">IF(OR($A45="",K$4=""),0,COUNTIFS(Formulas!$A$2:$A$1501,K$4,Formulas!$B$2:$B$1501,$A45))</f>
        <v>0</v>
      </c>
      <c r="L45" s="21" t="n">
        <f aca="false">IF(OR($A45="",L$4=""),0,COUNTIFS(Formulas!$A$2:$A$1501,L$4,Formulas!$B$2:$B$1501,$A45))</f>
        <v>0</v>
      </c>
      <c r="M45" s="21" t="n">
        <f aca="false">IF(OR($A45="",M$4=""),0,COUNTIFS(Formulas!$A$2:$A$1501,M$4,Formulas!$B$2:$B$1501,$A45))</f>
        <v>0</v>
      </c>
      <c r="N45" s="21" t="n">
        <f aca="false">IF(OR($A45="",N$4=""),0,COUNTIFS(Formulas!$A$2:$A$1501,N$4,Formulas!$B$2:$B$1501,$A45))</f>
        <v>0</v>
      </c>
      <c r="O45" s="21" t="n">
        <f aca="false">IF(OR($A45="",O$4=""),0,COUNTIFS(Formulas!$A$2:$A$1501,O$4,Formulas!$B$2:$B$1501,$A45))</f>
        <v>0</v>
      </c>
      <c r="P45" s="21" t="n">
        <f aca="false">IF(OR($A45="",P$4=""),0,COUNTIFS(Formulas!$A$2:$A$1501,P$4,Formulas!$B$2:$B$1501,$A45))</f>
        <v>0</v>
      </c>
      <c r="Q45" s="21" t="n">
        <f aca="false">IF(OR($A45="",Q$4=""),0,COUNTIFS(Formulas!$A$2:$A$1501,Q$4,Formulas!$B$2:$B$1501,$A45))</f>
        <v>0</v>
      </c>
      <c r="R45" s="21" t="n">
        <f aca="false">IF(OR($A45="",R$4=""),0,COUNTIFS(Formulas!$A$2:$A$1501,R$4,Formulas!$B$2:$B$1501,$A45))</f>
        <v>0</v>
      </c>
      <c r="S45" s="21" t="n">
        <f aca="false">IF(OR($A45="",S$4=""),0,COUNTIFS(Formulas!$A$2:$A$1501,S$4,Formulas!$B$2:$B$1501,$A45))</f>
        <v>0</v>
      </c>
      <c r="T45" s="21" t="n">
        <f aca="false">IF(OR($A45="",T$4=""),0,COUNTIFS(Formulas!$A$2:$A$1501,T$4,Formulas!$B$2:$B$1501,$A45))</f>
        <v>0</v>
      </c>
      <c r="U45" s="21" t="n">
        <f aca="false">IF(OR($A45="",U$4=""),0,COUNTIFS(Formulas!$A$2:$A$1501,U$4,Formulas!$B$2:$B$1501,$A45))</f>
        <v>0</v>
      </c>
      <c r="V45" s="21" t="n">
        <f aca="false">IF(OR($A45="",V$4=""),0,COUNTIFS(Formulas!$A$2:$A$1501,V$4,Formulas!$B$2:$B$1501,$A45))</f>
        <v>0</v>
      </c>
      <c r="W45" s="21" t="n">
        <f aca="false">IF(OR($A45="",W$4=""),0,COUNTIFS(Formulas!$A$2:$A$1501,W$4,Formulas!$B$2:$B$1501,$A45))</f>
        <v>0</v>
      </c>
      <c r="X45" s="21" t="n">
        <f aca="false">IF(OR($A45="",X$4=""),0,COUNTIFS(Formulas!$A$2:$A$1501,X$4,Formulas!$B$2:$B$1501,$A45))</f>
        <v>0</v>
      </c>
      <c r="Y45" s="21" t="n">
        <f aca="false">IF(OR($A45="",Y$4=""),0,COUNTIFS(Formulas!$A$2:$A$1501,Y$4,Formulas!$B$2:$B$1501,$A45))</f>
        <v>0</v>
      </c>
      <c r="Z45" s="21" t="n">
        <f aca="false">IF(OR($A45="",Z$4=""),0,COUNTIFS(Formulas!$A$2:$A$1501,Z$4,Formulas!$B$2:$B$1501,$A45))</f>
        <v>0</v>
      </c>
      <c r="AA45" s="21" t="n">
        <f aca="false">IF(OR($A45="",AA$4=""),0,COUNTIFS(Formulas!$A$2:$A$1501,AA$4,Formulas!$B$2:$B$1501,$A45))</f>
        <v>0</v>
      </c>
      <c r="AB45" s="21" t="n">
        <f aca="false">IF(OR($A45="",AB$4=""),0,COUNTIFS(Formulas!$A$2:$A$1501,AB$4,Formulas!$B$2:$B$1501,$A45))</f>
        <v>0</v>
      </c>
      <c r="AC45" s="21" t="n">
        <f aca="false">IF(OR($A45="",AC$4=""),0,COUNTIFS(Formulas!$A$2:$A$1501,AC$4,Formulas!$B$2:$B$1501,$A45))</f>
        <v>0</v>
      </c>
      <c r="AD45" s="21" t="n">
        <f aca="false">IF(OR($A45="",AD$4=""),0,COUNTIFS(Formulas!$A$2:$A$1501,AD$4,Formulas!$B$2:$B$1501,$A45))</f>
        <v>0</v>
      </c>
      <c r="AE45" s="21" t="n">
        <f aca="false">IF(OR($A45="",AE$4=""),0,COUNTIFS(Formulas!$A$2:$A$1501,AE$4,Formulas!$B$2:$B$1501,$A45))</f>
        <v>0</v>
      </c>
      <c r="AF45" s="21" t="n">
        <f aca="false">IF(OR($A45="",AF$4=""),0,COUNTIFS(Formulas!$A$2:$A$1501,AF$4,Formulas!$B$2:$B$1501,$A45))</f>
        <v>0</v>
      </c>
      <c r="AG45" s="21" t="n">
        <f aca="false">IF(OR($A45="",AG$4=""),0,COUNTIFS(Formulas!$A$2:$A$1501,AG$4,Formulas!$B$2:$B$1501,$A45))</f>
        <v>0</v>
      </c>
      <c r="AH45" s="21" t="n">
        <f aca="false">IF(OR($A45="",AH$4=""),0,COUNTIFS(Formulas!$A$2:$A$1501,AH$4,Formulas!$B$2:$B$1501,$A45))</f>
        <v>0</v>
      </c>
      <c r="AI45" s="21" t="n">
        <f aca="false">IF(OR($A45="",AI$4=""),0,COUNTIFS(Formulas!$A$2:$A$1501,AI$4,Formulas!$B$2:$B$1501,$A45))</f>
        <v>0</v>
      </c>
      <c r="AJ45" s="21" t="n">
        <f aca="false">IF(OR($A45="",AJ$4=""),0,COUNTIFS(Formulas!$A$2:$A$1501,AJ$4,Formulas!$B$2:$B$1501,$A45))</f>
        <v>0</v>
      </c>
      <c r="AK45" s="21" t="n">
        <f aca="false">IF(OR($A45="",AK$4=""),0,COUNTIFS(Formulas!$A$2:$A$1501,AK$4,Formulas!$B$2:$B$1501,$A45))</f>
        <v>0</v>
      </c>
      <c r="AL45" s="21" t="n">
        <f aca="false">IF(OR($A45="",AL$4=""),0,COUNTIFS(Formulas!$A$2:$A$1501,AL$4,Formulas!$B$2:$B$1501,$A45))</f>
        <v>0</v>
      </c>
      <c r="AM45" s="21" t="n">
        <f aca="false">IF(OR($A45="",AM$4=""),0,COUNTIFS(Formulas!$A$2:$A$1501,AM$4,Formulas!$B$2:$B$1501,$A45))</f>
        <v>0</v>
      </c>
      <c r="AN45" s="21" t="n">
        <f aca="false">IF(OR($A45="",AN$4=""),0,COUNTIFS(Formulas!$A$2:$A$1501,AN$4,Formulas!$B$2:$B$1501,$A45))</f>
        <v>0</v>
      </c>
      <c r="AO45" s="21" t="n">
        <f aca="false">IF(OR($A45="",AO$4=""),0,COUNTIFS(Formulas!$A$2:$A$1501,AO$4,Formulas!$B$2:$B$1501,$A45))</f>
        <v>0</v>
      </c>
      <c r="AP45" s="21" t="n">
        <f aca="false">IF(OR($A45="",AP$4=""),0,COUNTIFS(Formulas!$A$2:$A$1501,AP$4,Formulas!$B$2:$B$1501,$A45))</f>
        <v>0</v>
      </c>
      <c r="AQ45" s="21" t="n">
        <f aca="false">IF(OR($A45="",AQ$4=""),0,COUNTIFS(Formulas!$A$2:$A$1501,AQ$4,Formulas!$B$2:$B$1501,$A45))</f>
        <v>0</v>
      </c>
      <c r="AR45" s="21" t="n">
        <f aca="false">IF(OR($A45="",AR$4=""),0,COUNTIFS(Formulas!$A$2:$A$1501,AR$4,Formulas!$B$2:$B$1501,$A45))</f>
        <v>0</v>
      </c>
      <c r="AS45" s="21" t="n">
        <f aca="false">IF(OR($A45="",AS$4=""),0,COUNTIFS(Formulas!$A$2:$A$1501,AS$4,Formulas!$B$2:$B$1501,$A45))</f>
        <v>0</v>
      </c>
      <c r="AT45" s="21" t="n">
        <f aca="false">IF(OR($A45="",AT$4=""),0,COUNTIFS(Formulas!$A$2:$A$1501,AT$4,Formulas!$B$2:$B$1501,$A45))</f>
        <v>0</v>
      </c>
      <c r="AU45" s="21" t="n">
        <f aca="false">IF(OR($A45="",AU$4=""),0,COUNTIFS(Formulas!$A$2:$A$1501,AU$4,Formulas!$B$2:$B$1501,$A45))</f>
        <v>0</v>
      </c>
      <c r="AV45" s="21" t="n">
        <f aca="false">IF(OR($A45="",AV$4=""),0,COUNTIFS(Formulas!$A$2:$A$1501,AV$4,Formulas!$B$2:$B$1501,$A45))</f>
        <v>0</v>
      </c>
      <c r="AW45" s="21" t="n">
        <f aca="false">IF(OR($A45="",AW$4=""),0,COUNTIFS(Formulas!$A$2:$A$1501,AW$4,Formulas!$B$2:$B$1501,$A45))</f>
        <v>0</v>
      </c>
      <c r="AX45" s="21" t="n">
        <f aca="false">IF(OR($A45="",AX$4=""),0,COUNTIFS(Formulas!$A$2:$A$1501,AX$4,Formulas!$B$2:$B$1501,$A45))</f>
        <v>0</v>
      </c>
      <c r="AY45" s="21" t="n">
        <f aca="false">IF(OR($A45="",AY$4=""),0,COUNTIFS(Formulas!$A$2:$A$1501,AY$4,Formulas!$B$2:$B$1501,$A45))</f>
        <v>0</v>
      </c>
      <c r="AZ45" s="21" t="n">
        <f aca="false">IF(OR($A45="",AZ$4=""),0,COUNTIFS(Formulas!$A$2:$A$1501,AZ$4,Formulas!$B$2:$B$1501,$A45))</f>
        <v>0</v>
      </c>
      <c r="BA45" s="21" t="n">
        <f aca="false">IF(OR($A45="",BA$4=""),0,COUNTIFS(Formulas!$A$2:$A$1501,BA$4,Formulas!$B$2:$B$1501,$A45))</f>
        <v>0</v>
      </c>
      <c r="BB45" s="21" t="n">
        <f aca="false">IF(OR($A45="",BB$4=""),0,COUNTIFS(Formulas!$A$2:$A$1501,BB$4,Formulas!$B$2:$B$1501,$A45))</f>
        <v>0</v>
      </c>
      <c r="BC45" s="21" t="n">
        <f aca="false">IF(OR($A45="",BC$4=""),0,COUNTIFS(Formulas!$A$2:$A$1501,BC$4,Formulas!$B$2:$B$1501,$A45))</f>
        <v>0</v>
      </c>
      <c r="BD45" s="21" t="n">
        <f aca="false">IF(OR($A45="",BD$4=""),0,COUNTIFS(Formulas!$A$2:$A$1501,BD$4,Formulas!$B$2:$B$1501,$A45))</f>
        <v>0</v>
      </c>
      <c r="BE45" s="21" t="n">
        <f aca="false">IF(OR($A45="",BE$4=""),0,COUNTIFS(Formulas!$A$2:$A$1501,BE$4,Formulas!$B$2:$B$1501,$A45))</f>
        <v>0</v>
      </c>
      <c r="BF45" s="21" t="n">
        <f aca="false">IF(OR($A45="",BF$4=""),0,COUNTIFS(Formulas!$A$2:$A$1501,BF$4,Formulas!$B$2:$B$1501,$A45))</f>
        <v>0</v>
      </c>
      <c r="BG45" s="21" t="n">
        <f aca="false">IF(OR($A45="",BG$4=""),0,COUNTIFS(Formulas!$A$2:$A$1501,BG$4,Formulas!$B$2:$B$1501,$A45))</f>
        <v>0</v>
      </c>
      <c r="BH45" s="21" t="n">
        <f aca="false">IF(OR($A45="",BH$4=""),0,COUNTIFS(Formulas!$A$2:$A$1501,BH$4,Formulas!$B$2:$B$1501,$A45))</f>
        <v>0</v>
      </c>
      <c r="BI45" s="21" t="n">
        <f aca="false">IF(OR($A45="",BI$4=""),0,COUNTIFS(Formulas!$A$2:$A$1501,BI$4,Formulas!$B$2:$B$1501,$A45))</f>
        <v>0</v>
      </c>
      <c r="BJ45" s="21" t="n">
        <f aca="false">IF(OR($A45="",BJ$4=""),0,COUNTIFS(Formulas!$A$2:$A$1501,BJ$4,Formulas!$B$2:$B$1501,$A45))</f>
        <v>0</v>
      </c>
    </row>
    <row r="46" customFormat="false" ht="15" hidden="false" customHeight="false" outlineLevel="0" collapsed="false">
      <c r="A46" s="13" t="str">
        <f aca="false">IF(INDEX(Materials!$A$2:$A$201,42)="","",INDEX(Materials!$A$2:$A$201,42))</f>
        <v/>
      </c>
      <c r="B46" s="19" t="str">
        <f aca="false">IF(A46="","",COUNTIF(C46:BJ46,"&gt;0"))</f>
        <v/>
      </c>
      <c r="C46" s="21" t="n">
        <f aca="false">IF(OR($A46="",C$4=""),0,COUNTIFS(Formulas!$A$2:$A$1501,C$4,Formulas!$B$2:$B$1501,$A46))</f>
        <v>0</v>
      </c>
      <c r="D46" s="21" t="n">
        <f aca="false">IF(OR($A46="",D$4=""),0,COUNTIFS(Formulas!$A$2:$A$1501,D$4,Formulas!$B$2:$B$1501,$A46))</f>
        <v>0</v>
      </c>
      <c r="E46" s="21" t="n">
        <f aca="false">IF(OR($A46="",E$4=""),0,COUNTIFS(Formulas!$A$2:$A$1501,E$4,Formulas!$B$2:$B$1501,$A46))</f>
        <v>0</v>
      </c>
      <c r="F46" s="21" t="n">
        <f aca="false">IF(OR($A46="",F$4=""),0,COUNTIFS(Formulas!$A$2:$A$1501,F$4,Formulas!$B$2:$B$1501,$A46))</f>
        <v>0</v>
      </c>
      <c r="G46" s="21" t="n">
        <f aca="false">IF(OR($A46="",G$4=""),0,COUNTIFS(Formulas!$A$2:$A$1501,G$4,Formulas!$B$2:$B$1501,$A46))</f>
        <v>0</v>
      </c>
      <c r="H46" s="21" t="n">
        <f aca="false">IF(OR($A46="",H$4=""),0,COUNTIFS(Formulas!$A$2:$A$1501,H$4,Formulas!$B$2:$B$1501,$A46))</f>
        <v>0</v>
      </c>
      <c r="I46" s="21" t="n">
        <f aca="false">IF(OR($A46="",I$4=""),0,COUNTIFS(Formulas!$A$2:$A$1501,I$4,Formulas!$B$2:$B$1501,$A46))</f>
        <v>0</v>
      </c>
      <c r="J46" s="21" t="n">
        <f aca="false">IF(OR($A46="",J$4=""),0,COUNTIFS(Formulas!$A$2:$A$1501,J$4,Formulas!$B$2:$B$1501,$A46))</f>
        <v>0</v>
      </c>
      <c r="K46" s="21" t="n">
        <f aca="false">IF(OR($A46="",K$4=""),0,COUNTIFS(Formulas!$A$2:$A$1501,K$4,Formulas!$B$2:$B$1501,$A46))</f>
        <v>0</v>
      </c>
      <c r="L46" s="21" t="n">
        <f aca="false">IF(OR($A46="",L$4=""),0,COUNTIFS(Formulas!$A$2:$A$1501,L$4,Formulas!$B$2:$B$1501,$A46))</f>
        <v>0</v>
      </c>
      <c r="M46" s="21" t="n">
        <f aca="false">IF(OR($A46="",M$4=""),0,COUNTIFS(Formulas!$A$2:$A$1501,M$4,Formulas!$B$2:$B$1501,$A46))</f>
        <v>0</v>
      </c>
      <c r="N46" s="21" t="n">
        <f aca="false">IF(OR($A46="",N$4=""),0,COUNTIFS(Formulas!$A$2:$A$1501,N$4,Formulas!$B$2:$B$1501,$A46))</f>
        <v>0</v>
      </c>
      <c r="O46" s="21" t="n">
        <f aca="false">IF(OR($A46="",O$4=""),0,COUNTIFS(Formulas!$A$2:$A$1501,O$4,Formulas!$B$2:$B$1501,$A46))</f>
        <v>0</v>
      </c>
      <c r="P46" s="21" t="n">
        <f aca="false">IF(OR($A46="",P$4=""),0,COUNTIFS(Formulas!$A$2:$A$1501,P$4,Formulas!$B$2:$B$1501,$A46))</f>
        <v>0</v>
      </c>
      <c r="Q46" s="21" t="n">
        <f aca="false">IF(OR($A46="",Q$4=""),0,COUNTIFS(Formulas!$A$2:$A$1501,Q$4,Formulas!$B$2:$B$1501,$A46))</f>
        <v>0</v>
      </c>
      <c r="R46" s="21" t="n">
        <f aca="false">IF(OR($A46="",R$4=""),0,COUNTIFS(Formulas!$A$2:$A$1501,R$4,Formulas!$B$2:$B$1501,$A46))</f>
        <v>0</v>
      </c>
      <c r="S46" s="21" t="n">
        <f aca="false">IF(OR($A46="",S$4=""),0,COUNTIFS(Formulas!$A$2:$A$1501,S$4,Formulas!$B$2:$B$1501,$A46))</f>
        <v>0</v>
      </c>
      <c r="T46" s="21" t="n">
        <f aca="false">IF(OR($A46="",T$4=""),0,COUNTIFS(Formulas!$A$2:$A$1501,T$4,Formulas!$B$2:$B$1501,$A46))</f>
        <v>0</v>
      </c>
      <c r="U46" s="21" t="n">
        <f aca="false">IF(OR($A46="",U$4=""),0,COUNTIFS(Formulas!$A$2:$A$1501,U$4,Formulas!$B$2:$B$1501,$A46))</f>
        <v>0</v>
      </c>
      <c r="V46" s="21" t="n">
        <f aca="false">IF(OR($A46="",V$4=""),0,COUNTIFS(Formulas!$A$2:$A$1501,V$4,Formulas!$B$2:$B$1501,$A46))</f>
        <v>0</v>
      </c>
      <c r="W46" s="21" t="n">
        <f aca="false">IF(OR($A46="",W$4=""),0,COUNTIFS(Formulas!$A$2:$A$1501,W$4,Formulas!$B$2:$B$1501,$A46))</f>
        <v>0</v>
      </c>
      <c r="X46" s="21" t="n">
        <f aca="false">IF(OR($A46="",X$4=""),0,COUNTIFS(Formulas!$A$2:$A$1501,X$4,Formulas!$B$2:$B$1501,$A46))</f>
        <v>0</v>
      </c>
      <c r="Y46" s="21" t="n">
        <f aca="false">IF(OR($A46="",Y$4=""),0,COUNTIFS(Formulas!$A$2:$A$1501,Y$4,Formulas!$B$2:$B$1501,$A46))</f>
        <v>0</v>
      </c>
      <c r="Z46" s="21" t="n">
        <f aca="false">IF(OR($A46="",Z$4=""),0,COUNTIFS(Formulas!$A$2:$A$1501,Z$4,Formulas!$B$2:$B$1501,$A46))</f>
        <v>0</v>
      </c>
      <c r="AA46" s="21" t="n">
        <f aca="false">IF(OR($A46="",AA$4=""),0,COUNTIFS(Formulas!$A$2:$A$1501,AA$4,Formulas!$B$2:$B$1501,$A46))</f>
        <v>0</v>
      </c>
      <c r="AB46" s="21" t="n">
        <f aca="false">IF(OR($A46="",AB$4=""),0,COUNTIFS(Formulas!$A$2:$A$1501,AB$4,Formulas!$B$2:$B$1501,$A46))</f>
        <v>0</v>
      </c>
      <c r="AC46" s="21" t="n">
        <f aca="false">IF(OR($A46="",AC$4=""),0,COUNTIFS(Formulas!$A$2:$A$1501,AC$4,Formulas!$B$2:$B$1501,$A46))</f>
        <v>0</v>
      </c>
      <c r="AD46" s="21" t="n">
        <f aca="false">IF(OR($A46="",AD$4=""),0,COUNTIFS(Formulas!$A$2:$A$1501,AD$4,Formulas!$B$2:$B$1501,$A46))</f>
        <v>0</v>
      </c>
      <c r="AE46" s="21" t="n">
        <f aca="false">IF(OR($A46="",AE$4=""),0,COUNTIFS(Formulas!$A$2:$A$1501,AE$4,Formulas!$B$2:$B$1501,$A46))</f>
        <v>0</v>
      </c>
      <c r="AF46" s="21" t="n">
        <f aca="false">IF(OR($A46="",AF$4=""),0,COUNTIFS(Formulas!$A$2:$A$1501,AF$4,Formulas!$B$2:$B$1501,$A46))</f>
        <v>0</v>
      </c>
      <c r="AG46" s="21" t="n">
        <f aca="false">IF(OR($A46="",AG$4=""),0,COUNTIFS(Formulas!$A$2:$A$1501,AG$4,Formulas!$B$2:$B$1501,$A46))</f>
        <v>0</v>
      </c>
      <c r="AH46" s="21" t="n">
        <f aca="false">IF(OR($A46="",AH$4=""),0,COUNTIFS(Formulas!$A$2:$A$1501,AH$4,Formulas!$B$2:$B$1501,$A46))</f>
        <v>0</v>
      </c>
      <c r="AI46" s="21" t="n">
        <f aca="false">IF(OR($A46="",AI$4=""),0,COUNTIFS(Formulas!$A$2:$A$1501,AI$4,Formulas!$B$2:$B$1501,$A46))</f>
        <v>0</v>
      </c>
      <c r="AJ46" s="21" t="n">
        <f aca="false">IF(OR($A46="",AJ$4=""),0,COUNTIFS(Formulas!$A$2:$A$1501,AJ$4,Formulas!$B$2:$B$1501,$A46))</f>
        <v>0</v>
      </c>
      <c r="AK46" s="21" t="n">
        <f aca="false">IF(OR($A46="",AK$4=""),0,COUNTIFS(Formulas!$A$2:$A$1501,AK$4,Formulas!$B$2:$B$1501,$A46))</f>
        <v>0</v>
      </c>
      <c r="AL46" s="21" t="n">
        <f aca="false">IF(OR($A46="",AL$4=""),0,COUNTIFS(Formulas!$A$2:$A$1501,AL$4,Formulas!$B$2:$B$1501,$A46))</f>
        <v>0</v>
      </c>
      <c r="AM46" s="21" t="n">
        <f aca="false">IF(OR($A46="",AM$4=""),0,COUNTIFS(Formulas!$A$2:$A$1501,AM$4,Formulas!$B$2:$B$1501,$A46))</f>
        <v>0</v>
      </c>
      <c r="AN46" s="21" t="n">
        <f aca="false">IF(OR($A46="",AN$4=""),0,COUNTIFS(Formulas!$A$2:$A$1501,AN$4,Formulas!$B$2:$B$1501,$A46))</f>
        <v>0</v>
      </c>
      <c r="AO46" s="21" t="n">
        <f aca="false">IF(OR($A46="",AO$4=""),0,COUNTIFS(Formulas!$A$2:$A$1501,AO$4,Formulas!$B$2:$B$1501,$A46))</f>
        <v>0</v>
      </c>
      <c r="AP46" s="21" t="n">
        <f aca="false">IF(OR($A46="",AP$4=""),0,COUNTIFS(Formulas!$A$2:$A$1501,AP$4,Formulas!$B$2:$B$1501,$A46))</f>
        <v>0</v>
      </c>
      <c r="AQ46" s="21" t="n">
        <f aca="false">IF(OR($A46="",AQ$4=""),0,COUNTIFS(Formulas!$A$2:$A$1501,AQ$4,Formulas!$B$2:$B$1501,$A46))</f>
        <v>0</v>
      </c>
      <c r="AR46" s="21" t="n">
        <f aca="false">IF(OR($A46="",AR$4=""),0,COUNTIFS(Formulas!$A$2:$A$1501,AR$4,Formulas!$B$2:$B$1501,$A46))</f>
        <v>0</v>
      </c>
      <c r="AS46" s="21" t="n">
        <f aca="false">IF(OR($A46="",AS$4=""),0,COUNTIFS(Formulas!$A$2:$A$1501,AS$4,Formulas!$B$2:$B$1501,$A46))</f>
        <v>0</v>
      </c>
      <c r="AT46" s="21" t="n">
        <f aca="false">IF(OR($A46="",AT$4=""),0,COUNTIFS(Formulas!$A$2:$A$1501,AT$4,Formulas!$B$2:$B$1501,$A46))</f>
        <v>0</v>
      </c>
      <c r="AU46" s="21" t="n">
        <f aca="false">IF(OR($A46="",AU$4=""),0,COUNTIFS(Formulas!$A$2:$A$1501,AU$4,Formulas!$B$2:$B$1501,$A46))</f>
        <v>0</v>
      </c>
      <c r="AV46" s="21" t="n">
        <f aca="false">IF(OR($A46="",AV$4=""),0,COUNTIFS(Formulas!$A$2:$A$1501,AV$4,Formulas!$B$2:$B$1501,$A46))</f>
        <v>0</v>
      </c>
      <c r="AW46" s="21" t="n">
        <f aca="false">IF(OR($A46="",AW$4=""),0,COUNTIFS(Formulas!$A$2:$A$1501,AW$4,Formulas!$B$2:$B$1501,$A46))</f>
        <v>0</v>
      </c>
      <c r="AX46" s="21" t="n">
        <f aca="false">IF(OR($A46="",AX$4=""),0,COUNTIFS(Formulas!$A$2:$A$1501,AX$4,Formulas!$B$2:$B$1501,$A46))</f>
        <v>0</v>
      </c>
      <c r="AY46" s="21" t="n">
        <f aca="false">IF(OR($A46="",AY$4=""),0,COUNTIFS(Formulas!$A$2:$A$1501,AY$4,Formulas!$B$2:$B$1501,$A46))</f>
        <v>0</v>
      </c>
      <c r="AZ46" s="21" t="n">
        <f aca="false">IF(OR($A46="",AZ$4=""),0,COUNTIFS(Formulas!$A$2:$A$1501,AZ$4,Formulas!$B$2:$B$1501,$A46))</f>
        <v>0</v>
      </c>
      <c r="BA46" s="21" t="n">
        <f aca="false">IF(OR($A46="",BA$4=""),0,COUNTIFS(Formulas!$A$2:$A$1501,BA$4,Formulas!$B$2:$B$1501,$A46))</f>
        <v>0</v>
      </c>
      <c r="BB46" s="21" t="n">
        <f aca="false">IF(OR($A46="",BB$4=""),0,COUNTIFS(Formulas!$A$2:$A$1501,BB$4,Formulas!$B$2:$B$1501,$A46))</f>
        <v>0</v>
      </c>
      <c r="BC46" s="21" t="n">
        <f aca="false">IF(OR($A46="",BC$4=""),0,COUNTIFS(Formulas!$A$2:$A$1501,BC$4,Formulas!$B$2:$B$1501,$A46))</f>
        <v>0</v>
      </c>
      <c r="BD46" s="21" t="n">
        <f aca="false">IF(OR($A46="",BD$4=""),0,COUNTIFS(Formulas!$A$2:$A$1501,BD$4,Formulas!$B$2:$B$1501,$A46))</f>
        <v>0</v>
      </c>
      <c r="BE46" s="21" t="n">
        <f aca="false">IF(OR($A46="",BE$4=""),0,COUNTIFS(Formulas!$A$2:$A$1501,BE$4,Formulas!$B$2:$B$1501,$A46))</f>
        <v>0</v>
      </c>
      <c r="BF46" s="21" t="n">
        <f aca="false">IF(OR($A46="",BF$4=""),0,COUNTIFS(Formulas!$A$2:$A$1501,BF$4,Formulas!$B$2:$B$1501,$A46))</f>
        <v>0</v>
      </c>
      <c r="BG46" s="21" t="n">
        <f aca="false">IF(OR($A46="",BG$4=""),0,COUNTIFS(Formulas!$A$2:$A$1501,BG$4,Formulas!$B$2:$B$1501,$A46))</f>
        <v>0</v>
      </c>
      <c r="BH46" s="21" t="n">
        <f aca="false">IF(OR($A46="",BH$4=""),0,COUNTIFS(Formulas!$A$2:$A$1501,BH$4,Formulas!$B$2:$B$1501,$A46))</f>
        <v>0</v>
      </c>
      <c r="BI46" s="21" t="n">
        <f aca="false">IF(OR($A46="",BI$4=""),0,COUNTIFS(Formulas!$A$2:$A$1501,BI$4,Formulas!$B$2:$B$1501,$A46))</f>
        <v>0</v>
      </c>
      <c r="BJ46" s="21" t="n">
        <f aca="false">IF(OR($A46="",BJ$4=""),0,COUNTIFS(Formulas!$A$2:$A$1501,BJ$4,Formulas!$B$2:$B$1501,$A46))</f>
        <v>0</v>
      </c>
    </row>
    <row r="47" customFormat="false" ht="15" hidden="false" customHeight="false" outlineLevel="0" collapsed="false">
      <c r="A47" s="13" t="str">
        <f aca="false">IF(INDEX(Materials!$A$2:$A$201,43)="","",INDEX(Materials!$A$2:$A$201,43))</f>
        <v/>
      </c>
      <c r="B47" s="19" t="str">
        <f aca="false">IF(A47="","",COUNTIF(C47:BJ47,"&gt;0"))</f>
        <v/>
      </c>
      <c r="C47" s="21" t="n">
        <f aca="false">IF(OR($A47="",C$4=""),0,COUNTIFS(Formulas!$A$2:$A$1501,C$4,Formulas!$B$2:$B$1501,$A47))</f>
        <v>0</v>
      </c>
      <c r="D47" s="21" t="n">
        <f aca="false">IF(OR($A47="",D$4=""),0,COUNTIFS(Formulas!$A$2:$A$1501,D$4,Formulas!$B$2:$B$1501,$A47))</f>
        <v>0</v>
      </c>
      <c r="E47" s="21" t="n">
        <f aca="false">IF(OR($A47="",E$4=""),0,COUNTIFS(Formulas!$A$2:$A$1501,E$4,Formulas!$B$2:$B$1501,$A47))</f>
        <v>0</v>
      </c>
      <c r="F47" s="21" t="n">
        <f aca="false">IF(OR($A47="",F$4=""),0,COUNTIFS(Formulas!$A$2:$A$1501,F$4,Formulas!$B$2:$B$1501,$A47))</f>
        <v>0</v>
      </c>
      <c r="G47" s="21" t="n">
        <f aca="false">IF(OR($A47="",G$4=""),0,COUNTIFS(Formulas!$A$2:$A$1501,G$4,Formulas!$B$2:$B$1501,$A47))</f>
        <v>0</v>
      </c>
      <c r="H47" s="21" t="n">
        <f aca="false">IF(OR($A47="",H$4=""),0,COUNTIFS(Formulas!$A$2:$A$1501,H$4,Formulas!$B$2:$B$1501,$A47))</f>
        <v>0</v>
      </c>
      <c r="I47" s="21" t="n">
        <f aca="false">IF(OR($A47="",I$4=""),0,COUNTIFS(Formulas!$A$2:$A$1501,I$4,Formulas!$B$2:$B$1501,$A47))</f>
        <v>0</v>
      </c>
      <c r="J47" s="21" t="n">
        <f aca="false">IF(OR($A47="",J$4=""),0,COUNTIFS(Formulas!$A$2:$A$1501,J$4,Formulas!$B$2:$B$1501,$A47))</f>
        <v>0</v>
      </c>
      <c r="K47" s="21" t="n">
        <f aca="false">IF(OR($A47="",K$4=""),0,COUNTIFS(Formulas!$A$2:$A$1501,K$4,Formulas!$B$2:$B$1501,$A47))</f>
        <v>0</v>
      </c>
      <c r="L47" s="21" t="n">
        <f aca="false">IF(OR($A47="",L$4=""),0,COUNTIFS(Formulas!$A$2:$A$1501,L$4,Formulas!$B$2:$B$1501,$A47))</f>
        <v>0</v>
      </c>
      <c r="M47" s="21" t="n">
        <f aca="false">IF(OR($A47="",M$4=""),0,COUNTIFS(Formulas!$A$2:$A$1501,M$4,Formulas!$B$2:$B$1501,$A47))</f>
        <v>0</v>
      </c>
      <c r="N47" s="21" t="n">
        <f aca="false">IF(OR($A47="",N$4=""),0,COUNTIFS(Formulas!$A$2:$A$1501,N$4,Formulas!$B$2:$B$1501,$A47))</f>
        <v>0</v>
      </c>
      <c r="O47" s="21" t="n">
        <f aca="false">IF(OR($A47="",O$4=""),0,COUNTIFS(Formulas!$A$2:$A$1501,O$4,Formulas!$B$2:$B$1501,$A47))</f>
        <v>0</v>
      </c>
      <c r="P47" s="21" t="n">
        <f aca="false">IF(OR($A47="",P$4=""),0,COUNTIFS(Formulas!$A$2:$A$1501,P$4,Formulas!$B$2:$B$1501,$A47))</f>
        <v>0</v>
      </c>
      <c r="Q47" s="21" t="n">
        <f aca="false">IF(OR($A47="",Q$4=""),0,COUNTIFS(Formulas!$A$2:$A$1501,Q$4,Formulas!$B$2:$B$1501,$A47))</f>
        <v>0</v>
      </c>
      <c r="R47" s="21" t="n">
        <f aca="false">IF(OR($A47="",R$4=""),0,COUNTIFS(Formulas!$A$2:$A$1501,R$4,Formulas!$B$2:$B$1501,$A47))</f>
        <v>0</v>
      </c>
      <c r="S47" s="21" t="n">
        <f aca="false">IF(OR($A47="",S$4=""),0,COUNTIFS(Formulas!$A$2:$A$1501,S$4,Formulas!$B$2:$B$1501,$A47))</f>
        <v>0</v>
      </c>
      <c r="T47" s="21" t="n">
        <f aca="false">IF(OR($A47="",T$4=""),0,COUNTIFS(Formulas!$A$2:$A$1501,T$4,Formulas!$B$2:$B$1501,$A47))</f>
        <v>0</v>
      </c>
      <c r="U47" s="21" t="n">
        <f aca="false">IF(OR($A47="",U$4=""),0,COUNTIFS(Formulas!$A$2:$A$1501,U$4,Formulas!$B$2:$B$1501,$A47))</f>
        <v>0</v>
      </c>
      <c r="V47" s="21" t="n">
        <f aca="false">IF(OR($A47="",V$4=""),0,COUNTIFS(Formulas!$A$2:$A$1501,V$4,Formulas!$B$2:$B$1501,$A47))</f>
        <v>0</v>
      </c>
      <c r="W47" s="21" t="n">
        <f aca="false">IF(OR($A47="",W$4=""),0,COUNTIFS(Formulas!$A$2:$A$1501,W$4,Formulas!$B$2:$B$1501,$A47))</f>
        <v>0</v>
      </c>
      <c r="X47" s="21" t="n">
        <f aca="false">IF(OR($A47="",X$4=""),0,COUNTIFS(Formulas!$A$2:$A$1501,X$4,Formulas!$B$2:$B$1501,$A47))</f>
        <v>0</v>
      </c>
      <c r="Y47" s="21" t="n">
        <f aca="false">IF(OR($A47="",Y$4=""),0,COUNTIFS(Formulas!$A$2:$A$1501,Y$4,Formulas!$B$2:$B$1501,$A47))</f>
        <v>0</v>
      </c>
      <c r="Z47" s="21" t="n">
        <f aca="false">IF(OR($A47="",Z$4=""),0,COUNTIFS(Formulas!$A$2:$A$1501,Z$4,Formulas!$B$2:$B$1501,$A47))</f>
        <v>0</v>
      </c>
      <c r="AA47" s="21" t="n">
        <f aca="false">IF(OR($A47="",AA$4=""),0,COUNTIFS(Formulas!$A$2:$A$1501,AA$4,Formulas!$B$2:$B$1501,$A47))</f>
        <v>0</v>
      </c>
      <c r="AB47" s="21" t="n">
        <f aca="false">IF(OR($A47="",AB$4=""),0,COUNTIFS(Formulas!$A$2:$A$1501,AB$4,Formulas!$B$2:$B$1501,$A47))</f>
        <v>0</v>
      </c>
      <c r="AC47" s="21" t="n">
        <f aca="false">IF(OR($A47="",AC$4=""),0,COUNTIFS(Formulas!$A$2:$A$1501,AC$4,Formulas!$B$2:$B$1501,$A47))</f>
        <v>0</v>
      </c>
      <c r="AD47" s="21" t="n">
        <f aca="false">IF(OR($A47="",AD$4=""),0,COUNTIFS(Formulas!$A$2:$A$1501,AD$4,Formulas!$B$2:$B$1501,$A47))</f>
        <v>0</v>
      </c>
      <c r="AE47" s="21" t="n">
        <f aca="false">IF(OR($A47="",AE$4=""),0,COUNTIFS(Formulas!$A$2:$A$1501,AE$4,Formulas!$B$2:$B$1501,$A47))</f>
        <v>0</v>
      </c>
      <c r="AF47" s="21" t="n">
        <f aca="false">IF(OR($A47="",AF$4=""),0,COUNTIFS(Formulas!$A$2:$A$1501,AF$4,Formulas!$B$2:$B$1501,$A47))</f>
        <v>0</v>
      </c>
      <c r="AG47" s="21" t="n">
        <f aca="false">IF(OR($A47="",AG$4=""),0,COUNTIFS(Formulas!$A$2:$A$1501,AG$4,Formulas!$B$2:$B$1501,$A47))</f>
        <v>0</v>
      </c>
      <c r="AH47" s="21" t="n">
        <f aca="false">IF(OR($A47="",AH$4=""),0,COUNTIFS(Formulas!$A$2:$A$1501,AH$4,Formulas!$B$2:$B$1501,$A47))</f>
        <v>0</v>
      </c>
      <c r="AI47" s="21" t="n">
        <f aca="false">IF(OR($A47="",AI$4=""),0,COUNTIFS(Formulas!$A$2:$A$1501,AI$4,Formulas!$B$2:$B$1501,$A47))</f>
        <v>0</v>
      </c>
      <c r="AJ47" s="21" t="n">
        <f aca="false">IF(OR($A47="",AJ$4=""),0,COUNTIFS(Formulas!$A$2:$A$1501,AJ$4,Formulas!$B$2:$B$1501,$A47))</f>
        <v>0</v>
      </c>
      <c r="AK47" s="21" t="n">
        <f aca="false">IF(OR($A47="",AK$4=""),0,COUNTIFS(Formulas!$A$2:$A$1501,AK$4,Formulas!$B$2:$B$1501,$A47))</f>
        <v>0</v>
      </c>
      <c r="AL47" s="21" t="n">
        <f aca="false">IF(OR($A47="",AL$4=""),0,COUNTIFS(Formulas!$A$2:$A$1501,AL$4,Formulas!$B$2:$B$1501,$A47))</f>
        <v>0</v>
      </c>
      <c r="AM47" s="21" t="n">
        <f aca="false">IF(OR($A47="",AM$4=""),0,COUNTIFS(Formulas!$A$2:$A$1501,AM$4,Formulas!$B$2:$B$1501,$A47))</f>
        <v>0</v>
      </c>
      <c r="AN47" s="21" t="n">
        <f aca="false">IF(OR($A47="",AN$4=""),0,COUNTIFS(Formulas!$A$2:$A$1501,AN$4,Formulas!$B$2:$B$1501,$A47))</f>
        <v>0</v>
      </c>
      <c r="AO47" s="21" t="n">
        <f aca="false">IF(OR($A47="",AO$4=""),0,COUNTIFS(Formulas!$A$2:$A$1501,AO$4,Formulas!$B$2:$B$1501,$A47))</f>
        <v>0</v>
      </c>
      <c r="AP47" s="21" t="n">
        <f aca="false">IF(OR($A47="",AP$4=""),0,COUNTIFS(Formulas!$A$2:$A$1501,AP$4,Formulas!$B$2:$B$1501,$A47))</f>
        <v>0</v>
      </c>
      <c r="AQ47" s="21" t="n">
        <f aca="false">IF(OR($A47="",AQ$4=""),0,COUNTIFS(Formulas!$A$2:$A$1501,AQ$4,Formulas!$B$2:$B$1501,$A47))</f>
        <v>0</v>
      </c>
      <c r="AR47" s="21" t="n">
        <f aca="false">IF(OR($A47="",AR$4=""),0,COUNTIFS(Formulas!$A$2:$A$1501,AR$4,Formulas!$B$2:$B$1501,$A47))</f>
        <v>0</v>
      </c>
      <c r="AS47" s="21" t="n">
        <f aca="false">IF(OR($A47="",AS$4=""),0,COUNTIFS(Formulas!$A$2:$A$1501,AS$4,Formulas!$B$2:$B$1501,$A47))</f>
        <v>0</v>
      </c>
      <c r="AT47" s="21" t="n">
        <f aca="false">IF(OR($A47="",AT$4=""),0,COUNTIFS(Formulas!$A$2:$A$1501,AT$4,Formulas!$B$2:$B$1501,$A47))</f>
        <v>0</v>
      </c>
      <c r="AU47" s="21" t="n">
        <f aca="false">IF(OR($A47="",AU$4=""),0,COUNTIFS(Formulas!$A$2:$A$1501,AU$4,Formulas!$B$2:$B$1501,$A47))</f>
        <v>0</v>
      </c>
      <c r="AV47" s="21" t="n">
        <f aca="false">IF(OR($A47="",AV$4=""),0,COUNTIFS(Formulas!$A$2:$A$1501,AV$4,Formulas!$B$2:$B$1501,$A47))</f>
        <v>0</v>
      </c>
      <c r="AW47" s="21" t="n">
        <f aca="false">IF(OR($A47="",AW$4=""),0,COUNTIFS(Formulas!$A$2:$A$1501,AW$4,Formulas!$B$2:$B$1501,$A47))</f>
        <v>0</v>
      </c>
      <c r="AX47" s="21" t="n">
        <f aca="false">IF(OR($A47="",AX$4=""),0,COUNTIFS(Formulas!$A$2:$A$1501,AX$4,Formulas!$B$2:$B$1501,$A47))</f>
        <v>0</v>
      </c>
      <c r="AY47" s="21" t="n">
        <f aca="false">IF(OR($A47="",AY$4=""),0,COUNTIFS(Formulas!$A$2:$A$1501,AY$4,Formulas!$B$2:$B$1501,$A47))</f>
        <v>0</v>
      </c>
      <c r="AZ47" s="21" t="n">
        <f aca="false">IF(OR($A47="",AZ$4=""),0,COUNTIFS(Formulas!$A$2:$A$1501,AZ$4,Formulas!$B$2:$B$1501,$A47))</f>
        <v>0</v>
      </c>
      <c r="BA47" s="21" t="n">
        <f aca="false">IF(OR($A47="",BA$4=""),0,COUNTIFS(Formulas!$A$2:$A$1501,BA$4,Formulas!$B$2:$B$1501,$A47))</f>
        <v>0</v>
      </c>
      <c r="BB47" s="21" t="n">
        <f aca="false">IF(OR($A47="",BB$4=""),0,COUNTIFS(Formulas!$A$2:$A$1501,BB$4,Formulas!$B$2:$B$1501,$A47))</f>
        <v>0</v>
      </c>
      <c r="BC47" s="21" t="n">
        <f aca="false">IF(OR($A47="",BC$4=""),0,COUNTIFS(Formulas!$A$2:$A$1501,BC$4,Formulas!$B$2:$B$1501,$A47))</f>
        <v>0</v>
      </c>
      <c r="BD47" s="21" t="n">
        <f aca="false">IF(OR($A47="",BD$4=""),0,COUNTIFS(Formulas!$A$2:$A$1501,BD$4,Formulas!$B$2:$B$1501,$A47))</f>
        <v>0</v>
      </c>
      <c r="BE47" s="21" t="n">
        <f aca="false">IF(OR($A47="",BE$4=""),0,COUNTIFS(Formulas!$A$2:$A$1501,BE$4,Formulas!$B$2:$B$1501,$A47))</f>
        <v>0</v>
      </c>
      <c r="BF47" s="21" t="n">
        <f aca="false">IF(OR($A47="",BF$4=""),0,COUNTIFS(Formulas!$A$2:$A$1501,BF$4,Formulas!$B$2:$B$1501,$A47))</f>
        <v>0</v>
      </c>
      <c r="BG47" s="21" t="n">
        <f aca="false">IF(OR($A47="",BG$4=""),0,COUNTIFS(Formulas!$A$2:$A$1501,BG$4,Formulas!$B$2:$B$1501,$A47))</f>
        <v>0</v>
      </c>
      <c r="BH47" s="21" t="n">
        <f aca="false">IF(OR($A47="",BH$4=""),0,COUNTIFS(Formulas!$A$2:$A$1501,BH$4,Formulas!$B$2:$B$1501,$A47))</f>
        <v>0</v>
      </c>
      <c r="BI47" s="21" t="n">
        <f aca="false">IF(OR($A47="",BI$4=""),0,COUNTIFS(Formulas!$A$2:$A$1501,BI$4,Formulas!$B$2:$B$1501,$A47))</f>
        <v>0</v>
      </c>
      <c r="BJ47" s="21" t="n">
        <f aca="false">IF(OR($A47="",BJ$4=""),0,COUNTIFS(Formulas!$A$2:$A$1501,BJ$4,Formulas!$B$2:$B$1501,$A47))</f>
        <v>0</v>
      </c>
    </row>
    <row r="48" customFormat="false" ht="15" hidden="false" customHeight="false" outlineLevel="0" collapsed="false">
      <c r="A48" s="13" t="str">
        <f aca="false">IF(INDEX(Materials!$A$2:$A$201,44)="","",INDEX(Materials!$A$2:$A$201,44))</f>
        <v/>
      </c>
      <c r="B48" s="19" t="str">
        <f aca="false">IF(A48="","",COUNTIF(C48:BJ48,"&gt;0"))</f>
        <v/>
      </c>
      <c r="C48" s="21" t="n">
        <f aca="false">IF(OR($A48="",C$4=""),0,COUNTIFS(Formulas!$A$2:$A$1501,C$4,Formulas!$B$2:$B$1501,$A48))</f>
        <v>0</v>
      </c>
      <c r="D48" s="21" t="n">
        <f aca="false">IF(OR($A48="",D$4=""),0,COUNTIFS(Formulas!$A$2:$A$1501,D$4,Formulas!$B$2:$B$1501,$A48))</f>
        <v>0</v>
      </c>
      <c r="E48" s="21" t="n">
        <f aca="false">IF(OR($A48="",E$4=""),0,COUNTIFS(Formulas!$A$2:$A$1501,E$4,Formulas!$B$2:$B$1501,$A48))</f>
        <v>0</v>
      </c>
      <c r="F48" s="21" t="n">
        <f aca="false">IF(OR($A48="",F$4=""),0,COUNTIFS(Formulas!$A$2:$A$1501,F$4,Formulas!$B$2:$B$1501,$A48))</f>
        <v>0</v>
      </c>
      <c r="G48" s="21" t="n">
        <f aca="false">IF(OR($A48="",G$4=""),0,COUNTIFS(Formulas!$A$2:$A$1501,G$4,Formulas!$B$2:$B$1501,$A48))</f>
        <v>0</v>
      </c>
      <c r="H48" s="21" t="n">
        <f aca="false">IF(OR($A48="",H$4=""),0,COUNTIFS(Formulas!$A$2:$A$1501,H$4,Formulas!$B$2:$B$1501,$A48))</f>
        <v>0</v>
      </c>
      <c r="I48" s="21" t="n">
        <f aca="false">IF(OR($A48="",I$4=""),0,COUNTIFS(Formulas!$A$2:$A$1501,I$4,Formulas!$B$2:$B$1501,$A48))</f>
        <v>0</v>
      </c>
      <c r="J48" s="21" t="n">
        <f aca="false">IF(OR($A48="",J$4=""),0,COUNTIFS(Formulas!$A$2:$A$1501,J$4,Formulas!$B$2:$B$1501,$A48))</f>
        <v>0</v>
      </c>
      <c r="K48" s="21" t="n">
        <f aca="false">IF(OR($A48="",K$4=""),0,COUNTIFS(Formulas!$A$2:$A$1501,K$4,Formulas!$B$2:$B$1501,$A48))</f>
        <v>0</v>
      </c>
      <c r="L48" s="21" t="n">
        <f aca="false">IF(OR($A48="",L$4=""),0,COUNTIFS(Formulas!$A$2:$A$1501,L$4,Formulas!$B$2:$B$1501,$A48))</f>
        <v>0</v>
      </c>
      <c r="M48" s="21" t="n">
        <f aca="false">IF(OR($A48="",M$4=""),0,COUNTIFS(Formulas!$A$2:$A$1501,M$4,Formulas!$B$2:$B$1501,$A48))</f>
        <v>0</v>
      </c>
      <c r="N48" s="21" t="n">
        <f aca="false">IF(OR($A48="",N$4=""),0,COUNTIFS(Formulas!$A$2:$A$1501,N$4,Formulas!$B$2:$B$1501,$A48))</f>
        <v>0</v>
      </c>
      <c r="O48" s="21" t="n">
        <f aca="false">IF(OR($A48="",O$4=""),0,COUNTIFS(Formulas!$A$2:$A$1501,O$4,Formulas!$B$2:$B$1501,$A48))</f>
        <v>0</v>
      </c>
      <c r="P48" s="21" t="n">
        <f aca="false">IF(OR($A48="",P$4=""),0,COUNTIFS(Formulas!$A$2:$A$1501,P$4,Formulas!$B$2:$B$1501,$A48))</f>
        <v>0</v>
      </c>
      <c r="Q48" s="21" t="n">
        <f aca="false">IF(OR($A48="",Q$4=""),0,COUNTIFS(Formulas!$A$2:$A$1501,Q$4,Formulas!$B$2:$B$1501,$A48))</f>
        <v>0</v>
      </c>
      <c r="R48" s="21" t="n">
        <f aca="false">IF(OR($A48="",R$4=""),0,COUNTIFS(Formulas!$A$2:$A$1501,R$4,Formulas!$B$2:$B$1501,$A48))</f>
        <v>0</v>
      </c>
      <c r="S48" s="21" t="n">
        <f aca="false">IF(OR($A48="",S$4=""),0,COUNTIFS(Formulas!$A$2:$A$1501,S$4,Formulas!$B$2:$B$1501,$A48))</f>
        <v>0</v>
      </c>
      <c r="T48" s="21" t="n">
        <f aca="false">IF(OR($A48="",T$4=""),0,COUNTIFS(Formulas!$A$2:$A$1501,T$4,Formulas!$B$2:$B$1501,$A48))</f>
        <v>0</v>
      </c>
      <c r="U48" s="21" t="n">
        <f aca="false">IF(OR($A48="",U$4=""),0,COUNTIFS(Formulas!$A$2:$A$1501,U$4,Formulas!$B$2:$B$1501,$A48))</f>
        <v>0</v>
      </c>
      <c r="V48" s="21" t="n">
        <f aca="false">IF(OR($A48="",V$4=""),0,COUNTIFS(Formulas!$A$2:$A$1501,V$4,Formulas!$B$2:$B$1501,$A48))</f>
        <v>0</v>
      </c>
      <c r="W48" s="21" t="n">
        <f aca="false">IF(OR($A48="",W$4=""),0,COUNTIFS(Formulas!$A$2:$A$1501,W$4,Formulas!$B$2:$B$1501,$A48))</f>
        <v>0</v>
      </c>
      <c r="X48" s="21" t="n">
        <f aca="false">IF(OR($A48="",X$4=""),0,COUNTIFS(Formulas!$A$2:$A$1501,X$4,Formulas!$B$2:$B$1501,$A48))</f>
        <v>0</v>
      </c>
      <c r="Y48" s="21" t="n">
        <f aca="false">IF(OR($A48="",Y$4=""),0,COUNTIFS(Formulas!$A$2:$A$1501,Y$4,Formulas!$B$2:$B$1501,$A48))</f>
        <v>0</v>
      </c>
      <c r="Z48" s="21" t="n">
        <f aca="false">IF(OR($A48="",Z$4=""),0,COUNTIFS(Formulas!$A$2:$A$1501,Z$4,Formulas!$B$2:$B$1501,$A48))</f>
        <v>0</v>
      </c>
      <c r="AA48" s="21" t="n">
        <f aca="false">IF(OR($A48="",AA$4=""),0,COUNTIFS(Formulas!$A$2:$A$1501,AA$4,Formulas!$B$2:$B$1501,$A48))</f>
        <v>0</v>
      </c>
      <c r="AB48" s="21" t="n">
        <f aca="false">IF(OR($A48="",AB$4=""),0,COUNTIFS(Formulas!$A$2:$A$1501,AB$4,Formulas!$B$2:$B$1501,$A48))</f>
        <v>0</v>
      </c>
      <c r="AC48" s="21" t="n">
        <f aca="false">IF(OR($A48="",AC$4=""),0,COUNTIFS(Formulas!$A$2:$A$1501,AC$4,Formulas!$B$2:$B$1501,$A48))</f>
        <v>0</v>
      </c>
      <c r="AD48" s="21" t="n">
        <f aca="false">IF(OR($A48="",AD$4=""),0,COUNTIFS(Formulas!$A$2:$A$1501,AD$4,Formulas!$B$2:$B$1501,$A48))</f>
        <v>0</v>
      </c>
      <c r="AE48" s="21" t="n">
        <f aca="false">IF(OR($A48="",AE$4=""),0,COUNTIFS(Formulas!$A$2:$A$1501,AE$4,Formulas!$B$2:$B$1501,$A48))</f>
        <v>0</v>
      </c>
      <c r="AF48" s="21" t="n">
        <f aca="false">IF(OR($A48="",AF$4=""),0,COUNTIFS(Formulas!$A$2:$A$1501,AF$4,Formulas!$B$2:$B$1501,$A48))</f>
        <v>0</v>
      </c>
      <c r="AG48" s="21" t="n">
        <f aca="false">IF(OR($A48="",AG$4=""),0,COUNTIFS(Formulas!$A$2:$A$1501,AG$4,Formulas!$B$2:$B$1501,$A48))</f>
        <v>0</v>
      </c>
      <c r="AH48" s="21" t="n">
        <f aca="false">IF(OR($A48="",AH$4=""),0,COUNTIFS(Formulas!$A$2:$A$1501,AH$4,Formulas!$B$2:$B$1501,$A48))</f>
        <v>0</v>
      </c>
      <c r="AI48" s="21" t="n">
        <f aca="false">IF(OR($A48="",AI$4=""),0,COUNTIFS(Formulas!$A$2:$A$1501,AI$4,Formulas!$B$2:$B$1501,$A48))</f>
        <v>0</v>
      </c>
      <c r="AJ48" s="21" t="n">
        <f aca="false">IF(OR($A48="",AJ$4=""),0,COUNTIFS(Formulas!$A$2:$A$1501,AJ$4,Formulas!$B$2:$B$1501,$A48))</f>
        <v>0</v>
      </c>
      <c r="AK48" s="21" t="n">
        <f aca="false">IF(OR($A48="",AK$4=""),0,COUNTIFS(Formulas!$A$2:$A$1501,AK$4,Formulas!$B$2:$B$1501,$A48))</f>
        <v>0</v>
      </c>
      <c r="AL48" s="21" t="n">
        <f aca="false">IF(OR($A48="",AL$4=""),0,COUNTIFS(Formulas!$A$2:$A$1501,AL$4,Formulas!$B$2:$B$1501,$A48))</f>
        <v>0</v>
      </c>
      <c r="AM48" s="21" t="n">
        <f aca="false">IF(OR($A48="",AM$4=""),0,COUNTIFS(Formulas!$A$2:$A$1501,AM$4,Formulas!$B$2:$B$1501,$A48))</f>
        <v>0</v>
      </c>
      <c r="AN48" s="21" t="n">
        <f aca="false">IF(OR($A48="",AN$4=""),0,COUNTIFS(Formulas!$A$2:$A$1501,AN$4,Formulas!$B$2:$B$1501,$A48))</f>
        <v>0</v>
      </c>
      <c r="AO48" s="21" t="n">
        <f aca="false">IF(OR($A48="",AO$4=""),0,COUNTIFS(Formulas!$A$2:$A$1501,AO$4,Formulas!$B$2:$B$1501,$A48))</f>
        <v>0</v>
      </c>
      <c r="AP48" s="21" t="n">
        <f aca="false">IF(OR($A48="",AP$4=""),0,COUNTIFS(Formulas!$A$2:$A$1501,AP$4,Formulas!$B$2:$B$1501,$A48))</f>
        <v>0</v>
      </c>
      <c r="AQ48" s="21" t="n">
        <f aca="false">IF(OR($A48="",AQ$4=""),0,COUNTIFS(Formulas!$A$2:$A$1501,AQ$4,Formulas!$B$2:$B$1501,$A48))</f>
        <v>0</v>
      </c>
      <c r="AR48" s="21" t="n">
        <f aca="false">IF(OR($A48="",AR$4=""),0,COUNTIFS(Formulas!$A$2:$A$1501,AR$4,Formulas!$B$2:$B$1501,$A48))</f>
        <v>0</v>
      </c>
      <c r="AS48" s="21" t="n">
        <f aca="false">IF(OR($A48="",AS$4=""),0,COUNTIFS(Formulas!$A$2:$A$1501,AS$4,Formulas!$B$2:$B$1501,$A48))</f>
        <v>0</v>
      </c>
      <c r="AT48" s="21" t="n">
        <f aca="false">IF(OR($A48="",AT$4=""),0,COUNTIFS(Formulas!$A$2:$A$1501,AT$4,Formulas!$B$2:$B$1501,$A48))</f>
        <v>0</v>
      </c>
      <c r="AU48" s="21" t="n">
        <f aca="false">IF(OR($A48="",AU$4=""),0,COUNTIFS(Formulas!$A$2:$A$1501,AU$4,Formulas!$B$2:$B$1501,$A48))</f>
        <v>0</v>
      </c>
      <c r="AV48" s="21" t="n">
        <f aca="false">IF(OR($A48="",AV$4=""),0,COUNTIFS(Formulas!$A$2:$A$1501,AV$4,Formulas!$B$2:$B$1501,$A48))</f>
        <v>0</v>
      </c>
      <c r="AW48" s="21" t="n">
        <f aca="false">IF(OR($A48="",AW$4=""),0,COUNTIFS(Formulas!$A$2:$A$1501,AW$4,Formulas!$B$2:$B$1501,$A48))</f>
        <v>0</v>
      </c>
      <c r="AX48" s="21" t="n">
        <f aca="false">IF(OR($A48="",AX$4=""),0,COUNTIFS(Formulas!$A$2:$A$1501,AX$4,Formulas!$B$2:$B$1501,$A48))</f>
        <v>0</v>
      </c>
      <c r="AY48" s="21" t="n">
        <f aca="false">IF(OR($A48="",AY$4=""),0,COUNTIFS(Formulas!$A$2:$A$1501,AY$4,Formulas!$B$2:$B$1501,$A48))</f>
        <v>0</v>
      </c>
      <c r="AZ48" s="21" t="n">
        <f aca="false">IF(OR($A48="",AZ$4=""),0,COUNTIFS(Formulas!$A$2:$A$1501,AZ$4,Formulas!$B$2:$B$1501,$A48))</f>
        <v>0</v>
      </c>
      <c r="BA48" s="21" t="n">
        <f aca="false">IF(OR($A48="",BA$4=""),0,COUNTIFS(Formulas!$A$2:$A$1501,BA$4,Formulas!$B$2:$B$1501,$A48))</f>
        <v>0</v>
      </c>
      <c r="BB48" s="21" t="n">
        <f aca="false">IF(OR($A48="",BB$4=""),0,COUNTIFS(Formulas!$A$2:$A$1501,BB$4,Formulas!$B$2:$B$1501,$A48))</f>
        <v>0</v>
      </c>
      <c r="BC48" s="21" t="n">
        <f aca="false">IF(OR($A48="",BC$4=""),0,COUNTIFS(Formulas!$A$2:$A$1501,BC$4,Formulas!$B$2:$B$1501,$A48))</f>
        <v>0</v>
      </c>
      <c r="BD48" s="21" t="n">
        <f aca="false">IF(OR($A48="",BD$4=""),0,COUNTIFS(Formulas!$A$2:$A$1501,BD$4,Formulas!$B$2:$B$1501,$A48))</f>
        <v>0</v>
      </c>
      <c r="BE48" s="21" t="n">
        <f aca="false">IF(OR($A48="",BE$4=""),0,COUNTIFS(Formulas!$A$2:$A$1501,BE$4,Formulas!$B$2:$B$1501,$A48))</f>
        <v>0</v>
      </c>
      <c r="BF48" s="21" t="n">
        <f aca="false">IF(OR($A48="",BF$4=""),0,COUNTIFS(Formulas!$A$2:$A$1501,BF$4,Formulas!$B$2:$B$1501,$A48))</f>
        <v>0</v>
      </c>
      <c r="BG48" s="21" t="n">
        <f aca="false">IF(OR($A48="",BG$4=""),0,COUNTIFS(Formulas!$A$2:$A$1501,BG$4,Formulas!$B$2:$B$1501,$A48))</f>
        <v>0</v>
      </c>
      <c r="BH48" s="21" t="n">
        <f aca="false">IF(OR($A48="",BH$4=""),0,COUNTIFS(Formulas!$A$2:$A$1501,BH$4,Formulas!$B$2:$B$1501,$A48))</f>
        <v>0</v>
      </c>
      <c r="BI48" s="21" t="n">
        <f aca="false">IF(OR($A48="",BI$4=""),0,COUNTIFS(Formulas!$A$2:$A$1501,BI$4,Formulas!$B$2:$B$1501,$A48))</f>
        <v>0</v>
      </c>
      <c r="BJ48" s="21" t="n">
        <f aca="false">IF(OR($A48="",BJ$4=""),0,COUNTIFS(Formulas!$A$2:$A$1501,BJ$4,Formulas!$B$2:$B$1501,$A48))</f>
        <v>0</v>
      </c>
    </row>
    <row r="49" customFormat="false" ht="15" hidden="false" customHeight="false" outlineLevel="0" collapsed="false">
      <c r="A49" s="13" t="str">
        <f aca="false">IF(INDEX(Materials!$A$2:$A$201,45)="","",INDEX(Materials!$A$2:$A$201,45))</f>
        <v/>
      </c>
      <c r="B49" s="19" t="str">
        <f aca="false">IF(A49="","",COUNTIF(C49:BJ49,"&gt;0"))</f>
        <v/>
      </c>
      <c r="C49" s="21" t="n">
        <f aca="false">IF(OR($A49="",C$4=""),0,COUNTIFS(Formulas!$A$2:$A$1501,C$4,Formulas!$B$2:$B$1501,$A49))</f>
        <v>0</v>
      </c>
      <c r="D49" s="21" t="n">
        <f aca="false">IF(OR($A49="",D$4=""),0,COUNTIFS(Formulas!$A$2:$A$1501,D$4,Formulas!$B$2:$B$1501,$A49))</f>
        <v>0</v>
      </c>
      <c r="E49" s="21" t="n">
        <f aca="false">IF(OR($A49="",E$4=""),0,COUNTIFS(Formulas!$A$2:$A$1501,E$4,Formulas!$B$2:$B$1501,$A49))</f>
        <v>0</v>
      </c>
      <c r="F49" s="21" t="n">
        <f aca="false">IF(OR($A49="",F$4=""),0,COUNTIFS(Formulas!$A$2:$A$1501,F$4,Formulas!$B$2:$B$1501,$A49))</f>
        <v>0</v>
      </c>
      <c r="G49" s="21" t="n">
        <f aca="false">IF(OR($A49="",G$4=""),0,COUNTIFS(Formulas!$A$2:$A$1501,G$4,Formulas!$B$2:$B$1501,$A49))</f>
        <v>0</v>
      </c>
      <c r="H49" s="21" t="n">
        <f aca="false">IF(OR($A49="",H$4=""),0,COUNTIFS(Formulas!$A$2:$A$1501,H$4,Formulas!$B$2:$B$1501,$A49))</f>
        <v>0</v>
      </c>
      <c r="I49" s="21" t="n">
        <f aca="false">IF(OR($A49="",I$4=""),0,COUNTIFS(Formulas!$A$2:$A$1501,I$4,Formulas!$B$2:$B$1501,$A49))</f>
        <v>0</v>
      </c>
      <c r="J49" s="21" t="n">
        <f aca="false">IF(OR($A49="",J$4=""),0,COUNTIFS(Formulas!$A$2:$A$1501,J$4,Formulas!$B$2:$B$1501,$A49))</f>
        <v>0</v>
      </c>
      <c r="K49" s="21" t="n">
        <f aca="false">IF(OR($A49="",K$4=""),0,COUNTIFS(Formulas!$A$2:$A$1501,K$4,Formulas!$B$2:$B$1501,$A49))</f>
        <v>0</v>
      </c>
      <c r="L49" s="21" t="n">
        <f aca="false">IF(OR($A49="",L$4=""),0,COUNTIFS(Formulas!$A$2:$A$1501,L$4,Formulas!$B$2:$B$1501,$A49))</f>
        <v>0</v>
      </c>
      <c r="M49" s="21" t="n">
        <f aca="false">IF(OR($A49="",M$4=""),0,COUNTIFS(Formulas!$A$2:$A$1501,M$4,Formulas!$B$2:$B$1501,$A49))</f>
        <v>0</v>
      </c>
      <c r="N49" s="21" t="n">
        <f aca="false">IF(OR($A49="",N$4=""),0,COUNTIFS(Formulas!$A$2:$A$1501,N$4,Formulas!$B$2:$B$1501,$A49))</f>
        <v>0</v>
      </c>
      <c r="O49" s="21" t="n">
        <f aca="false">IF(OR($A49="",O$4=""),0,COUNTIFS(Formulas!$A$2:$A$1501,O$4,Formulas!$B$2:$B$1501,$A49))</f>
        <v>0</v>
      </c>
      <c r="P49" s="21" t="n">
        <f aca="false">IF(OR($A49="",P$4=""),0,COUNTIFS(Formulas!$A$2:$A$1501,P$4,Formulas!$B$2:$B$1501,$A49))</f>
        <v>0</v>
      </c>
      <c r="Q49" s="21" t="n">
        <f aca="false">IF(OR($A49="",Q$4=""),0,COUNTIFS(Formulas!$A$2:$A$1501,Q$4,Formulas!$B$2:$B$1501,$A49))</f>
        <v>0</v>
      </c>
      <c r="R49" s="21" t="n">
        <f aca="false">IF(OR($A49="",R$4=""),0,COUNTIFS(Formulas!$A$2:$A$1501,R$4,Formulas!$B$2:$B$1501,$A49))</f>
        <v>0</v>
      </c>
      <c r="S49" s="21" t="n">
        <f aca="false">IF(OR($A49="",S$4=""),0,COUNTIFS(Formulas!$A$2:$A$1501,S$4,Formulas!$B$2:$B$1501,$A49))</f>
        <v>0</v>
      </c>
      <c r="T49" s="21" t="n">
        <f aca="false">IF(OR($A49="",T$4=""),0,COUNTIFS(Formulas!$A$2:$A$1501,T$4,Formulas!$B$2:$B$1501,$A49))</f>
        <v>0</v>
      </c>
      <c r="U49" s="21" t="n">
        <f aca="false">IF(OR($A49="",U$4=""),0,COUNTIFS(Formulas!$A$2:$A$1501,U$4,Formulas!$B$2:$B$1501,$A49))</f>
        <v>0</v>
      </c>
      <c r="V49" s="21" t="n">
        <f aca="false">IF(OR($A49="",V$4=""),0,COUNTIFS(Formulas!$A$2:$A$1501,V$4,Formulas!$B$2:$B$1501,$A49))</f>
        <v>0</v>
      </c>
      <c r="W49" s="21" t="n">
        <f aca="false">IF(OR($A49="",W$4=""),0,COUNTIFS(Formulas!$A$2:$A$1501,W$4,Formulas!$B$2:$B$1501,$A49))</f>
        <v>0</v>
      </c>
      <c r="X49" s="21" t="n">
        <f aca="false">IF(OR($A49="",X$4=""),0,COUNTIFS(Formulas!$A$2:$A$1501,X$4,Formulas!$B$2:$B$1501,$A49))</f>
        <v>0</v>
      </c>
      <c r="Y49" s="21" t="n">
        <f aca="false">IF(OR($A49="",Y$4=""),0,COUNTIFS(Formulas!$A$2:$A$1501,Y$4,Formulas!$B$2:$B$1501,$A49))</f>
        <v>0</v>
      </c>
      <c r="Z49" s="21" t="n">
        <f aca="false">IF(OR($A49="",Z$4=""),0,COUNTIFS(Formulas!$A$2:$A$1501,Z$4,Formulas!$B$2:$B$1501,$A49))</f>
        <v>0</v>
      </c>
      <c r="AA49" s="21" t="n">
        <f aca="false">IF(OR($A49="",AA$4=""),0,COUNTIFS(Formulas!$A$2:$A$1501,AA$4,Formulas!$B$2:$B$1501,$A49))</f>
        <v>0</v>
      </c>
      <c r="AB49" s="21" t="n">
        <f aca="false">IF(OR($A49="",AB$4=""),0,COUNTIFS(Formulas!$A$2:$A$1501,AB$4,Formulas!$B$2:$B$1501,$A49))</f>
        <v>0</v>
      </c>
      <c r="AC49" s="21" t="n">
        <f aca="false">IF(OR($A49="",AC$4=""),0,COUNTIFS(Formulas!$A$2:$A$1501,AC$4,Formulas!$B$2:$B$1501,$A49))</f>
        <v>0</v>
      </c>
      <c r="AD49" s="21" t="n">
        <f aca="false">IF(OR($A49="",AD$4=""),0,COUNTIFS(Formulas!$A$2:$A$1501,AD$4,Formulas!$B$2:$B$1501,$A49))</f>
        <v>0</v>
      </c>
      <c r="AE49" s="21" t="n">
        <f aca="false">IF(OR($A49="",AE$4=""),0,COUNTIFS(Formulas!$A$2:$A$1501,AE$4,Formulas!$B$2:$B$1501,$A49))</f>
        <v>0</v>
      </c>
      <c r="AF49" s="21" t="n">
        <f aca="false">IF(OR($A49="",AF$4=""),0,COUNTIFS(Formulas!$A$2:$A$1501,AF$4,Formulas!$B$2:$B$1501,$A49))</f>
        <v>0</v>
      </c>
      <c r="AG49" s="21" t="n">
        <f aca="false">IF(OR($A49="",AG$4=""),0,COUNTIFS(Formulas!$A$2:$A$1501,AG$4,Formulas!$B$2:$B$1501,$A49))</f>
        <v>0</v>
      </c>
      <c r="AH49" s="21" t="n">
        <f aca="false">IF(OR($A49="",AH$4=""),0,COUNTIFS(Formulas!$A$2:$A$1501,AH$4,Formulas!$B$2:$B$1501,$A49))</f>
        <v>0</v>
      </c>
      <c r="AI49" s="21" t="n">
        <f aca="false">IF(OR($A49="",AI$4=""),0,COUNTIFS(Formulas!$A$2:$A$1501,AI$4,Formulas!$B$2:$B$1501,$A49))</f>
        <v>0</v>
      </c>
      <c r="AJ49" s="21" t="n">
        <f aca="false">IF(OR($A49="",AJ$4=""),0,COUNTIFS(Formulas!$A$2:$A$1501,AJ$4,Formulas!$B$2:$B$1501,$A49))</f>
        <v>0</v>
      </c>
      <c r="AK49" s="21" t="n">
        <f aca="false">IF(OR($A49="",AK$4=""),0,COUNTIFS(Formulas!$A$2:$A$1501,AK$4,Formulas!$B$2:$B$1501,$A49))</f>
        <v>0</v>
      </c>
      <c r="AL49" s="21" t="n">
        <f aca="false">IF(OR($A49="",AL$4=""),0,COUNTIFS(Formulas!$A$2:$A$1501,AL$4,Formulas!$B$2:$B$1501,$A49))</f>
        <v>0</v>
      </c>
      <c r="AM49" s="21" t="n">
        <f aca="false">IF(OR($A49="",AM$4=""),0,COUNTIFS(Formulas!$A$2:$A$1501,AM$4,Formulas!$B$2:$B$1501,$A49))</f>
        <v>0</v>
      </c>
      <c r="AN49" s="21" t="n">
        <f aca="false">IF(OR($A49="",AN$4=""),0,COUNTIFS(Formulas!$A$2:$A$1501,AN$4,Formulas!$B$2:$B$1501,$A49))</f>
        <v>0</v>
      </c>
      <c r="AO49" s="21" t="n">
        <f aca="false">IF(OR($A49="",AO$4=""),0,COUNTIFS(Formulas!$A$2:$A$1501,AO$4,Formulas!$B$2:$B$1501,$A49))</f>
        <v>0</v>
      </c>
      <c r="AP49" s="21" t="n">
        <f aca="false">IF(OR($A49="",AP$4=""),0,COUNTIFS(Formulas!$A$2:$A$1501,AP$4,Formulas!$B$2:$B$1501,$A49))</f>
        <v>0</v>
      </c>
      <c r="AQ49" s="21" t="n">
        <f aca="false">IF(OR($A49="",AQ$4=""),0,COUNTIFS(Formulas!$A$2:$A$1501,AQ$4,Formulas!$B$2:$B$1501,$A49))</f>
        <v>0</v>
      </c>
      <c r="AR49" s="21" t="n">
        <f aca="false">IF(OR($A49="",AR$4=""),0,COUNTIFS(Formulas!$A$2:$A$1501,AR$4,Formulas!$B$2:$B$1501,$A49))</f>
        <v>0</v>
      </c>
      <c r="AS49" s="21" t="n">
        <f aca="false">IF(OR($A49="",AS$4=""),0,COUNTIFS(Formulas!$A$2:$A$1501,AS$4,Formulas!$B$2:$B$1501,$A49))</f>
        <v>0</v>
      </c>
      <c r="AT49" s="21" t="n">
        <f aca="false">IF(OR($A49="",AT$4=""),0,COUNTIFS(Formulas!$A$2:$A$1501,AT$4,Formulas!$B$2:$B$1501,$A49))</f>
        <v>0</v>
      </c>
      <c r="AU49" s="21" t="n">
        <f aca="false">IF(OR($A49="",AU$4=""),0,COUNTIFS(Formulas!$A$2:$A$1501,AU$4,Formulas!$B$2:$B$1501,$A49))</f>
        <v>0</v>
      </c>
      <c r="AV49" s="21" t="n">
        <f aca="false">IF(OR($A49="",AV$4=""),0,COUNTIFS(Formulas!$A$2:$A$1501,AV$4,Formulas!$B$2:$B$1501,$A49))</f>
        <v>0</v>
      </c>
      <c r="AW49" s="21" t="n">
        <f aca="false">IF(OR($A49="",AW$4=""),0,COUNTIFS(Formulas!$A$2:$A$1501,AW$4,Formulas!$B$2:$B$1501,$A49))</f>
        <v>0</v>
      </c>
      <c r="AX49" s="21" t="n">
        <f aca="false">IF(OR($A49="",AX$4=""),0,COUNTIFS(Formulas!$A$2:$A$1501,AX$4,Formulas!$B$2:$B$1501,$A49))</f>
        <v>0</v>
      </c>
      <c r="AY49" s="21" t="n">
        <f aca="false">IF(OR($A49="",AY$4=""),0,COUNTIFS(Formulas!$A$2:$A$1501,AY$4,Formulas!$B$2:$B$1501,$A49))</f>
        <v>0</v>
      </c>
      <c r="AZ49" s="21" t="n">
        <f aca="false">IF(OR($A49="",AZ$4=""),0,COUNTIFS(Formulas!$A$2:$A$1501,AZ$4,Formulas!$B$2:$B$1501,$A49))</f>
        <v>0</v>
      </c>
      <c r="BA49" s="21" t="n">
        <f aca="false">IF(OR($A49="",BA$4=""),0,COUNTIFS(Formulas!$A$2:$A$1501,BA$4,Formulas!$B$2:$B$1501,$A49))</f>
        <v>0</v>
      </c>
      <c r="BB49" s="21" t="n">
        <f aca="false">IF(OR($A49="",BB$4=""),0,COUNTIFS(Formulas!$A$2:$A$1501,BB$4,Formulas!$B$2:$B$1501,$A49))</f>
        <v>0</v>
      </c>
      <c r="BC49" s="21" t="n">
        <f aca="false">IF(OR($A49="",BC$4=""),0,COUNTIFS(Formulas!$A$2:$A$1501,BC$4,Formulas!$B$2:$B$1501,$A49))</f>
        <v>0</v>
      </c>
      <c r="BD49" s="21" t="n">
        <f aca="false">IF(OR($A49="",BD$4=""),0,COUNTIFS(Formulas!$A$2:$A$1501,BD$4,Formulas!$B$2:$B$1501,$A49))</f>
        <v>0</v>
      </c>
      <c r="BE49" s="21" t="n">
        <f aca="false">IF(OR($A49="",BE$4=""),0,COUNTIFS(Formulas!$A$2:$A$1501,BE$4,Formulas!$B$2:$B$1501,$A49))</f>
        <v>0</v>
      </c>
      <c r="BF49" s="21" t="n">
        <f aca="false">IF(OR($A49="",BF$4=""),0,COUNTIFS(Formulas!$A$2:$A$1501,BF$4,Formulas!$B$2:$B$1501,$A49))</f>
        <v>0</v>
      </c>
      <c r="BG49" s="21" t="n">
        <f aca="false">IF(OR($A49="",BG$4=""),0,COUNTIFS(Formulas!$A$2:$A$1501,BG$4,Formulas!$B$2:$B$1501,$A49))</f>
        <v>0</v>
      </c>
      <c r="BH49" s="21" t="n">
        <f aca="false">IF(OR($A49="",BH$4=""),0,COUNTIFS(Formulas!$A$2:$A$1501,BH$4,Formulas!$B$2:$B$1501,$A49))</f>
        <v>0</v>
      </c>
      <c r="BI49" s="21" t="n">
        <f aca="false">IF(OR($A49="",BI$4=""),0,COUNTIFS(Formulas!$A$2:$A$1501,BI$4,Formulas!$B$2:$B$1501,$A49))</f>
        <v>0</v>
      </c>
      <c r="BJ49" s="21" t="n">
        <f aca="false">IF(OR($A49="",BJ$4=""),0,COUNTIFS(Formulas!$A$2:$A$1501,BJ$4,Formulas!$B$2:$B$1501,$A49))</f>
        <v>0</v>
      </c>
    </row>
    <row r="50" customFormat="false" ht="15" hidden="false" customHeight="false" outlineLevel="0" collapsed="false">
      <c r="A50" s="13" t="str">
        <f aca="false">IF(INDEX(Materials!$A$2:$A$201,46)="","",INDEX(Materials!$A$2:$A$201,46))</f>
        <v/>
      </c>
      <c r="B50" s="19" t="str">
        <f aca="false">IF(A50="","",COUNTIF(C50:BJ50,"&gt;0"))</f>
        <v/>
      </c>
      <c r="C50" s="21" t="n">
        <f aca="false">IF(OR($A50="",C$4=""),0,COUNTIFS(Formulas!$A$2:$A$1501,C$4,Formulas!$B$2:$B$1501,$A50))</f>
        <v>0</v>
      </c>
      <c r="D50" s="21" t="n">
        <f aca="false">IF(OR($A50="",D$4=""),0,COUNTIFS(Formulas!$A$2:$A$1501,D$4,Formulas!$B$2:$B$1501,$A50))</f>
        <v>0</v>
      </c>
      <c r="E50" s="21" t="n">
        <f aca="false">IF(OR($A50="",E$4=""),0,COUNTIFS(Formulas!$A$2:$A$1501,E$4,Formulas!$B$2:$B$1501,$A50))</f>
        <v>0</v>
      </c>
      <c r="F50" s="21" t="n">
        <f aca="false">IF(OR($A50="",F$4=""),0,COUNTIFS(Formulas!$A$2:$A$1501,F$4,Formulas!$B$2:$B$1501,$A50))</f>
        <v>0</v>
      </c>
      <c r="G50" s="21" t="n">
        <f aca="false">IF(OR($A50="",G$4=""),0,COUNTIFS(Formulas!$A$2:$A$1501,G$4,Formulas!$B$2:$B$1501,$A50))</f>
        <v>0</v>
      </c>
      <c r="H50" s="21" t="n">
        <f aca="false">IF(OR($A50="",H$4=""),0,COUNTIFS(Formulas!$A$2:$A$1501,H$4,Formulas!$B$2:$B$1501,$A50))</f>
        <v>0</v>
      </c>
      <c r="I50" s="21" t="n">
        <f aca="false">IF(OR($A50="",I$4=""),0,COUNTIFS(Formulas!$A$2:$A$1501,I$4,Formulas!$B$2:$B$1501,$A50))</f>
        <v>0</v>
      </c>
      <c r="J50" s="21" t="n">
        <f aca="false">IF(OR($A50="",J$4=""),0,COUNTIFS(Formulas!$A$2:$A$1501,J$4,Formulas!$B$2:$B$1501,$A50))</f>
        <v>0</v>
      </c>
      <c r="K50" s="21" t="n">
        <f aca="false">IF(OR($A50="",K$4=""),0,COUNTIFS(Formulas!$A$2:$A$1501,K$4,Formulas!$B$2:$B$1501,$A50))</f>
        <v>0</v>
      </c>
      <c r="L50" s="21" t="n">
        <f aca="false">IF(OR($A50="",L$4=""),0,COUNTIFS(Formulas!$A$2:$A$1501,L$4,Formulas!$B$2:$B$1501,$A50))</f>
        <v>0</v>
      </c>
      <c r="M50" s="21" t="n">
        <f aca="false">IF(OR($A50="",M$4=""),0,COUNTIFS(Formulas!$A$2:$A$1501,M$4,Formulas!$B$2:$B$1501,$A50))</f>
        <v>0</v>
      </c>
      <c r="N50" s="21" t="n">
        <f aca="false">IF(OR($A50="",N$4=""),0,COUNTIFS(Formulas!$A$2:$A$1501,N$4,Formulas!$B$2:$B$1501,$A50))</f>
        <v>0</v>
      </c>
      <c r="O50" s="21" t="n">
        <f aca="false">IF(OR($A50="",O$4=""),0,COUNTIFS(Formulas!$A$2:$A$1501,O$4,Formulas!$B$2:$B$1501,$A50))</f>
        <v>0</v>
      </c>
      <c r="P50" s="21" t="n">
        <f aca="false">IF(OR($A50="",P$4=""),0,COUNTIFS(Formulas!$A$2:$A$1501,P$4,Formulas!$B$2:$B$1501,$A50))</f>
        <v>0</v>
      </c>
      <c r="Q50" s="21" t="n">
        <f aca="false">IF(OR($A50="",Q$4=""),0,COUNTIFS(Formulas!$A$2:$A$1501,Q$4,Formulas!$B$2:$B$1501,$A50))</f>
        <v>0</v>
      </c>
      <c r="R50" s="21" t="n">
        <f aca="false">IF(OR($A50="",R$4=""),0,COUNTIFS(Formulas!$A$2:$A$1501,R$4,Formulas!$B$2:$B$1501,$A50))</f>
        <v>0</v>
      </c>
      <c r="S50" s="21" t="n">
        <f aca="false">IF(OR($A50="",S$4=""),0,COUNTIFS(Formulas!$A$2:$A$1501,S$4,Formulas!$B$2:$B$1501,$A50))</f>
        <v>0</v>
      </c>
      <c r="T50" s="21" t="n">
        <f aca="false">IF(OR($A50="",T$4=""),0,COUNTIFS(Formulas!$A$2:$A$1501,T$4,Formulas!$B$2:$B$1501,$A50))</f>
        <v>0</v>
      </c>
      <c r="U50" s="21" t="n">
        <f aca="false">IF(OR($A50="",U$4=""),0,COUNTIFS(Formulas!$A$2:$A$1501,U$4,Formulas!$B$2:$B$1501,$A50))</f>
        <v>0</v>
      </c>
      <c r="V50" s="21" t="n">
        <f aca="false">IF(OR($A50="",V$4=""),0,COUNTIFS(Formulas!$A$2:$A$1501,V$4,Formulas!$B$2:$B$1501,$A50))</f>
        <v>0</v>
      </c>
      <c r="W50" s="21" t="n">
        <f aca="false">IF(OR($A50="",W$4=""),0,COUNTIFS(Formulas!$A$2:$A$1501,W$4,Formulas!$B$2:$B$1501,$A50))</f>
        <v>0</v>
      </c>
      <c r="X50" s="21" t="n">
        <f aca="false">IF(OR($A50="",X$4=""),0,COUNTIFS(Formulas!$A$2:$A$1501,X$4,Formulas!$B$2:$B$1501,$A50))</f>
        <v>0</v>
      </c>
      <c r="Y50" s="21" t="n">
        <f aca="false">IF(OR($A50="",Y$4=""),0,COUNTIFS(Formulas!$A$2:$A$1501,Y$4,Formulas!$B$2:$B$1501,$A50))</f>
        <v>0</v>
      </c>
      <c r="Z50" s="21" t="n">
        <f aca="false">IF(OR($A50="",Z$4=""),0,COUNTIFS(Formulas!$A$2:$A$1501,Z$4,Formulas!$B$2:$B$1501,$A50))</f>
        <v>0</v>
      </c>
      <c r="AA50" s="21" t="n">
        <f aca="false">IF(OR($A50="",AA$4=""),0,COUNTIFS(Formulas!$A$2:$A$1501,AA$4,Formulas!$B$2:$B$1501,$A50))</f>
        <v>0</v>
      </c>
      <c r="AB50" s="21" t="n">
        <f aca="false">IF(OR($A50="",AB$4=""),0,COUNTIFS(Formulas!$A$2:$A$1501,AB$4,Formulas!$B$2:$B$1501,$A50))</f>
        <v>0</v>
      </c>
      <c r="AC50" s="21" t="n">
        <f aca="false">IF(OR($A50="",AC$4=""),0,COUNTIFS(Formulas!$A$2:$A$1501,AC$4,Formulas!$B$2:$B$1501,$A50))</f>
        <v>0</v>
      </c>
      <c r="AD50" s="21" t="n">
        <f aca="false">IF(OR($A50="",AD$4=""),0,COUNTIFS(Formulas!$A$2:$A$1501,AD$4,Formulas!$B$2:$B$1501,$A50))</f>
        <v>0</v>
      </c>
      <c r="AE50" s="21" t="n">
        <f aca="false">IF(OR($A50="",AE$4=""),0,COUNTIFS(Formulas!$A$2:$A$1501,AE$4,Formulas!$B$2:$B$1501,$A50))</f>
        <v>0</v>
      </c>
      <c r="AF50" s="21" t="n">
        <f aca="false">IF(OR($A50="",AF$4=""),0,COUNTIFS(Formulas!$A$2:$A$1501,AF$4,Formulas!$B$2:$B$1501,$A50))</f>
        <v>0</v>
      </c>
      <c r="AG50" s="21" t="n">
        <f aca="false">IF(OR($A50="",AG$4=""),0,COUNTIFS(Formulas!$A$2:$A$1501,AG$4,Formulas!$B$2:$B$1501,$A50))</f>
        <v>0</v>
      </c>
      <c r="AH50" s="21" t="n">
        <f aca="false">IF(OR($A50="",AH$4=""),0,COUNTIFS(Formulas!$A$2:$A$1501,AH$4,Formulas!$B$2:$B$1501,$A50))</f>
        <v>0</v>
      </c>
      <c r="AI50" s="21" t="n">
        <f aca="false">IF(OR($A50="",AI$4=""),0,COUNTIFS(Formulas!$A$2:$A$1501,AI$4,Formulas!$B$2:$B$1501,$A50))</f>
        <v>0</v>
      </c>
      <c r="AJ50" s="21" t="n">
        <f aca="false">IF(OR($A50="",AJ$4=""),0,COUNTIFS(Formulas!$A$2:$A$1501,AJ$4,Formulas!$B$2:$B$1501,$A50))</f>
        <v>0</v>
      </c>
      <c r="AK50" s="21" t="n">
        <f aca="false">IF(OR($A50="",AK$4=""),0,COUNTIFS(Formulas!$A$2:$A$1501,AK$4,Formulas!$B$2:$B$1501,$A50))</f>
        <v>0</v>
      </c>
      <c r="AL50" s="21" t="n">
        <f aca="false">IF(OR($A50="",AL$4=""),0,COUNTIFS(Formulas!$A$2:$A$1501,AL$4,Formulas!$B$2:$B$1501,$A50))</f>
        <v>0</v>
      </c>
      <c r="AM50" s="21" t="n">
        <f aca="false">IF(OR($A50="",AM$4=""),0,COUNTIFS(Formulas!$A$2:$A$1501,AM$4,Formulas!$B$2:$B$1501,$A50))</f>
        <v>0</v>
      </c>
      <c r="AN50" s="21" t="n">
        <f aca="false">IF(OR($A50="",AN$4=""),0,COUNTIFS(Formulas!$A$2:$A$1501,AN$4,Formulas!$B$2:$B$1501,$A50))</f>
        <v>0</v>
      </c>
      <c r="AO50" s="21" t="n">
        <f aca="false">IF(OR($A50="",AO$4=""),0,COUNTIFS(Formulas!$A$2:$A$1501,AO$4,Formulas!$B$2:$B$1501,$A50))</f>
        <v>0</v>
      </c>
      <c r="AP50" s="21" t="n">
        <f aca="false">IF(OR($A50="",AP$4=""),0,COUNTIFS(Formulas!$A$2:$A$1501,AP$4,Formulas!$B$2:$B$1501,$A50))</f>
        <v>0</v>
      </c>
      <c r="AQ50" s="21" t="n">
        <f aca="false">IF(OR($A50="",AQ$4=""),0,COUNTIFS(Formulas!$A$2:$A$1501,AQ$4,Formulas!$B$2:$B$1501,$A50))</f>
        <v>0</v>
      </c>
      <c r="AR50" s="21" t="n">
        <f aca="false">IF(OR($A50="",AR$4=""),0,COUNTIFS(Formulas!$A$2:$A$1501,AR$4,Formulas!$B$2:$B$1501,$A50))</f>
        <v>0</v>
      </c>
      <c r="AS50" s="21" t="n">
        <f aca="false">IF(OR($A50="",AS$4=""),0,COUNTIFS(Formulas!$A$2:$A$1501,AS$4,Formulas!$B$2:$B$1501,$A50))</f>
        <v>0</v>
      </c>
      <c r="AT50" s="21" t="n">
        <f aca="false">IF(OR($A50="",AT$4=""),0,COUNTIFS(Formulas!$A$2:$A$1501,AT$4,Formulas!$B$2:$B$1501,$A50))</f>
        <v>0</v>
      </c>
      <c r="AU50" s="21" t="n">
        <f aca="false">IF(OR($A50="",AU$4=""),0,COUNTIFS(Formulas!$A$2:$A$1501,AU$4,Formulas!$B$2:$B$1501,$A50))</f>
        <v>0</v>
      </c>
      <c r="AV50" s="21" t="n">
        <f aca="false">IF(OR($A50="",AV$4=""),0,COUNTIFS(Formulas!$A$2:$A$1501,AV$4,Formulas!$B$2:$B$1501,$A50))</f>
        <v>0</v>
      </c>
      <c r="AW50" s="21" t="n">
        <f aca="false">IF(OR($A50="",AW$4=""),0,COUNTIFS(Formulas!$A$2:$A$1501,AW$4,Formulas!$B$2:$B$1501,$A50))</f>
        <v>0</v>
      </c>
      <c r="AX50" s="21" t="n">
        <f aca="false">IF(OR($A50="",AX$4=""),0,COUNTIFS(Formulas!$A$2:$A$1501,AX$4,Formulas!$B$2:$B$1501,$A50))</f>
        <v>0</v>
      </c>
      <c r="AY50" s="21" t="n">
        <f aca="false">IF(OR($A50="",AY$4=""),0,COUNTIFS(Formulas!$A$2:$A$1501,AY$4,Formulas!$B$2:$B$1501,$A50))</f>
        <v>0</v>
      </c>
      <c r="AZ50" s="21" t="n">
        <f aca="false">IF(OR($A50="",AZ$4=""),0,COUNTIFS(Formulas!$A$2:$A$1501,AZ$4,Formulas!$B$2:$B$1501,$A50))</f>
        <v>0</v>
      </c>
      <c r="BA50" s="21" t="n">
        <f aca="false">IF(OR($A50="",BA$4=""),0,COUNTIFS(Formulas!$A$2:$A$1501,BA$4,Formulas!$B$2:$B$1501,$A50))</f>
        <v>0</v>
      </c>
      <c r="BB50" s="21" t="n">
        <f aca="false">IF(OR($A50="",BB$4=""),0,COUNTIFS(Formulas!$A$2:$A$1501,BB$4,Formulas!$B$2:$B$1501,$A50))</f>
        <v>0</v>
      </c>
      <c r="BC50" s="21" t="n">
        <f aca="false">IF(OR($A50="",BC$4=""),0,COUNTIFS(Formulas!$A$2:$A$1501,BC$4,Formulas!$B$2:$B$1501,$A50))</f>
        <v>0</v>
      </c>
      <c r="BD50" s="21" t="n">
        <f aca="false">IF(OR($A50="",BD$4=""),0,COUNTIFS(Formulas!$A$2:$A$1501,BD$4,Formulas!$B$2:$B$1501,$A50))</f>
        <v>0</v>
      </c>
      <c r="BE50" s="21" t="n">
        <f aca="false">IF(OR($A50="",BE$4=""),0,COUNTIFS(Formulas!$A$2:$A$1501,BE$4,Formulas!$B$2:$B$1501,$A50))</f>
        <v>0</v>
      </c>
      <c r="BF50" s="21" t="n">
        <f aca="false">IF(OR($A50="",BF$4=""),0,COUNTIFS(Formulas!$A$2:$A$1501,BF$4,Formulas!$B$2:$B$1501,$A50))</f>
        <v>0</v>
      </c>
      <c r="BG50" s="21" t="n">
        <f aca="false">IF(OR($A50="",BG$4=""),0,COUNTIFS(Formulas!$A$2:$A$1501,BG$4,Formulas!$B$2:$B$1501,$A50))</f>
        <v>0</v>
      </c>
      <c r="BH50" s="21" t="n">
        <f aca="false">IF(OR($A50="",BH$4=""),0,COUNTIFS(Formulas!$A$2:$A$1501,BH$4,Formulas!$B$2:$B$1501,$A50))</f>
        <v>0</v>
      </c>
      <c r="BI50" s="21" t="n">
        <f aca="false">IF(OR($A50="",BI$4=""),0,COUNTIFS(Formulas!$A$2:$A$1501,BI$4,Formulas!$B$2:$B$1501,$A50))</f>
        <v>0</v>
      </c>
      <c r="BJ50" s="21" t="n">
        <f aca="false">IF(OR($A50="",BJ$4=""),0,COUNTIFS(Formulas!$A$2:$A$1501,BJ$4,Formulas!$B$2:$B$1501,$A50))</f>
        <v>0</v>
      </c>
    </row>
    <row r="51" customFormat="false" ht="15" hidden="false" customHeight="false" outlineLevel="0" collapsed="false">
      <c r="A51" s="13" t="str">
        <f aca="false">IF(INDEX(Materials!$A$2:$A$201,47)="","",INDEX(Materials!$A$2:$A$201,47))</f>
        <v/>
      </c>
      <c r="B51" s="19" t="str">
        <f aca="false">IF(A51="","",COUNTIF(C51:BJ51,"&gt;0"))</f>
        <v/>
      </c>
      <c r="C51" s="21" t="n">
        <f aca="false">IF(OR($A51="",C$4=""),0,COUNTIFS(Formulas!$A$2:$A$1501,C$4,Formulas!$B$2:$B$1501,$A51))</f>
        <v>0</v>
      </c>
      <c r="D51" s="21" t="n">
        <f aca="false">IF(OR($A51="",D$4=""),0,COUNTIFS(Formulas!$A$2:$A$1501,D$4,Formulas!$B$2:$B$1501,$A51))</f>
        <v>0</v>
      </c>
      <c r="E51" s="21" t="n">
        <f aca="false">IF(OR($A51="",E$4=""),0,COUNTIFS(Formulas!$A$2:$A$1501,E$4,Formulas!$B$2:$B$1501,$A51))</f>
        <v>0</v>
      </c>
      <c r="F51" s="21" t="n">
        <f aca="false">IF(OR($A51="",F$4=""),0,COUNTIFS(Formulas!$A$2:$A$1501,F$4,Formulas!$B$2:$B$1501,$A51))</f>
        <v>0</v>
      </c>
      <c r="G51" s="21" t="n">
        <f aca="false">IF(OR($A51="",G$4=""),0,COUNTIFS(Formulas!$A$2:$A$1501,G$4,Formulas!$B$2:$B$1501,$A51))</f>
        <v>0</v>
      </c>
      <c r="H51" s="21" t="n">
        <f aca="false">IF(OR($A51="",H$4=""),0,COUNTIFS(Formulas!$A$2:$A$1501,H$4,Formulas!$B$2:$B$1501,$A51))</f>
        <v>0</v>
      </c>
      <c r="I51" s="21" t="n">
        <f aca="false">IF(OR($A51="",I$4=""),0,COUNTIFS(Formulas!$A$2:$A$1501,I$4,Formulas!$B$2:$B$1501,$A51))</f>
        <v>0</v>
      </c>
      <c r="J51" s="21" t="n">
        <f aca="false">IF(OR($A51="",J$4=""),0,COUNTIFS(Formulas!$A$2:$A$1501,J$4,Formulas!$B$2:$B$1501,$A51))</f>
        <v>0</v>
      </c>
      <c r="K51" s="21" t="n">
        <f aca="false">IF(OR($A51="",K$4=""),0,COUNTIFS(Formulas!$A$2:$A$1501,K$4,Formulas!$B$2:$B$1501,$A51))</f>
        <v>0</v>
      </c>
      <c r="L51" s="21" t="n">
        <f aca="false">IF(OR($A51="",L$4=""),0,COUNTIFS(Formulas!$A$2:$A$1501,L$4,Formulas!$B$2:$B$1501,$A51))</f>
        <v>0</v>
      </c>
      <c r="M51" s="21" t="n">
        <f aca="false">IF(OR($A51="",M$4=""),0,COUNTIFS(Formulas!$A$2:$A$1501,M$4,Formulas!$B$2:$B$1501,$A51))</f>
        <v>0</v>
      </c>
      <c r="N51" s="21" t="n">
        <f aca="false">IF(OR($A51="",N$4=""),0,COUNTIFS(Formulas!$A$2:$A$1501,N$4,Formulas!$B$2:$B$1501,$A51))</f>
        <v>0</v>
      </c>
      <c r="O51" s="21" t="n">
        <f aca="false">IF(OR($A51="",O$4=""),0,COUNTIFS(Formulas!$A$2:$A$1501,O$4,Formulas!$B$2:$B$1501,$A51))</f>
        <v>0</v>
      </c>
      <c r="P51" s="21" t="n">
        <f aca="false">IF(OR($A51="",P$4=""),0,COUNTIFS(Formulas!$A$2:$A$1501,P$4,Formulas!$B$2:$B$1501,$A51))</f>
        <v>0</v>
      </c>
      <c r="Q51" s="21" t="n">
        <f aca="false">IF(OR($A51="",Q$4=""),0,COUNTIFS(Formulas!$A$2:$A$1501,Q$4,Formulas!$B$2:$B$1501,$A51))</f>
        <v>0</v>
      </c>
      <c r="R51" s="21" t="n">
        <f aca="false">IF(OR($A51="",R$4=""),0,COUNTIFS(Formulas!$A$2:$A$1501,R$4,Formulas!$B$2:$B$1501,$A51))</f>
        <v>0</v>
      </c>
      <c r="S51" s="21" t="n">
        <f aca="false">IF(OR($A51="",S$4=""),0,COUNTIFS(Formulas!$A$2:$A$1501,S$4,Formulas!$B$2:$B$1501,$A51))</f>
        <v>0</v>
      </c>
      <c r="T51" s="21" t="n">
        <f aca="false">IF(OR($A51="",T$4=""),0,COUNTIFS(Formulas!$A$2:$A$1501,T$4,Formulas!$B$2:$B$1501,$A51))</f>
        <v>0</v>
      </c>
      <c r="U51" s="21" t="n">
        <f aca="false">IF(OR($A51="",U$4=""),0,COUNTIFS(Formulas!$A$2:$A$1501,U$4,Formulas!$B$2:$B$1501,$A51))</f>
        <v>0</v>
      </c>
      <c r="V51" s="21" t="n">
        <f aca="false">IF(OR($A51="",V$4=""),0,COUNTIFS(Formulas!$A$2:$A$1501,V$4,Formulas!$B$2:$B$1501,$A51))</f>
        <v>0</v>
      </c>
      <c r="W51" s="21" t="n">
        <f aca="false">IF(OR($A51="",W$4=""),0,COUNTIFS(Formulas!$A$2:$A$1501,W$4,Formulas!$B$2:$B$1501,$A51))</f>
        <v>0</v>
      </c>
      <c r="X51" s="21" t="n">
        <f aca="false">IF(OR($A51="",X$4=""),0,COUNTIFS(Formulas!$A$2:$A$1501,X$4,Formulas!$B$2:$B$1501,$A51))</f>
        <v>0</v>
      </c>
      <c r="Y51" s="21" t="n">
        <f aca="false">IF(OR($A51="",Y$4=""),0,COUNTIFS(Formulas!$A$2:$A$1501,Y$4,Formulas!$B$2:$B$1501,$A51))</f>
        <v>0</v>
      </c>
      <c r="Z51" s="21" t="n">
        <f aca="false">IF(OR($A51="",Z$4=""),0,COUNTIFS(Formulas!$A$2:$A$1501,Z$4,Formulas!$B$2:$B$1501,$A51))</f>
        <v>0</v>
      </c>
      <c r="AA51" s="21" t="n">
        <f aca="false">IF(OR($A51="",AA$4=""),0,COUNTIFS(Formulas!$A$2:$A$1501,AA$4,Formulas!$B$2:$B$1501,$A51))</f>
        <v>0</v>
      </c>
      <c r="AB51" s="21" t="n">
        <f aca="false">IF(OR($A51="",AB$4=""),0,COUNTIFS(Formulas!$A$2:$A$1501,AB$4,Formulas!$B$2:$B$1501,$A51))</f>
        <v>0</v>
      </c>
      <c r="AC51" s="21" t="n">
        <f aca="false">IF(OR($A51="",AC$4=""),0,COUNTIFS(Formulas!$A$2:$A$1501,AC$4,Formulas!$B$2:$B$1501,$A51))</f>
        <v>0</v>
      </c>
      <c r="AD51" s="21" t="n">
        <f aca="false">IF(OR($A51="",AD$4=""),0,COUNTIFS(Formulas!$A$2:$A$1501,AD$4,Formulas!$B$2:$B$1501,$A51))</f>
        <v>0</v>
      </c>
      <c r="AE51" s="21" t="n">
        <f aca="false">IF(OR($A51="",AE$4=""),0,COUNTIFS(Formulas!$A$2:$A$1501,AE$4,Formulas!$B$2:$B$1501,$A51))</f>
        <v>0</v>
      </c>
      <c r="AF51" s="21" t="n">
        <f aca="false">IF(OR($A51="",AF$4=""),0,COUNTIFS(Formulas!$A$2:$A$1501,AF$4,Formulas!$B$2:$B$1501,$A51))</f>
        <v>0</v>
      </c>
      <c r="AG51" s="21" t="n">
        <f aca="false">IF(OR($A51="",AG$4=""),0,COUNTIFS(Formulas!$A$2:$A$1501,AG$4,Formulas!$B$2:$B$1501,$A51))</f>
        <v>0</v>
      </c>
      <c r="AH51" s="21" t="n">
        <f aca="false">IF(OR($A51="",AH$4=""),0,COUNTIFS(Formulas!$A$2:$A$1501,AH$4,Formulas!$B$2:$B$1501,$A51))</f>
        <v>0</v>
      </c>
      <c r="AI51" s="21" t="n">
        <f aca="false">IF(OR($A51="",AI$4=""),0,COUNTIFS(Formulas!$A$2:$A$1501,AI$4,Formulas!$B$2:$B$1501,$A51))</f>
        <v>0</v>
      </c>
      <c r="AJ51" s="21" t="n">
        <f aca="false">IF(OR($A51="",AJ$4=""),0,COUNTIFS(Formulas!$A$2:$A$1501,AJ$4,Formulas!$B$2:$B$1501,$A51))</f>
        <v>0</v>
      </c>
      <c r="AK51" s="21" t="n">
        <f aca="false">IF(OR($A51="",AK$4=""),0,COUNTIFS(Formulas!$A$2:$A$1501,AK$4,Formulas!$B$2:$B$1501,$A51))</f>
        <v>0</v>
      </c>
      <c r="AL51" s="21" t="n">
        <f aca="false">IF(OR($A51="",AL$4=""),0,COUNTIFS(Formulas!$A$2:$A$1501,AL$4,Formulas!$B$2:$B$1501,$A51))</f>
        <v>0</v>
      </c>
      <c r="AM51" s="21" t="n">
        <f aca="false">IF(OR($A51="",AM$4=""),0,COUNTIFS(Formulas!$A$2:$A$1501,AM$4,Formulas!$B$2:$B$1501,$A51))</f>
        <v>0</v>
      </c>
      <c r="AN51" s="21" t="n">
        <f aca="false">IF(OR($A51="",AN$4=""),0,COUNTIFS(Formulas!$A$2:$A$1501,AN$4,Formulas!$B$2:$B$1501,$A51))</f>
        <v>0</v>
      </c>
      <c r="AO51" s="21" t="n">
        <f aca="false">IF(OR($A51="",AO$4=""),0,COUNTIFS(Formulas!$A$2:$A$1501,AO$4,Formulas!$B$2:$B$1501,$A51))</f>
        <v>0</v>
      </c>
      <c r="AP51" s="21" t="n">
        <f aca="false">IF(OR($A51="",AP$4=""),0,COUNTIFS(Formulas!$A$2:$A$1501,AP$4,Formulas!$B$2:$B$1501,$A51))</f>
        <v>0</v>
      </c>
      <c r="AQ51" s="21" t="n">
        <f aca="false">IF(OR($A51="",AQ$4=""),0,COUNTIFS(Formulas!$A$2:$A$1501,AQ$4,Formulas!$B$2:$B$1501,$A51))</f>
        <v>0</v>
      </c>
      <c r="AR51" s="21" t="n">
        <f aca="false">IF(OR($A51="",AR$4=""),0,COUNTIFS(Formulas!$A$2:$A$1501,AR$4,Formulas!$B$2:$B$1501,$A51))</f>
        <v>0</v>
      </c>
      <c r="AS51" s="21" t="n">
        <f aca="false">IF(OR($A51="",AS$4=""),0,COUNTIFS(Formulas!$A$2:$A$1501,AS$4,Formulas!$B$2:$B$1501,$A51))</f>
        <v>0</v>
      </c>
      <c r="AT51" s="21" t="n">
        <f aca="false">IF(OR($A51="",AT$4=""),0,COUNTIFS(Formulas!$A$2:$A$1501,AT$4,Formulas!$B$2:$B$1501,$A51))</f>
        <v>0</v>
      </c>
      <c r="AU51" s="21" t="n">
        <f aca="false">IF(OR($A51="",AU$4=""),0,COUNTIFS(Formulas!$A$2:$A$1501,AU$4,Formulas!$B$2:$B$1501,$A51))</f>
        <v>0</v>
      </c>
      <c r="AV51" s="21" t="n">
        <f aca="false">IF(OR($A51="",AV$4=""),0,COUNTIFS(Formulas!$A$2:$A$1501,AV$4,Formulas!$B$2:$B$1501,$A51))</f>
        <v>0</v>
      </c>
      <c r="AW51" s="21" t="n">
        <f aca="false">IF(OR($A51="",AW$4=""),0,COUNTIFS(Formulas!$A$2:$A$1501,AW$4,Formulas!$B$2:$B$1501,$A51))</f>
        <v>0</v>
      </c>
      <c r="AX51" s="21" t="n">
        <f aca="false">IF(OR($A51="",AX$4=""),0,COUNTIFS(Formulas!$A$2:$A$1501,AX$4,Formulas!$B$2:$B$1501,$A51))</f>
        <v>0</v>
      </c>
      <c r="AY51" s="21" t="n">
        <f aca="false">IF(OR($A51="",AY$4=""),0,COUNTIFS(Formulas!$A$2:$A$1501,AY$4,Formulas!$B$2:$B$1501,$A51))</f>
        <v>0</v>
      </c>
      <c r="AZ51" s="21" t="n">
        <f aca="false">IF(OR($A51="",AZ$4=""),0,COUNTIFS(Formulas!$A$2:$A$1501,AZ$4,Formulas!$B$2:$B$1501,$A51))</f>
        <v>0</v>
      </c>
      <c r="BA51" s="21" t="n">
        <f aca="false">IF(OR($A51="",BA$4=""),0,COUNTIFS(Formulas!$A$2:$A$1501,BA$4,Formulas!$B$2:$B$1501,$A51))</f>
        <v>0</v>
      </c>
      <c r="BB51" s="21" t="n">
        <f aca="false">IF(OR($A51="",BB$4=""),0,COUNTIFS(Formulas!$A$2:$A$1501,BB$4,Formulas!$B$2:$B$1501,$A51))</f>
        <v>0</v>
      </c>
      <c r="BC51" s="21" t="n">
        <f aca="false">IF(OR($A51="",BC$4=""),0,COUNTIFS(Formulas!$A$2:$A$1501,BC$4,Formulas!$B$2:$B$1501,$A51))</f>
        <v>0</v>
      </c>
      <c r="BD51" s="21" t="n">
        <f aca="false">IF(OR($A51="",BD$4=""),0,COUNTIFS(Formulas!$A$2:$A$1501,BD$4,Formulas!$B$2:$B$1501,$A51))</f>
        <v>0</v>
      </c>
      <c r="BE51" s="21" t="n">
        <f aca="false">IF(OR($A51="",BE$4=""),0,COUNTIFS(Formulas!$A$2:$A$1501,BE$4,Formulas!$B$2:$B$1501,$A51))</f>
        <v>0</v>
      </c>
      <c r="BF51" s="21" t="n">
        <f aca="false">IF(OR($A51="",BF$4=""),0,COUNTIFS(Formulas!$A$2:$A$1501,BF$4,Formulas!$B$2:$B$1501,$A51))</f>
        <v>0</v>
      </c>
      <c r="BG51" s="21" t="n">
        <f aca="false">IF(OR($A51="",BG$4=""),0,COUNTIFS(Formulas!$A$2:$A$1501,BG$4,Formulas!$B$2:$B$1501,$A51))</f>
        <v>0</v>
      </c>
      <c r="BH51" s="21" t="n">
        <f aca="false">IF(OR($A51="",BH$4=""),0,COUNTIFS(Formulas!$A$2:$A$1501,BH$4,Formulas!$B$2:$B$1501,$A51))</f>
        <v>0</v>
      </c>
      <c r="BI51" s="21" t="n">
        <f aca="false">IF(OR($A51="",BI$4=""),0,COUNTIFS(Formulas!$A$2:$A$1501,BI$4,Formulas!$B$2:$B$1501,$A51))</f>
        <v>0</v>
      </c>
      <c r="BJ51" s="21" t="n">
        <f aca="false">IF(OR($A51="",BJ$4=""),0,COUNTIFS(Formulas!$A$2:$A$1501,BJ$4,Formulas!$B$2:$B$1501,$A51))</f>
        <v>0</v>
      </c>
    </row>
    <row r="52" customFormat="false" ht="15" hidden="false" customHeight="false" outlineLevel="0" collapsed="false">
      <c r="A52" s="13" t="str">
        <f aca="false">IF(INDEX(Materials!$A$2:$A$201,48)="","",INDEX(Materials!$A$2:$A$201,48))</f>
        <v/>
      </c>
      <c r="B52" s="19" t="str">
        <f aca="false">IF(A52="","",COUNTIF(C52:BJ52,"&gt;0"))</f>
        <v/>
      </c>
      <c r="C52" s="21" t="n">
        <f aca="false">IF(OR($A52="",C$4=""),0,COUNTIFS(Formulas!$A$2:$A$1501,C$4,Formulas!$B$2:$B$1501,$A52))</f>
        <v>0</v>
      </c>
      <c r="D52" s="21" t="n">
        <f aca="false">IF(OR($A52="",D$4=""),0,COUNTIFS(Formulas!$A$2:$A$1501,D$4,Formulas!$B$2:$B$1501,$A52))</f>
        <v>0</v>
      </c>
      <c r="E52" s="21" t="n">
        <f aca="false">IF(OR($A52="",E$4=""),0,COUNTIFS(Formulas!$A$2:$A$1501,E$4,Formulas!$B$2:$B$1501,$A52))</f>
        <v>0</v>
      </c>
      <c r="F52" s="21" t="n">
        <f aca="false">IF(OR($A52="",F$4=""),0,COUNTIFS(Formulas!$A$2:$A$1501,F$4,Formulas!$B$2:$B$1501,$A52))</f>
        <v>0</v>
      </c>
      <c r="G52" s="21" t="n">
        <f aca="false">IF(OR($A52="",G$4=""),0,COUNTIFS(Formulas!$A$2:$A$1501,G$4,Formulas!$B$2:$B$1501,$A52))</f>
        <v>0</v>
      </c>
      <c r="H52" s="21" t="n">
        <f aca="false">IF(OR($A52="",H$4=""),0,COUNTIFS(Formulas!$A$2:$A$1501,H$4,Formulas!$B$2:$B$1501,$A52))</f>
        <v>0</v>
      </c>
      <c r="I52" s="21" t="n">
        <f aca="false">IF(OR($A52="",I$4=""),0,COUNTIFS(Formulas!$A$2:$A$1501,I$4,Formulas!$B$2:$B$1501,$A52))</f>
        <v>0</v>
      </c>
      <c r="J52" s="21" t="n">
        <f aca="false">IF(OR($A52="",J$4=""),0,COUNTIFS(Formulas!$A$2:$A$1501,J$4,Formulas!$B$2:$B$1501,$A52))</f>
        <v>0</v>
      </c>
      <c r="K52" s="21" t="n">
        <f aca="false">IF(OR($A52="",K$4=""),0,COUNTIFS(Formulas!$A$2:$A$1501,K$4,Formulas!$B$2:$B$1501,$A52))</f>
        <v>0</v>
      </c>
      <c r="L52" s="21" t="n">
        <f aca="false">IF(OR($A52="",L$4=""),0,COUNTIFS(Formulas!$A$2:$A$1501,L$4,Formulas!$B$2:$B$1501,$A52))</f>
        <v>0</v>
      </c>
      <c r="M52" s="21" t="n">
        <f aca="false">IF(OR($A52="",M$4=""),0,COUNTIFS(Formulas!$A$2:$A$1501,M$4,Formulas!$B$2:$B$1501,$A52))</f>
        <v>0</v>
      </c>
      <c r="N52" s="21" t="n">
        <f aca="false">IF(OR($A52="",N$4=""),0,COUNTIFS(Formulas!$A$2:$A$1501,N$4,Formulas!$B$2:$B$1501,$A52))</f>
        <v>0</v>
      </c>
      <c r="O52" s="21" t="n">
        <f aca="false">IF(OR($A52="",O$4=""),0,COUNTIFS(Formulas!$A$2:$A$1501,O$4,Formulas!$B$2:$B$1501,$A52))</f>
        <v>0</v>
      </c>
      <c r="P52" s="21" t="n">
        <f aca="false">IF(OR($A52="",P$4=""),0,COUNTIFS(Formulas!$A$2:$A$1501,P$4,Formulas!$B$2:$B$1501,$A52))</f>
        <v>0</v>
      </c>
      <c r="Q52" s="21" t="n">
        <f aca="false">IF(OR($A52="",Q$4=""),0,COUNTIFS(Formulas!$A$2:$A$1501,Q$4,Formulas!$B$2:$B$1501,$A52))</f>
        <v>0</v>
      </c>
      <c r="R52" s="21" t="n">
        <f aca="false">IF(OR($A52="",R$4=""),0,COUNTIFS(Formulas!$A$2:$A$1501,R$4,Formulas!$B$2:$B$1501,$A52))</f>
        <v>0</v>
      </c>
      <c r="S52" s="21" t="n">
        <f aca="false">IF(OR($A52="",S$4=""),0,COUNTIFS(Formulas!$A$2:$A$1501,S$4,Formulas!$B$2:$B$1501,$A52))</f>
        <v>0</v>
      </c>
      <c r="T52" s="21" t="n">
        <f aca="false">IF(OR($A52="",T$4=""),0,COUNTIFS(Formulas!$A$2:$A$1501,T$4,Formulas!$B$2:$B$1501,$A52))</f>
        <v>0</v>
      </c>
      <c r="U52" s="21" t="n">
        <f aca="false">IF(OR($A52="",U$4=""),0,COUNTIFS(Formulas!$A$2:$A$1501,U$4,Formulas!$B$2:$B$1501,$A52))</f>
        <v>0</v>
      </c>
      <c r="V52" s="21" t="n">
        <f aca="false">IF(OR($A52="",V$4=""),0,COUNTIFS(Formulas!$A$2:$A$1501,V$4,Formulas!$B$2:$B$1501,$A52))</f>
        <v>0</v>
      </c>
      <c r="W52" s="21" t="n">
        <f aca="false">IF(OR($A52="",W$4=""),0,COUNTIFS(Formulas!$A$2:$A$1501,W$4,Formulas!$B$2:$B$1501,$A52))</f>
        <v>0</v>
      </c>
      <c r="X52" s="21" t="n">
        <f aca="false">IF(OR($A52="",X$4=""),0,COUNTIFS(Formulas!$A$2:$A$1501,X$4,Formulas!$B$2:$B$1501,$A52))</f>
        <v>0</v>
      </c>
      <c r="Y52" s="21" t="n">
        <f aca="false">IF(OR($A52="",Y$4=""),0,COUNTIFS(Formulas!$A$2:$A$1501,Y$4,Formulas!$B$2:$B$1501,$A52))</f>
        <v>0</v>
      </c>
      <c r="Z52" s="21" t="n">
        <f aca="false">IF(OR($A52="",Z$4=""),0,COUNTIFS(Formulas!$A$2:$A$1501,Z$4,Formulas!$B$2:$B$1501,$A52))</f>
        <v>0</v>
      </c>
      <c r="AA52" s="21" t="n">
        <f aca="false">IF(OR($A52="",AA$4=""),0,COUNTIFS(Formulas!$A$2:$A$1501,AA$4,Formulas!$B$2:$B$1501,$A52))</f>
        <v>0</v>
      </c>
      <c r="AB52" s="21" t="n">
        <f aca="false">IF(OR($A52="",AB$4=""),0,COUNTIFS(Formulas!$A$2:$A$1501,AB$4,Formulas!$B$2:$B$1501,$A52))</f>
        <v>0</v>
      </c>
      <c r="AC52" s="21" t="n">
        <f aca="false">IF(OR($A52="",AC$4=""),0,COUNTIFS(Formulas!$A$2:$A$1501,AC$4,Formulas!$B$2:$B$1501,$A52))</f>
        <v>0</v>
      </c>
      <c r="AD52" s="21" t="n">
        <f aca="false">IF(OR($A52="",AD$4=""),0,COUNTIFS(Formulas!$A$2:$A$1501,AD$4,Formulas!$B$2:$B$1501,$A52))</f>
        <v>0</v>
      </c>
      <c r="AE52" s="21" t="n">
        <f aca="false">IF(OR($A52="",AE$4=""),0,COUNTIFS(Formulas!$A$2:$A$1501,AE$4,Formulas!$B$2:$B$1501,$A52))</f>
        <v>0</v>
      </c>
      <c r="AF52" s="21" t="n">
        <f aca="false">IF(OR($A52="",AF$4=""),0,COUNTIFS(Formulas!$A$2:$A$1501,AF$4,Formulas!$B$2:$B$1501,$A52))</f>
        <v>0</v>
      </c>
      <c r="AG52" s="21" t="n">
        <f aca="false">IF(OR($A52="",AG$4=""),0,COUNTIFS(Formulas!$A$2:$A$1501,AG$4,Formulas!$B$2:$B$1501,$A52))</f>
        <v>0</v>
      </c>
      <c r="AH52" s="21" t="n">
        <f aca="false">IF(OR($A52="",AH$4=""),0,COUNTIFS(Formulas!$A$2:$A$1501,AH$4,Formulas!$B$2:$B$1501,$A52))</f>
        <v>0</v>
      </c>
      <c r="AI52" s="21" t="n">
        <f aca="false">IF(OR($A52="",AI$4=""),0,COUNTIFS(Formulas!$A$2:$A$1501,AI$4,Formulas!$B$2:$B$1501,$A52))</f>
        <v>0</v>
      </c>
      <c r="AJ52" s="21" t="n">
        <f aca="false">IF(OR($A52="",AJ$4=""),0,COUNTIFS(Formulas!$A$2:$A$1501,AJ$4,Formulas!$B$2:$B$1501,$A52))</f>
        <v>0</v>
      </c>
      <c r="AK52" s="21" t="n">
        <f aca="false">IF(OR($A52="",AK$4=""),0,COUNTIFS(Formulas!$A$2:$A$1501,AK$4,Formulas!$B$2:$B$1501,$A52))</f>
        <v>0</v>
      </c>
      <c r="AL52" s="21" t="n">
        <f aca="false">IF(OR($A52="",AL$4=""),0,COUNTIFS(Formulas!$A$2:$A$1501,AL$4,Formulas!$B$2:$B$1501,$A52))</f>
        <v>0</v>
      </c>
      <c r="AM52" s="21" t="n">
        <f aca="false">IF(OR($A52="",AM$4=""),0,COUNTIFS(Formulas!$A$2:$A$1501,AM$4,Formulas!$B$2:$B$1501,$A52))</f>
        <v>0</v>
      </c>
      <c r="AN52" s="21" t="n">
        <f aca="false">IF(OR($A52="",AN$4=""),0,COUNTIFS(Formulas!$A$2:$A$1501,AN$4,Formulas!$B$2:$B$1501,$A52))</f>
        <v>0</v>
      </c>
      <c r="AO52" s="21" t="n">
        <f aca="false">IF(OR($A52="",AO$4=""),0,COUNTIFS(Formulas!$A$2:$A$1501,AO$4,Formulas!$B$2:$B$1501,$A52))</f>
        <v>0</v>
      </c>
      <c r="AP52" s="21" t="n">
        <f aca="false">IF(OR($A52="",AP$4=""),0,COUNTIFS(Formulas!$A$2:$A$1501,AP$4,Formulas!$B$2:$B$1501,$A52))</f>
        <v>0</v>
      </c>
      <c r="AQ52" s="21" t="n">
        <f aca="false">IF(OR($A52="",AQ$4=""),0,COUNTIFS(Formulas!$A$2:$A$1501,AQ$4,Formulas!$B$2:$B$1501,$A52))</f>
        <v>0</v>
      </c>
      <c r="AR52" s="21" t="n">
        <f aca="false">IF(OR($A52="",AR$4=""),0,COUNTIFS(Formulas!$A$2:$A$1501,AR$4,Formulas!$B$2:$B$1501,$A52))</f>
        <v>0</v>
      </c>
      <c r="AS52" s="21" t="n">
        <f aca="false">IF(OR($A52="",AS$4=""),0,COUNTIFS(Formulas!$A$2:$A$1501,AS$4,Formulas!$B$2:$B$1501,$A52))</f>
        <v>0</v>
      </c>
      <c r="AT52" s="21" t="n">
        <f aca="false">IF(OR($A52="",AT$4=""),0,COUNTIFS(Formulas!$A$2:$A$1501,AT$4,Formulas!$B$2:$B$1501,$A52))</f>
        <v>0</v>
      </c>
      <c r="AU52" s="21" t="n">
        <f aca="false">IF(OR($A52="",AU$4=""),0,COUNTIFS(Formulas!$A$2:$A$1501,AU$4,Formulas!$B$2:$B$1501,$A52))</f>
        <v>0</v>
      </c>
      <c r="AV52" s="21" t="n">
        <f aca="false">IF(OR($A52="",AV$4=""),0,COUNTIFS(Formulas!$A$2:$A$1501,AV$4,Formulas!$B$2:$B$1501,$A52))</f>
        <v>0</v>
      </c>
      <c r="AW52" s="21" t="n">
        <f aca="false">IF(OR($A52="",AW$4=""),0,COUNTIFS(Formulas!$A$2:$A$1501,AW$4,Formulas!$B$2:$B$1501,$A52))</f>
        <v>0</v>
      </c>
      <c r="AX52" s="21" t="n">
        <f aca="false">IF(OR($A52="",AX$4=""),0,COUNTIFS(Formulas!$A$2:$A$1501,AX$4,Formulas!$B$2:$B$1501,$A52))</f>
        <v>0</v>
      </c>
      <c r="AY52" s="21" t="n">
        <f aca="false">IF(OR($A52="",AY$4=""),0,COUNTIFS(Formulas!$A$2:$A$1501,AY$4,Formulas!$B$2:$B$1501,$A52))</f>
        <v>0</v>
      </c>
      <c r="AZ52" s="21" t="n">
        <f aca="false">IF(OR($A52="",AZ$4=""),0,COUNTIFS(Formulas!$A$2:$A$1501,AZ$4,Formulas!$B$2:$B$1501,$A52))</f>
        <v>0</v>
      </c>
      <c r="BA52" s="21" t="n">
        <f aca="false">IF(OR($A52="",BA$4=""),0,COUNTIFS(Formulas!$A$2:$A$1501,BA$4,Formulas!$B$2:$B$1501,$A52))</f>
        <v>0</v>
      </c>
      <c r="BB52" s="21" t="n">
        <f aca="false">IF(OR($A52="",BB$4=""),0,COUNTIFS(Formulas!$A$2:$A$1501,BB$4,Formulas!$B$2:$B$1501,$A52))</f>
        <v>0</v>
      </c>
      <c r="BC52" s="21" t="n">
        <f aca="false">IF(OR($A52="",BC$4=""),0,COUNTIFS(Formulas!$A$2:$A$1501,BC$4,Formulas!$B$2:$B$1501,$A52))</f>
        <v>0</v>
      </c>
      <c r="BD52" s="21" t="n">
        <f aca="false">IF(OR($A52="",BD$4=""),0,COUNTIFS(Formulas!$A$2:$A$1501,BD$4,Formulas!$B$2:$B$1501,$A52))</f>
        <v>0</v>
      </c>
      <c r="BE52" s="21" t="n">
        <f aca="false">IF(OR($A52="",BE$4=""),0,COUNTIFS(Formulas!$A$2:$A$1501,BE$4,Formulas!$B$2:$B$1501,$A52))</f>
        <v>0</v>
      </c>
      <c r="BF52" s="21" t="n">
        <f aca="false">IF(OR($A52="",BF$4=""),0,COUNTIFS(Formulas!$A$2:$A$1501,BF$4,Formulas!$B$2:$B$1501,$A52))</f>
        <v>0</v>
      </c>
      <c r="BG52" s="21" t="n">
        <f aca="false">IF(OR($A52="",BG$4=""),0,COUNTIFS(Formulas!$A$2:$A$1501,BG$4,Formulas!$B$2:$B$1501,$A52))</f>
        <v>0</v>
      </c>
      <c r="BH52" s="21" t="n">
        <f aca="false">IF(OR($A52="",BH$4=""),0,COUNTIFS(Formulas!$A$2:$A$1501,BH$4,Formulas!$B$2:$B$1501,$A52))</f>
        <v>0</v>
      </c>
      <c r="BI52" s="21" t="n">
        <f aca="false">IF(OR($A52="",BI$4=""),0,COUNTIFS(Formulas!$A$2:$A$1501,BI$4,Formulas!$B$2:$B$1501,$A52))</f>
        <v>0</v>
      </c>
      <c r="BJ52" s="21" t="n">
        <f aca="false">IF(OR($A52="",BJ$4=""),0,COUNTIFS(Formulas!$A$2:$A$1501,BJ$4,Formulas!$B$2:$B$1501,$A52))</f>
        <v>0</v>
      </c>
    </row>
    <row r="53" customFormat="false" ht="15" hidden="false" customHeight="false" outlineLevel="0" collapsed="false">
      <c r="A53" s="13" t="str">
        <f aca="false">IF(INDEX(Materials!$A$2:$A$201,49)="","",INDEX(Materials!$A$2:$A$201,49))</f>
        <v/>
      </c>
      <c r="B53" s="19" t="str">
        <f aca="false">IF(A53="","",COUNTIF(C53:BJ53,"&gt;0"))</f>
        <v/>
      </c>
      <c r="C53" s="21" t="n">
        <f aca="false">IF(OR($A53="",C$4=""),0,COUNTIFS(Formulas!$A$2:$A$1501,C$4,Formulas!$B$2:$B$1501,$A53))</f>
        <v>0</v>
      </c>
      <c r="D53" s="21" t="n">
        <f aca="false">IF(OR($A53="",D$4=""),0,COUNTIFS(Formulas!$A$2:$A$1501,D$4,Formulas!$B$2:$B$1501,$A53))</f>
        <v>0</v>
      </c>
      <c r="E53" s="21" t="n">
        <f aca="false">IF(OR($A53="",E$4=""),0,COUNTIFS(Formulas!$A$2:$A$1501,E$4,Formulas!$B$2:$B$1501,$A53))</f>
        <v>0</v>
      </c>
      <c r="F53" s="21" t="n">
        <f aca="false">IF(OR($A53="",F$4=""),0,COUNTIFS(Formulas!$A$2:$A$1501,F$4,Formulas!$B$2:$B$1501,$A53))</f>
        <v>0</v>
      </c>
      <c r="G53" s="21" t="n">
        <f aca="false">IF(OR($A53="",G$4=""),0,COUNTIFS(Formulas!$A$2:$A$1501,G$4,Formulas!$B$2:$B$1501,$A53))</f>
        <v>0</v>
      </c>
      <c r="H53" s="21" t="n">
        <f aca="false">IF(OR($A53="",H$4=""),0,COUNTIFS(Formulas!$A$2:$A$1501,H$4,Formulas!$B$2:$B$1501,$A53))</f>
        <v>0</v>
      </c>
      <c r="I53" s="21" t="n">
        <f aca="false">IF(OR($A53="",I$4=""),0,COUNTIFS(Formulas!$A$2:$A$1501,I$4,Formulas!$B$2:$B$1501,$A53))</f>
        <v>0</v>
      </c>
      <c r="J53" s="21" t="n">
        <f aca="false">IF(OR($A53="",J$4=""),0,COUNTIFS(Formulas!$A$2:$A$1501,J$4,Formulas!$B$2:$B$1501,$A53))</f>
        <v>0</v>
      </c>
      <c r="K53" s="21" t="n">
        <f aca="false">IF(OR($A53="",K$4=""),0,COUNTIFS(Formulas!$A$2:$A$1501,K$4,Formulas!$B$2:$B$1501,$A53))</f>
        <v>0</v>
      </c>
      <c r="L53" s="21" t="n">
        <f aca="false">IF(OR($A53="",L$4=""),0,COUNTIFS(Formulas!$A$2:$A$1501,L$4,Formulas!$B$2:$B$1501,$A53))</f>
        <v>0</v>
      </c>
      <c r="M53" s="21" t="n">
        <f aca="false">IF(OR($A53="",M$4=""),0,COUNTIFS(Formulas!$A$2:$A$1501,M$4,Formulas!$B$2:$B$1501,$A53))</f>
        <v>0</v>
      </c>
      <c r="N53" s="21" t="n">
        <f aca="false">IF(OR($A53="",N$4=""),0,COUNTIFS(Formulas!$A$2:$A$1501,N$4,Formulas!$B$2:$B$1501,$A53))</f>
        <v>0</v>
      </c>
      <c r="O53" s="21" t="n">
        <f aca="false">IF(OR($A53="",O$4=""),0,COUNTIFS(Formulas!$A$2:$A$1501,O$4,Formulas!$B$2:$B$1501,$A53))</f>
        <v>0</v>
      </c>
      <c r="P53" s="21" t="n">
        <f aca="false">IF(OR($A53="",P$4=""),0,COUNTIFS(Formulas!$A$2:$A$1501,P$4,Formulas!$B$2:$B$1501,$A53))</f>
        <v>0</v>
      </c>
      <c r="Q53" s="21" t="n">
        <f aca="false">IF(OR($A53="",Q$4=""),0,COUNTIFS(Formulas!$A$2:$A$1501,Q$4,Formulas!$B$2:$B$1501,$A53))</f>
        <v>0</v>
      </c>
      <c r="R53" s="21" t="n">
        <f aca="false">IF(OR($A53="",R$4=""),0,COUNTIFS(Formulas!$A$2:$A$1501,R$4,Formulas!$B$2:$B$1501,$A53))</f>
        <v>0</v>
      </c>
      <c r="S53" s="21" t="n">
        <f aca="false">IF(OR($A53="",S$4=""),0,COUNTIFS(Formulas!$A$2:$A$1501,S$4,Formulas!$B$2:$B$1501,$A53))</f>
        <v>0</v>
      </c>
      <c r="T53" s="21" t="n">
        <f aca="false">IF(OR($A53="",T$4=""),0,COUNTIFS(Formulas!$A$2:$A$1501,T$4,Formulas!$B$2:$B$1501,$A53))</f>
        <v>0</v>
      </c>
      <c r="U53" s="21" t="n">
        <f aca="false">IF(OR($A53="",U$4=""),0,COUNTIFS(Formulas!$A$2:$A$1501,U$4,Formulas!$B$2:$B$1501,$A53))</f>
        <v>0</v>
      </c>
      <c r="V53" s="21" t="n">
        <f aca="false">IF(OR($A53="",V$4=""),0,COUNTIFS(Formulas!$A$2:$A$1501,V$4,Formulas!$B$2:$B$1501,$A53))</f>
        <v>0</v>
      </c>
      <c r="W53" s="21" t="n">
        <f aca="false">IF(OR($A53="",W$4=""),0,COUNTIFS(Formulas!$A$2:$A$1501,W$4,Formulas!$B$2:$B$1501,$A53))</f>
        <v>0</v>
      </c>
      <c r="X53" s="21" t="n">
        <f aca="false">IF(OR($A53="",X$4=""),0,COUNTIFS(Formulas!$A$2:$A$1501,X$4,Formulas!$B$2:$B$1501,$A53))</f>
        <v>0</v>
      </c>
      <c r="Y53" s="21" t="n">
        <f aca="false">IF(OR($A53="",Y$4=""),0,COUNTIFS(Formulas!$A$2:$A$1501,Y$4,Formulas!$B$2:$B$1501,$A53))</f>
        <v>0</v>
      </c>
      <c r="Z53" s="21" t="n">
        <f aca="false">IF(OR($A53="",Z$4=""),0,COUNTIFS(Formulas!$A$2:$A$1501,Z$4,Formulas!$B$2:$B$1501,$A53))</f>
        <v>0</v>
      </c>
      <c r="AA53" s="21" t="n">
        <f aca="false">IF(OR($A53="",AA$4=""),0,COUNTIFS(Formulas!$A$2:$A$1501,AA$4,Formulas!$B$2:$B$1501,$A53))</f>
        <v>0</v>
      </c>
      <c r="AB53" s="21" t="n">
        <f aca="false">IF(OR($A53="",AB$4=""),0,COUNTIFS(Formulas!$A$2:$A$1501,AB$4,Formulas!$B$2:$B$1501,$A53))</f>
        <v>0</v>
      </c>
      <c r="AC53" s="21" t="n">
        <f aca="false">IF(OR($A53="",AC$4=""),0,COUNTIFS(Formulas!$A$2:$A$1501,AC$4,Formulas!$B$2:$B$1501,$A53))</f>
        <v>0</v>
      </c>
      <c r="AD53" s="21" t="n">
        <f aca="false">IF(OR($A53="",AD$4=""),0,COUNTIFS(Formulas!$A$2:$A$1501,AD$4,Formulas!$B$2:$B$1501,$A53))</f>
        <v>0</v>
      </c>
      <c r="AE53" s="21" t="n">
        <f aca="false">IF(OR($A53="",AE$4=""),0,COUNTIFS(Formulas!$A$2:$A$1501,AE$4,Formulas!$B$2:$B$1501,$A53))</f>
        <v>0</v>
      </c>
      <c r="AF53" s="21" t="n">
        <f aca="false">IF(OR($A53="",AF$4=""),0,COUNTIFS(Formulas!$A$2:$A$1501,AF$4,Formulas!$B$2:$B$1501,$A53))</f>
        <v>0</v>
      </c>
      <c r="AG53" s="21" t="n">
        <f aca="false">IF(OR($A53="",AG$4=""),0,COUNTIFS(Formulas!$A$2:$A$1501,AG$4,Formulas!$B$2:$B$1501,$A53))</f>
        <v>0</v>
      </c>
      <c r="AH53" s="21" t="n">
        <f aca="false">IF(OR($A53="",AH$4=""),0,COUNTIFS(Formulas!$A$2:$A$1501,AH$4,Formulas!$B$2:$B$1501,$A53))</f>
        <v>0</v>
      </c>
      <c r="AI53" s="21" t="n">
        <f aca="false">IF(OR($A53="",AI$4=""),0,COUNTIFS(Formulas!$A$2:$A$1501,AI$4,Formulas!$B$2:$B$1501,$A53))</f>
        <v>0</v>
      </c>
      <c r="AJ53" s="21" t="n">
        <f aca="false">IF(OR($A53="",AJ$4=""),0,COUNTIFS(Formulas!$A$2:$A$1501,AJ$4,Formulas!$B$2:$B$1501,$A53))</f>
        <v>0</v>
      </c>
      <c r="AK53" s="21" t="n">
        <f aca="false">IF(OR($A53="",AK$4=""),0,COUNTIFS(Formulas!$A$2:$A$1501,AK$4,Formulas!$B$2:$B$1501,$A53))</f>
        <v>0</v>
      </c>
      <c r="AL53" s="21" t="n">
        <f aca="false">IF(OR($A53="",AL$4=""),0,COUNTIFS(Formulas!$A$2:$A$1501,AL$4,Formulas!$B$2:$B$1501,$A53))</f>
        <v>0</v>
      </c>
      <c r="AM53" s="21" t="n">
        <f aca="false">IF(OR($A53="",AM$4=""),0,COUNTIFS(Formulas!$A$2:$A$1501,AM$4,Formulas!$B$2:$B$1501,$A53))</f>
        <v>0</v>
      </c>
      <c r="AN53" s="21" t="n">
        <f aca="false">IF(OR($A53="",AN$4=""),0,COUNTIFS(Formulas!$A$2:$A$1501,AN$4,Formulas!$B$2:$B$1501,$A53))</f>
        <v>0</v>
      </c>
      <c r="AO53" s="21" t="n">
        <f aca="false">IF(OR($A53="",AO$4=""),0,COUNTIFS(Formulas!$A$2:$A$1501,AO$4,Formulas!$B$2:$B$1501,$A53))</f>
        <v>0</v>
      </c>
      <c r="AP53" s="21" t="n">
        <f aca="false">IF(OR($A53="",AP$4=""),0,COUNTIFS(Formulas!$A$2:$A$1501,AP$4,Formulas!$B$2:$B$1501,$A53))</f>
        <v>0</v>
      </c>
      <c r="AQ53" s="21" t="n">
        <f aca="false">IF(OR($A53="",AQ$4=""),0,COUNTIFS(Formulas!$A$2:$A$1501,AQ$4,Formulas!$B$2:$B$1501,$A53))</f>
        <v>0</v>
      </c>
      <c r="AR53" s="21" t="n">
        <f aca="false">IF(OR($A53="",AR$4=""),0,COUNTIFS(Formulas!$A$2:$A$1501,AR$4,Formulas!$B$2:$B$1501,$A53))</f>
        <v>0</v>
      </c>
      <c r="AS53" s="21" t="n">
        <f aca="false">IF(OR($A53="",AS$4=""),0,COUNTIFS(Formulas!$A$2:$A$1501,AS$4,Formulas!$B$2:$B$1501,$A53))</f>
        <v>0</v>
      </c>
      <c r="AT53" s="21" t="n">
        <f aca="false">IF(OR($A53="",AT$4=""),0,COUNTIFS(Formulas!$A$2:$A$1501,AT$4,Formulas!$B$2:$B$1501,$A53))</f>
        <v>0</v>
      </c>
      <c r="AU53" s="21" t="n">
        <f aca="false">IF(OR($A53="",AU$4=""),0,COUNTIFS(Formulas!$A$2:$A$1501,AU$4,Formulas!$B$2:$B$1501,$A53))</f>
        <v>0</v>
      </c>
      <c r="AV53" s="21" t="n">
        <f aca="false">IF(OR($A53="",AV$4=""),0,COUNTIFS(Formulas!$A$2:$A$1501,AV$4,Formulas!$B$2:$B$1501,$A53))</f>
        <v>0</v>
      </c>
      <c r="AW53" s="21" t="n">
        <f aca="false">IF(OR($A53="",AW$4=""),0,COUNTIFS(Formulas!$A$2:$A$1501,AW$4,Formulas!$B$2:$B$1501,$A53))</f>
        <v>0</v>
      </c>
      <c r="AX53" s="21" t="n">
        <f aca="false">IF(OR($A53="",AX$4=""),0,COUNTIFS(Formulas!$A$2:$A$1501,AX$4,Formulas!$B$2:$B$1501,$A53))</f>
        <v>0</v>
      </c>
      <c r="AY53" s="21" t="n">
        <f aca="false">IF(OR($A53="",AY$4=""),0,COUNTIFS(Formulas!$A$2:$A$1501,AY$4,Formulas!$B$2:$B$1501,$A53))</f>
        <v>0</v>
      </c>
      <c r="AZ53" s="21" t="n">
        <f aca="false">IF(OR($A53="",AZ$4=""),0,COUNTIFS(Formulas!$A$2:$A$1501,AZ$4,Formulas!$B$2:$B$1501,$A53))</f>
        <v>0</v>
      </c>
      <c r="BA53" s="21" t="n">
        <f aca="false">IF(OR($A53="",BA$4=""),0,COUNTIFS(Formulas!$A$2:$A$1501,BA$4,Formulas!$B$2:$B$1501,$A53))</f>
        <v>0</v>
      </c>
      <c r="BB53" s="21" t="n">
        <f aca="false">IF(OR($A53="",BB$4=""),0,COUNTIFS(Formulas!$A$2:$A$1501,BB$4,Formulas!$B$2:$B$1501,$A53))</f>
        <v>0</v>
      </c>
      <c r="BC53" s="21" t="n">
        <f aca="false">IF(OR($A53="",BC$4=""),0,COUNTIFS(Formulas!$A$2:$A$1501,BC$4,Formulas!$B$2:$B$1501,$A53))</f>
        <v>0</v>
      </c>
      <c r="BD53" s="21" t="n">
        <f aca="false">IF(OR($A53="",BD$4=""),0,COUNTIFS(Formulas!$A$2:$A$1501,BD$4,Formulas!$B$2:$B$1501,$A53))</f>
        <v>0</v>
      </c>
      <c r="BE53" s="21" t="n">
        <f aca="false">IF(OR($A53="",BE$4=""),0,COUNTIFS(Formulas!$A$2:$A$1501,BE$4,Formulas!$B$2:$B$1501,$A53))</f>
        <v>0</v>
      </c>
      <c r="BF53" s="21" t="n">
        <f aca="false">IF(OR($A53="",BF$4=""),0,COUNTIFS(Formulas!$A$2:$A$1501,BF$4,Formulas!$B$2:$B$1501,$A53))</f>
        <v>0</v>
      </c>
      <c r="BG53" s="21" t="n">
        <f aca="false">IF(OR($A53="",BG$4=""),0,COUNTIFS(Formulas!$A$2:$A$1501,BG$4,Formulas!$B$2:$B$1501,$A53))</f>
        <v>0</v>
      </c>
      <c r="BH53" s="21" t="n">
        <f aca="false">IF(OR($A53="",BH$4=""),0,COUNTIFS(Formulas!$A$2:$A$1501,BH$4,Formulas!$B$2:$B$1501,$A53))</f>
        <v>0</v>
      </c>
      <c r="BI53" s="21" t="n">
        <f aca="false">IF(OR($A53="",BI$4=""),0,COUNTIFS(Formulas!$A$2:$A$1501,BI$4,Formulas!$B$2:$B$1501,$A53))</f>
        <v>0</v>
      </c>
      <c r="BJ53" s="21" t="n">
        <f aca="false">IF(OR($A53="",BJ$4=""),0,COUNTIFS(Formulas!$A$2:$A$1501,BJ$4,Formulas!$B$2:$B$1501,$A53))</f>
        <v>0</v>
      </c>
    </row>
    <row r="54" customFormat="false" ht="15" hidden="false" customHeight="false" outlineLevel="0" collapsed="false">
      <c r="A54" s="13" t="str">
        <f aca="false">IF(INDEX(Materials!$A$2:$A$201,50)="","",INDEX(Materials!$A$2:$A$201,50))</f>
        <v/>
      </c>
      <c r="B54" s="19" t="str">
        <f aca="false">IF(A54="","",COUNTIF(C54:BJ54,"&gt;0"))</f>
        <v/>
      </c>
      <c r="C54" s="21" t="n">
        <f aca="false">IF(OR($A54="",C$4=""),0,COUNTIFS(Formulas!$A$2:$A$1501,C$4,Formulas!$B$2:$B$1501,$A54))</f>
        <v>0</v>
      </c>
      <c r="D54" s="21" t="n">
        <f aca="false">IF(OR($A54="",D$4=""),0,COUNTIFS(Formulas!$A$2:$A$1501,D$4,Formulas!$B$2:$B$1501,$A54))</f>
        <v>0</v>
      </c>
      <c r="E54" s="21" t="n">
        <f aca="false">IF(OR($A54="",E$4=""),0,COUNTIFS(Formulas!$A$2:$A$1501,E$4,Formulas!$B$2:$B$1501,$A54))</f>
        <v>0</v>
      </c>
      <c r="F54" s="21" t="n">
        <f aca="false">IF(OR($A54="",F$4=""),0,COUNTIFS(Formulas!$A$2:$A$1501,F$4,Formulas!$B$2:$B$1501,$A54))</f>
        <v>0</v>
      </c>
      <c r="G54" s="21" t="n">
        <f aca="false">IF(OR($A54="",G$4=""),0,COUNTIFS(Formulas!$A$2:$A$1501,G$4,Formulas!$B$2:$B$1501,$A54))</f>
        <v>0</v>
      </c>
      <c r="H54" s="21" t="n">
        <f aca="false">IF(OR($A54="",H$4=""),0,COUNTIFS(Formulas!$A$2:$A$1501,H$4,Formulas!$B$2:$B$1501,$A54))</f>
        <v>0</v>
      </c>
      <c r="I54" s="21" t="n">
        <f aca="false">IF(OR($A54="",I$4=""),0,COUNTIFS(Formulas!$A$2:$A$1501,I$4,Formulas!$B$2:$B$1501,$A54))</f>
        <v>0</v>
      </c>
      <c r="J54" s="21" t="n">
        <f aca="false">IF(OR($A54="",J$4=""),0,COUNTIFS(Formulas!$A$2:$A$1501,J$4,Formulas!$B$2:$B$1501,$A54))</f>
        <v>0</v>
      </c>
      <c r="K54" s="21" t="n">
        <f aca="false">IF(OR($A54="",K$4=""),0,COUNTIFS(Formulas!$A$2:$A$1501,K$4,Formulas!$B$2:$B$1501,$A54))</f>
        <v>0</v>
      </c>
      <c r="L54" s="21" t="n">
        <f aca="false">IF(OR($A54="",L$4=""),0,COUNTIFS(Formulas!$A$2:$A$1501,L$4,Formulas!$B$2:$B$1501,$A54))</f>
        <v>0</v>
      </c>
      <c r="M54" s="21" t="n">
        <f aca="false">IF(OR($A54="",M$4=""),0,COUNTIFS(Formulas!$A$2:$A$1501,M$4,Formulas!$B$2:$B$1501,$A54))</f>
        <v>0</v>
      </c>
      <c r="N54" s="21" t="n">
        <f aca="false">IF(OR($A54="",N$4=""),0,COUNTIFS(Formulas!$A$2:$A$1501,N$4,Formulas!$B$2:$B$1501,$A54))</f>
        <v>0</v>
      </c>
      <c r="O54" s="21" t="n">
        <f aca="false">IF(OR($A54="",O$4=""),0,COUNTIFS(Formulas!$A$2:$A$1501,O$4,Formulas!$B$2:$B$1501,$A54))</f>
        <v>0</v>
      </c>
      <c r="P54" s="21" t="n">
        <f aca="false">IF(OR($A54="",P$4=""),0,COUNTIFS(Formulas!$A$2:$A$1501,P$4,Formulas!$B$2:$B$1501,$A54))</f>
        <v>0</v>
      </c>
      <c r="Q54" s="21" t="n">
        <f aca="false">IF(OR($A54="",Q$4=""),0,COUNTIFS(Formulas!$A$2:$A$1501,Q$4,Formulas!$B$2:$B$1501,$A54))</f>
        <v>0</v>
      </c>
      <c r="R54" s="21" t="n">
        <f aca="false">IF(OR($A54="",R$4=""),0,COUNTIFS(Formulas!$A$2:$A$1501,R$4,Formulas!$B$2:$B$1501,$A54))</f>
        <v>0</v>
      </c>
      <c r="S54" s="21" t="n">
        <f aca="false">IF(OR($A54="",S$4=""),0,COUNTIFS(Formulas!$A$2:$A$1501,S$4,Formulas!$B$2:$B$1501,$A54))</f>
        <v>0</v>
      </c>
      <c r="T54" s="21" t="n">
        <f aca="false">IF(OR($A54="",T$4=""),0,COUNTIFS(Formulas!$A$2:$A$1501,T$4,Formulas!$B$2:$B$1501,$A54))</f>
        <v>0</v>
      </c>
      <c r="U54" s="21" t="n">
        <f aca="false">IF(OR($A54="",U$4=""),0,COUNTIFS(Formulas!$A$2:$A$1501,U$4,Formulas!$B$2:$B$1501,$A54))</f>
        <v>0</v>
      </c>
      <c r="V54" s="21" t="n">
        <f aca="false">IF(OR($A54="",V$4=""),0,COUNTIFS(Formulas!$A$2:$A$1501,V$4,Formulas!$B$2:$B$1501,$A54))</f>
        <v>0</v>
      </c>
      <c r="W54" s="21" t="n">
        <f aca="false">IF(OR($A54="",W$4=""),0,COUNTIFS(Formulas!$A$2:$A$1501,W$4,Formulas!$B$2:$B$1501,$A54))</f>
        <v>0</v>
      </c>
      <c r="X54" s="21" t="n">
        <f aca="false">IF(OR($A54="",X$4=""),0,COUNTIFS(Formulas!$A$2:$A$1501,X$4,Formulas!$B$2:$B$1501,$A54))</f>
        <v>0</v>
      </c>
      <c r="Y54" s="21" t="n">
        <f aca="false">IF(OR($A54="",Y$4=""),0,COUNTIFS(Formulas!$A$2:$A$1501,Y$4,Formulas!$B$2:$B$1501,$A54))</f>
        <v>0</v>
      </c>
      <c r="Z54" s="21" t="n">
        <f aca="false">IF(OR($A54="",Z$4=""),0,COUNTIFS(Formulas!$A$2:$A$1501,Z$4,Formulas!$B$2:$B$1501,$A54))</f>
        <v>0</v>
      </c>
      <c r="AA54" s="21" t="n">
        <f aca="false">IF(OR($A54="",AA$4=""),0,COUNTIFS(Formulas!$A$2:$A$1501,AA$4,Formulas!$B$2:$B$1501,$A54))</f>
        <v>0</v>
      </c>
      <c r="AB54" s="21" t="n">
        <f aca="false">IF(OR($A54="",AB$4=""),0,COUNTIFS(Formulas!$A$2:$A$1501,AB$4,Formulas!$B$2:$B$1501,$A54))</f>
        <v>0</v>
      </c>
      <c r="AC54" s="21" t="n">
        <f aca="false">IF(OR($A54="",AC$4=""),0,COUNTIFS(Formulas!$A$2:$A$1501,AC$4,Formulas!$B$2:$B$1501,$A54))</f>
        <v>0</v>
      </c>
      <c r="AD54" s="21" t="n">
        <f aca="false">IF(OR($A54="",AD$4=""),0,COUNTIFS(Formulas!$A$2:$A$1501,AD$4,Formulas!$B$2:$B$1501,$A54))</f>
        <v>0</v>
      </c>
      <c r="AE54" s="21" t="n">
        <f aca="false">IF(OR($A54="",AE$4=""),0,COUNTIFS(Formulas!$A$2:$A$1501,AE$4,Formulas!$B$2:$B$1501,$A54))</f>
        <v>0</v>
      </c>
      <c r="AF54" s="21" t="n">
        <f aca="false">IF(OR($A54="",AF$4=""),0,COUNTIFS(Formulas!$A$2:$A$1501,AF$4,Formulas!$B$2:$B$1501,$A54))</f>
        <v>0</v>
      </c>
      <c r="AG54" s="21" t="n">
        <f aca="false">IF(OR($A54="",AG$4=""),0,COUNTIFS(Formulas!$A$2:$A$1501,AG$4,Formulas!$B$2:$B$1501,$A54))</f>
        <v>0</v>
      </c>
      <c r="AH54" s="21" t="n">
        <f aca="false">IF(OR($A54="",AH$4=""),0,COUNTIFS(Formulas!$A$2:$A$1501,AH$4,Formulas!$B$2:$B$1501,$A54))</f>
        <v>0</v>
      </c>
      <c r="AI54" s="21" t="n">
        <f aca="false">IF(OR($A54="",AI$4=""),0,COUNTIFS(Formulas!$A$2:$A$1501,AI$4,Formulas!$B$2:$B$1501,$A54))</f>
        <v>0</v>
      </c>
      <c r="AJ54" s="21" t="n">
        <f aca="false">IF(OR($A54="",AJ$4=""),0,COUNTIFS(Formulas!$A$2:$A$1501,AJ$4,Formulas!$B$2:$B$1501,$A54))</f>
        <v>0</v>
      </c>
      <c r="AK54" s="21" t="n">
        <f aca="false">IF(OR($A54="",AK$4=""),0,COUNTIFS(Formulas!$A$2:$A$1501,AK$4,Formulas!$B$2:$B$1501,$A54))</f>
        <v>0</v>
      </c>
      <c r="AL54" s="21" t="n">
        <f aca="false">IF(OR($A54="",AL$4=""),0,COUNTIFS(Formulas!$A$2:$A$1501,AL$4,Formulas!$B$2:$B$1501,$A54))</f>
        <v>0</v>
      </c>
      <c r="AM54" s="21" t="n">
        <f aca="false">IF(OR($A54="",AM$4=""),0,COUNTIFS(Formulas!$A$2:$A$1501,AM$4,Formulas!$B$2:$B$1501,$A54))</f>
        <v>0</v>
      </c>
      <c r="AN54" s="21" t="n">
        <f aca="false">IF(OR($A54="",AN$4=""),0,COUNTIFS(Formulas!$A$2:$A$1501,AN$4,Formulas!$B$2:$B$1501,$A54))</f>
        <v>0</v>
      </c>
      <c r="AO54" s="21" t="n">
        <f aca="false">IF(OR($A54="",AO$4=""),0,COUNTIFS(Formulas!$A$2:$A$1501,AO$4,Formulas!$B$2:$B$1501,$A54))</f>
        <v>0</v>
      </c>
      <c r="AP54" s="21" t="n">
        <f aca="false">IF(OR($A54="",AP$4=""),0,COUNTIFS(Formulas!$A$2:$A$1501,AP$4,Formulas!$B$2:$B$1501,$A54))</f>
        <v>0</v>
      </c>
      <c r="AQ54" s="21" t="n">
        <f aca="false">IF(OR($A54="",AQ$4=""),0,COUNTIFS(Formulas!$A$2:$A$1501,AQ$4,Formulas!$B$2:$B$1501,$A54))</f>
        <v>0</v>
      </c>
      <c r="AR54" s="21" t="n">
        <f aca="false">IF(OR($A54="",AR$4=""),0,COUNTIFS(Formulas!$A$2:$A$1501,AR$4,Formulas!$B$2:$B$1501,$A54))</f>
        <v>0</v>
      </c>
      <c r="AS54" s="21" t="n">
        <f aca="false">IF(OR($A54="",AS$4=""),0,COUNTIFS(Formulas!$A$2:$A$1501,AS$4,Formulas!$B$2:$B$1501,$A54))</f>
        <v>0</v>
      </c>
      <c r="AT54" s="21" t="n">
        <f aca="false">IF(OR($A54="",AT$4=""),0,COUNTIFS(Formulas!$A$2:$A$1501,AT$4,Formulas!$B$2:$B$1501,$A54))</f>
        <v>0</v>
      </c>
      <c r="AU54" s="21" t="n">
        <f aca="false">IF(OR($A54="",AU$4=""),0,COUNTIFS(Formulas!$A$2:$A$1501,AU$4,Formulas!$B$2:$B$1501,$A54))</f>
        <v>0</v>
      </c>
      <c r="AV54" s="21" t="n">
        <f aca="false">IF(OR($A54="",AV$4=""),0,COUNTIFS(Formulas!$A$2:$A$1501,AV$4,Formulas!$B$2:$B$1501,$A54))</f>
        <v>0</v>
      </c>
      <c r="AW54" s="21" t="n">
        <f aca="false">IF(OR($A54="",AW$4=""),0,COUNTIFS(Formulas!$A$2:$A$1501,AW$4,Formulas!$B$2:$B$1501,$A54))</f>
        <v>0</v>
      </c>
      <c r="AX54" s="21" t="n">
        <f aca="false">IF(OR($A54="",AX$4=""),0,COUNTIFS(Formulas!$A$2:$A$1501,AX$4,Formulas!$B$2:$B$1501,$A54))</f>
        <v>0</v>
      </c>
      <c r="AY54" s="21" t="n">
        <f aca="false">IF(OR($A54="",AY$4=""),0,COUNTIFS(Formulas!$A$2:$A$1501,AY$4,Formulas!$B$2:$B$1501,$A54))</f>
        <v>0</v>
      </c>
      <c r="AZ54" s="21" t="n">
        <f aca="false">IF(OR($A54="",AZ$4=""),0,COUNTIFS(Formulas!$A$2:$A$1501,AZ$4,Formulas!$B$2:$B$1501,$A54))</f>
        <v>0</v>
      </c>
      <c r="BA54" s="21" t="n">
        <f aca="false">IF(OR($A54="",BA$4=""),0,COUNTIFS(Formulas!$A$2:$A$1501,BA$4,Formulas!$B$2:$B$1501,$A54))</f>
        <v>0</v>
      </c>
      <c r="BB54" s="21" t="n">
        <f aca="false">IF(OR($A54="",BB$4=""),0,COUNTIFS(Formulas!$A$2:$A$1501,BB$4,Formulas!$B$2:$B$1501,$A54))</f>
        <v>0</v>
      </c>
      <c r="BC54" s="21" t="n">
        <f aca="false">IF(OR($A54="",BC$4=""),0,COUNTIFS(Formulas!$A$2:$A$1501,BC$4,Formulas!$B$2:$B$1501,$A54))</f>
        <v>0</v>
      </c>
      <c r="BD54" s="21" t="n">
        <f aca="false">IF(OR($A54="",BD$4=""),0,COUNTIFS(Formulas!$A$2:$A$1501,BD$4,Formulas!$B$2:$B$1501,$A54))</f>
        <v>0</v>
      </c>
      <c r="BE54" s="21" t="n">
        <f aca="false">IF(OR($A54="",BE$4=""),0,COUNTIFS(Formulas!$A$2:$A$1501,BE$4,Formulas!$B$2:$B$1501,$A54))</f>
        <v>0</v>
      </c>
      <c r="BF54" s="21" t="n">
        <f aca="false">IF(OR($A54="",BF$4=""),0,COUNTIFS(Formulas!$A$2:$A$1501,BF$4,Formulas!$B$2:$B$1501,$A54))</f>
        <v>0</v>
      </c>
      <c r="BG54" s="21" t="n">
        <f aca="false">IF(OR($A54="",BG$4=""),0,COUNTIFS(Formulas!$A$2:$A$1501,BG$4,Formulas!$B$2:$B$1501,$A54))</f>
        <v>0</v>
      </c>
      <c r="BH54" s="21" t="n">
        <f aca="false">IF(OR($A54="",BH$4=""),0,COUNTIFS(Formulas!$A$2:$A$1501,BH$4,Formulas!$B$2:$B$1501,$A54))</f>
        <v>0</v>
      </c>
      <c r="BI54" s="21" t="n">
        <f aca="false">IF(OR($A54="",BI$4=""),0,COUNTIFS(Formulas!$A$2:$A$1501,BI$4,Formulas!$B$2:$B$1501,$A54))</f>
        <v>0</v>
      </c>
      <c r="BJ54" s="21" t="n">
        <f aca="false">IF(OR($A54="",BJ$4=""),0,COUNTIFS(Formulas!$A$2:$A$1501,BJ$4,Formulas!$B$2:$B$1501,$A54))</f>
        <v>0</v>
      </c>
    </row>
    <row r="55" customFormat="false" ht="15" hidden="false" customHeight="false" outlineLevel="0" collapsed="false">
      <c r="A55" s="13" t="str">
        <f aca="false">IF(INDEX(Materials!$A$2:$A$201,51)="","",INDEX(Materials!$A$2:$A$201,51))</f>
        <v/>
      </c>
      <c r="B55" s="19" t="str">
        <f aca="false">IF(A55="","",COUNTIF(C55:BJ55,"&gt;0"))</f>
        <v/>
      </c>
      <c r="C55" s="21" t="n">
        <f aca="false">IF(OR($A55="",C$4=""),0,COUNTIFS(Formulas!$A$2:$A$1501,C$4,Formulas!$B$2:$B$1501,$A55))</f>
        <v>0</v>
      </c>
      <c r="D55" s="21" t="n">
        <f aca="false">IF(OR($A55="",D$4=""),0,COUNTIFS(Formulas!$A$2:$A$1501,D$4,Formulas!$B$2:$B$1501,$A55))</f>
        <v>0</v>
      </c>
      <c r="E55" s="21" t="n">
        <f aca="false">IF(OR($A55="",E$4=""),0,COUNTIFS(Formulas!$A$2:$A$1501,E$4,Formulas!$B$2:$B$1501,$A55))</f>
        <v>0</v>
      </c>
      <c r="F55" s="21" t="n">
        <f aca="false">IF(OR($A55="",F$4=""),0,COUNTIFS(Formulas!$A$2:$A$1501,F$4,Formulas!$B$2:$B$1501,$A55))</f>
        <v>0</v>
      </c>
      <c r="G55" s="21" t="n">
        <f aca="false">IF(OR($A55="",G$4=""),0,COUNTIFS(Formulas!$A$2:$A$1501,G$4,Formulas!$B$2:$B$1501,$A55))</f>
        <v>0</v>
      </c>
      <c r="H55" s="21" t="n">
        <f aca="false">IF(OR($A55="",H$4=""),0,COUNTIFS(Formulas!$A$2:$A$1501,H$4,Formulas!$B$2:$B$1501,$A55))</f>
        <v>0</v>
      </c>
      <c r="I55" s="21" t="n">
        <f aca="false">IF(OR($A55="",I$4=""),0,COUNTIFS(Formulas!$A$2:$A$1501,I$4,Formulas!$B$2:$B$1501,$A55))</f>
        <v>0</v>
      </c>
      <c r="J55" s="21" t="n">
        <f aca="false">IF(OR($A55="",J$4=""),0,COUNTIFS(Formulas!$A$2:$A$1501,J$4,Formulas!$B$2:$B$1501,$A55))</f>
        <v>0</v>
      </c>
      <c r="K55" s="21" t="n">
        <f aca="false">IF(OR($A55="",K$4=""),0,COUNTIFS(Formulas!$A$2:$A$1501,K$4,Formulas!$B$2:$B$1501,$A55))</f>
        <v>0</v>
      </c>
      <c r="L55" s="21" t="n">
        <f aca="false">IF(OR($A55="",L$4=""),0,COUNTIFS(Formulas!$A$2:$A$1501,L$4,Formulas!$B$2:$B$1501,$A55))</f>
        <v>0</v>
      </c>
      <c r="M55" s="21" t="n">
        <f aca="false">IF(OR($A55="",M$4=""),0,COUNTIFS(Formulas!$A$2:$A$1501,M$4,Formulas!$B$2:$B$1501,$A55))</f>
        <v>0</v>
      </c>
      <c r="N55" s="21" t="n">
        <f aca="false">IF(OR($A55="",N$4=""),0,COUNTIFS(Formulas!$A$2:$A$1501,N$4,Formulas!$B$2:$B$1501,$A55))</f>
        <v>0</v>
      </c>
      <c r="O55" s="21" t="n">
        <f aca="false">IF(OR($A55="",O$4=""),0,COUNTIFS(Formulas!$A$2:$A$1501,O$4,Formulas!$B$2:$B$1501,$A55))</f>
        <v>0</v>
      </c>
      <c r="P55" s="21" t="n">
        <f aca="false">IF(OR($A55="",P$4=""),0,COUNTIFS(Formulas!$A$2:$A$1501,P$4,Formulas!$B$2:$B$1501,$A55))</f>
        <v>0</v>
      </c>
      <c r="Q55" s="21" t="n">
        <f aca="false">IF(OR($A55="",Q$4=""),0,COUNTIFS(Formulas!$A$2:$A$1501,Q$4,Formulas!$B$2:$B$1501,$A55))</f>
        <v>0</v>
      </c>
      <c r="R55" s="21" t="n">
        <f aca="false">IF(OR($A55="",R$4=""),0,COUNTIFS(Formulas!$A$2:$A$1501,R$4,Formulas!$B$2:$B$1501,$A55))</f>
        <v>0</v>
      </c>
      <c r="S55" s="21" t="n">
        <f aca="false">IF(OR($A55="",S$4=""),0,COUNTIFS(Formulas!$A$2:$A$1501,S$4,Formulas!$B$2:$B$1501,$A55))</f>
        <v>0</v>
      </c>
      <c r="T55" s="21" t="n">
        <f aca="false">IF(OR($A55="",T$4=""),0,COUNTIFS(Formulas!$A$2:$A$1501,T$4,Formulas!$B$2:$B$1501,$A55))</f>
        <v>0</v>
      </c>
      <c r="U55" s="21" t="n">
        <f aca="false">IF(OR($A55="",U$4=""),0,COUNTIFS(Formulas!$A$2:$A$1501,U$4,Formulas!$B$2:$B$1501,$A55))</f>
        <v>0</v>
      </c>
      <c r="V55" s="21" t="n">
        <f aca="false">IF(OR($A55="",V$4=""),0,COUNTIFS(Formulas!$A$2:$A$1501,V$4,Formulas!$B$2:$B$1501,$A55))</f>
        <v>0</v>
      </c>
      <c r="W55" s="21" t="n">
        <f aca="false">IF(OR($A55="",W$4=""),0,COUNTIFS(Formulas!$A$2:$A$1501,W$4,Formulas!$B$2:$B$1501,$A55))</f>
        <v>0</v>
      </c>
      <c r="X55" s="21" t="n">
        <f aca="false">IF(OR($A55="",X$4=""),0,COUNTIFS(Formulas!$A$2:$A$1501,X$4,Formulas!$B$2:$B$1501,$A55))</f>
        <v>0</v>
      </c>
      <c r="Y55" s="21" t="n">
        <f aca="false">IF(OR($A55="",Y$4=""),0,COUNTIFS(Formulas!$A$2:$A$1501,Y$4,Formulas!$B$2:$B$1501,$A55))</f>
        <v>0</v>
      </c>
      <c r="Z55" s="21" t="n">
        <f aca="false">IF(OR($A55="",Z$4=""),0,COUNTIFS(Formulas!$A$2:$A$1501,Z$4,Formulas!$B$2:$B$1501,$A55))</f>
        <v>0</v>
      </c>
      <c r="AA55" s="21" t="n">
        <f aca="false">IF(OR($A55="",AA$4=""),0,COUNTIFS(Formulas!$A$2:$A$1501,AA$4,Formulas!$B$2:$B$1501,$A55))</f>
        <v>0</v>
      </c>
      <c r="AB55" s="21" t="n">
        <f aca="false">IF(OR($A55="",AB$4=""),0,COUNTIFS(Formulas!$A$2:$A$1501,AB$4,Formulas!$B$2:$B$1501,$A55))</f>
        <v>0</v>
      </c>
      <c r="AC55" s="21" t="n">
        <f aca="false">IF(OR($A55="",AC$4=""),0,COUNTIFS(Formulas!$A$2:$A$1501,AC$4,Formulas!$B$2:$B$1501,$A55))</f>
        <v>0</v>
      </c>
      <c r="AD55" s="21" t="n">
        <f aca="false">IF(OR($A55="",AD$4=""),0,COUNTIFS(Formulas!$A$2:$A$1501,AD$4,Formulas!$B$2:$B$1501,$A55))</f>
        <v>0</v>
      </c>
      <c r="AE55" s="21" t="n">
        <f aca="false">IF(OR($A55="",AE$4=""),0,COUNTIFS(Formulas!$A$2:$A$1501,AE$4,Formulas!$B$2:$B$1501,$A55))</f>
        <v>0</v>
      </c>
      <c r="AF55" s="21" t="n">
        <f aca="false">IF(OR($A55="",AF$4=""),0,COUNTIFS(Formulas!$A$2:$A$1501,AF$4,Formulas!$B$2:$B$1501,$A55))</f>
        <v>0</v>
      </c>
      <c r="AG55" s="21" t="n">
        <f aca="false">IF(OR($A55="",AG$4=""),0,COUNTIFS(Formulas!$A$2:$A$1501,AG$4,Formulas!$B$2:$B$1501,$A55))</f>
        <v>0</v>
      </c>
      <c r="AH55" s="21" t="n">
        <f aca="false">IF(OR($A55="",AH$4=""),0,COUNTIFS(Formulas!$A$2:$A$1501,AH$4,Formulas!$B$2:$B$1501,$A55))</f>
        <v>0</v>
      </c>
      <c r="AI55" s="21" t="n">
        <f aca="false">IF(OR($A55="",AI$4=""),0,COUNTIFS(Formulas!$A$2:$A$1501,AI$4,Formulas!$B$2:$B$1501,$A55))</f>
        <v>0</v>
      </c>
      <c r="AJ55" s="21" t="n">
        <f aca="false">IF(OR($A55="",AJ$4=""),0,COUNTIFS(Formulas!$A$2:$A$1501,AJ$4,Formulas!$B$2:$B$1501,$A55))</f>
        <v>0</v>
      </c>
      <c r="AK55" s="21" t="n">
        <f aca="false">IF(OR($A55="",AK$4=""),0,COUNTIFS(Formulas!$A$2:$A$1501,AK$4,Formulas!$B$2:$B$1501,$A55))</f>
        <v>0</v>
      </c>
      <c r="AL55" s="21" t="n">
        <f aca="false">IF(OR($A55="",AL$4=""),0,COUNTIFS(Formulas!$A$2:$A$1501,AL$4,Formulas!$B$2:$B$1501,$A55))</f>
        <v>0</v>
      </c>
      <c r="AM55" s="21" t="n">
        <f aca="false">IF(OR($A55="",AM$4=""),0,COUNTIFS(Formulas!$A$2:$A$1501,AM$4,Formulas!$B$2:$B$1501,$A55))</f>
        <v>0</v>
      </c>
      <c r="AN55" s="21" t="n">
        <f aca="false">IF(OR($A55="",AN$4=""),0,COUNTIFS(Formulas!$A$2:$A$1501,AN$4,Formulas!$B$2:$B$1501,$A55))</f>
        <v>0</v>
      </c>
      <c r="AO55" s="21" t="n">
        <f aca="false">IF(OR($A55="",AO$4=""),0,COUNTIFS(Formulas!$A$2:$A$1501,AO$4,Formulas!$B$2:$B$1501,$A55))</f>
        <v>0</v>
      </c>
      <c r="AP55" s="21" t="n">
        <f aca="false">IF(OR($A55="",AP$4=""),0,COUNTIFS(Formulas!$A$2:$A$1501,AP$4,Formulas!$B$2:$B$1501,$A55))</f>
        <v>0</v>
      </c>
      <c r="AQ55" s="21" t="n">
        <f aca="false">IF(OR($A55="",AQ$4=""),0,COUNTIFS(Formulas!$A$2:$A$1501,AQ$4,Formulas!$B$2:$B$1501,$A55))</f>
        <v>0</v>
      </c>
      <c r="AR55" s="21" t="n">
        <f aca="false">IF(OR($A55="",AR$4=""),0,COUNTIFS(Formulas!$A$2:$A$1501,AR$4,Formulas!$B$2:$B$1501,$A55))</f>
        <v>0</v>
      </c>
      <c r="AS55" s="21" t="n">
        <f aca="false">IF(OR($A55="",AS$4=""),0,COUNTIFS(Formulas!$A$2:$A$1501,AS$4,Formulas!$B$2:$B$1501,$A55))</f>
        <v>0</v>
      </c>
      <c r="AT55" s="21" t="n">
        <f aca="false">IF(OR($A55="",AT$4=""),0,COUNTIFS(Formulas!$A$2:$A$1501,AT$4,Formulas!$B$2:$B$1501,$A55))</f>
        <v>0</v>
      </c>
      <c r="AU55" s="21" t="n">
        <f aca="false">IF(OR($A55="",AU$4=""),0,COUNTIFS(Formulas!$A$2:$A$1501,AU$4,Formulas!$B$2:$B$1501,$A55))</f>
        <v>0</v>
      </c>
      <c r="AV55" s="21" t="n">
        <f aca="false">IF(OR($A55="",AV$4=""),0,COUNTIFS(Formulas!$A$2:$A$1501,AV$4,Formulas!$B$2:$B$1501,$A55))</f>
        <v>0</v>
      </c>
      <c r="AW55" s="21" t="n">
        <f aca="false">IF(OR($A55="",AW$4=""),0,COUNTIFS(Formulas!$A$2:$A$1501,AW$4,Formulas!$B$2:$B$1501,$A55))</f>
        <v>0</v>
      </c>
      <c r="AX55" s="21" t="n">
        <f aca="false">IF(OR($A55="",AX$4=""),0,COUNTIFS(Formulas!$A$2:$A$1501,AX$4,Formulas!$B$2:$B$1501,$A55))</f>
        <v>0</v>
      </c>
      <c r="AY55" s="21" t="n">
        <f aca="false">IF(OR($A55="",AY$4=""),0,COUNTIFS(Formulas!$A$2:$A$1501,AY$4,Formulas!$B$2:$B$1501,$A55))</f>
        <v>0</v>
      </c>
      <c r="AZ55" s="21" t="n">
        <f aca="false">IF(OR($A55="",AZ$4=""),0,COUNTIFS(Formulas!$A$2:$A$1501,AZ$4,Formulas!$B$2:$B$1501,$A55))</f>
        <v>0</v>
      </c>
      <c r="BA55" s="21" t="n">
        <f aca="false">IF(OR($A55="",BA$4=""),0,COUNTIFS(Formulas!$A$2:$A$1501,BA$4,Formulas!$B$2:$B$1501,$A55))</f>
        <v>0</v>
      </c>
      <c r="BB55" s="21" t="n">
        <f aca="false">IF(OR($A55="",BB$4=""),0,COUNTIFS(Formulas!$A$2:$A$1501,BB$4,Formulas!$B$2:$B$1501,$A55))</f>
        <v>0</v>
      </c>
      <c r="BC55" s="21" t="n">
        <f aca="false">IF(OR($A55="",BC$4=""),0,COUNTIFS(Formulas!$A$2:$A$1501,BC$4,Formulas!$B$2:$B$1501,$A55))</f>
        <v>0</v>
      </c>
      <c r="BD55" s="21" t="n">
        <f aca="false">IF(OR($A55="",BD$4=""),0,COUNTIFS(Formulas!$A$2:$A$1501,BD$4,Formulas!$B$2:$B$1501,$A55))</f>
        <v>0</v>
      </c>
      <c r="BE55" s="21" t="n">
        <f aca="false">IF(OR($A55="",BE$4=""),0,COUNTIFS(Formulas!$A$2:$A$1501,BE$4,Formulas!$B$2:$B$1501,$A55))</f>
        <v>0</v>
      </c>
      <c r="BF55" s="21" t="n">
        <f aca="false">IF(OR($A55="",BF$4=""),0,COUNTIFS(Formulas!$A$2:$A$1501,BF$4,Formulas!$B$2:$B$1501,$A55))</f>
        <v>0</v>
      </c>
      <c r="BG55" s="21" t="n">
        <f aca="false">IF(OR($A55="",BG$4=""),0,COUNTIFS(Formulas!$A$2:$A$1501,BG$4,Formulas!$B$2:$B$1501,$A55))</f>
        <v>0</v>
      </c>
      <c r="BH55" s="21" t="n">
        <f aca="false">IF(OR($A55="",BH$4=""),0,COUNTIFS(Formulas!$A$2:$A$1501,BH$4,Formulas!$B$2:$B$1501,$A55))</f>
        <v>0</v>
      </c>
      <c r="BI55" s="21" t="n">
        <f aca="false">IF(OR($A55="",BI$4=""),0,COUNTIFS(Formulas!$A$2:$A$1501,BI$4,Formulas!$B$2:$B$1501,$A55))</f>
        <v>0</v>
      </c>
      <c r="BJ55" s="21" t="n">
        <f aca="false">IF(OR($A55="",BJ$4=""),0,COUNTIFS(Formulas!$A$2:$A$1501,BJ$4,Formulas!$B$2:$B$1501,$A55))</f>
        <v>0</v>
      </c>
    </row>
    <row r="56" customFormat="false" ht="15" hidden="false" customHeight="false" outlineLevel="0" collapsed="false">
      <c r="A56" s="13" t="str">
        <f aca="false">IF(INDEX(Materials!$A$2:$A$201,52)="","",INDEX(Materials!$A$2:$A$201,52))</f>
        <v/>
      </c>
      <c r="B56" s="19" t="str">
        <f aca="false">IF(A56="","",COUNTIF(C56:BJ56,"&gt;0"))</f>
        <v/>
      </c>
      <c r="C56" s="21" t="n">
        <f aca="false">IF(OR($A56="",C$4=""),0,COUNTIFS(Formulas!$A$2:$A$1501,C$4,Formulas!$B$2:$B$1501,$A56))</f>
        <v>0</v>
      </c>
      <c r="D56" s="21" t="n">
        <f aca="false">IF(OR($A56="",D$4=""),0,COUNTIFS(Formulas!$A$2:$A$1501,D$4,Formulas!$B$2:$B$1501,$A56))</f>
        <v>0</v>
      </c>
      <c r="E56" s="21" t="n">
        <f aca="false">IF(OR($A56="",E$4=""),0,COUNTIFS(Formulas!$A$2:$A$1501,E$4,Formulas!$B$2:$B$1501,$A56))</f>
        <v>0</v>
      </c>
      <c r="F56" s="21" t="n">
        <f aca="false">IF(OR($A56="",F$4=""),0,COUNTIFS(Formulas!$A$2:$A$1501,F$4,Formulas!$B$2:$B$1501,$A56))</f>
        <v>0</v>
      </c>
      <c r="G56" s="21" t="n">
        <f aca="false">IF(OR($A56="",G$4=""),0,COUNTIFS(Formulas!$A$2:$A$1501,G$4,Formulas!$B$2:$B$1501,$A56))</f>
        <v>0</v>
      </c>
      <c r="H56" s="21" t="n">
        <f aca="false">IF(OR($A56="",H$4=""),0,COUNTIFS(Formulas!$A$2:$A$1501,H$4,Formulas!$B$2:$B$1501,$A56))</f>
        <v>0</v>
      </c>
      <c r="I56" s="21" t="n">
        <f aca="false">IF(OR($A56="",I$4=""),0,COUNTIFS(Formulas!$A$2:$A$1501,I$4,Formulas!$B$2:$B$1501,$A56))</f>
        <v>0</v>
      </c>
      <c r="J56" s="21" t="n">
        <f aca="false">IF(OR($A56="",J$4=""),0,COUNTIFS(Formulas!$A$2:$A$1501,J$4,Formulas!$B$2:$B$1501,$A56))</f>
        <v>0</v>
      </c>
      <c r="K56" s="21" t="n">
        <f aca="false">IF(OR($A56="",K$4=""),0,COUNTIFS(Formulas!$A$2:$A$1501,K$4,Formulas!$B$2:$B$1501,$A56))</f>
        <v>0</v>
      </c>
      <c r="L56" s="21" t="n">
        <f aca="false">IF(OR($A56="",L$4=""),0,COUNTIFS(Formulas!$A$2:$A$1501,L$4,Formulas!$B$2:$B$1501,$A56))</f>
        <v>0</v>
      </c>
      <c r="M56" s="21" t="n">
        <f aca="false">IF(OR($A56="",M$4=""),0,COUNTIFS(Formulas!$A$2:$A$1501,M$4,Formulas!$B$2:$B$1501,$A56))</f>
        <v>0</v>
      </c>
      <c r="N56" s="21" t="n">
        <f aca="false">IF(OR($A56="",N$4=""),0,COUNTIFS(Formulas!$A$2:$A$1501,N$4,Formulas!$B$2:$B$1501,$A56))</f>
        <v>0</v>
      </c>
      <c r="O56" s="21" t="n">
        <f aca="false">IF(OR($A56="",O$4=""),0,COUNTIFS(Formulas!$A$2:$A$1501,O$4,Formulas!$B$2:$B$1501,$A56))</f>
        <v>0</v>
      </c>
      <c r="P56" s="21" t="n">
        <f aca="false">IF(OR($A56="",P$4=""),0,COUNTIFS(Formulas!$A$2:$A$1501,P$4,Formulas!$B$2:$B$1501,$A56))</f>
        <v>0</v>
      </c>
      <c r="Q56" s="21" t="n">
        <f aca="false">IF(OR($A56="",Q$4=""),0,COUNTIFS(Formulas!$A$2:$A$1501,Q$4,Formulas!$B$2:$B$1501,$A56))</f>
        <v>0</v>
      </c>
      <c r="R56" s="21" t="n">
        <f aca="false">IF(OR($A56="",R$4=""),0,COUNTIFS(Formulas!$A$2:$A$1501,R$4,Formulas!$B$2:$B$1501,$A56))</f>
        <v>0</v>
      </c>
      <c r="S56" s="21" t="n">
        <f aca="false">IF(OR($A56="",S$4=""),0,COUNTIFS(Formulas!$A$2:$A$1501,S$4,Formulas!$B$2:$B$1501,$A56))</f>
        <v>0</v>
      </c>
      <c r="T56" s="21" t="n">
        <f aca="false">IF(OR($A56="",T$4=""),0,COUNTIFS(Formulas!$A$2:$A$1501,T$4,Formulas!$B$2:$B$1501,$A56))</f>
        <v>0</v>
      </c>
      <c r="U56" s="21" t="n">
        <f aca="false">IF(OR($A56="",U$4=""),0,COUNTIFS(Formulas!$A$2:$A$1501,U$4,Formulas!$B$2:$B$1501,$A56))</f>
        <v>0</v>
      </c>
      <c r="V56" s="21" t="n">
        <f aca="false">IF(OR($A56="",V$4=""),0,COUNTIFS(Formulas!$A$2:$A$1501,V$4,Formulas!$B$2:$B$1501,$A56))</f>
        <v>0</v>
      </c>
      <c r="W56" s="21" t="n">
        <f aca="false">IF(OR($A56="",W$4=""),0,COUNTIFS(Formulas!$A$2:$A$1501,W$4,Formulas!$B$2:$B$1501,$A56))</f>
        <v>0</v>
      </c>
      <c r="X56" s="21" t="n">
        <f aca="false">IF(OR($A56="",X$4=""),0,COUNTIFS(Formulas!$A$2:$A$1501,X$4,Formulas!$B$2:$B$1501,$A56))</f>
        <v>0</v>
      </c>
      <c r="Y56" s="21" t="n">
        <f aca="false">IF(OR($A56="",Y$4=""),0,COUNTIFS(Formulas!$A$2:$A$1501,Y$4,Formulas!$B$2:$B$1501,$A56))</f>
        <v>0</v>
      </c>
      <c r="Z56" s="21" t="n">
        <f aca="false">IF(OR($A56="",Z$4=""),0,COUNTIFS(Formulas!$A$2:$A$1501,Z$4,Formulas!$B$2:$B$1501,$A56))</f>
        <v>0</v>
      </c>
      <c r="AA56" s="21" t="n">
        <f aca="false">IF(OR($A56="",AA$4=""),0,COUNTIFS(Formulas!$A$2:$A$1501,AA$4,Formulas!$B$2:$B$1501,$A56))</f>
        <v>0</v>
      </c>
      <c r="AB56" s="21" t="n">
        <f aca="false">IF(OR($A56="",AB$4=""),0,COUNTIFS(Formulas!$A$2:$A$1501,AB$4,Formulas!$B$2:$B$1501,$A56))</f>
        <v>0</v>
      </c>
      <c r="AC56" s="21" t="n">
        <f aca="false">IF(OR($A56="",AC$4=""),0,COUNTIFS(Formulas!$A$2:$A$1501,AC$4,Formulas!$B$2:$B$1501,$A56))</f>
        <v>0</v>
      </c>
      <c r="AD56" s="21" t="n">
        <f aca="false">IF(OR($A56="",AD$4=""),0,COUNTIFS(Formulas!$A$2:$A$1501,AD$4,Formulas!$B$2:$B$1501,$A56))</f>
        <v>0</v>
      </c>
      <c r="AE56" s="21" t="n">
        <f aca="false">IF(OR($A56="",AE$4=""),0,COUNTIFS(Formulas!$A$2:$A$1501,AE$4,Formulas!$B$2:$B$1501,$A56))</f>
        <v>0</v>
      </c>
      <c r="AF56" s="21" t="n">
        <f aca="false">IF(OR($A56="",AF$4=""),0,COUNTIFS(Formulas!$A$2:$A$1501,AF$4,Formulas!$B$2:$B$1501,$A56))</f>
        <v>0</v>
      </c>
      <c r="AG56" s="21" t="n">
        <f aca="false">IF(OR($A56="",AG$4=""),0,COUNTIFS(Formulas!$A$2:$A$1501,AG$4,Formulas!$B$2:$B$1501,$A56))</f>
        <v>0</v>
      </c>
      <c r="AH56" s="21" t="n">
        <f aca="false">IF(OR($A56="",AH$4=""),0,COUNTIFS(Formulas!$A$2:$A$1501,AH$4,Formulas!$B$2:$B$1501,$A56))</f>
        <v>0</v>
      </c>
      <c r="AI56" s="21" t="n">
        <f aca="false">IF(OR($A56="",AI$4=""),0,COUNTIFS(Formulas!$A$2:$A$1501,AI$4,Formulas!$B$2:$B$1501,$A56))</f>
        <v>0</v>
      </c>
      <c r="AJ56" s="21" t="n">
        <f aca="false">IF(OR($A56="",AJ$4=""),0,COUNTIFS(Formulas!$A$2:$A$1501,AJ$4,Formulas!$B$2:$B$1501,$A56))</f>
        <v>0</v>
      </c>
      <c r="AK56" s="21" t="n">
        <f aca="false">IF(OR($A56="",AK$4=""),0,COUNTIFS(Formulas!$A$2:$A$1501,AK$4,Formulas!$B$2:$B$1501,$A56))</f>
        <v>0</v>
      </c>
      <c r="AL56" s="21" t="n">
        <f aca="false">IF(OR($A56="",AL$4=""),0,COUNTIFS(Formulas!$A$2:$A$1501,AL$4,Formulas!$B$2:$B$1501,$A56))</f>
        <v>0</v>
      </c>
      <c r="AM56" s="21" t="n">
        <f aca="false">IF(OR($A56="",AM$4=""),0,COUNTIFS(Formulas!$A$2:$A$1501,AM$4,Formulas!$B$2:$B$1501,$A56))</f>
        <v>0</v>
      </c>
      <c r="AN56" s="21" t="n">
        <f aca="false">IF(OR($A56="",AN$4=""),0,COUNTIFS(Formulas!$A$2:$A$1501,AN$4,Formulas!$B$2:$B$1501,$A56))</f>
        <v>0</v>
      </c>
      <c r="AO56" s="21" t="n">
        <f aca="false">IF(OR($A56="",AO$4=""),0,COUNTIFS(Formulas!$A$2:$A$1501,AO$4,Formulas!$B$2:$B$1501,$A56))</f>
        <v>0</v>
      </c>
      <c r="AP56" s="21" t="n">
        <f aca="false">IF(OR($A56="",AP$4=""),0,COUNTIFS(Formulas!$A$2:$A$1501,AP$4,Formulas!$B$2:$B$1501,$A56))</f>
        <v>0</v>
      </c>
      <c r="AQ56" s="21" t="n">
        <f aca="false">IF(OR($A56="",AQ$4=""),0,COUNTIFS(Formulas!$A$2:$A$1501,AQ$4,Formulas!$B$2:$B$1501,$A56))</f>
        <v>0</v>
      </c>
      <c r="AR56" s="21" t="n">
        <f aca="false">IF(OR($A56="",AR$4=""),0,COUNTIFS(Formulas!$A$2:$A$1501,AR$4,Formulas!$B$2:$B$1501,$A56))</f>
        <v>0</v>
      </c>
      <c r="AS56" s="21" t="n">
        <f aca="false">IF(OR($A56="",AS$4=""),0,COUNTIFS(Formulas!$A$2:$A$1501,AS$4,Formulas!$B$2:$B$1501,$A56))</f>
        <v>0</v>
      </c>
      <c r="AT56" s="21" t="n">
        <f aca="false">IF(OR($A56="",AT$4=""),0,COUNTIFS(Formulas!$A$2:$A$1501,AT$4,Formulas!$B$2:$B$1501,$A56))</f>
        <v>0</v>
      </c>
      <c r="AU56" s="21" t="n">
        <f aca="false">IF(OR($A56="",AU$4=""),0,COUNTIFS(Formulas!$A$2:$A$1501,AU$4,Formulas!$B$2:$B$1501,$A56))</f>
        <v>0</v>
      </c>
      <c r="AV56" s="21" t="n">
        <f aca="false">IF(OR($A56="",AV$4=""),0,COUNTIFS(Formulas!$A$2:$A$1501,AV$4,Formulas!$B$2:$B$1501,$A56))</f>
        <v>0</v>
      </c>
      <c r="AW56" s="21" t="n">
        <f aca="false">IF(OR($A56="",AW$4=""),0,COUNTIFS(Formulas!$A$2:$A$1501,AW$4,Formulas!$B$2:$B$1501,$A56))</f>
        <v>0</v>
      </c>
      <c r="AX56" s="21" t="n">
        <f aca="false">IF(OR($A56="",AX$4=""),0,COUNTIFS(Formulas!$A$2:$A$1501,AX$4,Formulas!$B$2:$B$1501,$A56))</f>
        <v>0</v>
      </c>
      <c r="AY56" s="21" t="n">
        <f aca="false">IF(OR($A56="",AY$4=""),0,COUNTIFS(Formulas!$A$2:$A$1501,AY$4,Formulas!$B$2:$B$1501,$A56))</f>
        <v>0</v>
      </c>
      <c r="AZ56" s="21" t="n">
        <f aca="false">IF(OR($A56="",AZ$4=""),0,COUNTIFS(Formulas!$A$2:$A$1501,AZ$4,Formulas!$B$2:$B$1501,$A56))</f>
        <v>0</v>
      </c>
      <c r="BA56" s="21" t="n">
        <f aca="false">IF(OR($A56="",BA$4=""),0,COUNTIFS(Formulas!$A$2:$A$1501,BA$4,Formulas!$B$2:$B$1501,$A56))</f>
        <v>0</v>
      </c>
      <c r="BB56" s="21" t="n">
        <f aca="false">IF(OR($A56="",BB$4=""),0,COUNTIFS(Formulas!$A$2:$A$1501,BB$4,Formulas!$B$2:$B$1501,$A56))</f>
        <v>0</v>
      </c>
      <c r="BC56" s="21" t="n">
        <f aca="false">IF(OR($A56="",BC$4=""),0,COUNTIFS(Formulas!$A$2:$A$1501,BC$4,Formulas!$B$2:$B$1501,$A56))</f>
        <v>0</v>
      </c>
      <c r="BD56" s="21" t="n">
        <f aca="false">IF(OR($A56="",BD$4=""),0,COUNTIFS(Formulas!$A$2:$A$1501,BD$4,Formulas!$B$2:$B$1501,$A56))</f>
        <v>0</v>
      </c>
      <c r="BE56" s="21" t="n">
        <f aca="false">IF(OR($A56="",BE$4=""),0,COUNTIFS(Formulas!$A$2:$A$1501,BE$4,Formulas!$B$2:$B$1501,$A56))</f>
        <v>0</v>
      </c>
      <c r="BF56" s="21" t="n">
        <f aca="false">IF(OR($A56="",BF$4=""),0,COUNTIFS(Formulas!$A$2:$A$1501,BF$4,Formulas!$B$2:$B$1501,$A56))</f>
        <v>0</v>
      </c>
      <c r="BG56" s="21" t="n">
        <f aca="false">IF(OR($A56="",BG$4=""),0,COUNTIFS(Formulas!$A$2:$A$1501,BG$4,Formulas!$B$2:$B$1501,$A56))</f>
        <v>0</v>
      </c>
      <c r="BH56" s="21" t="n">
        <f aca="false">IF(OR($A56="",BH$4=""),0,COUNTIFS(Formulas!$A$2:$A$1501,BH$4,Formulas!$B$2:$B$1501,$A56))</f>
        <v>0</v>
      </c>
      <c r="BI56" s="21" t="n">
        <f aca="false">IF(OR($A56="",BI$4=""),0,COUNTIFS(Formulas!$A$2:$A$1501,BI$4,Formulas!$B$2:$B$1501,$A56))</f>
        <v>0</v>
      </c>
      <c r="BJ56" s="21" t="n">
        <f aca="false">IF(OR($A56="",BJ$4=""),0,COUNTIFS(Formulas!$A$2:$A$1501,BJ$4,Formulas!$B$2:$B$1501,$A56))</f>
        <v>0</v>
      </c>
    </row>
    <row r="57" customFormat="false" ht="15" hidden="false" customHeight="false" outlineLevel="0" collapsed="false">
      <c r="A57" s="13" t="str">
        <f aca="false">IF(INDEX(Materials!$A$2:$A$201,53)="","",INDEX(Materials!$A$2:$A$201,53))</f>
        <v/>
      </c>
      <c r="B57" s="19" t="str">
        <f aca="false">IF(A57="","",COUNTIF(C57:BJ57,"&gt;0"))</f>
        <v/>
      </c>
      <c r="C57" s="21" t="n">
        <f aca="false">IF(OR($A57="",C$4=""),0,COUNTIFS(Formulas!$A$2:$A$1501,C$4,Formulas!$B$2:$B$1501,$A57))</f>
        <v>0</v>
      </c>
      <c r="D57" s="21" t="n">
        <f aca="false">IF(OR($A57="",D$4=""),0,COUNTIFS(Formulas!$A$2:$A$1501,D$4,Formulas!$B$2:$B$1501,$A57))</f>
        <v>0</v>
      </c>
      <c r="E57" s="21" t="n">
        <f aca="false">IF(OR($A57="",E$4=""),0,COUNTIFS(Formulas!$A$2:$A$1501,E$4,Formulas!$B$2:$B$1501,$A57))</f>
        <v>0</v>
      </c>
      <c r="F57" s="21" t="n">
        <f aca="false">IF(OR($A57="",F$4=""),0,COUNTIFS(Formulas!$A$2:$A$1501,F$4,Formulas!$B$2:$B$1501,$A57))</f>
        <v>0</v>
      </c>
      <c r="G57" s="21" t="n">
        <f aca="false">IF(OR($A57="",G$4=""),0,COUNTIFS(Formulas!$A$2:$A$1501,G$4,Formulas!$B$2:$B$1501,$A57))</f>
        <v>0</v>
      </c>
      <c r="H57" s="21" t="n">
        <f aca="false">IF(OR($A57="",H$4=""),0,COUNTIFS(Formulas!$A$2:$A$1501,H$4,Formulas!$B$2:$B$1501,$A57))</f>
        <v>0</v>
      </c>
      <c r="I57" s="21" t="n">
        <f aca="false">IF(OR($A57="",I$4=""),0,COUNTIFS(Formulas!$A$2:$A$1501,I$4,Formulas!$B$2:$B$1501,$A57))</f>
        <v>0</v>
      </c>
      <c r="J57" s="21" t="n">
        <f aca="false">IF(OR($A57="",J$4=""),0,COUNTIFS(Formulas!$A$2:$A$1501,J$4,Formulas!$B$2:$B$1501,$A57))</f>
        <v>0</v>
      </c>
      <c r="K57" s="21" t="n">
        <f aca="false">IF(OR($A57="",K$4=""),0,COUNTIFS(Formulas!$A$2:$A$1501,K$4,Formulas!$B$2:$B$1501,$A57))</f>
        <v>0</v>
      </c>
      <c r="L57" s="21" t="n">
        <f aca="false">IF(OR($A57="",L$4=""),0,COUNTIFS(Formulas!$A$2:$A$1501,L$4,Formulas!$B$2:$B$1501,$A57))</f>
        <v>0</v>
      </c>
      <c r="M57" s="21" t="n">
        <f aca="false">IF(OR($A57="",M$4=""),0,COUNTIFS(Formulas!$A$2:$A$1501,M$4,Formulas!$B$2:$B$1501,$A57))</f>
        <v>0</v>
      </c>
      <c r="N57" s="21" t="n">
        <f aca="false">IF(OR($A57="",N$4=""),0,COUNTIFS(Formulas!$A$2:$A$1501,N$4,Formulas!$B$2:$B$1501,$A57))</f>
        <v>0</v>
      </c>
      <c r="O57" s="21" t="n">
        <f aca="false">IF(OR($A57="",O$4=""),0,COUNTIFS(Formulas!$A$2:$A$1501,O$4,Formulas!$B$2:$B$1501,$A57))</f>
        <v>0</v>
      </c>
      <c r="P57" s="21" t="n">
        <f aca="false">IF(OR($A57="",P$4=""),0,COUNTIFS(Formulas!$A$2:$A$1501,P$4,Formulas!$B$2:$B$1501,$A57))</f>
        <v>0</v>
      </c>
      <c r="Q57" s="21" t="n">
        <f aca="false">IF(OR($A57="",Q$4=""),0,COUNTIFS(Formulas!$A$2:$A$1501,Q$4,Formulas!$B$2:$B$1501,$A57))</f>
        <v>0</v>
      </c>
      <c r="R57" s="21" t="n">
        <f aca="false">IF(OR($A57="",R$4=""),0,COUNTIFS(Formulas!$A$2:$A$1501,R$4,Formulas!$B$2:$B$1501,$A57))</f>
        <v>0</v>
      </c>
      <c r="S57" s="21" t="n">
        <f aca="false">IF(OR($A57="",S$4=""),0,COUNTIFS(Formulas!$A$2:$A$1501,S$4,Formulas!$B$2:$B$1501,$A57))</f>
        <v>0</v>
      </c>
      <c r="T57" s="21" t="n">
        <f aca="false">IF(OR($A57="",T$4=""),0,COUNTIFS(Formulas!$A$2:$A$1501,T$4,Formulas!$B$2:$B$1501,$A57))</f>
        <v>0</v>
      </c>
      <c r="U57" s="21" t="n">
        <f aca="false">IF(OR($A57="",U$4=""),0,COUNTIFS(Formulas!$A$2:$A$1501,U$4,Formulas!$B$2:$B$1501,$A57))</f>
        <v>0</v>
      </c>
      <c r="V57" s="21" t="n">
        <f aca="false">IF(OR($A57="",V$4=""),0,COUNTIFS(Formulas!$A$2:$A$1501,V$4,Formulas!$B$2:$B$1501,$A57))</f>
        <v>0</v>
      </c>
      <c r="W57" s="21" t="n">
        <f aca="false">IF(OR($A57="",W$4=""),0,COUNTIFS(Formulas!$A$2:$A$1501,W$4,Formulas!$B$2:$B$1501,$A57))</f>
        <v>0</v>
      </c>
      <c r="X57" s="21" t="n">
        <f aca="false">IF(OR($A57="",X$4=""),0,COUNTIFS(Formulas!$A$2:$A$1501,X$4,Formulas!$B$2:$B$1501,$A57))</f>
        <v>0</v>
      </c>
      <c r="Y57" s="21" t="n">
        <f aca="false">IF(OR($A57="",Y$4=""),0,COUNTIFS(Formulas!$A$2:$A$1501,Y$4,Formulas!$B$2:$B$1501,$A57))</f>
        <v>0</v>
      </c>
      <c r="Z57" s="21" t="n">
        <f aca="false">IF(OR($A57="",Z$4=""),0,COUNTIFS(Formulas!$A$2:$A$1501,Z$4,Formulas!$B$2:$B$1501,$A57))</f>
        <v>0</v>
      </c>
      <c r="AA57" s="21" t="n">
        <f aca="false">IF(OR($A57="",AA$4=""),0,COUNTIFS(Formulas!$A$2:$A$1501,AA$4,Formulas!$B$2:$B$1501,$A57))</f>
        <v>0</v>
      </c>
      <c r="AB57" s="21" t="n">
        <f aca="false">IF(OR($A57="",AB$4=""),0,COUNTIFS(Formulas!$A$2:$A$1501,AB$4,Formulas!$B$2:$B$1501,$A57))</f>
        <v>0</v>
      </c>
      <c r="AC57" s="21" t="n">
        <f aca="false">IF(OR($A57="",AC$4=""),0,COUNTIFS(Formulas!$A$2:$A$1501,AC$4,Formulas!$B$2:$B$1501,$A57))</f>
        <v>0</v>
      </c>
      <c r="AD57" s="21" t="n">
        <f aca="false">IF(OR($A57="",AD$4=""),0,COUNTIFS(Formulas!$A$2:$A$1501,AD$4,Formulas!$B$2:$B$1501,$A57))</f>
        <v>0</v>
      </c>
      <c r="AE57" s="21" t="n">
        <f aca="false">IF(OR($A57="",AE$4=""),0,COUNTIFS(Formulas!$A$2:$A$1501,AE$4,Formulas!$B$2:$B$1501,$A57))</f>
        <v>0</v>
      </c>
      <c r="AF57" s="21" t="n">
        <f aca="false">IF(OR($A57="",AF$4=""),0,COUNTIFS(Formulas!$A$2:$A$1501,AF$4,Formulas!$B$2:$B$1501,$A57))</f>
        <v>0</v>
      </c>
      <c r="AG57" s="21" t="n">
        <f aca="false">IF(OR($A57="",AG$4=""),0,COUNTIFS(Formulas!$A$2:$A$1501,AG$4,Formulas!$B$2:$B$1501,$A57))</f>
        <v>0</v>
      </c>
      <c r="AH57" s="21" t="n">
        <f aca="false">IF(OR($A57="",AH$4=""),0,COUNTIFS(Formulas!$A$2:$A$1501,AH$4,Formulas!$B$2:$B$1501,$A57))</f>
        <v>0</v>
      </c>
      <c r="AI57" s="21" t="n">
        <f aca="false">IF(OR($A57="",AI$4=""),0,COUNTIFS(Formulas!$A$2:$A$1501,AI$4,Formulas!$B$2:$B$1501,$A57))</f>
        <v>0</v>
      </c>
      <c r="AJ57" s="21" t="n">
        <f aca="false">IF(OR($A57="",AJ$4=""),0,COUNTIFS(Formulas!$A$2:$A$1501,AJ$4,Formulas!$B$2:$B$1501,$A57))</f>
        <v>0</v>
      </c>
      <c r="AK57" s="21" t="n">
        <f aca="false">IF(OR($A57="",AK$4=""),0,COUNTIFS(Formulas!$A$2:$A$1501,AK$4,Formulas!$B$2:$B$1501,$A57))</f>
        <v>0</v>
      </c>
      <c r="AL57" s="21" t="n">
        <f aca="false">IF(OR($A57="",AL$4=""),0,COUNTIFS(Formulas!$A$2:$A$1501,AL$4,Formulas!$B$2:$B$1501,$A57))</f>
        <v>0</v>
      </c>
      <c r="AM57" s="21" t="n">
        <f aca="false">IF(OR($A57="",AM$4=""),0,COUNTIFS(Formulas!$A$2:$A$1501,AM$4,Formulas!$B$2:$B$1501,$A57))</f>
        <v>0</v>
      </c>
      <c r="AN57" s="21" t="n">
        <f aca="false">IF(OR($A57="",AN$4=""),0,COUNTIFS(Formulas!$A$2:$A$1501,AN$4,Formulas!$B$2:$B$1501,$A57))</f>
        <v>0</v>
      </c>
      <c r="AO57" s="21" t="n">
        <f aca="false">IF(OR($A57="",AO$4=""),0,COUNTIFS(Formulas!$A$2:$A$1501,AO$4,Formulas!$B$2:$B$1501,$A57))</f>
        <v>0</v>
      </c>
      <c r="AP57" s="21" t="n">
        <f aca="false">IF(OR($A57="",AP$4=""),0,COUNTIFS(Formulas!$A$2:$A$1501,AP$4,Formulas!$B$2:$B$1501,$A57))</f>
        <v>0</v>
      </c>
      <c r="AQ57" s="21" t="n">
        <f aca="false">IF(OR($A57="",AQ$4=""),0,COUNTIFS(Formulas!$A$2:$A$1501,AQ$4,Formulas!$B$2:$B$1501,$A57))</f>
        <v>0</v>
      </c>
      <c r="AR57" s="21" t="n">
        <f aca="false">IF(OR($A57="",AR$4=""),0,COUNTIFS(Formulas!$A$2:$A$1501,AR$4,Formulas!$B$2:$B$1501,$A57))</f>
        <v>0</v>
      </c>
      <c r="AS57" s="21" t="n">
        <f aca="false">IF(OR($A57="",AS$4=""),0,COUNTIFS(Formulas!$A$2:$A$1501,AS$4,Formulas!$B$2:$B$1501,$A57))</f>
        <v>0</v>
      </c>
      <c r="AT57" s="21" t="n">
        <f aca="false">IF(OR($A57="",AT$4=""),0,COUNTIFS(Formulas!$A$2:$A$1501,AT$4,Formulas!$B$2:$B$1501,$A57))</f>
        <v>0</v>
      </c>
      <c r="AU57" s="21" t="n">
        <f aca="false">IF(OR($A57="",AU$4=""),0,COUNTIFS(Formulas!$A$2:$A$1501,AU$4,Formulas!$B$2:$B$1501,$A57))</f>
        <v>0</v>
      </c>
      <c r="AV57" s="21" t="n">
        <f aca="false">IF(OR($A57="",AV$4=""),0,COUNTIFS(Formulas!$A$2:$A$1501,AV$4,Formulas!$B$2:$B$1501,$A57))</f>
        <v>0</v>
      </c>
      <c r="AW57" s="21" t="n">
        <f aca="false">IF(OR($A57="",AW$4=""),0,COUNTIFS(Formulas!$A$2:$A$1501,AW$4,Formulas!$B$2:$B$1501,$A57))</f>
        <v>0</v>
      </c>
      <c r="AX57" s="21" t="n">
        <f aca="false">IF(OR($A57="",AX$4=""),0,COUNTIFS(Formulas!$A$2:$A$1501,AX$4,Formulas!$B$2:$B$1501,$A57))</f>
        <v>0</v>
      </c>
      <c r="AY57" s="21" t="n">
        <f aca="false">IF(OR($A57="",AY$4=""),0,COUNTIFS(Formulas!$A$2:$A$1501,AY$4,Formulas!$B$2:$B$1501,$A57))</f>
        <v>0</v>
      </c>
      <c r="AZ57" s="21" t="n">
        <f aca="false">IF(OR($A57="",AZ$4=""),0,COUNTIFS(Formulas!$A$2:$A$1501,AZ$4,Formulas!$B$2:$B$1501,$A57))</f>
        <v>0</v>
      </c>
      <c r="BA57" s="21" t="n">
        <f aca="false">IF(OR($A57="",BA$4=""),0,COUNTIFS(Formulas!$A$2:$A$1501,BA$4,Formulas!$B$2:$B$1501,$A57))</f>
        <v>0</v>
      </c>
      <c r="BB57" s="21" t="n">
        <f aca="false">IF(OR($A57="",BB$4=""),0,COUNTIFS(Formulas!$A$2:$A$1501,BB$4,Formulas!$B$2:$B$1501,$A57))</f>
        <v>0</v>
      </c>
      <c r="BC57" s="21" t="n">
        <f aca="false">IF(OR($A57="",BC$4=""),0,COUNTIFS(Formulas!$A$2:$A$1501,BC$4,Formulas!$B$2:$B$1501,$A57))</f>
        <v>0</v>
      </c>
      <c r="BD57" s="21" t="n">
        <f aca="false">IF(OR($A57="",BD$4=""),0,COUNTIFS(Formulas!$A$2:$A$1501,BD$4,Formulas!$B$2:$B$1501,$A57))</f>
        <v>0</v>
      </c>
      <c r="BE57" s="21" t="n">
        <f aca="false">IF(OR($A57="",BE$4=""),0,COUNTIFS(Formulas!$A$2:$A$1501,BE$4,Formulas!$B$2:$B$1501,$A57))</f>
        <v>0</v>
      </c>
      <c r="BF57" s="21" t="n">
        <f aca="false">IF(OR($A57="",BF$4=""),0,COUNTIFS(Formulas!$A$2:$A$1501,BF$4,Formulas!$B$2:$B$1501,$A57))</f>
        <v>0</v>
      </c>
      <c r="BG57" s="21" t="n">
        <f aca="false">IF(OR($A57="",BG$4=""),0,COUNTIFS(Formulas!$A$2:$A$1501,BG$4,Formulas!$B$2:$B$1501,$A57))</f>
        <v>0</v>
      </c>
      <c r="BH57" s="21" t="n">
        <f aca="false">IF(OR($A57="",BH$4=""),0,COUNTIFS(Formulas!$A$2:$A$1501,BH$4,Formulas!$B$2:$B$1501,$A57))</f>
        <v>0</v>
      </c>
      <c r="BI57" s="21" t="n">
        <f aca="false">IF(OR($A57="",BI$4=""),0,COUNTIFS(Formulas!$A$2:$A$1501,BI$4,Formulas!$B$2:$B$1501,$A57))</f>
        <v>0</v>
      </c>
      <c r="BJ57" s="21" t="n">
        <f aca="false">IF(OR($A57="",BJ$4=""),0,COUNTIFS(Formulas!$A$2:$A$1501,BJ$4,Formulas!$B$2:$B$1501,$A57))</f>
        <v>0</v>
      </c>
    </row>
    <row r="58" customFormat="false" ht="15" hidden="false" customHeight="false" outlineLevel="0" collapsed="false">
      <c r="A58" s="13" t="str">
        <f aca="false">IF(INDEX(Materials!$A$2:$A$201,54)="","",INDEX(Materials!$A$2:$A$201,54))</f>
        <v/>
      </c>
      <c r="B58" s="19" t="str">
        <f aca="false">IF(A58="","",COUNTIF(C58:BJ58,"&gt;0"))</f>
        <v/>
      </c>
      <c r="C58" s="21" t="n">
        <f aca="false">IF(OR($A58="",C$4=""),0,COUNTIFS(Formulas!$A$2:$A$1501,C$4,Formulas!$B$2:$B$1501,$A58))</f>
        <v>0</v>
      </c>
      <c r="D58" s="21" t="n">
        <f aca="false">IF(OR($A58="",D$4=""),0,COUNTIFS(Formulas!$A$2:$A$1501,D$4,Formulas!$B$2:$B$1501,$A58))</f>
        <v>0</v>
      </c>
      <c r="E58" s="21" t="n">
        <f aca="false">IF(OR($A58="",E$4=""),0,COUNTIFS(Formulas!$A$2:$A$1501,E$4,Formulas!$B$2:$B$1501,$A58))</f>
        <v>0</v>
      </c>
      <c r="F58" s="21" t="n">
        <f aca="false">IF(OR($A58="",F$4=""),0,COUNTIFS(Formulas!$A$2:$A$1501,F$4,Formulas!$B$2:$B$1501,$A58))</f>
        <v>0</v>
      </c>
      <c r="G58" s="21" t="n">
        <f aca="false">IF(OR($A58="",G$4=""),0,COUNTIFS(Formulas!$A$2:$A$1501,G$4,Formulas!$B$2:$B$1501,$A58))</f>
        <v>0</v>
      </c>
      <c r="H58" s="21" t="n">
        <f aca="false">IF(OR($A58="",H$4=""),0,COUNTIFS(Formulas!$A$2:$A$1501,H$4,Formulas!$B$2:$B$1501,$A58))</f>
        <v>0</v>
      </c>
      <c r="I58" s="21" t="n">
        <f aca="false">IF(OR($A58="",I$4=""),0,COUNTIFS(Formulas!$A$2:$A$1501,I$4,Formulas!$B$2:$B$1501,$A58))</f>
        <v>0</v>
      </c>
      <c r="J58" s="21" t="n">
        <f aca="false">IF(OR($A58="",J$4=""),0,COUNTIFS(Formulas!$A$2:$A$1501,J$4,Formulas!$B$2:$B$1501,$A58))</f>
        <v>0</v>
      </c>
      <c r="K58" s="21" t="n">
        <f aca="false">IF(OR($A58="",K$4=""),0,COUNTIFS(Formulas!$A$2:$A$1501,K$4,Formulas!$B$2:$B$1501,$A58))</f>
        <v>0</v>
      </c>
      <c r="L58" s="21" t="n">
        <f aca="false">IF(OR($A58="",L$4=""),0,COUNTIFS(Formulas!$A$2:$A$1501,L$4,Formulas!$B$2:$B$1501,$A58))</f>
        <v>0</v>
      </c>
      <c r="M58" s="21" t="n">
        <f aca="false">IF(OR($A58="",M$4=""),0,COUNTIFS(Formulas!$A$2:$A$1501,M$4,Formulas!$B$2:$B$1501,$A58))</f>
        <v>0</v>
      </c>
      <c r="N58" s="21" t="n">
        <f aca="false">IF(OR($A58="",N$4=""),0,COUNTIFS(Formulas!$A$2:$A$1501,N$4,Formulas!$B$2:$B$1501,$A58))</f>
        <v>0</v>
      </c>
      <c r="O58" s="21" t="n">
        <f aca="false">IF(OR($A58="",O$4=""),0,COUNTIFS(Formulas!$A$2:$A$1501,O$4,Formulas!$B$2:$B$1501,$A58))</f>
        <v>0</v>
      </c>
      <c r="P58" s="21" t="n">
        <f aca="false">IF(OR($A58="",P$4=""),0,COUNTIFS(Formulas!$A$2:$A$1501,P$4,Formulas!$B$2:$B$1501,$A58))</f>
        <v>0</v>
      </c>
      <c r="Q58" s="21" t="n">
        <f aca="false">IF(OR($A58="",Q$4=""),0,COUNTIFS(Formulas!$A$2:$A$1501,Q$4,Formulas!$B$2:$B$1501,$A58))</f>
        <v>0</v>
      </c>
      <c r="R58" s="21" t="n">
        <f aca="false">IF(OR($A58="",R$4=""),0,COUNTIFS(Formulas!$A$2:$A$1501,R$4,Formulas!$B$2:$B$1501,$A58))</f>
        <v>0</v>
      </c>
      <c r="S58" s="21" t="n">
        <f aca="false">IF(OR($A58="",S$4=""),0,COUNTIFS(Formulas!$A$2:$A$1501,S$4,Formulas!$B$2:$B$1501,$A58))</f>
        <v>0</v>
      </c>
      <c r="T58" s="21" t="n">
        <f aca="false">IF(OR($A58="",T$4=""),0,COUNTIFS(Formulas!$A$2:$A$1501,T$4,Formulas!$B$2:$B$1501,$A58))</f>
        <v>0</v>
      </c>
      <c r="U58" s="21" t="n">
        <f aca="false">IF(OR($A58="",U$4=""),0,COUNTIFS(Formulas!$A$2:$A$1501,U$4,Formulas!$B$2:$B$1501,$A58))</f>
        <v>0</v>
      </c>
      <c r="V58" s="21" t="n">
        <f aca="false">IF(OR($A58="",V$4=""),0,COUNTIFS(Formulas!$A$2:$A$1501,V$4,Formulas!$B$2:$B$1501,$A58))</f>
        <v>0</v>
      </c>
      <c r="W58" s="21" t="n">
        <f aca="false">IF(OR($A58="",W$4=""),0,COUNTIFS(Formulas!$A$2:$A$1501,W$4,Formulas!$B$2:$B$1501,$A58))</f>
        <v>0</v>
      </c>
      <c r="X58" s="21" t="n">
        <f aca="false">IF(OR($A58="",X$4=""),0,COUNTIFS(Formulas!$A$2:$A$1501,X$4,Formulas!$B$2:$B$1501,$A58))</f>
        <v>0</v>
      </c>
      <c r="Y58" s="21" t="n">
        <f aca="false">IF(OR($A58="",Y$4=""),0,COUNTIFS(Formulas!$A$2:$A$1501,Y$4,Formulas!$B$2:$B$1501,$A58))</f>
        <v>0</v>
      </c>
      <c r="Z58" s="21" t="n">
        <f aca="false">IF(OR($A58="",Z$4=""),0,COUNTIFS(Formulas!$A$2:$A$1501,Z$4,Formulas!$B$2:$B$1501,$A58))</f>
        <v>0</v>
      </c>
      <c r="AA58" s="21" t="n">
        <f aca="false">IF(OR($A58="",AA$4=""),0,COUNTIFS(Formulas!$A$2:$A$1501,AA$4,Formulas!$B$2:$B$1501,$A58))</f>
        <v>0</v>
      </c>
      <c r="AB58" s="21" t="n">
        <f aca="false">IF(OR($A58="",AB$4=""),0,COUNTIFS(Formulas!$A$2:$A$1501,AB$4,Formulas!$B$2:$B$1501,$A58))</f>
        <v>0</v>
      </c>
      <c r="AC58" s="21" t="n">
        <f aca="false">IF(OR($A58="",AC$4=""),0,COUNTIFS(Formulas!$A$2:$A$1501,AC$4,Formulas!$B$2:$B$1501,$A58))</f>
        <v>0</v>
      </c>
      <c r="AD58" s="21" t="n">
        <f aca="false">IF(OR($A58="",AD$4=""),0,COUNTIFS(Formulas!$A$2:$A$1501,AD$4,Formulas!$B$2:$B$1501,$A58))</f>
        <v>0</v>
      </c>
      <c r="AE58" s="21" t="n">
        <f aca="false">IF(OR($A58="",AE$4=""),0,COUNTIFS(Formulas!$A$2:$A$1501,AE$4,Formulas!$B$2:$B$1501,$A58))</f>
        <v>0</v>
      </c>
      <c r="AF58" s="21" t="n">
        <f aca="false">IF(OR($A58="",AF$4=""),0,COUNTIFS(Formulas!$A$2:$A$1501,AF$4,Formulas!$B$2:$B$1501,$A58))</f>
        <v>0</v>
      </c>
      <c r="AG58" s="21" t="n">
        <f aca="false">IF(OR($A58="",AG$4=""),0,COUNTIFS(Formulas!$A$2:$A$1501,AG$4,Formulas!$B$2:$B$1501,$A58))</f>
        <v>0</v>
      </c>
      <c r="AH58" s="21" t="n">
        <f aca="false">IF(OR($A58="",AH$4=""),0,COUNTIFS(Formulas!$A$2:$A$1501,AH$4,Formulas!$B$2:$B$1501,$A58))</f>
        <v>0</v>
      </c>
      <c r="AI58" s="21" t="n">
        <f aca="false">IF(OR($A58="",AI$4=""),0,COUNTIFS(Formulas!$A$2:$A$1501,AI$4,Formulas!$B$2:$B$1501,$A58))</f>
        <v>0</v>
      </c>
      <c r="AJ58" s="21" t="n">
        <f aca="false">IF(OR($A58="",AJ$4=""),0,COUNTIFS(Formulas!$A$2:$A$1501,AJ$4,Formulas!$B$2:$B$1501,$A58))</f>
        <v>0</v>
      </c>
      <c r="AK58" s="21" t="n">
        <f aca="false">IF(OR($A58="",AK$4=""),0,COUNTIFS(Formulas!$A$2:$A$1501,AK$4,Formulas!$B$2:$B$1501,$A58))</f>
        <v>0</v>
      </c>
      <c r="AL58" s="21" t="n">
        <f aca="false">IF(OR($A58="",AL$4=""),0,COUNTIFS(Formulas!$A$2:$A$1501,AL$4,Formulas!$B$2:$B$1501,$A58))</f>
        <v>0</v>
      </c>
      <c r="AM58" s="21" t="n">
        <f aca="false">IF(OR($A58="",AM$4=""),0,COUNTIFS(Formulas!$A$2:$A$1501,AM$4,Formulas!$B$2:$B$1501,$A58))</f>
        <v>0</v>
      </c>
      <c r="AN58" s="21" t="n">
        <f aca="false">IF(OR($A58="",AN$4=""),0,COUNTIFS(Formulas!$A$2:$A$1501,AN$4,Formulas!$B$2:$B$1501,$A58))</f>
        <v>0</v>
      </c>
      <c r="AO58" s="21" t="n">
        <f aca="false">IF(OR($A58="",AO$4=""),0,COUNTIFS(Formulas!$A$2:$A$1501,AO$4,Formulas!$B$2:$B$1501,$A58))</f>
        <v>0</v>
      </c>
      <c r="AP58" s="21" t="n">
        <f aca="false">IF(OR($A58="",AP$4=""),0,COUNTIFS(Formulas!$A$2:$A$1501,AP$4,Formulas!$B$2:$B$1501,$A58))</f>
        <v>0</v>
      </c>
      <c r="AQ58" s="21" t="n">
        <f aca="false">IF(OR($A58="",AQ$4=""),0,COUNTIFS(Formulas!$A$2:$A$1501,AQ$4,Formulas!$B$2:$B$1501,$A58))</f>
        <v>0</v>
      </c>
      <c r="AR58" s="21" t="n">
        <f aca="false">IF(OR($A58="",AR$4=""),0,COUNTIFS(Formulas!$A$2:$A$1501,AR$4,Formulas!$B$2:$B$1501,$A58))</f>
        <v>0</v>
      </c>
      <c r="AS58" s="21" t="n">
        <f aca="false">IF(OR($A58="",AS$4=""),0,COUNTIFS(Formulas!$A$2:$A$1501,AS$4,Formulas!$B$2:$B$1501,$A58))</f>
        <v>0</v>
      </c>
      <c r="AT58" s="21" t="n">
        <f aca="false">IF(OR($A58="",AT$4=""),0,COUNTIFS(Formulas!$A$2:$A$1501,AT$4,Formulas!$B$2:$B$1501,$A58))</f>
        <v>0</v>
      </c>
      <c r="AU58" s="21" t="n">
        <f aca="false">IF(OR($A58="",AU$4=""),0,COUNTIFS(Formulas!$A$2:$A$1501,AU$4,Formulas!$B$2:$B$1501,$A58))</f>
        <v>0</v>
      </c>
      <c r="AV58" s="21" t="n">
        <f aca="false">IF(OR($A58="",AV$4=""),0,COUNTIFS(Formulas!$A$2:$A$1501,AV$4,Formulas!$B$2:$B$1501,$A58))</f>
        <v>0</v>
      </c>
      <c r="AW58" s="21" t="n">
        <f aca="false">IF(OR($A58="",AW$4=""),0,COUNTIFS(Formulas!$A$2:$A$1501,AW$4,Formulas!$B$2:$B$1501,$A58))</f>
        <v>0</v>
      </c>
      <c r="AX58" s="21" t="n">
        <f aca="false">IF(OR($A58="",AX$4=""),0,COUNTIFS(Formulas!$A$2:$A$1501,AX$4,Formulas!$B$2:$B$1501,$A58))</f>
        <v>0</v>
      </c>
      <c r="AY58" s="21" t="n">
        <f aca="false">IF(OR($A58="",AY$4=""),0,COUNTIFS(Formulas!$A$2:$A$1501,AY$4,Formulas!$B$2:$B$1501,$A58))</f>
        <v>0</v>
      </c>
      <c r="AZ58" s="21" t="n">
        <f aca="false">IF(OR($A58="",AZ$4=""),0,COUNTIFS(Formulas!$A$2:$A$1501,AZ$4,Formulas!$B$2:$B$1501,$A58))</f>
        <v>0</v>
      </c>
      <c r="BA58" s="21" t="n">
        <f aca="false">IF(OR($A58="",BA$4=""),0,COUNTIFS(Formulas!$A$2:$A$1501,BA$4,Formulas!$B$2:$B$1501,$A58))</f>
        <v>0</v>
      </c>
      <c r="BB58" s="21" t="n">
        <f aca="false">IF(OR($A58="",BB$4=""),0,COUNTIFS(Formulas!$A$2:$A$1501,BB$4,Formulas!$B$2:$B$1501,$A58))</f>
        <v>0</v>
      </c>
      <c r="BC58" s="21" t="n">
        <f aca="false">IF(OR($A58="",BC$4=""),0,COUNTIFS(Formulas!$A$2:$A$1501,BC$4,Formulas!$B$2:$B$1501,$A58))</f>
        <v>0</v>
      </c>
      <c r="BD58" s="21" t="n">
        <f aca="false">IF(OR($A58="",BD$4=""),0,COUNTIFS(Formulas!$A$2:$A$1501,BD$4,Formulas!$B$2:$B$1501,$A58))</f>
        <v>0</v>
      </c>
      <c r="BE58" s="21" t="n">
        <f aca="false">IF(OR($A58="",BE$4=""),0,COUNTIFS(Formulas!$A$2:$A$1501,BE$4,Formulas!$B$2:$B$1501,$A58))</f>
        <v>0</v>
      </c>
      <c r="BF58" s="21" t="n">
        <f aca="false">IF(OR($A58="",BF$4=""),0,COUNTIFS(Formulas!$A$2:$A$1501,BF$4,Formulas!$B$2:$B$1501,$A58))</f>
        <v>0</v>
      </c>
      <c r="BG58" s="21" t="n">
        <f aca="false">IF(OR($A58="",BG$4=""),0,COUNTIFS(Formulas!$A$2:$A$1501,BG$4,Formulas!$B$2:$B$1501,$A58))</f>
        <v>0</v>
      </c>
      <c r="BH58" s="21" t="n">
        <f aca="false">IF(OR($A58="",BH$4=""),0,COUNTIFS(Formulas!$A$2:$A$1501,BH$4,Formulas!$B$2:$B$1501,$A58))</f>
        <v>0</v>
      </c>
      <c r="BI58" s="21" t="n">
        <f aca="false">IF(OR($A58="",BI$4=""),0,COUNTIFS(Formulas!$A$2:$A$1501,BI$4,Formulas!$B$2:$B$1501,$A58))</f>
        <v>0</v>
      </c>
      <c r="BJ58" s="21" t="n">
        <f aca="false">IF(OR($A58="",BJ$4=""),0,COUNTIFS(Formulas!$A$2:$A$1501,BJ$4,Formulas!$B$2:$B$1501,$A58))</f>
        <v>0</v>
      </c>
    </row>
    <row r="59" customFormat="false" ht="15" hidden="false" customHeight="false" outlineLevel="0" collapsed="false">
      <c r="A59" s="13" t="str">
        <f aca="false">IF(INDEX(Materials!$A$2:$A$201,55)="","",INDEX(Materials!$A$2:$A$201,55))</f>
        <v/>
      </c>
      <c r="B59" s="19" t="str">
        <f aca="false">IF(A59="","",COUNTIF(C59:BJ59,"&gt;0"))</f>
        <v/>
      </c>
      <c r="C59" s="21" t="n">
        <f aca="false">IF(OR($A59="",C$4=""),0,COUNTIFS(Formulas!$A$2:$A$1501,C$4,Formulas!$B$2:$B$1501,$A59))</f>
        <v>0</v>
      </c>
      <c r="D59" s="21" t="n">
        <f aca="false">IF(OR($A59="",D$4=""),0,COUNTIFS(Formulas!$A$2:$A$1501,D$4,Formulas!$B$2:$B$1501,$A59))</f>
        <v>0</v>
      </c>
      <c r="E59" s="21" t="n">
        <f aca="false">IF(OR($A59="",E$4=""),0,COUNTIFS(Formulas!$A$2:$A$1501,E$4,Formulas!$B$2:$B$1501,$A59))</f>
        <v>0</v>
      </c>
      <c r="F59" s="21" t="n">
        <f aca="false">IF(OR($A59="",F$4=""),0,COUNTIFS(Formulas!$A$2:$A$1501,F$4,Formulas!$B$2:$B$1501,$A59))</f>
        <v>0</v>
      </c>
      <c r="G59" s="21" t="n">
        <f aca="false">IF(OR($A59="",G$4=""),0,COUNTIFS(Formulas!$A$2:$A$1501,G$4,Formulas!$B$2:$B$1501,$A59))</f>
        <v>0</v>
      </c>
      <c r="H59" s="21" t="n">
        <f aca="false">IF(OR($A59="",H$4=""),0,COUNTIFS(Formulas!$A$2:$A$1501,H$4,Formulas!$B$2:$B$1501,$A59))</f>
        <v>0</v>
      </c>
      <c r="I59" s="21" t="n">
        <f aca="false">IF(OR($A59="",I$4=""),0,COUNTIFS(Formulas!$A$2:$A$1501,I$4,Formulas!$B$2:$B$1501,$A59))</f>
        <v>0</v>
      </c>
      <c r="J59" s="21" t="n">
        <f aca="false">IF(OR($A59="",J$4=""),0,COUNTIFS(Formulas!$A$2:$A$1501,J$4,Formulas!$B$2:$B$1501,$A59))</f>
        <v>0</v>
      </c>
      <c r="K59" s="21" t="n">
        <f aca="false">IF(OR($A59="",K$4=""),0,COUNTIFS(Formulas!$A$2:$A$1501,K$4,Formulas!$B$2:$B$1501,$A59))</f>
        <v>0</v>
      </c>
      <c r="L59" s="21" t="n">
        <f aca="false">IF(OR($A59="",L$4=""),0,COUNTIFS(Formulas!$A$2:$A$1501,L$4,Formulas!$B$2:$B$1501,$A59))</f>
        <v>0</v>
      </c>
      <c r="M59" s="21" t="n">
        <f aca="false">IF(OR($A59="",M$4=""),0,COUNTIFS(Formulas!$A$2:$A$1501,M$4,Formulas!$B$2:$B$1501,$A59))</f>
        <v>0</v>
      </c>
      <c r="N59" s="21" t="n">
        <f aca="false">IF(OR($A59="",N$4=""),0,COUNTIFS(Formulas!$A$2:$A$1501,N$4,Formulas!$B$2:$B$1501,$A59))</f>
        <v>0</v>
      </c>
      <c r="O59" s="21" t="n">
        <f aca="false">IF(OR($A59="",O$4=""),0,COUNTIFS(Formulas!$A$2:$A$1501,O$4,Formulas!$B$2:$B$1501,$A59))</f>
        <v>0</v>
      </c>
      <c r="P59" s="21" t="n">
        <f aca="false">IF(OR($A59="",P$4=""),0,COUNTIFS(Formulas!$A$2:$A$1501,P$4,Formulas!$B$2:$B$1501,$A59))</f>
        <v>0</v>
      </c>
      <c r="Q59" s="21" t="n">
        <f aca="false">IF(OR($A59="",Q$4=""),0,COUNTIFS(Formulas!$A$2:$A$1501,Q$4,Formulas!$B$2:$B$1501,$A59))</f>
        <v>0</v>
      </c>
      <c r="R59" s="21" t="n">
        <f aca="false">IF(OR($A59="",R$4=""),0,COUNTIFS(Formulas!$A$2:$A$1501,R$4,Formulas!$B$2:$B$1501,$A59))</f>
        <v>0</v>
      </c>
      <c r="S59" s="21" t="n">
        <f aca="false">IF(OR($A59="",S$4=""),0,COUNTIFS(Formulas!$A$2:$A$1501,S$4,Formulas!$B$2:$B$1501,$A59))</f>
        <v>0</v>
      </c>
      <c r="T59" s="21" t="n">
        <f aca="false">IF(OR($A59="",T$4=""),0,COUNTIFS(Formulas!$A$2:$A$1501,T$4,Formulas!$B$2:$B$1501,$A59))</f>
        <v>0</v>
      </c>
      <c r="U59" s="21" t="n">
        <f aca="false">IF(OR($A59="",U$4=""),0,COUNTIFS(Formulas!$A$2:$A$1501,U$4,Formulas!$B$2:$B$1501,$A59))</f>
        <v>0</v>
      </c>
      <c r="V59" s="21" t="n">
        <f aca="false">IF(OR($A59="",V$4=""),0,COUNTIFS(Formulas!$A$2:$A$1501,V$4,Formulas!$B$2:$B$1501,$A59))</f>
        <v>0</v>
      </c>
      <c r="W59" s="21" t="n">
        <f aca="false">IF(OR($A59="",W$4=""),0,COUNTIFS(Formulas!$A$2:$A$1501,W$4,Formulas!$B$2:$B$1501,$A59))</f>
        <v>0</v>
      </c>
      <c r="X59" s="21" t="n">
        <f aca="false">IF(OR($A59="",X$4=""),0,COUNTIFS(Formulas!$A$2:$A$1501,X$4,Formulas!$B$2:$B$1501,$A59))</f>
        <v>0</v>
      </c>
      <c r="Y59" s="21" t="n">
        <f aca="false">IF(OR($A59="",Y$4=""),0,COUNTIFS(Formulas!$A$2:$A$1501,Y$4,Formulas!$B$2:$B$1501,$A59))</f>
        <v>0</v>
      </c>
      <c r="Z59" s="21" t="n">
        <f aca="false">IF(OR($A59="",Z$4=""),0,COUNTIFS(Formulas!$A$2:$A$1501,Z$4,Formulas!$B$2:$B$1501,$A59))</f>
        <v>0</v>
      </c>
      <c r="AA59" s="21" t="n">
        <f aca="false">IF(OR($A59="",AA$4=""),0,COUNTIFS(Formulas!$A$2:$A$1501,AA$4,Formulas!$B$2:$B$1501,$A59))</f>
        <v>0</v>
      </c>
      <c r="AB59" s="21" t="n">
        <f aca="false">IF(OR($A59="",AB$4=""),0,COUNTIFS(Formulas!$A$2:$A$1501,AB$4,Formulas!$B$2:$B$1501,$A59))</f>
        <v>0</v>
      </c>
      <c r="AC59" s="21" t="n">
        <f aca="false">IF(OR($A59="",AC$4=""),0,COUNTIFS(Formulas!$A$2:$A$1501,AC$4,Formulas!$B$2:$B$1501,$A59))</f>
        <v>0</v>
      </c>
      <c r="AD59" s="21" t="n">
        <f aca="false">IF(OR($A59="",AD$4=""),0,COUNTIFS(Formulas!$A$2:$A$1501,AD$4,Formulas!$B$2:$B$1501,$A59))</f>
        <v>0</v>
      </c>
      <c r="AE59" s="21" t="n">
        <f aca="false">IF(OR($A59="",AE$4=""),0,COUNTIFS(Formulas!$A$2:$A$1501,AE$4,Formulas!$B$2:$B$1501,$A59))</f>
        <v>0</v>
      </c>
      <c r="AF59" s="21" t="n">
        <f aca="false">IF(OR($A59="",AF$4=""),0,COUNTIFS(Formulas!$A$2:$A$1501,AF$4,Formulas!$B$2:$B$1501,$A59))</f>
        <v>0</v>
      </c>
      <c r="AG59" s="21" t="n">
        <f aca="false">IF(OR($A59="",AG$4=""),0,COUNTIFS(Formulas!$A$2:$A$1501,AG$4,Formulas!$B$2:$B$1501,$A59))</f>
        <v>0</v>
      </c>
      <c r="AH59" s="21" t="n">
        <f aca="false">IF(OR($A59="",AH$4=""),0,COUNTIFS(Formulas!$A$2:$A$1501,AH$4,Formulas!$B$2:$B$1501,$A59))</f>
        <v>0</v>
      </c>
      <c r="AI59" s="21" t="n">
        <f aca="false">IF(OR($A59="",AI$4=""),0,COUNTIFS(Formulas!$A$2:$A$1501,AI$4,Formulas!$B$2:$B$1501,$A59))</f>
        <v>0</v>
      </c>
      <c r="AJ59" s="21" t="n">
        <f aca="false">IF(OR($A59="",AJ$4=""),0,COUNTIFS(Formulas!$A$2:$A$1501,AJ$4,Formulas!$B$2:$B$1501,$A59))</f>
        <v>0</v>
      </c>
      <c r="AK59" s="21" t="n">
        <f aca="false">IF(OR($A59="",AK$4=""),0,COUNTIFS(Formulas!$A$2:$A$1501,AK$4,Formulas!$B$2:$B$1501,$A59))</f>
        <v>0</v>
      </c>
      <c r="AL59" s="21" t="n">
        <f aca="false">IF(OR($A59="",AL$4=""),0,COUNTIFS(Formulas!$A$2:$A$1501,AL$4,Formulas!$B$2:$B$1501,$A59))</f>
        <v>0</v>
      </c>
      <c r="AM59" s="21" t="n">
        <f aca="false">IF(OR($A59="",AM$4=""),0,COUNTIFS(Formulas!$A$2:$A$1501,AM$4,Formulas!$B$2:$B$1501,$A59))</f>
        <v>0</v>
      </c>
      <c r="AN59" s="21" t="n">
        <f aca="false">IF(OR($A59="",AN$4=""),0,COUNTIFS(Formulas!$A$2:$A$1501,AN$4,Formulas!$B$2:$B$1501,$A59))</f>
        <v>0</v>
      </c>
      <c r="AO59" s="21" t="n">
        <f aca="false">IF(OR($A59="",AO$4=""),0,COUNTIFS(Formulas!$A$2:$A$1501,AO$4,Formulas!$B$2:$B$1501,$A59))</f>
        <v>0</v>
      </c>
      <c r="AP59" s="21" t="n">
        <f aca="false">IF(OR($A59="",AP$4=""),0,COUNTIFS(Formulas!$A$2:$A$1501,AP$4,Formulas!$B$2:$B$1501,$A59))</f>
        <v>0</v>
      </c>
      <c r="AQ59" s="21" t="n">
        <f aca="false">IF(OR($A59="",AQ$4=""),0,COUNTIFS(Formulas!$A$2:$A$1501,AQ$4,Formulas!$B$2:$B$1501,$A59))</f>
        <v>0</v>
      </c>
      <c r="AR59" s="21" t="n">
        <f aca="false">IF(OR($A59="",AR$4=""),0,COUNTIFS(Formulas!$A$2:$A$1501,AR$4,Formulas!$B$2:$B$1501,$A59))</f>
        <v>0</v>
      </c>
      <c r="AS59" s="21" t="n">
        <f aca="false">IF(OR($A59="",AS$4=""),0,COUNTIFS(Formulas!$A$2:$A$1501,AS$4,Formulas!$B$2:$B$1501,$A59))</f>
        <v>0</v>
      </c>
      <c r="AT59" s="21" t="n">
        <f aca="false">IF(OR($A59="",AT$4=""),0,COUNTIFS(Formulas!$A$2:$A$1501,AT$4,Formulas!$B$2:$B$1501,$A59))</f>
        <v>0</v>
      </c>
      <c r="AU59" s="21" t="n">
        <f aca="false">IF(OR($A59="",AU$4=""),0,COUNTIFS(Formulas!$A$2:$A$1501,AU$4,Formulas!$B$2:$B$1501,$A59))</f>
        <v>0</v>
      </c>
      <c r="AV59" s="21" t="n">
        <f aca="false">IF(OR($A59="",AV$4=""),0,COUNTIFS(Formulas!$A$2:$A$1501,AV$4,Formulas!$B$2:$B$1501,$A59))</f>
        <v>0</v>
      </c>
      <c r="AW59" s="21" t="n">
        <f aca="false">IF(OR($A59="",AW$4=""),0,COUNTIFS(Formulas!$A$2:$A$1501,AW$4,Formulas!$B$2:$B$1501,$A59))</f>
        <v>0</v>
      </c>
      <c r="AX59" s="21" t="n">
        <f aca="false">IF(OR($A59="",AX$4=""),0,COUNTIFS(Formulas!$A$2:$A$1501,AX$4,Formulas!$B$2:$B$1501,$A59))</f>
        <v>0</v>
      </c>
      <c r="AY59" s="21" t="n">
        <f aca="false">IF(OR($A59="",AY$4=""),0,COUNTIFS(Formulas!$A$2:$A$1501,AY$4,Formulas!$B$2:$B$1501,$A59))</f>
        <v>0</v>
      </c>
      <c r="AZ59" s="21" t="n">
        <f aca="false">IF(OR($A59="",AZ$4=""),0,COUNTIFS(Formulas!$A$2:$A$1501,AZ$4,Formulas!$B$2:$B$1501,$A59))</f>
        <v>0</v>
      </c>
      <c r="BA59" s="21" t="n">
        <f aca="false">IF(OR($A59="",BA$4=""),0,COUNTIFS(Formulas!$A$2:$A$1501,BA$4,Formulas!$B$2:$B$1501,$A59))</f>
        <v>0</v>
      </c>
      <c r="BB59" s="21" t="n">
        <f aca="false">IF(OR($A59="",BB$4=""),0,COUNTIFS(Formulas!$A$2:$A$1501,BB$4,Formulas!$B$2:$B$1501,$A59))</f>
        <v>0</v>
      </c>
      <c r="BC59" s="21" t="n">
        <f aca="false">IF(OR($A59="",BC$4=""),0,COUNTIFS(Formulas!$A$2:$A$1501,BC$4,Formulas!$B$2:$B$1501,$A59))</f>
        <v>0</v>
      </c>
      <c r="BD59" s="21" t="n">
        <f aca="false">IF(OR($A59="",BD$4=""),0,COUNTIFS(Formulas!$A$2:$A$1501,BD$4,Formulas!$B$2:$B$1501,$A59))</f>
        <v>0</v>
      </c>
      <c r="BE59" s="21" t="n">
        <f aca="false">IF(OR($A59="",BE$4=""),0,COUNTIFS(Formulas!$A$2:$A$1501,BE$4,Formulas!$B$2:$B$1501,$A59))</f>
        <v>0</v>
      </c>
      <c r="BF59" s="21" t="n">
        <f aca="false">IF(OR($A59="",BF$4=""),0,COUNTIFS(Formulas!$A$2:$A$1501,BF$4,Formulas!$B$2:$B$1501,$A59))</f>
        <v>0</v>
      </c>
      <c r="BG59" s="21" t="n">
        <f aca="false">IF(OR($A59="",BG$4=""),0,COUNTIFS(Formulas!$A$2:$A$1501,BG$4,Formulas!$B$2:$B$1501,$A59))</f>
        <v>0</v>
      </c>
      <c r="BH59" s="21" t="n">
        <f aca="false">IF(OR($A59="",BH$4=""),0,COUNTIFS(Formulas!$A$2:$A$1501,BH$4,Formulas!$B$2:$B$1501,$A59))</f>
        <v>0</v>
      </c>
      <c r="BI59" s="21" t="n">
        <f aca="false">IF(OR($A59="",BI$4=""),0,COUNTIFS(Formulas!$A$2:$A$1501,BI$4,Formulas!$B$2:$B$1501,$A59))</f>
        <v>0</v>
      </c>
      <c r="BJ59" s="21" t="n">
        <f aca="false">IF(OR($A59="",BJ$4=""),0,COUNTIFS(Formulas!$A$2:$A$1501,BJ$4,Formulas!$B$2:$B$1501,$A59))</f>
        <v>0</v>
      </c>
    </row>
    <row r="60" customFormat="false" ht="15" hidden="false" customHeight="false" outlineLevel="0" collapsed="false">
      <c r="A60" s="13" t="str">
        <f aca="false">IF(INDEX(Materials!$A$2:$A$201,56)="","",INDEX(Materials!$A$2:$A$201,56))</f>
        <v/>
      </c>
      <c r="B60" s="19" t="str">
        <f aca="false">IF(A60="","",COUNTIF(C60:BJ60,"&gt;0"))</f>
        <v/>
      </c>
      <c r="C60" s="21" t="n">
        <f aca="false">IF(OR($A60="",C$4=""),0,COUNTIFS(Formulas!$A$2:$A$1501,C$4,Formulas!$B$2:$B$1501,$A60))</f>
        <v>0</v>
      </c>
      <c r="D60" s="21" t="n">
        <f aca="false">IF(OR($A60="",D$4=""),0,COUNTIFS(Formulas!$A$2:$A$1501,D$4,Formulas!$B$2:$B$1501,$A60))</f>
        <v>0</v>
      </c>
      <c r="E60" s="21" t="n">
        <f aca="false">IF(OR($A60="",E$4=""),0,COUNTIFS(Formulas!$A$2:$A$1501,E$4,Formulas!$B$2:$B$1501,$A60))</f>
        <v>0</v>
      </c>
      <c r="F60" s="21" t="n">
        <f aca="false">IF(OR($A60="",F$4=""),0,COUNTIFS(Formulas!$A$2:$A$1501,F$4,Formulas!$B$2:$B$1501,$A60))</f>
        <v>0</v>
      </c>
      <c r="G60" s="21" t="n">
        <f aca="false">IF(OR($A60="",G$4=""),0,COUNTIFS(Formulas!$A$2:$A$1501,G$4,Formulas!$B$2:$B$1501,$A60))</f>
        <v>0</v>
      </c>
      <c r="H60" s="21" t="n">
        <f aca="false">IF(OR($A60="",H$4=""),0,COUNTIFS(Formulas!$A$2:$A$1501,H$4,Formulas!$B$2:$B$1501,$A60))</f>
        <v>0</v>
      </c>
      <c r="I60" s="21" t="n">
        <f aca="false">IF(OR($A60="",I$4=""),0,COUNTIFS(Formulas!$A$2:$A$1501,I$4,Formulas!$B$2:$B$1501,$A60))</f>
        <v>0</v>
      </c>
      <c r="J60" s="21" t="n">
        <f aca="false">IF(OR($A60="",J$4=""),0,COUNTIFS(Formulas!$A$2:$A$1501,J$4,Formulas!$B$2:$B$1501,$A60))</f>
        <v>0</v>
      </c>
      <c r="K60" s="21" t="n">
        <f aca="false">IF(OR($A60="",K$4=""),0,COUNTIFS(Formulas!$A$2:$A$1501,K$4,Formulas!$B$2:$B$1501,$A60))</f>
        <v>0</v>
      </c>
      <c r="L60" s="21" t="n">
        <f aca="false">IF(OR($A60="",L$4=""),0,COUNTIFS(Formulas!$A$2:$A$1501,L$4,Formulas!$B$2:$B$1501,$A60))</f>
        <v>0</v>
      </c>
      <c r="M60" s="21" t="n">
        <f aca="false">IF(OR($A60="",M$4=""),0,COUNTIFS(Formulas!$A$2:$A$1501,M$4,Formulas!$B$2:$B$1501,$A60))</f>
        <v>0</v>
      </c>
      <c r="N60" s="21" t="n">
        <f aca="false">IF(OR($A60="",N$4=""),0,COUNTIFS(Formulas!$A$2:$A$1501,N$4,Formulas!$B$2:$B$1501,$A60))</f>
        <v>0</v>
      </c>
      <c r="O60" s="21" t="n">
        <f aca="false">IF(OR($A60="",O$4=""),0,COUNTIFS(Formulas!$A$2:$A$1501,O$4,Formulas!$B$2:$B$1501,$A60))</f>
        <v>0</v>
      </c>
      <c r="P60" s="21" t="n">
        <f aca="false">IF(OR($A60="",P$4=""),0,COUNTIFS(Formulas!$A$2:$A$1501,P$4,Formulas!$B$2:$B$1501,$A60))</f>
        <v>0</v>
      </c>
      <c r="Q60" s="21" t="n">
        <f aca="false">IF(OR($A60="",Q$4=""),0,COUNTIFS(Formulas!$A$2:$A$1501,Q$4,Formulas!$B$2:$B$1501,$A60))</f>
        <v>0</v>
      </c>
      <c r="R60" s="21" t="n">
        <f aca="false">IF(OR($A60="",R$4=""),0,COUNTIFS(Formulas!$A$2:$A$1501,R$4,Formulas!$B$2:$B$1501,$A60))</f>
        <v>0</v>
      </c>
      <c r="S60" s="21" t="n">
        <f aca="false">IF(OR($A60="",S$4=""),0,COUNTIFS(Formulas!$A$2:$A$1501,S$4,Formulas!$B$2:$B$1501,$A60))</f>
        <v>0</v>
      </c>
      <c r="T60" s="21" t="n">
        <f aca="false">IF(OR($A60="",T$4=""),0,COUNTIFS(Formulas!$A$2:$A$1501,T$4,Formulas!$B$2:$B$1501,$A60))</f>
        <v>0</v>
      </c>
      <c r="U60" s="21" t="n">
        <f aca="false">IF(OR($A60="",U$4=""),0,COUNTIFS(Formulas!$A$2:$A$1501,U$4,Formulas!$B$2:$B$1501,$A60))</f>
        <v>0</v>
      </c>
      <c r="V60" s="21" t="n">
        <f aca="false">IF(OR($A60="",V$4=""),0,COUNTIFS(Formulas!$A$2:$A$1501,V$4,Formulas!$B$2:$B$1501,$A60))</f>
        <v>0</v>
      </c>
      <c r="W60" s="21" t="n">
        <f aca="false">IF(OR($A60="",W$4=""),0,COUNTIFS(Formulas!$A$2:$A$1501,W$4,Formulas!$B$2:$B$1501,$A60))</f>
        <v>0</v>
      </c>
      <c r="X60" s="21" t="n">
        <f aca="false">IF(OR($A60="",X$4=""),0,COUNTIFS(Formulas!$A$2:$A$1501,X$4,Formulas!$B$2:$B$1501,$A60))</f>
        <v>0</v>
      </c>
      <c r="Y60" s="21" t="n">
        <f aca="false">IF(OR($A60="",Y$4=""),0,COUNTIFS(Formulas!$A$2:$A$1501,Y$4,Formulas!$B$2:$B$1501,$A60))</f>
        <v>0</v>
      </c>
      <c r="Z60" s="21" t="n">
        <f aca="false">IF(OR($A60="",Z$4=""),0,COUNTIFS(Formulas!$A$2:$A$1501,Z$4,Formulas!$B$2:$B$1501,$A60))</f>
        <v>0</v>
      </c>
      <c r="AA60" s="21" t="n">
        <f aca="false">IF(OR($A60="",AA$4=""),0,COUNTIFS(Formulas!$A$2:$A$1501,AA$4,Formulas!$B$2:$B$1501,$A60))</f>
        <v>0</v>
      </c>
      <c r="AB60" s="21" t="n">
        <f aca="false">IF(OR($A60="",AB$4=""),0,COUNTIFS(Formulas!$A$2:$A$1501,AB$4,Formulas!$B$2:$B$1501,$A60))</f>
        <v>0</v>
      </c>
      <c r="AC60" s="21" t="n">
        <f aca="false">IF(OR($A60="",AC$4=""),0,COUNTIFS(Formulas!$A$2:$A$1501,AC$4,Formulas!$B$2:$B$1501,$A60))</f>
        <v>0</v>
      </c>
      <c r="AD60" s="21" t="n">
        <f aca="false">IF(OR($A60="",AD$4=""),0,COUNTIFS(Formulas!$A$2:$A$1501,AD$4,Formulas!$B$2:$B$1501,$A60))</f>
        <v>0</v>
      </c>
      <c r="AE60" s="21" t="n">
        <f aca="false">IF(OR($A60="",AE$4=""),0,COUNTIFS(Formulas!$A$2:$A$1501,AE$4,Formulas!$B$2:$B$1501,$A60))</f>
        <v>0</v>
      </c>
      <c r="AF60" s="21" t="n">
        <f aca="false">IF(OR($A60="",AF$4=""),0,COUNTIFS(Formulas!$A$2:$A$1501,AF$4,Formulas!$B$2:$B$1501,$A60))</f>
        <v>0</v>
      </c>
      <c r="AG60" s="21" t="n">
        <f aca="false">IF(OR($A60="",AG$4=""),0,COUNTIFS(Formulas!$A$2:$A$1501,AG$4,Formulas!$B$2:$B$1501,$A60))</f>
        <v>0</v>
      </c>
      <c r="AH60" s="21" t="n">
        <f aca="false">IF(OR($A60="",AH$4=""),0,COUNTIFS(Formulas!$A$2:$A$1501,AH$4,Formulas!$B$2:$B$1501,$A60))</f>
        <v>0</v>
      </c>
      <c r="AI60" s="21" t="n">
        <f aca="false">IF(OR($A60="",AI$4=""),0,COUNTIFS(Formulas!$A$2:$A$1501,AI$4,Formulas!$B$2:$B$1501,$A60))</f>
        <v>0</v>
      </c>
      <c r="AJ60" s="21" t="n">
        <f aca="false">IF(OR($A60="",AJ$4=""),0,COUNTIFS(Formulas!$A$2:$A$1501,AJ$4,Formulas!$B$2:$B$1501,$A60))</f>
        <v>0</v>
      </c>
      <c r="AK60" s="21" t="n">
        <f aca="false">IF(OR($A60="",AK$4=""),0,COUNTIFS(Formulas!$A$2:$A$1501,AK$4,Formulas!$B$2:$B$1501,$A60))</f>
        <v>0</v>
      </c>
      <c r="AL60" s="21" t="n">
        <f aca="false">IF(OR($A60="",AL$4=""),0,COUNTIFS(Formulas!$A$2:$A$1501,AL$4,Formulas!$B$2:$B$1501,$A60))</f>
        <v>0</v>
      </c>
      <c r="AM60" s="21" t="n">
        <f aca="false">IF(OR($A60="",AM$4=""),0,COUNTIFS(Formulas!$A$2:$A$1501,AM$4,Formulas!$B$2:$B$1501,$A60))</f>
        <v>0</v>
      </c>
      <c r="AN60" s="21" t="n">
        <f aca="false">IF(OR($A60="",AN$4=""),0,COUNTIFS(Formulas!$A$2:$A$1501,AN$4,Formulas!$B$2:$B$1501,$A60))</f>
        <v>0</v>
      </c>
      <c r="AO60" s="21" t="n">
        <f aca="false">IF(OR($A60="",AO$4=""),0,COUNTIFS(Formulas!$A$2:$A$1501,AO$4,Formulas!$B$2:$B$1501,$A60))</f>
        <v>0</v>
      </c>
      <c r="AP60" s="21" t="n">
        <f aca="false">IF(OR($A60="",AP$4=""),0,COUNTIFS(Formulas!$A$2:$A$1501,AP$4,Formulas!$B$2:$B$1501,$A60))</f>
        <v>0</v>
      </c>
      <c r="AQ60" s="21" t="n">
        <f aca="false">IF(OR($A60="",AQ$4=""),0,COUNTIFS(Formulas!$A$2:$A$1501,AQ$4,Formulas!$B$2:$B$1501,$A60))</f>
        <v>0</v>
      </c>
      <c r="AR60" s="21" t="n">
        <f aca="false">IF(OR($A60="",AR$4=""),0,COUNTIFS(Formulas!$A$2:$A$1501,AR$4,Formulas!$B$2:$B$1501,$A60))</f>
        <v>0</v>
      </c>
      <c r="AS60" s="21" t="n">
        <f aca="false">IF(OR($A60="",AS$4=""),0,COUNTIFS(Formulas!$A$2:$A$1501,AS$4,Formulas!$B$2:$B$1501,$A60))</f>
        <v>0</v>
      </c>
      <c r="AT60" s="21" t="n">
        <f aca="false">IF(OR($A60="",AT$4=""),0,COUNTIFS(Formulas!$A$2:$A$1501,AT$4,Formulas!$B$2:$B$1501,$A60))</f>
        <v>0</v>
      </c>
      <c r="AU60" s="21" t="n">
        <f aca="false">IF(OR($A60="",AU$4=""),0,COUNTIFS(Formulas!$A$2:$A$1501,AU$4,Formulas!$B$2:$B$1501,$A60))</f>
        <v>0</v>
      </c>
      <c r="AV60" s="21" t="n">
        <f aca="false">IF(OR($A60="",AV$4=""),0,COUNTIFS(Formulas!$A$2:$A$1501,AV$4,Formulas!$B$2:$B$1501,$A60))</f>
        <v>0</v>
      </c>
      <c r="AW60" s="21" t="n">
        <f aca="false">IF(OR($A60="",AW$4=""),0,COUNTIFS(Formulas!$A$2:$A$1501,AW$4,Formulas!$B$2:$B$1501,$A60))</f>
        <v>0</v>
      </c>
      <c r="AX60" s="21" t="n">
        <f aca="false">IF(OR($A60="",AX$4=""),0,COUNTIFS(Formulas!$A$2:$A$1501,AX$4,Formulas!$B$2:$B$1501,$A60))</f>
        <v>0</v>
      </c>
      <c r="AY60" s="21" t="n">
        <f aca="false">IF(OR($A60="",AY$4=""),0,COUNTIFS(Formulas!$A$2:$A$1501,AY$4,Formulas!$B$2:$B$1501,$A60))</f>
        <v>0</v>
      </c>
      <c r="AZ60" s="21" t="n">
        <f aca="false">IF(OR($A60="",AZ$4=""),0,COUNTIFS(Formulas!$A$2:$A$1501,AZ$4,Formulas!$B$2:$B$1501,$A60))</f>
        <v>0</v>
      </c>
      <c r="BA60" s="21" t="n">
        <f aca="false">IF(OR($A60="",BA$4=""),0,COUNTIFS(Formulas!$A$2:$A$1501,BA$4,Formulas!$B$2:$B$1501,$A60))</f>
        <v>0</v>
      </c>
      <c r="BB60" s="21" t="n">
        <f aca="false">IF(OR($A60="",BB$4=""),0,COUNTIFS(Formulas!$A$2:$A$1501,BB$4,Formulas!$B$2:$B$1501,$A60))</f>
        <v>0</v>
      </c>
      <c r="BC60" s="21" t="n">
        <f aca="false">IF(OR($A60="",BC$4=""),0,COUNTIFS(Formulas!$A$2:$A$1501,BC$4,Formulas!$B$2:$B$1501,$A60))</f>
        <v>0</v>
      </c>
      <c r="BD60" s="21" t="n">
        <f aca="false">IF(OR($A60="",BD$4=""),0,COUNTIFS(Formulas!$A$2:$A$1501,BD$4,Formulas!$B$2:$B$1501,$A60))</f>
        <v>0</v>
      </c>
      <c r="BE60" s="21" t="n">
        <f aca="false">IF(OR($A60="",BE$4=""),0,COUNTIFS(Formulas!$A$2:$A$1501,BE$4,Formulas!$B$2:$B$1501,$A60))</f>
        <v>0</v>
      </c>
      <c r="BF60" s="21" t="n">
        <f aca="false">IF(OR($A60="",BF$4=""),0,COUNTIFS(Formulas!$A$2:$A$1501,BF$4,Formulas!$B$2:$B$1501,$A60))</f>
        <v>0</v>
      </c>
      <c r="BG60" s="21" t="n">
        <f aca="false">IF(OR($A60="",BG$4=""),0,COUNTIFS(Formulas!$A$2:$A$1501,BG$4,Formulas!$B$2:$B$1501,$A60))</f>
        <v>0</v>
      </c>
      <c r="BH60" s="21" t="n">
        <f aca="false">IF(OR($A60="",BH$4=""),0,COUNTIFS(Formulas!$A$2:$A$1501,BH$4,Formulas!$B$2:$B$1501,$A60))</f>
        <v>0</v>
      </c>
      <c r="BI60" s="21" t="n">
        <f aca="false">IF(OR($A60="",BI$4=""),0,COUNTIFS(Formulas!$A$2:$A$1501,BI$4,Formulas!$B$2:$B$1501,$A60))</f>
        <v>0</v>
      </c>
      <c r="BJ60" s="21" t="n">
        <f aca="false">IF(OR($A60="",BJ$4=""),0,COUNTIFS(Formulas!$A$2:$A$1501,BJ$4,Formulas!$B$2:$B$1501,$A60))</f>
        <v>0</v>
      </c>
    </row>
    <row r="61" customFormat="false" ht="15" hidden="false" customHeight="false" outlineLevel="0" collapsed="false">
      <c r="A61" s="13" t="str">
        <f aca="false">IF(INDEX(Materials!$A$2:$A$201,57)="","",INDEX(Materials!$A$2:$A$201,57))</f>
        <v/>
      </c>
      <c r="B61" s="19" t="str">
        <f aca="false">IF(A61="","",COUNTIF(C61:BJ61,"&gt;0"))</f>
        <v/>
      </c>
      <c r="C61" s="21" t="n">
        <f aca="false">IF(OR($A61="",C$4=""),0,COUNTIFS(Formulas!$A$2:$A$1501,C$4,Formulas!$B$2:$B$1501,$A61))</f>
        <v>0</v>
      </c>
      <c r="D61" s="21" t="n">
        <f aca="false">IF(OR($A61="",D$4=""),0,COUNTIFS(Formulas!$A$2:$A$1501,D$4,Formulas!$B$2:$B$1501,$A61))</f>
        <v>0</v>
      </c>
      <c r="E61" s="21" t="n">
        <f aca="false">IF(OR($A61="",E$4=""),0,COUNTIFS(Formulas!$A$2:$A$1501,E$4,Formulas!$B$2:$B$1501,$A61))</f>
        <v>0</v>
      </c>
      <c r="F61" s="21" t="n">
        <f aca="false">IF(OR($A61="",F$4=""),0,COUNTIFS(Formulas!$A$2:$A$1501,F$4,Formulas!$B$2:$B$1501,$A61))</f>
        <v>0</v>
      </c>
      <c r="G61" s="21" t="n">
        <f aca="false">IF(OR($A61="",G$4=""),0,COUNTIFS(Formulas!$A$2:$A$1501,G$4,Formulas!$B$2:$B$1501,$A61))</f>
        <v>0</v>
      </c>
      <c r="H61" s="21" t="n">
        <f aca="false">IF(OR($A61="",H$4=""),0,COUNTIFS(Formulas!$A$2:$A$1501,H$4,Formulas!$B$2:$B$1501,$A61))</f>
        <v>0</v>
      </c>
      <c r="I61" s="21" t="n">
        <f aca="false">IF(OR($A61="",I$4=""),0,COUNTIFS(Formulas!$A$2:$A$1501,I$4,Formulas!$B$2:$B$1501,$A61))</f>
        <v>0</v>
      </c>
      <c r="J61" s="21" t="n">
        <f aca="false">IF(OR($A61="",J$4=""),0,COUNTIFS(Formulas!$A$2:$A$1501,J$4,Formulas!$B$2:$B$1501,$A61))</f>
        <v>0</v>
      </c>
      <c r="K61" s="21" t="n">
        <f aca="false">IF(OR($A61="",K$4=""),0,COUNTIFS(Formulas!$A$2:$A$1501,K$4,Formulas!$B$2:$B$1501,$A61))</f>
        <v>0</v>
      </c>
      <c r="L61" s="21" t="n">
        <f aca="false">IF(OR($A61="",L$4=""),0,COUNTIFS(Formulas!$A$2:$A$1501,L$4,Formulas!$B$2:$B$1501,$A61))</f>
        <v>0</v>
      </c>
      <c r="M61" s="21" t="n">
        <f aca="false">IF(OR($A61="",M$4=""),0,COUNTIFS(Formulas!$A$2:$A$1501,M$4,Formulas!$B$2:$B$1501,$A61))</f>
        <v>0</v>
      </c>
      <c r="N61" s="21" t="n">
        <f aca="false">IF(OR($A61="",N$4=""),0,COUNTIFS(Formulas!$A$2:$A$1501,N$4,Formulas!$B$2:$B$1501,$A61))</f>
        <v>0</v>
      </c>
      <c r="O61" s="21" t="n">
        <f aca="false">IF(OR($A61="",O$4=""),0,COUNTIFS(Formulas!$A$2:$A$1501,O$4,Formulas!$B$2:$B$1501,$A61))</f>
        <v>0</v>
      </c>
      <c r="P61" s="21" t="n">
        <f aca="false">IF(OR($A61="",P$4=""),0,COUNTIFS(Formulas!$A$2:$A$1501,P$4,Formulas!$B$2:$B$1501,$A61))</f>
        <v>0</v>
      </c>
      <c r="Q61" s="21" t="n">
        <f aca="false">IF(OR($A61="",Q$4=""),0,COUNTIFS(Formulas!$A$2:$A$1501,Q$4,Formulas!$B$2:$B$1501,$A61))</f>
        <v>0</v>
      </c>
      <c r="R61" s="21" t="n">
        <f aca="false">IF(OR($A61="",R$4=""),0,COUNTIFS(Formulas!$A$2:$A$1501,R$4,Formulas!$B$2:$B$1501,$A61))</f>
        <v>0</v>
      </c>
      <c r="S61" s="21" t="n">
        <f aca="false">IF(OR($A61="",S$4=""),0,COUNTIFS(Formulas!$A$2:$A$1501,S$4,Formulas!$B$2:$B$1501,$A61))</f>
        <v>0</v>
      </c>
      <c r="T61" s="21" t="n">
        <f aca="false">IF(OR($A61="",T$4=""),0,COUNTIFS(Formulas!$A$2:$A$1501,T$4,Formulas!$B$2:$B$1501,$A61))</f>
        <v>0</v>
      </c>
      <c r="U61" s="21" t="n">
        <f aca="false">IF(OR($A61="",U$4=""),0,COUNTIFS(Formulas!$A$2:$A$1501,U$4,Formulas!$B$2:$B$1501,$A61))</f>
        <v>0</v>
      </c>
      <c r="V61" s="21" t="n">
        <f aca="false">IF(OR($A61="",V$4=""),0,COUNTIFS(Formulas!$A$2:$A$1501,V$4,Formulas!$B$2:$B$1501,$A61))</f>
        <v>0</v>
      </c>
      <c r="W61" s="21" t="n">
        <f aca="false">IF(OR($A61="",W$4=""),0,COUNTIFS(Formulas!$A$2:$A$1501,W$4,Formulas!$B$2:$B$1501,$A61))</f>
        <v>0</v>
      </c>
      <c r="X61" s="21" t="n">
        <f aca="false">IF(OR($A61="",X$4=""),0,COUNTIFS(Formulas!$A$2:$A$1501,X$4,Formulas!$B$2:$B$1501,$A61))</f>
        <v>0</v>
      </c>
      <c r="Y61" s="21" t="n">
        <f aca="false">IF(OR($A61="",Y$4=""),0,COUNTIFS(Formulas!$A$2:$A$1501,Y$4,Formulas!$B$2:$B$1501,$A61))</f>
        <v>0</v>
      </c>
      <c r="Z61" s="21" t="n">
        <f aca="false">IF(OR($A61="",Z$4=""),0,COUNTIFS(Formulas!$A$2:$A$1501,Z$4,Formulas!$B$2:$B$1501,$A61))</f>
        <v>0</v>
      </c>
      <c r="AA61" s="21" t="n">
        <f aca="false">IF(OR($A61="",AA$4=""),0,COUNTIFS(Formulas!$A$2:$A$1501,AA$4,Formulas!$B$2:$B$1501,$A61))</f>
        <v>0</v>
      </c>
      <c r="AB61" s="21" t="n">
        <f aca="false">IF(OR($A61="",AB$4=""),0,COUNTIFS(Formulas!$A$2:$A$1501,AB$4,Formulas!$B$2:$B$1501,$A61))</f>
        <v>0</v>
      </c>
      <c r="AC61" s="21" t="n">
        <f aca="false">IF(OR($A61="",AC$4=""),0,COUNTIFS(Formulas!$A$2:$A$1501,AC$4,Formulas!$B$2:$B$1501,$A61))</f>
        <v>0</v>
      </c>
      <c r="AD61" s="21" t="n">
        <f aca="false">IF(OR($A61="",AD$4=""),0,COUNTIFS(Formulas!$A$2:$A$1501,AD$4,Formulas!$B$2:$B$1501,$A61))</f>
        <v>0</v>
      </c>
      <c r="AE61" s="21" t="n">
        <f aca="false">IF(OR($A61="",AE$4=""),0,COUNTIFS(Formulas!$A$2:$A$1501,AE$4,Formulas!$B$2:$B$1501,$A61))</f>
        <v>0</v>
      </c>
      <c r="AF61" s="21" t="n">
        <f aca="false">IF(OR($A61="",AF$4=""),0,COUNTIFS(Formulas!$A$2:$A$1501,AF$4,Formulas!$B$2:$B$1501,$A61))</f>
        <v>0</v>
      </c>
      <c r="AG61" s="21" t="n">
        <f aca="false">IF(OR($A61="",AG$4=""),0,COUNTIFS(Formulas!$A$2:$A$1501,AG$4,Formulas!$B$2:$B$1501,$A61))</f>
        <v>0</v>
      </c>
      <c r="AH61" s="21" t="n">
        <f aca="false">IF(OR($A61="",AH$4=""),0,COUNTIFS(Formulas!$A$2:$A$1501,AH$4,Formulas!$B$2:$B$1501,$A61))</f>
        <v>0</v>
      </c>
      <c r="AI61" s="21" t="n">
        <f aca="false">IF(OR($A61="",AI$4=""),0,COUNTIFS(Formulas!$A$2:$A$1501,AI$4,Formulas!$B$2:$B$1501,$A61))</f>
        <v>0</v>
      </c>
      <c r="AJ61" s="21" t="n">
        <f aca="false">IF(OR($A61="",AJ$4=""),0,COUNTIFS(Formulas!$A$2:$A$1501,AJ$4,Formulas!$B$2:$B$1501,$A61))</f>
        <v>0</v>
      </c>
      <c r="AK61" s="21" t="n">
        <f aca="false">IF(OR($A61="",AK$4=""),0,COUNTIFS(Formulas!$A$2:$A$1501,AK$4,Formulas!$B$2:$B$1501,$A61))</f>
        <v>0</v>
      </c>
      <c r="AL61" s="21" t="n">
        <f aca="false">IF(OR($A61="",AL$4=""),0,COUNTIFS(Formulas!$A$2:$A$1501,AL$4,Formulas!$B$2:$B$1501,$A61))</f>
        <v>0</v>
      </c>
      <c r="AM61" s="21" t="n">
        <f aca="false">IF(OR($A61="",AM$4=""),0,COUNTIFS(Formulas!$A$2:$A$1501,AM$4,Formulas!$B$2:$B$1501,$A61))</f>
        <v>0</v>
      </c>
      <c r="AN61" s="21" t="n">
        <f aca="false">IF(OR($A61="",AN$4=""),0,COUNTIFS(Formulas!$A$2:$A$1501,AN$4,Formulas!$B$2:$B$1501,$A61))</f>
        <v>0</v>
      </c>
      <c r="AO61" s="21" t="n">
        <f aca="false">IF(OR($A61="",AO$4=""),0,COUNTIFS(Formulas!$A$2:$A$1501,AO$4,Formulas!$B$2:$B$1501,$A61))</f>
        <v>0</v>
      </c>
      <c r="AP61" s="21" t="n">
        <f aca="false">IF(OR($A61="",AP$4=""),0,COUNTIFS(Formulas!$A$2:$A$1501,AP$4,Formulas!$B$2:$B$1501,$A61))</f>
        <v>0</v>
      </c>
      <c r="AQ61" s="21" t="n">
        <f aca="false">IF(OR($A61="",AQ$4=""),0,COUNTIFS(Formulas!$A$2:$A$1501,AQ$4,Formulas!$B$2:$B$1501,$A61))</f>
        <v>0</v>
      </c>
      <c r="AR61" s="21" t="n">
        <f aca="false">IF(OR($A61="",AR$4=""),0,COUNTIFS(Formulas!$A$2:$A$1501,AR$4,Formulas!$B$2:$B$1501,$A61))</f>
        <v>0</v>
      </c>
      <c r="AS61" s="21" t="n">
        <f aca="false">IF(OR($A61="",AS$4=""),0,COUNTIFS(Formulas!$A$2:$A$1501,AS$4,Formulas!$B$2:$B$1501,$A61))</f>
        <v>0</v>
      </c>
      <c r="AT61" s="21" t="n">
        <f aca="false">IF(OR($A61="",AT$4=""),0,COUNTIFS(Formulas!$A$2:$A$1501,AT$4,Formulas!$B$2:$B$1501,$A61))</f>
        <v>0</v>
      </c>
      <c r="AU61" s="21" t="n">
        <f aca="false">IF(OR($A61="",AU$4=""),0,COUNTIFS(Formulas!$A$2:$A$1501,AU$4,Formulas!$B$2:$B$1501,$A61))</f>
        <v>0</v>
      </c>
      <c r="AV61" s="21" t="n">
        <f aca="false">IF(OR($A61="",AV$4=""),0,COUNTIFS(Formulas!$A$2:$A$1501,AV$4,Formulas!$B$2:$B$1501,$A61))</f>
        <v>0</v>
      </c>
      <c r="AW61" s="21" t="n">
        <f aca="false">IF(OR($A61="",AW$4=""),0,COUNTIFS(Formulas!$A$2:$A$1501,AW$4,Formulas!$B$2:$B$1501,$A61))</f>
        <v>0</v>
      </c>
      <c r="AX61" s="21" t="n">
        <f aca="false">IF(OR($A61="",AX$4=""),0,COUNTIFS(Formulas!$A$2:$A$1501,AX$4,Formulas!$B$2:$B$1501,$A61))</f>
        <v>0</v>
      </c>
      <c r="AY61" s="21" t="n">
        <f aca="false">IF(OR($A61="",AY$4=""),0,COUNTIFS(Formulas!$A$2:$A$1501,AY$4,Formulas!$B$2:$B$1501,$A61))</f>
        <v>0</v>
      </c>
      <c r="AZ61" s="21" t="n">
        <f aca="false">IF(OR($A61="",AZ$4=""),0,COUNTIFS(Formulas!$A$2:$A$1501,AZ$4,Formulas!$B$2:$B$1501,$A61))</f>
        <v>0</v>
      </c>
      <c r="BA61" s="21" t="n">
        <f aca="false">IF(OR($A61="",BA$4=""),0,COUNTIFS(Formulas!$A$2:$A$1501,BA$4,Formulas!$B$2:$B$1501,$A61))</f>
        <v>0</v>
      </c>
      <c r="BB61" s="21" t="n">
        <f aca="false">IF(OR($A61="",BB$4=""),0,COUNTIFS(Formulas!$A$2:$A$1501,BB$4,Formulas!$B$2:$B$1501,$A61))</f>
        <v>0</v>
      </c>
      <c r="BC61" s="21" t="n">
        <f aca="false">IF(OR($A61="",BC$4=""),0,COUNTIFS(Formulas!$A$2:$A$1501,BC$4,Formulas!$B$2:$B$1501,$A61))</f>
        <v>0</v>
      </c>
      <c r="BD61" s="21" t="n">
        <f aca="false">IF(OR($A61="",BD$4=""),0,COUNTIFS(Formulas!$A$2:$A$1501,BD$4,Formulas!$B$2:$B$1501,$A61))</f>
        <v>0</v>
      </c>
      <c r="BE61" s="21" t="n">
        <f aca="false">IF(OR($A61="",BE$4=""),0,COUNTIFS(Formulas!$A$2:$A$1501,BE$4,Formulas!$B$2:$B$1501,$A61))</f>
        <v>0</v>
      </c>
      <c r="BF61" s="21" t="n">
        <f aca="false">IF(OR($A61="",BF$4=""),0,COUNTIFS(Formulas!$A$2:$A$1501,BF$4,Formulas!$B$2:$B$1501,$A61))</f>
        <v>0</v>
      </c>
      <c r="BG61" s="21" t="n">
        <f aca="false">IF(OR($A61="",BG$4=""),0,COUNTIFS(Formulas!$A$2:$A$1501,BG$4,Formulas!$B$2:$B$1501,$A61))</f>
        <v>0</v>
      </c>
      <c r="BH61" s="21" t="n">
        <f aca="false">IF(OR($A61="",BH$4=""),0,COUNTIFS(Formulas!$A$2:$A$1501,BH$4,Formulas!$B$2:$B$1501,$A61))</f>
        <v>0</v>
      </c>
      <c r="BI61" s="21" t="n">
        <f aca="false">IF(OR($A61="",BI$4=""),0,COUNTIFS(Formulas!$A$2:$A$1501,BI$4,Formulas!$B$2:$B$1501,$A61))</f>
        <v>0</v>
      </c>
      <c r="BJ61" s="21" t="n">
        <f aca="false">IF(OR($A61="",BJ$4=""),0,COUNTIFS(Formulas!$A$2:$A$1501,BJ$4,Formulas!$B$2:$B$1501,$A61))</f>
        <v>0</v>
      </c>
    </row>
    <row r="62" customFormat="false" ht="15" hidden="false" customHeight="false" outlineLevel="0" collapsed="false">
      <c r="A62" s="13" t="str">
        <f aca="false">IF(INDEX(Materials!$A$2:$A$201,58)="","",INDEX(Materials!$A$2:$A$201,58))</f>
        <v/>
      </c>
      <c r="B62" s="19" t="str">
        <f aca="false">IF(A62="","",COUNTIF(C62:BJ62,"&gt;0"))</f>
        <v/>
      </c>
      <c r="C62" s="21" t="n">
        <f aca="false">IF(OR($A62="",C$4=""),0,COUNTIFS(Formulas!$A$2:$A$1501,C$4,Formulas!$B$2:$B$1501,$A62))</f>
        <v>0</v>
      </c>
      <c r="D62" s="21" t="n">
        <f aca="false">IF(OR($A62="",D$4=""),0,COUNTIFS(Formulas!$A$2:$A$1501,D$4,Formulas!$B$2:$B$1501,$A62))</f>
        <v>0</v>
      </c>
      <c r="E62" s="21" t="n">
        <f aca="false">IF(OR($A62="",E$4=""),0,COUNTIFS(Formulas!$A$2:$A$1501,E$4,Formulas!$B$2:$B$1501,$A62))</f>
        <v>0</v>
      </c>
      <c r="F62" s="21" t="n">
        <f aca="false">IF(OR($A62="",F$4=""),0,COUNTIFS(Formulas!$A$2:$A$1501,F$4,Formulas!$B$2:$B$1501,$A62))</f>
        <v>0</v>
      </c>
      <c r="G62" s="21" t="n">
        <f aca="false">IF(OR($A62="",G$4=""),0,COUNTIFS(Formulas!$A$2:$A$1501,G$4,Formulas!$B$2:$B$1501,$A62))</f>
        <v>0</v>
      </c>
      <c r="H62" s="21" t="n">
        <f aca="false">IF(OR($A62="",H$4=""),0,COUNTIFS(Formulas!$A$2:$A$1501,H$4,Formulas!$B$2:$B$1501,$A62))</f>
        <v>0</v>
      </c>
      <c r="I62" s="21" t="n">
        <f aca="false">IF(OR($A62="",I$4=""),0,COUNTIFS(Formulas!$A$2:$A$1501,I$4,Formulas!$B$2:$B$1501,$A62))</f>
        <v>0</v>
      </c>
      <c r="J62" s="21" t="n">
        <f aca="false">IF(OR($A62="",J$4=""),0,COUNTIFS(Formulas!$A$2:$A$1501,J$4,Formulas!$B$2:$B$1501,$A62))</f>
        <v>0</v>
      </c>
      <c r="K62" s="21" t="n">
        <f aca="false">IF(OR($A62="",K$4=""),0,COUNTIFS(Formulas!$A$2:$A$1501,K$4,Formulas!$B$2:$B$1501,$A62))</f>
        <v>0</v>
      </c>
      <c r="L62" s="21" t="n">
        <f aca="false">IF(OR($A62="",L$4=""),0,COUNTIFS(Formulas!$A$2:$A$1501,L$4,Formulas!$B$2:$B$1501,$A62))</f>
        <v>0</v>
      </c>
      <c r="M62" s="21" t="n">
        <f aca="false">IF(OR($A62="",M$4=""),0,COUNTIFS(Formulas!$A$2:$A$1501,M$4,Formulas!$B$2:$B$1501,$A62))</f>
        <v>0</v>
      </c>
      <c r="N62" s="21" t="n">
        <f aca="false">IF(OR($A62="",N$4=""),0,COUNTIFS(Formulas!$A$2:$A$1501,N$4,Formulas!$B$2:$B$1501,$A62))</f>
        <v>0</v>
      </c>
      <c r="O62" s="21" t="n">
        <f aca="false">IF(OR($A62="",O$4=""),0,COUNTIFS(Formulas!$A$2:$A$1501,O$4,Formulas!$B$2:$B$1501,$A62))</f>
        <v>0</v>
      </c>
      <c r="P62" s="21" t="n">
        <f aca="false">IF(OR($A62="",P$4=""),0,COUNTIFS(Formulas!$A$2:$A$1501,P$4,Formulas!$B$2:$B$1501,$A62))</f>
        <v>0</v>
      </c>
      <c r="Q62" s="21" t="n">
        <f aca="false">IF(OR($A62="",Q$4=""),0,COUNTIFS(Formulas!$A$2:$A$1501,Q$4,Formulas!$B$2:$B$1501,$A62))</f>
        <v>0</v>
      </c>
      <c r="R62" s="21" t="n">
        <f aca="false">IF(OR($A62="",R$4=""),0,COUNTIFS(Formulas!$A$2:$A$1501,R$4,Formulas!$B$2:$B$1501,$A62))</f>
        <v>0</v>
      </c>
      <c r="S62" s="21" t="n">
        <f aca="false">IF(OR($A62="",S$4=""),0,COUNTIFS(Formulas!$A$2:$A$1501,S$4,Formulas!$B$2:$B$1501,$A62))</f>
        <v>0</v>
      </c>
      <c r="T62" s="21" t="n">
        <f aca="false">IF(OR($A62="",T$4=""),0,COUNTIFS(Formulas!$A$2:$A$1501,T$4,Formulas!$B$2:$B$1501,$A62))</f>
        <v>0</v>
      </c>
      <c r="U62" s="21" t="n">
        <f aca="false">IF(OR($A62="",U$4=""),0,COUNTIFS(Formulas!$A$2:$A$1501,U$4,Formulas!$B$2:$B$1501,$A62))</f>
        <v>0</v>
      </c>
      <c r="V62" s="21" t="n">
        <f aca="false">IF(OR($A62="",V$4=""),0,COUNTIFS(Formulas!$A$2:$A$1501,V$4,Formulas!$B$2:$B$1501,$A62))</f>
        <v>0</v>
      </c>
      <c r="W62" s="21" t="n">
        <f aca="false">IF(OR($A62="",W$4=""),0,COUNTIFS(Formulas!$A$2:$A$1501,W$4,Formulas!$B$2:$B$1501,$A62))</f>
        <v>0</v>
      </c>
      <c r="X62" s="21" t="n">
        <f aca="false">IF(OR($A62="",X$4=""),0,COUNTIFS(Formulas!$A$2:$A$1501,X$4,Formulas!$B$2:$B$1501,$A62))</f>
        <v>0</v>
      </c>
      <c r="Y62" s="21" t="n">
        <f aca="false">IF(OR($A62="",Y$4=""),0,COUNTIFS(Formulas!$A$2:$A$1501,Y$4,Formulas!$B$2:$B$1501,$A62))</f>
        <v>0</v>
      </c>
      <c r="Z62" s="21" t="n">
        <f aca="false">IF(OR($A62="",Z$4=""),0,COUNTIFS(Formulas!$A$2:$A$1501,Z$4,Formulas!$B$2:$B$1501,$A62))</f>
        <v>0</v>
      </c>
      <c r="AA62" s="21" t="n">
        <f aca="false">IF(OR($A62="",AA$4=""),0,COUNTIFS(Formulas!$A$2:$A$1501,AA$4,Formulas!$B$2:$B$1501,$A62))</f>
        <v>0</v>
      </c>
      <c r="AB62" s="21" t="n">
        <f aca="false">IF(OR($A62="",AB$4=""),0,COUNTIFS(Formulas!$A$2:$A$1501,AB$4,Formulas!$B$2:$B$1501,$A62))</f>
        <v>0</v>
      </c>
      <c r="AC62" s="21" t="n">
        <f aca="false">IF(OR($A62="",AC$4=""),0,COUNTIFS(Formulas!$A$2:$A$1501,AC$4,Formulas!$B$2:$B$1501,$A62))</f>
        <v>0</v>
      </c>
      <c r="AD62" s="21" t="n">
        <f aca="false">IF(OR($A62="",AD$4=""),0,COUNTIFS(Formulas!$A$2:$A$1501,AD$4,Formulas!$B$2:$B$1501,$A62))</f>
        <v>0</v>
      </c>
      <c r="AE62" s="21" t="n">
        <f aca="false">IF(OR($A62="",AE$4=""),0,COUNTIFS(Formulas!$A$2:$A$1501,AE$4,Formulas!$B$2:$B$1501,$A62))</f>
        <v>0</v>
      </c>
      <c r="AF62" s="21" t="n">
        <f aca="false">IF(OR($A62="",AF$4=""),0,COUNTIFS(Formulas!$A$2:$A$1501,AF$4,Formulas!$B$2:$B$1501,$A62))</f>
        <v>0</v>
      </c>
      <c r="AG62" s="21" t="n">
        <f aca="false">IF(OR($A62="",AG$4=""),0,COUNTIFS(Formulas!$A$2:$A$1501,AG$4,Formulas!$B$2:$B$1501,$A62))</f>
        <v>0</v>
      </c>
      <c r="AH62" s="21" t="n">
        <f aca="false">IF(OR($A62="",AH$4=""),0,COUNTIFS(Formulas!$A$2:$A$1501,AH$4,Formulas!$B$2:$B$1501,$A62))</f>
        <v>0</v>
      </c>
      <c r="AI62" s="21" t="n">
        <f aca="false">IF(OR($A62="",AI$4=""),0,COUNTIFS(Formulas!$A$2:$A$1501,AI$4,Formulas!$B$2:$B$1501,$A62))</f>
        <v>0</v>
      </c>
      <c r="AJ62" s="21" t="n">
        <f aca="false">IF(OR($A62="",AJ$4=""),0,COUNTIFS(Formulas!$A$2:$A$1501,AJ$4,Formulas!$B$2:$B$1501,$A62))</f>
        <v>0</v>
      </c>
      <c r="AK62" s="21" t="n">
        <f aca="false">IF(OR($A62="",AK$4=""),0,COUNTIFS(Formulas!$A$2:$A$1501,AK$4,Formulas!$B$2:$B$1501,$A62))</f>
        <v>0</v>
      </c>
      <c r="AL62" s="21" t="n">
        <f aca="false">IF(OR($A62="",AL$4=""),0,COUNTIFS(Formulas!$A$2:$A$1501,AL$4,Formulas!$B$2:$B$1501,$A62))</f>
        <v>0</v>
      </c>
      <c r="AM62" s="21" t="n">
        <f aca="false">IF(OR($A62="",AM$4=""),0,COUNTIFS(Formulas!$A$2:$A$1501,AM$4,Formulas!$B$2:$B$1501,$A62))</f>
        <v>0</v>
      </c>
      <c r="AN62" s="21" t="n">
        <f aca="false">IF(OR($A62="",AN$4=""),0,COUNTIFS(Formulas!$A$2:$A$1501,AN$4,Formulas!$B$2:$B$1501,$A62))</f>
        <v>0</v>
      </c>
      <c r="AO62" s="21" t="n">
        <f aca="false">IF(OR($A62="",AO$4=""),0,COUNTIFS(Formulas!$A$2:$A$1501,AO$4,Formulas!$B$2:$B$1501,$A62))</f>
        <v>0</v>
      </c>
      <c r="AP62" s="21" t="n">
        <f aca="false">IF(OR($A62="",AP$4=""),0,COUNTIFS(Formulas!$A$2:$A$1501,AP$4,Formulas!$B$2:$B$1501,$A62))</f>
        <v>0</v>
      </c>
      <c r="AQ62" s="21" t="n">
        <f aca="false">IF(OR($A62="",AQ$4=""),0,COUNTIFS(Formulas!$A$2:$A$1501,AQ$4,Formulas!$B$2:$B$1501,$A62))</f>
        <v>0</v>
      </c>
      <c r="AR62" s="21" t="n">
        <f aca="false">IF(OR($A62="",AR$4=""),0,COUNTIFS(Formulas!$A$2:$A$1501,AR$4,Formulas!$B$2:$B$1501,$A62))</f>
        <v>0</v>
      </c>
      <c r="AS62" s="21" t="n">
        <f aca="false">IF(OR($A62="",AS$4=""),0,COUNTIFS(Formulas!$A$2:$A$1501,AS$4,Formulas!$B$2:$B$1501,$A62))</f>
        <v>0</v>
      </c>
      <c r="AT62" s="21" t="n">
        <f aca="false">IF(OR($A62="",AT$4=""),0,COUNTIFS(Formulas!$A$2:$A$1501,AT$4,Formulas!$B$2:$B$1501,$A62))</f>
        <v>0</v>
      </c>
      <c r="AU62" s="21" t="n">
        <f aca="false">IF(OR($A62="",AU$4=""),0,COUNTIFS(Formulas!$A$2:$A$1501,AU$4,Formulas!$B$2:$B$1501,$A62))</f>
        <v>0</v>
      </c>
      <c r="AV62" s="21" t="n">
        <f aca="false">IF(OR($A62="",AV$4=""),0,COUNTIFS(Formulas!$A$2:$A$1501,AV$4,Formulas!$B$2:$B$1501,$A62))</f>
        <v>0</v>
      </c>
      <c r="AW62" s="21" t="n">
        <f aca="false">IF(OR($A62="",AW$4=""),0,COUNTIFS(Formulas!$A$2:$A$1501,AW$4,Formulas!$B$2:$B$1501,$A62))</f>
        <v>0</v>
      </c>
      <c r="AX62" s="21" t="n">
        <f aca="false">IF(OR($A62="",AX$4=""),0,COUNTIFS(Formulas!$A$2:$A$1501,AX$4,Formulas!$B$2:$B$1501,$A62))</f>
        <v>0</v>
      </c>
      <c r="AY62" s="21" t="n">
        <f aca="false">IF(OR($A62="",AY$4=""),0,COUNTIFS(Formulas!$A$2:$A$1501,AY$4,Formulas!$B$2:$B$1501,$A62))</f>
        <v>0</v>
      </c>
      <c r="AZ62" s="21" t="n">
        <f aca="false">IF(OR($A62="",AZ$4=""),0,COUNTIFS(Formulas!$A$2:$A$1501,AZ$4,Formulas!$B$2:$B$1501,$A62))</f>
        <v>0</v>
      </c>
      <c r="BA62" s="21" t="n">
        <f aca="false">IF(OR($A62="",BA$4=""),0,COUNTIFS(Formulas!$A$2:$A$1501,BA$4,Formulas!$B$2:$B$1501,$A62))</f>
        <v>0</v>
      </c>
      <c r="BB62" s="21" t="n">
        <f aca="false">IF(OR($A62="",BB$4=""),0,COUNTIFS(Formulas!$A$2:$A$1501,BB$4,Formulas!$B$2:$B$1501,$A62))</f>
        <v>0</v>
      </c>
      <c r="BC62" s="21" t="n">
        <f aca="false">IF(OR($A62="",BC$4=""),0,COUNTIFS(Formulas!$A$2:$A$1501,BC$4,Formulas!$B$2:$B$1501,$A62))</f>
        <v>0</v>
      </c>
      <c r="BD62" s="21" t="n">
        <f aca="false">IF(OR($A62="",BD$4=""),0,COUNTIFS(Formulas!$A$2:$A$1501,BD$4,Formulas!$B$2:$B$1501,$A62))</f>
        <v>0</v>
      </c>
      <c r="BE62" s="21" t="n">
        <f aca="false">IF(OR($A62="",BE$4=""),0,COUNTIFS(Formulas!$A$2:$A$1501,BE$4,Formulas!$B$2:$B$1501,$A62))</f>
        <v>0</v>
      </c>
      <c r="BF62" s="21" t="n">
        <f aca="false">IF(OR($A62="",BF$4=""),0,COUNTIFS(Formulas!$A$2:$A$1501,BF$4,Formulas!$B$2:$B$1501,$A62))</f>
        <v>0</v>
      </c>
      <c r="BG62" s="21" t="n">
        <f aca="false">IF(OR($A62="",BG$4=""),0,COUNTIFS(Formulas!$A$2:$A$1501,BG$4,Formulas!$B$2:$B$1501,$A62))</f>
        <v>0</v>
      </c>
      <c r="BH62" s="21" t="n">
        <f aca="false">IF(OR($A62="",BH$4=""),0,COUNTIFS(Formulas!$A$2:$A$1501,BH$4,Formulas!$B$2:$B$1501,$A62))</f>
        <v>0</v>
      </c>
      <c r="BI62" s="21" t="n">
        <f aca="false">IF(OR($A62="",BI$4=""),0,COUNTIFS(Formulas!$A$2:$A$1501,BI$4,Formulas!$B$2:$B$1501,$A62))</f>
        <v>0</v>
      </c>
      <c r="BJ62" s="21" t="n">
        <f aca="false">IF(OR($A62="",BJ$4=""),0,COUNTIFS(Formulas!$A$2:$A$1501,BJ$4,Formulas!$B$2:$B$1501,$A62))</f>
        <v>0</v>
      </c>
    </row>
    <row r="63" customFormat="false" ht="15" hidden="false" customHeight="false" outlineLevel="0" collapsed="false">
      <c r="A63" s="13" t="str">
        <f aca="false">IF(INDEX(Materials!$A$2:$A$201,59)="","",INDEX(Materials!$A$2:$A$201,59))</f>
        <v/>
      </c>
      <c r="B63" s="19" t="str">
        <f aca="false">IF(A63="","",COUNTIF(C63:BJ63,"&gt;0"))</f>
        <v/>
      </c>
      <c r="C63" s="21" t="n">
        <f aca="false">IF(OR($A63="",C$4=""),0,COUNTIFS(Formulas!$A$2:$A$1501,C$4,Formulas!$B$2:$B$1501,$A63))</f>
        <v>0</v>
      </c>
      <c r="D63" s="21" t="n">
        <f aca="false">IF(OR($A63="",D$4=""),0,COUNTIFS(Formulas!$A$2:$A$1501,D$4,Formulas!$B$2:$B$1501,$A63))</f>
        <v>0</v>
      </c>
      <c r="E63" s="21" t="n">
        <f aca="false">IF(OR($A63="",E$4=""),0,COUNTIFS(Formulas!$A$2:$A$1501,E$4,Formulas!$B$2:$B$1501,$A63))</f>
        <v>0</v>
      </c>
      <c r="F63" s="21" t="n">
        <f aca="false">IF(OR($A63="",F$4=""),0,COUNTIFS(Formulas!$A$2:$A$1501,F$4,Formulas!$B$2:$B$1501,$A63))</f>
        <v>0</v>
      </c>
      <c r="G63" s="21" t="n">
        <f aca="false">IF(OR($A63="",G$4=""),0,COUNTIFS(Formulas!$A$2:$A$1501,G$4,Formulas!$B$2:$B$1501,$A63))</f>
        <v>0</v>
      </c>
      <c r="H63" s="21" t="n">
        <f aca="false">IF(OR($A63="",H$4=""),0,COUNTIFS(Formulas!$A$2:$A$1501,H$4,Formulas!$B$2:$B$1501,$A63))</f>
        <v>0</v>
      </c>
      <c r="I63" s="21" t="n">
        <f aca="false">IF(OR($A63="",I$4=""),0,COUNTIFS(Formulas!$A$2:$A$1501,I$4,Formulas!$B$2:$B$1501,$A63))</f>
        <v>0</v>
      </c>
      <c r="J63" s="21" t="n">
        <f aca="false">IF(OR($A63="",J$4=""),0,COUNTIFS(Formulas!$A$2:$A$1501,J$4,Formulas!$B$2:$B$1501,$A63))</f>
        <v>0</v>
      </c>
      <c r="K63" s="21" t="n">
        <f aca="false">IF(OR($A63="",K$4=""),0,COUNTIFS(Formulas!$A$2:$A$1501,K$4,Formulas!$B$2:$B$1501,$A63))</f>
        <v>0</v>
      </c>
      <c r="L63" s="21" t="n">
        <f aca="false">IF(OR($A63="",L$4=""),0,COUNTIFS(Formulas!$A$2:$A$1501,L$4,Formulas!$B$2:$B$1501,$A63))</f>
        <v>0</v>
      </c>
      <c r="M63" s="21" t="n">
        <f aca="false">IF(OR($A63="",M$4=""),0,COUNTIFS(Formulas!$A$2:$A$1501,M$4,Formulas!$B$2:$B$1501,$A63))</f>
        <v>0</v>
      </c>
      <c r="N63" s="21" t="n">
        <f aca="false">IF(OR($A63="",N$4=""),0,COUNTIFS(Formulas!$A$2:$A$1501,N$4,Formulas!$B$2:$B$1501,$A63))</f>
        <v>0</v>
      </c>
      <c r="O63" s="21" t="n">
        <f aca="false">IF(OR($A63="",O$4=""),0,COUNTIFS(Formulas!$A$2:$A$1501,O$4,Formulas!$B$2:$B$1501,$A63))</f>
        <v>0</v>
      </c>
      <c r="P63" s="21" t="n">
        <f aca="false">IF(OR($A63="",P$4=""),0,COUNTIFS(Formulas!$A$2:$A$1501,P$4,Formulas!$B$2:$B$1501,$A63))</f>
        <v>0</v>
      </c>
      <c r="Q63" s="21" t="n">
        <f aca="false">IF(OR($A63="",Q$4=""),0,COUNTIFS(Formulas!$A$2:$A$1501,Q$4,Formulas!$B$2:$B$1501,$A63))</f>
        <v>0</v>
      </c>
      <c r="R63" s="21" t="n">
        <f aca="false">IF(OR($A63="",R$4=""),0,COUNTIFS(Formulas!$A$2:$A$1501,R$4,Formulas!$B$2:$B$1501,$A63))</f>
        <v>0</v>
      </c>
      <c r="S63" s="21" t="n">
        <f aca="false">IF(OR($A63="",S$4=""),0,COUNTIFS(Formulas!$A$2:$A$1501,S$4,Formulas!$B$2:$B$1501,$A63))</f>
        <v>0</v>
      </c>
      <c r="T63" s="21" t="n">
        <f aca="false">IF(OR($A63="",T$4=""),0,COUNTIFS(Formulas!$A$2:$A$1501,T$4,Formulas!$B$2:$B$1501,$A63))</f>
        <v>0</v>
      </c>
      <c r="U63" s="21" t="n">
        <f aca="false">IF(OR($A63="",U$4=""),0,COUNTIFS(Formulas!$A$2:$A$1501,U$4,Formulas!$B$2:$B$1501,$A63))</f>
        <v>0</v>
      </c>
      <c r="V63" s="21" t="n">
        <f aca="false">IF(OR($A63="",V$4=""),0,COUNTIFS(Formulas!$A$2:$A$1501,V$4,Formulas!$B$2:$B$1501,$A63))</f>
        <v>0</v>
      </c>
      <c r="W63" s="21" t="n">
        <f aca="false">IF(OR($A63="",W$4=""),0,COUNTIFS(Formulas!$A$2:$A$1501,W$4,Formulas!$B$2:$B$1501,$A63))</f>
        <v>0</v>
      </c>
      <c r="X63" s="21" t="n">
        <f aca="false">IF(OR($A63="",X$4=""),0,COUNTIFS(Formulas!$A$2:$A$1501,X$4,Formulas!$B$2:$B$1501,$A63))</f>
        <v>0</v>
      </c>
      <c r="Y63" s="21" t="n">
        <f aca="false">IF(OR($A63="",Y$4=""),0,COUNTIFS(Formulas!$A$2:$A$1501,Y$4,Formulas!$B$2:$B$1501,$A63))</f>
        <v>0</v>
      </c>
      <c r="Z63" s="21" t="n">
        <f aca="false">IF(OR($A63="",Z$4=""),0,COUNTIFS(Formulas!$A$2:$A$1501,Z$4,Formulas!$B$2:$B$1501,$A63))</f>
        <v>0</v>
      </c>
      <c r="AA63" s="21" t="n">
        <f aca="false">IF(OR($A63="",AA$4=""),0,COUNTIFS(Formulas!$A$2:$A$1501,AA$4,Formulas!$B$2:$B$1501,$A63))</f>
        <v>0</v>
      </c>
      <c r="AB63" s="21" t="n">
        <f aca="false">IF(OR($A63="",AB$4=""),0,COUNTIFS(Formulas!$A$2:$A$1501,AB$4,Formulas!$B$2:$B$1501,$A63))</f>
        <v>0</v>
      </c>
      <c r="AC63" s="21" t="n">
        <f aca="false">IF(OR($A63="",AC$4=""),0,COUNTIFS(Formulas!$A$2:$A$1501,AC$4,Formulas!$B$2:$B$1501,$A63))</f>
        <v>0</v>
      </c>
      <c r="AD63" s="21" t="n">
        <f aca="false">IF(OR($A63="",AD$4=""),0,COUNTIFS(Formulas!$A$2:$A$1501,AD$4,Formulas!$B$2:$B$1501,$A63))</f>
        <v>0</v>
      </c>
      <c r="AE63" s="21" t="n">
        <f aca="false">IF(OR($A63="",AE$4=""),0,COUNTIFS(Formulas!$A$2:$A$1501,AE$4,Formulas!$B$2:$B$1501,$A63))</f>
        <v>0</v>
      </c>
      <c r="AF63" s="21" t="n">
        <f aca="false">IF(OR($A63="",AF$4=""),0,COUNTIFS(Formulas!$A$2:$A$1501,AF$4,Formulas!$B$2:$B$1501,$A63))</f>
        <v>0</v>
      </c>
      <c r="AG63" s="21" t="n">
        <f aca="false">IF(OR($A63="",AG$4=""),0,COUNTIFS(Formulas!$A$2:$A$1501,AG$4,Formulas!$B$2:$B$1501,$A63))</f>
        <v>0</v>
      </c>
      <c r="AH63" s="21" t="n">
        <f aca="false">IF(OR($A63="",AH$4=""),0,COUNTIFS(Formulas!$A$2:$A$1501,AH$4,Formulas!$B$2:$B$1501,$A63))</f>
        <v>0</v>
      </c>
      <c r="AI63" s="21" t="n">
        <f aca="false">IF(OR($A63="",AI$4=""),0,COUNTIFS(Formulas!$A$2:$A$1501,AI$4,Formulas!$B$2:$B$1501,$A63))</f>
        <v>0</v>
      </c>
      <c r="AJ63" s="21" t="n">
        <f aca="false">IF(OR($A63="",AJ$4=""),0,COUNTIFS(Formulas!$A$2:$A$1501,AJ$4,Formulas!$B$2:$B$1501,$A63))</f>
        <v>0</v>
      </c>
      <c r="AK63" s="21" t="n">
        <f aca="false">IF(OR($A63="",AK$4=""),0,COUNTIFS(Formulas!$A$2:$A$1501,AK$4,Formulas!$B$2:$B$1501,$A63))</f>
        <v>0</v>
      </c>
      <c r="AL63" s="21" t="n">
        <f aca="false">IF(OR($A63="",AL$4=""),0,COUNTIFS(Formulas!$A$2:$A$1501,AL$4,Formulas!$B$2:$B$1501,$A63))</f>
        <v>0</v>
      </c>
      <c r="AM63" s="21" t="n">
        <f aca="false">IF(OR($A63="",AM$4=""),0,COUNTIFS(Formulas!$A$2:$A$1501,AM$4,Formulas!$B$2:$B$1501,$A63))</f>
        <v>0</v>
      </c>
      <c r="AN63" s="21" t="n">
        <f aca="false">IF(OR($A63="",AN$4=""),0,COUNTIFS(Formulas!$A$2:$A$1501,AN$4,Formulas!$B$2:$B$1501,$A63))</f>
        <v>0</v>
      </c>
      <c r="AO63" s="21" t="n">
        <f aca="false">IF(OR($A63="",AO$4=""),0,COUNTIFS(Formulas!$A$2:$A$1501,AO$4,Formulas!$B$2:$B$1501,$A63))</f>
        <v>0</v>
      </c>
      <c r="AP63" s="21" t="n">
        <f aca="false">IF(OR($A63="",AP$4=""),0,COUNTIFS(Formulas!$A$2:$A$1501,AP$4,Formulas!$B$2:$B$1501,$A63))</f>
        <v>0</v>
      </c>
      <c r="AQ63" s="21" t="n">
        <f aca="false">IF(OR($A63="",AQ$4=""),0,COUNTIFS(Formulas!$A$2:$A$1501,AQ$4,Formulas!$B$2:$B$1501,$A63))</f>
        <v>0</v>
      </c>
      <c r="AR63" s="21" t="n">
        <f aca="false">IF(OR($A63="",AR$4=""),0,COUNTIFS(Formulas!$A$2:$A$1501,AR$4,Formulas!$B$2:$B$1501,$A63))</f>
        <v>0</v>
      </c>
      <c r="AS63" s="21" t="n">
        <f aca="false">IF(OR($A63="",AS$4=""),0,COUNTIFS(Formulas!$A$2:$A$1501,AS$4,Formulas!$B$2:$B$1501,$A63))</f>
        <v>0</v>
      </c>
      <c r="AT63" s="21" t="n">
        <f aca="false">IF(OR($A63="",AT$4=""),0,COUNTIFS(Formulas!$A$2:$A$1501,AT$4,Formulas!$B$2:$B$1501,$A63))</f>
        <v>0</v>
      </c>
      <c r="AU63" s="21" t="n">
        <f aca="false">IF(OR($A63="",AU$4=""),0,COUNTIFS(Formulas!$A$2:$A$1501,AU$4,Formulas!$B$2:$B$1501,$A63))</f>
        <v>0</v>
      </c>
      <c r="AV63" s="21" t="n">
        <f aca="false">IF(OR($A63="",AV$4=""),0,COUNTIFS(Formulas!$A$2:$A$1501,AV$4,Formulas!$B$2:$B$1501,$A63))</f>
        <v>0</v>
      </c>
      <c r="AW63" s="21" t="n">
        <f aca="false">IF(OR($A63="",AW$4=""),0,COUNTIFS(Formulas!$A$2:$A$1501,AW$4,Formulas!$B$2:$B$1501,$A63))</f>
        <v>0</v>
      </c>
      <c r="AX63" s="21" t="n">
        <f aca="false">IF(OR($A63="",AX$4=""),0,COUNTIFS(Formulas!$A$2:$A$1501,AX$4,Formulas!$B$2:$B$1501,$A63))</f>
        <v>0</v>
      </c>
      <c r="AY63" s="21" t="n">
        <f aca="false">IF(OR($A63="",AY$4=""),0,COUNTIFS(Formulas!$A$2:$A$1501,AY$4,Formulas!$B$2:$B$1501,$A63))</f>
        <v>0</v>
      </c>
      <c r="AZ63" s="21" t="n">
        <f aca="false">IF(OR($A63="",AZ$4=""),0,COUNTIFS(Formulas!$A$2:$A$1501,AZ$4,Formulas!$B$2:$B$1501,$A63))</f>
        <v>0</v>
      </c>
      <c r="BA63" s="21" t="n">
        <f aca="false">IF(OR($A63="",BA$4=""),0,COUNTIFS(Formulas!$A$2:$A$1501,BA$4,Formulas!$B$2:$B$1501,$A63))</f>
        <v>0</v>
      </c>
      <c r="BB63" s="21" t="n">
        <f aca="false">IF(OR($A63="",BB$4=""),0,COUNTIFS(Formulas!$A$2:$A$1501,BB$4,Formulas!$B$2:$B$1501,$A63))</f>
        <v>0</v>
      </c>
      <c r="BC63" s="21" t="n">
        <f aca="false">IF(OR($A63="",BC$4=""),0,COUNTIFS(Formulas!$A$2:$A$1501,BC$4,Formulas!$B$2:$B$1501,$A63))</f>
        <v>0</v>
      </c>
      <c r="BD63" s="21" t="n">
        <f aca="false">IF(OR($A63="",BD$4=""),0,COUNTIFS(Formulas!$A$2:$A$1501,BD$4,Formulas!$B$2:$B$1501,$A63))</f>
        <v>0</v>
      </c>
      <c r="BE63" s="21" t="n">
        <f aca="false">IF(OR($A63="",BE$4=""),0,COUNTIFS(Formulas!$A$2:$A$1501,BE$4,Formulas!$B$2:$B$1501,$A63))</f>
        <v>0</v>
      </c>
      <c r="BF63" s="21" t="n">
        <f aca="false">IF(OR($A63="",BF$4=""),0,COUNTIFS(Formulas!$A$2:$A$1501,BF$4,Formulas!$B$2:$B$1501,$A63))</f>
        <v>0</v>
      </c>
      <c r="BG63" s="21" t="n">
        <f aca="false">IF(OR($A63="",BG$4=""),0,COUNTIFS(Formulas!$A$2:$A$1501,BG$4,Formulas!$B$2:$B$1501,$A63))</f>
        <v>0</v>
      </c>
      <c r="BH63" s="21" t="n">
        <f aca="false">IF(OR($A63="",BH$4=""),0,COUNTIFS(Formulas!$A$2:$A$1501,BH$4,Formulas!$B$2:$B$1501,$A63))</f>
        <v>0</v>
      </c>
      <c r="BI63" s="21" t="n">
        <f aca="false">IF(OR($A63="",BI$4=""),0,COUNTIFS(Formulas!$A$2:$A$1501,BI$4,Formulas!$B$2:$B$1501,$A63))</f>
        <v>0</v>
      </c>
      <c r="BJ63" s="21" t="n">
        <f aca="false">IF(OR($A63="",BJ$4=""),0,COUNTIFS(Formulas!$A$2:$A$1501,BJ$4,Formulas!$B$2:$B$1501,$A63))</f>
        <v>0</v>
      </c>
    </row>
    <row r="64" customFormat="false" ht="15" hidden="false" customHeight="false" outlineLevel="0" collapsed="false">
      <c r="A64" s="13" t="str">
        <f aca="false">IF(INDEX(Materials!$A$2:$A$201,60)="","",INDEX(Materials!$A$2:$A$201,60))</f>
        <v/>
      </c>
      <c r="B64" s="19" t="str">
        <f aca="false">IF(A64="","",COUNTIF(C64:BJ64,"&gt;0"))</f>
        <v/>
      </c>
      <c r="C64" s="21" t="n">
        <f aca="false">IF(OR($A64="",C$4=""),0,COUNTIFS(Formulas!$A$2:$A$1501,C$4,Formulas!$B$2:$B$1501,$A64))</f>
        <v>0</v>
      </c>
      <c r="D64" s="21" t="n">
        <f aca="false">IF(OR($A64="",D$4=""),0,COUNTIFS(Formulas!$A$2:$A$1501,D$4,Formulas!$B$2:$B$1501,$A64))</f>
        <v>0</v>
      </c>
      <c r="E64" s="21" t="n">
        <f aca="false">IF(OR($A64="",E$4=""),0,COUNTIFS(Formulas!$A$2:$A$1501,E$4,Formulas!$B$2:$B$1501,$A64))</f>
        <v>0</v>
      </c>
      <c r="F64" s="21" t="n">
        <f aca="false">IF(OR($A64="",F$4=""),0,COUNTIFS(Formulas!$A$2:$A$1501,F$4,Formulas!$B$2:$B$1501,$A64))</f>
        <v>0</v>
      </c>
      <c r="G64" s="21" t="n">
        <f aca="false">IF(OR($A64="",G$4=""),0,COUNTIFS(Formulas!$A$2:$A$1501,G$4,Formulas!$B$2:$B$1501,$A64))</f>
        <v>0</v>
      </c>
      <c r="H64" s="21" t="n">
        <f aca="false">IF(OR($A64="",H$4=""),0,COUNTIFS(Formulas!$A$2:$A$1501,H$4,Formulas!$B$2:$B$1501,$A64))</f>
        <v>0</v>
      </c>
      <c r="I64" s="21" t="n">
        <f aca="false">IF(OR($A64="",I$4=""),0,COUNTIFS(Formulas!$A$2:$A$1501,I$4,Formulas!$B$2:$B$1501,$A64))</f>
        <v>0</v>
      </c>
      <c r="J64" s="21" t="n">
        <f aca="false">IF(OR($A64="",J$4=""),0,COUNTIFS(Formulas!$A$2:$A$1501,J$4,Formulas!$B$2:$B$1501,$A64))</f>
        <v>0</v>
      </c>
      <c r="K64" s="21" t="n">
        <f aca="false">IF(OR($A64="",K$4=""),0,COUNTIFS(Formulas!$A$2:$A$1501,K$4,Formulas!$B$2:$B$1501,$A64))</f>
        <v>0</v>
      </c>
      <c r="L64" s="21" t="n">
        <f aca="false">IF(OR($A64="",L$4=""),0,COUNTIFS(Formulas!$A$2:$A$1501,L$4,Formulas!$B$2:$B$1501,$A64))</f>
        <v>0</v>
      </c>
      <c r="M64" s="21" t="n">
        <f aca="false">IF(OR($A64="",M$4=""),0,COUNTIFS(Formulas!$A$2:$A$1501,M$4,Formulas!$B$2:$B$1501,$A64))</f>
        <v>0</v>
      </c>
      <c r="N64" s="21" t="n">
        <f aca="false">IF(OR($A64="",N$4=""),0,COUNTIFS(Formulas!$A$2:$A$1501,N$4,Formulas!$B$2:$B$1501,$A64))</f>
        <v>0</v>
      </c>
      <c r="O64" s="21" t="n">
        <f aca="false">IF(OR($A64="",O$4=""),0,COUNTIFS(Formulas!$A$2:$A$1501,O$4,Formulas!$B$2:$B$1501,$A64))</f>
        <v>0</v>
      </c>
      <c r="P64" s="21" t="n">
        <f aca="false">IF(OR($A64="",P$4=""),0,COUNTIFS(Formulas!$A$2:$A$1501,P$4,Formulas!$B$2:$B$1501,$A64))</f>
        <v>0</v>
      </c>
      <c r="Q64" s="21" t="n">
        <f aca="false">IF(OR($A64="",Q$4=""),0,COUNTIFS(Formulas!$A$2:$A$1501,Q$4,Formulas!$B$2:$B$1501,$A64))</f>
        <v>0</v>
      </c>
      <c r="R64" s="21" t="n">
        <f aca="false">IF(OR($A64="",R$4=""),0,COUNTIFS(Formulas!$A$2:$A$1501,R$4,Formulas!$B$2:$B$1501,$A64))</f>
        <v>0</v>
      </c>
      <c r="S64" s="21" t="n">
        <f aca="false">IF(OR($A64="",S$4=""),0,COUNTIFS(Formulas!$A$2:$A$1501,S$4,Formulas!$B$2:$B$1501,$A64))</f>
        <v>0</v>
      </c>
      <c r="T64" s="21" t="n">
        <f aca="false">IF(OR($A64="",T$4=""),0,COUNTIFS(Formulas!$A$2:$A$1501,T$4,Formulas!$B$2:$B$1501,$A64))</f>
        <v>0</v>
      </c>
      <c r="U64" s="21" t="n">
        <f aca="false">IF(OR($A64="",U$4=""),0,COUNTIFS(Formulas!$A$2:$A$1501,U$4,Formulas!$B$2:$B$1501,$A64))</f>
        <v>0</v>
      </c>
      <c r="V64" s="21" t="n">
        <f aca="false">IF(OR($A64="",V$4=""),0,COUNTIFS(Formulas!$A$2:$A$1501,V$4,Formulas!$B$2:$B$1501,$A64))</f>
        <v>0</v>
      </c>
      <c r="W64" s="21" t="n">
        <f aca="false">IF(OR($A64="",W$4=""),0,COUNTIFS(Formulas!$A$2:$A$1501,W$4,Formulas!$B$2:$B$1501,$A64))</f>
        <v>0</v>
      </c>
      <c r="X64" s="21" t="n">
        <f aca="false">IF(OR($A64="",X$4=""),0,COUNTIFS(Formulas!$A$2:$A$1501,X$4,Formulas!$B$2:$B$1501,$A64))</f>
        <v>0</v>
      </c>
      <c r="Y64" s="21" t="n">
        <f aca="false">IF(OR($A64="",Y$4=""),0,COUNTIFS(Formulas!$A$2:$A$1501,Y$4,Formulas!$B$2:$B$1501,$A64))</f>
        <v>0</v>
      </c>
      <c r="Z64" s="21" t="n">
        <f aca="false">IF(OR($A64="",Z$4=""),0,COUNTIFS(Formulas!$A$2:$A$1501,Z$4,Formulas!$B$2:$B$1501,$A64))</f>
        <v>0</v>
      </c>
      <c r="AA64" s="21" t="n">
        <f aca="false">IF(OR($A64="",AA$4=""),0,COUNTIFS(Formulas!$A$2:$A$1501,AA$4,Formulas!$B$2:$B$1501,$A64))</f>
        <v>0</v>
      </c>
      <c r="AB64" s="21" t="n">
        <f aca="false">IF(OR($A64="",AB$4=""),0,COUNTIFS(Formulas!$A$2:$A$1501,AB$4,Formulas!$B$2:$B$1501,$A64))</f>
        <v>0</v>
      </c>
      <c r="AC64" s="21" t="n">
        <f aca="false">IF(OR($A64="",AC$4=""),0,COUNTIFS(Formulas!$A$2:$A$1501,AC$4,Formulas!$B$2:$B$1501,$A64))</f>
        <v>0</v>
      </c>
      <c r="AD64" s="21" t="n">
        <f aca="false">IF(OR($A64="",AD$4=""),0,COUNTIFS(Formulas!$A$2:$A$1501,AD$4,Formulas!$B$2:$B$1501,$A64))</f>
        <v>0</v>
      </c>
      <c r="AE64" s="21" t="n">
        <f aca="false">IF(OR($A64="",AE$4=""),0,COUNTIFS(Formulas!$A$2:$A$1501,AE$4,Formulas!$B$2:$B$1501,$A64))</f>
        <v>0</v>
      </c>
      <c r="AF64" s="21" t="n">
        <f aca="false">IF(OR($A64="",AF$4=""),0,COUNTIFS(Formulas!$A$2:$A$1501,AF$4,Formulas!$B$2:$B$1501,$A64))</f>
        <v>0</v>
      </c>
      <c r="AG64" s="21" t="n">
        <f aca="false">IF(OR($A64="",AG$4=""),0,COUNTIFS(Formulas!$A$2:$A$1501,AG$4,Formulas!$B$2:$B$1501,$A64))</f>
        <v>0</v>
      </c>
      <c r="AH64" s="21" t="n">
        <f aca="false">IF(OR($A64="",AH$4=""),0,COUNTIFS(Formulas!$A$2:$A$1501,AH$4,Formulas!$B$2:$B$1501,$A64))</f>
        <v>0</v>
      </c>
      <c r="AI64" s="21" t="n">
        <f aca="false">IF(OR($A64="",AI$4=""),0,COUNTIFS(Formulas!$A$2:$A$1501,AI$4,Formulas!$B$2:$B$1501,$A64))</f>
        <v>0</v>
      </c>
      <c r="AJ64" s="21" t="n">
        <f aca="false">IF(OR($A64="",AJ$4=""),0,COUNTIFS(Formulas!$A$2:$A$1501,AJ$4,Formulas!$B$2:$B$1501,$A64))</f>
        <v>0</v>
      </c>
      <c r="AK64" s="21" t="n">
        <f aca="false">IF(OR($A64="",AK$4=""),0,COUNTIFS(Formulas!$A$2:$A$1501,AK$4,Formulas!$B$2:$B$1501,$A64))</f>
        <v>0</v>
      </c>
      <c r="AL64" s="21" t="n">
        <f aca="false">IF(OR($A64="",AL$4=""),0,COUNTIFS(Formulas!$A$2:$A$1501,AL$4,Formulas!$B$2:$B$1501,$A64))</f>
        <v>0</v>
      </c>
      <c r="AM64" s="21" t="n">
        <f aca="false">IF(OR($A64="",AM$4=""),0,COUNTIFS(Formulas!$A$2:$A$1501,AM$4,Formulas!$B$2:$B$1501,$A64))</f>
        <v>0</v>
      </c>
      <c r="AN64" s="21" t="n">
        <f aca="false">IF(OR($A64="",AN$4=""),0,COUNTIFS(Formulas!$A$2:$A$1501,AN$4,Formulas!$B$2:$B$1501,$A64))</f>
        <v>0</v>
      </c>
      <c r="AO64" s="21" t="n">
        <f aca="false">IF(OR($A64="",AO$4=""),0,COUNTIFS(Formulas!$A$2:$A$1501,AO$4,Formulas!$B$2:$B$1501,$A64))</f>
        <v>0</v>
      </c>
      <c r="AP64" s="21" t="n">
        <f aca="false">IF(OR($A64="",AP$4=""),0,COUNTIFS(Formulas!$A$2:$A$1501,AP$4,Formulas!$B$2:$B$1501,$A64))</f>
        <v>0</v>
      </c>
      <c r="AQ64" s="21" t="n">
        <f aca="false">IF(OR($A64="",AQ$4=""),0,COUNTIFS(Formulas!$A$2:$A$1501,AQ$4,Formulas!$B$2:$B$1501,$A64))</f>
        <v>0</v>
      </c>
      <c r="AR64" s="21" t="n">
        <f aca="false">IF(OR($A64="",AR$4=""),0,COUNTIFS(Formulas!$A$2:$A$1501,AR$4,Formulas!$B$2:$B$1501,$A64))</f>
        <v>0</v>
      </c>
      <c r="AS64" s="21" t="n">
        <f aca="false">IF(OR($A64="",AS$4=""),0,COUNTIFS(Formulas!$A$2:$A$1501,AS$4,Formulas!$B$2:$B$1501,$A64))</f>
        <v>0</v>
      </c>
      <c r="AT64" s="21" t="n">
        <f aca="false">IF(OR($A64="",AT$4=""),0,COUNTIFS(Formulas!$A$2:$A$1501,AT$4,Formulas!$B$2:$B$1501,$A64))</f>
        <v>0</v>
      </c>
      <c r="AU64" s="21" t="n">
        <f aca="false">IF(OR($A64="",AU$4=""),0,COUNTIFS(Formulas!$A$2:$A$1501,AU$4,Formulas!$B$2:$B$1501,$A64))</f>
        <v>0</v>
      </c>
      <c r="AV64" s="21" t="n">
        <f aca="false">IF(OR($A64="",AV$4=""),0,COUNTIFS(Formulas!$A$2:$A$1501,AV$4,Formulas!$B$2:$B$1501,$A64))</f>
        <v>0</v>
      </c>
      <c r="AW64" s="21" t="n">
        <f aca="false">IF(OR($A64="",AW$4=""),0,COUNTIFS(Formulas!$A$2:$A$1501,AW$4,Formulas!$B$2:$B$1501,$A64))</f>
        <v>0</v>
      </c>
      <c r="AX64" s="21" t="n">
        <f aca="false">IF(OR($A64="",AX$4=""),0,COUNTIFS(Formulas!$A$2:$A$1501,AX$4,Formulas!$B$2:$B$1501,$A64))</f>
        <v>0</v>
      </c>
      <c r="AY64" s="21" t="n">
        <f aca="false">IF(OR($A64="",AY$4=""),0,COUNTIFS(Formulas!$A$2:$A$1501,AY$4,Formulas!$B$2:$B$1501,$A64))</f>
        <v>0</v>
      </c>
      <c r="AZ64" s="21" t="n">
        <f aca="false">IF(OR($A64="",AZ$4=""),0,COUNTIFS(Formulas!$A$2:$A$1501,AZ$4,Formulas!$B$2:$B$1501,$A64))</f>
        <v>0</v>
      </c>
      <c r="BA64" s="21" t="n">
        <f aca="false">IF(OR($A64="",BA$4=""),0,COUNTIFS(Formulas!$A$2:$A$1501,BA$4,Formulas!$B$2:$B$1501,$A64))</f>
        <v>0</v>
      </c>
      <c r="BB64" s="21" t="n">
        <f aca="false">IF(OR($A64="",BB$4=""),0,COUNTIFS(Formulas!$A$2:$A$1501,BB$4,Formulas!$B$2:$B$1501,$A64))</f>
        <v>0</v>
      </c>
      <c r="BC64" s="21" t="n">
        <f aca="false">IF(OR($A64="",BC$4=""),0,COUNTIFS(Formulas!$A$2:$A$1501,BC$4,Formulas!$B$2:$B$1501,$A64))</f>
        <v>0</v>
      </c>
      <c r="BD64" s="21" t="n">
        <f aca="false">IF(OR($A64="",BD$4=""),0,COUNTIFS(Formulas!$A$2:$A$1501,BD$4,Formulas!$B$2:$B$1501,$A64))</f>
        <v>0</v>
      </c>
      <c r="BE64" s="21" t="n">
        <f aca="false">IF(OR($A64="",BE$4=""),0,COUNTIFS(Formulas!$A$2:$A$1501,BE$4,Formulas!$B$2:$B$1501,$A64))</f>
        <v>0</v>
      </c>
      <c r="BF64" s="21" t="n">
        <f aca="false">IF(OR($A64="",BF$4=""),0,COUNTIFS(Formulas!$A$2:$A$1501,BF$4,Formulas!$B$2:$B$1501,$A64))</f>
        <v>0</v>
      </c>
      <c r="BG64" s="21" t="n">
        <f aca="false">IF(OR($A64="",BG$4=""),0,COUNTIFS(Formulas!$A$2:$A$1501,BG$4,Formulas!$B$2:$B$1501,$A64))</f>
        <v>0</v>
      </c>
      <c r="BH64" s="21" t="n">
        <f aca="false">IF(OR($A64="",BH$4=""),0,COUNTIFS(Formulas!$A$2:$A$1501,BH$4,Formulas!$B$2:$B$1501,$A64))</f>
        <v>0</v>
      </c>
      <c r="BI64" s="21" t="n">
        <f aca="false">IF(OR($A64="",BI$4=""),0,COUNTIFS(Formulas!$A$2:$A$1501,BI$4,Formulas!$B$2:$B$1501,$A64))</f>
        <v>0</v>
      </c>
      <c r="BJ64" s="21" t="n">
        <f aca="false">IF(OR($A64="",BJ$4=""),0,COUNTIFS(Formulas!$A$2:$A$1501,BJ$4,Formulas!$B$2:$B$1501,$A64))</f>
        <v>0</v>
      </c>
    </row>
    <row r="65" customFormat="false" ht="15" hidden="false" customHeight="false" outlineLevel="0" collapsed="false">
      <c r="A65" s="13" t="str">
        <f aca="false">IF(INDEX(Materials!$A$2:$A$201,61)="","",INDEX(Materials!$A$2:$A$201,61))</f>
        <v/>
      </c>
      <c r="B65" s="19" t="str">
        <f aca="false">IF(A65="","",COUNTIF(C65:BJ65,"&gt;0"))</f>
        <v/>
      </c>
      <c r="C65" s="21" t="n">
        <f aca="false">IF(OR($A65="",C$4=""),0,COUNTIFS(Formulas!$A$2:$A$1501,C$4,Formulas!$B$2:$B$1501,$A65))</f>
        <v>0</v>
      </c>
      <c r="D65" s="21" t="n">
        <f aca="false">IF(OR($A65="",D$4=""),0,COUNTIFS(Formulas!$A$2:$A$1501,D$4,Formulas!$B$2:$B$1501,$A65))</f>
        <v>0</v>
      </c>
      <c r="E65" s="21" t="n">
        <f aca="false">IF(OR($A65="",E$4=""),0,COUNTIFS(Formulas!$A$2:$A$1501,E$4,Formulas!$B$2:$B$1501,$A65))</f>
        <v>0</v>
      </c>
      <c r="F65" s="21" t="n">
        <f aca="false">IF(OR($A65="",F$4=""),0,COUNTIFS(Formulas!$A$2:$A$1501,F$4,Formulas!$B$2:$B$1501,$A65))</f>
        <v>0</v>
      </c>
      <c r="G65" s="21" t="n">
        <f aca="false">IF(OR($A65="",G$4=""),0,COUNTIFS(Formulas!$A$2:$A$1501,G$4,Formulas!$B$2:$B$1501,$A65))</f>
        <v>0</v>
      </c>
      <c r="H65" s="21" t="n">
        <f aca="false">IF(OR($A65="",H$4=""),0,COUNTIFS(Formulas!$A$2:$A$1501,H$4,Formulas!$B$2:$B$1501,$A65))</f>
        <v>0</v>
      </c>
      <c r="I65" s="21" t="n">
        <f aca="false">IF(OR($A65="",I$4=""),0,COUNTIFS(Formulas!$A$2:$A$1501,I$4,Formulas!$B$2:$B$1501,$A65))</f>
        <v>0</v>
      </c>
      <c r="J65" s="21" t="n">
        <f aca="false">IF(OR($A65="",J$4=""),0,COUNTIFS(Formulas!$A$2:$A$1501,J$4,Formulas!$B$2:$B$1501,$A65))</f>
        <v>0</v>
      </c>
      <c r="K65" s="21" t="n">
        <f aca="false">IF(OR($A65="",K$4=""),0,COUNTIFS(Formulas!$A$2:$A$1501,K$4,Formulas!$B$2:$B$1501,$A65))</f>
        <v>0</v>
      </c>
      <c r="L65" s="21" t="n">
        <f aca="false">IF(OR($A65="",L$4=""),0,COUNTIFS(Formulas!$A$2:$A$1501,L$4,Formulas!$B$2:$B$1501,$A65))</f>
        <v>0</v>
      </c>
      <c r="M65" s="21" t="n">
        <f aca="false">IF(OR($A65="",M$4=""),0,COUNTIFS(Formulas!$A$2:$A$1501,M$4,Formulas!$B$2:$B$1501,$A65))</f>
        <v>0</v>
      </c>
      <c r="N65" s="21" t="n">
        <f aca="false">IF(OR($A65="",N$4=""),0,COUNTIFS(Formulas!$A$2:$A$1501,N$4,Formulas!$B$2:$B$1501,$A65))</f>
        <v>0</v>
      </c>
      <c r="O65" s="21" t="n">
        <f aca="false">IF(OR($A65="",O$4=""),0,COUNTIFS(Formulas!$A$2:$A$1501,O$4,Formulas!$B$2:$B$1501,$A65))</f>
        <v>0</v>
      </c>
      <c r="P65" s="21" t="n">
        <f aca="false">IF(OR($A65="",P$4=""),0,COUNTIFS(Formulas!$A$2:$A$1501,P$4,Formulas!$B$2:$B$1501,$A65))</f>
        <v>0</v>
      </c>
      <c r="Q65" s="21" t="n">
        <f aca="false">IF(OR($A65="",Q$4=""),0,COUNTIFS(Formulas!$A$2:$A$1501,Q$4,Formulas!$B$2:$B$1501,$A65))</f>
        <v>0</v>
      </c>
      <c r="R65" s="21" t="n">
        <f aca="false">IF(OR($A65="",R$4=""),0,COUNTIFS(Formulas!$A$2:$A$1501,R$4,Formulas!$B$2:$B$1501,$A65))</f>
        <v>0</v>
      </c>
      <c r="S65" s="21" t="n">
        <f aca="false">IF(OR($A65="",S$4=""),0,COUNTIFS(Formulas!$A$2:$A$1501,S$4,Formulas!$B$2:$B$1501,$A65))</f>
        <v>0</v>
      </c>
      <c r="T65" s="21" t="n">
        <f aca="false">IF(OR($A65="",T$4=""),0,COUNTIFS(Formulas!$A$2:$A$1501,T$4,Formulas!$B$2:$B$1501,$A65))</f>
        <v>0</v>
      </c>
      <c r="U65" s="21" t="n">
        <f aca="false">IF(OR($A65="",U$4=""),0,COUNTIFS(Formulas!$A$2:$A$1501,U$4,Formulas!$B$2:$B$1501,$A65))</f>
        <v>0</v>
      </c>
      <c r="V65" s="21" t="n">
        <f aca="false">IF(OR($A65="",V$4=""),0,COUNTIFS(Formulas!$A$2:$A$1501,V$4,Formulas!$B$2:$B$1501,$A65))</f>
        <v>0</v>
      </c>
      <c r="W65" s="21" t="n">
        <f aca="false">IF(OR($A65="",W$4=""),0,COUNTIFS(Formulas!$A$2:$A$1501,W$4,Formulas!$B$2:$B$1501,$A65))</f>
        <v>0</v>
      </c>
      <c r="X65" s="21" t="n">
        <f aca="false">IF(OR($A65="",X$4=""),0,COUNTIFS(Formulas!$A$2:$A$1501,X$4,Formulas!$B$2:$B$1501,$A65))</f>
        <v>0</v>
      </c>
      <c r="Y65" s="21" t="n">
        <f aca="false">IF(OR($A65="",Y$4=""),0,COUNTIFS(Formulas!$A$2:$A$1501,Y$4,Formulas!$B$2:$B$1501,$A65))</f>
        <v>0</v>
      </c>
      <c r="Z65" s="21" t="n">
        <f aca="false">IF(OR($A65="",Z$4=""),0,COUNTIFS(Formulas!$A$2:$A$1501,Z$4,Formulas!$B$2:$B$1501,$A65))</f>
        <v>0</v>
      </c>
      <c r="AA65" s="21" t="n">
        <f aca="false">IF(OR($A65="",AA$4=""),0,COUNTIFS(Formulas!$A$2:$A$1501,AA$4,Formulas!$B$2:$B$1501,$A65))</f>
        <v>0</v>
      </c>
      <c r="AB65" s="21" t="n">
        <f aca="false">IF(OR($A65="",AB$4=""),0,COUNTIFS(Formulas!$A$2:$A$1501,AB$4,Formulas!$B$2:$B$1501,$A65))</f>
        <v>0</v>
      </c>
      <c r="AC65" s="21" t="n">
        <f aca="false">IF(OR($A65="",AC$4=""),0,COUNTIFS(Formulas!$A$2:$A$1501,AC$4,Formulas!$B$2:$B$1501,$A65))</f>
        <v>0</v>
      </c>
      <c r="AD65" s="21" t="n">
        <f aca="false">IF(OR($A65="",AD$4=""),0,COUNTIFS(Formulas!$A$2:$A$1501,AD$4,Formulas!$B$2:$B$1501,$A65))</f>
        <v>0</v>
      </c>
      <c r="AE65" s="21" t="n">
        <f aca="false">IF(OR($A65="",AE$4=""),0,COUNTIFS(Formulas!$A$2:$A$1501,AE$4,Formulas!$B$2:$B$1501,$A65))</f>
        <v>0</v>
      </c>
      <c r="AF65" s="21" t="n">
        <f aca="false">IF(OR($A65="",AF$4=""),0,COUNTIFS(Formulas!$A$2:$A$1501,AF$4,Formulas!$B$2:$B$1501,$A65))</f>
        <v>0</v>
      </c>
      <c r="AG65" s="21" t="n">
        <f aca="false">IF(OR($A65="",AG$4=""),0,COUNTIFS(Formulas!$A$2:$A$1501,AG$4,Formulas!$B$2:$B$1501,$A65))</f>
        <v>0</v>
      </c>
      <c r="AH65" s="21" t="n">
        <f aca="false">IF(OR($A65="",AH$4=""),0,COUNTIFS(Formulas!$A$2:$A$1501,AH$4,Formulas!$B$2:$B$1501,$A65))</f>
        <v>0</v>
      </c>
      <c r="AI65" s="21" t="n">
        <f aca="false">IF(OR($A65="",AI$4=""),0,COUNTIFS(Formulas!$A$2:$A$1501,AI$4,Formulas!$B$2:$B$1501,$A65))</f>
        <v>0</v>
      </c>
      <c r="AJ65" s="21" t="n">
        <f aca="false">IF(OR($A65="",AJ$4=""),0,COUNTIFS(Formulas!$A$2:$A$1501,AJ$4,Formulas!$B$2:$B$1501,$A65))</f>
        <v>0</v>
      </c>
      <c r="AK65" s="21" t="n">
        <f aca="false">IF(OR($A65="",AK$4=""),0,COUNTIFS(Formulas!$A$2:$A$1501,AK$4,Formulas!$B$2:$B$1501,$A65))</f>
        <v>0</v>
      </c>
      <c r="AL65" s="21" t="n">
        <f aca="false">IF(OR($A65="",AL$4=""),0,COUNTIFS(Formulas!$A$2:$A$1501,AL$4,Formulas!$B$2:$B$1501,$A65))</f>
        <v>0</v>
      </c>
      <c r="AM65" s="21" t="n">
        <f aca="false">IF(OR($A65="",AM$4=""),0,COUNTIFS(Formulas!$A$2:$A$1501,AM$4,Formulas!$B$2:$B$1501,$A65))</f>
        <v>0</v>
      </c>
      <c r="AN65" s="21" t="n">
        <f aca="false">IF(OR($A65="",AN$4=""),0,COUNTIFS(Formulas!$A$2:$A$1501,AN$4,Formulas!$B$2:$B$1501,$A65))</f>
        <v>0</v>
      </c>
      <c r="AO65" s="21" t="n">
        <f aca="false">IF(OR($A65="",AO$4=""),0,COUNTIFS(Formulas!$A$2:$A$1501,AO$4,Formulas!$B$2:$B$1501,$A65))</f>
        <v>0</v>
      </c>
      <c r="AP65" s="21" t="n">
        <f aca="false">IF(OR($A65="",AP$4=""),0,COUNTIFS(Formulas!$A$2:$A$1501,AP$4,Formulas!$B$2:$B$1501,$A65))</f>
        <v>0</v>
      </c>
      <c r="AQ65" s="21" t="n">
        <f aca="false">IF(OR($A65="",AQ$4=""),0,COUNTIFS(Formulas!$A$2:$A$1501,AQ$4,Formulas!$B$2:$B$1501,$A65))</f>
        <v>0</v>
      </c>
      <c r="AR65" s="21" t="n">
        <f aca="false">IF(OR($A65="",AR$4=""),0,COUNTIFS(Formulas!$A$2:$A$1501,AR$4,Formulas!$B$2:$B$1501,$A65))</f>
        <v>0</v>
      </c>
      <c r="AS65" s="21" t="n">
        <f aca="false">IF(OR($A65="",AS$4=""),0,COUNTIFS(Formulas!$A$2:$A$1501,AS$4,Formulas!$B$2:$B$1501,$A65))</f>
        <v>0</v>
      </c>
      <c r="AT65" s="21" t="n">
        <f aca="false">IF(OR($A65="",AT$4=""),0,COUNTIFS(Formulas!$A$2:$A$1501,AT$4,Formulas!$B$2:$B$1501,$A65))</f>
        <v>0</v>
      </c>
      <c r="AU65" s="21" t="n">
        <f aca="false">IF(OR($A65="",AU$4=""),0,COUNTIFS(Formulas!$A$2:$A$1501,AU$4,Formulas!$B$2:$B$1501,$A65))</f>
        <v>0</v>
      </c>
      <c r="AV65" s="21" t="n">
        <f aca="false">IF(OR($A65="",AV$4=""),0,COUNTIFS(Formulas!$A$2:$A$1501,AV$4,Formulas!$B$2:$B$1501,$A65))</f>
        <v>0</v>
      </c>
      <c r="AW65" s="21" t="n">
        <f aca="false">IF(OR($A65="",AW$4=""),0,COUNTIFS(Formulas!$A$2:$A$1501,AW$4,Formulas!$B$2:$B$1501,$A65))</f>
        <v>0</v>
      </c>
      <c r="AX65" s="21" t="n">
        <f aca="false">IF(OR($A65="",AX$4=""),0,COUNTIFS(Formulas!$A$2:$A$1501,AX$4,Formulas!$B$2:$B$1501,$A65))</f>
        <v>0</v>
      </c>
      <c r="AY65" s="21" t="n">
        <f aca="false">IF(OR($A65="",AY$4=""),0,COUNTIFS(Formulas!$A$2:$A$1501,AY$4,Formulas!$B$2:$B$1501,$A65))</f>
        <v>0</v>
      </c>
      <c r="AZ65" s="21" t="n">
        <f aca="false">IF(OR($A65="",AZ$4=""),0,COUNTIFS(Formulas!$A$2:$A$1501,AZ$4,Formulas!$B$2:$B$1501,$A65))</f>
        <v>0</v>
      </c>
      <c r="BA65" s="21" t="n">
        <f aca="false">IF(OR($A65="",BA$4=""),0,COUNTIFS(Formulas!$A$2:$A$1501,BA$4,Formulas!$B$2:$B$1501,$A65))</f>
        <v>0</v>
      </c>
      <c r="BB65" s="21" t="n">
        <f aca="false">IF(OR($A65="",BB$4=""),0,COUNTIFS(Formulas!$A$2:$A$1501,BB$4,Formulas!$B$2:$B$1501,$A65))</f>
        <v>0</v>
      </c>
      <c r="BC65" s="21" t="n">
        <f aca="false">IF(OR($A65="",BC$4=""),0,COUNTIFS(Formulas!$A$2:$A$1501,BC$4,Formulas!$B$2:$B$1501,$A65))</f>
        <v>0</v>
      </c>
      <c r="BD65" s="21" t="n">
        <f aca="false">IF(OR($A65="",BD$4=""),0,COUNTIFS(Formulas!$A$2:$A$1501,BD$4,Formulas!$B$2:$B$1501,$A65))</f>
        <v>0</v>
      </c>
      <c r="BE65" s="21" t="n">
        <f aca="false">IF(OR($A65="",BE$4=""),0,COUNTIFS(Formulas!$A$2:$A$1501,BE$4,Formulas!$B$2:$B$1501,$A65))</f>
        <v>0</v>
      </c>
      <c r="BF65" s="21" t="n">
        <f aca="false">IF(OR($A65="",BF$4=""),0,COUNTIFS(Formulas!$A$2:$A$1501,BF$4,Formulas!$B$2:$B$1501,$A65))</f>
        <v>0</v>
      </c>
      <c r="BG65" s="21" t="n">
        <f aca="false">IF(OR($A65="",BG$4=""),0,COUNTIFS(Formulas!$A$2:$A$1501,BG$4,Formulas!$B$2:$B$1501,$A65))</f>
        <v>0</v>
      </c>
      <c r="BH65" s="21" t="n">
        <f aca="false">IF(OR($A65="",BH$4=""),0,COUNTIFS(Formulas!$A$2:$A$1501,BH$4,Formulas!$B$2:$B$1501,$A65))</f>
        <v>0</v>
      </c>
      <c r="BI65" s="21" t="n">
        <f aca="false">IF(OR($A65="",BI$4=""),0,COUNTIFS(Formulas!$A$2:$A$1501,BI$4,Formulas!$B$2:$B$1501,$A65))</f>
        <v>0</v>
      </c>
      <c r="BJ65" s="21" t="n">
        <f aca="false">IF(OR($A65="",BJ$4=""),0,COUNTIFS(Formulas!$A$2:$A$1501,BJ$4,Formulas!$B$2:$B$1501,$A65))</f>
        <v>0</v>
      </c>
    </row>
    <row r="66" customFormat="false" ht="15" hidden="false" customHeight="false" outlineLevel="0" collapsed="false">
      <c r="A66" s="13" t="str">
        <f aca="false">IF(INDEX(Materials!$A$2:$A$201,62)="","",INDEX(Materials!$A$2:$A$201,62))</f>
        <v/>
      </c>
      <c r="B66" s="19" t="str">
        <f aca="false">IF(A66="","",COUNTIF(C66:BJ66,"&gt;0"))</f>
        <v/>
      </c>
      <c r="C66" s="21" t="n">
        <f aca="false">IF(OR($A66="",C$4=""),0,COUNTIFS(Formulas!$A$2:$A$1501,C$4,Formulas!$B$2:$B$1501,$A66))</f>
        <v>0</v>
      </c>
      <c r="D66" s="21" t="n">
        <f aca="false">IF(OR($A66="",D$4=""),0,COUNTIFS(Formulas!$A$2:$A$1501,D$4,Formulas!$B$2:$B$1501,$A66))</f>
        <v>0</v>
      </c>
      <c r="E66" s="21" t="n">
        <f aca="false">IF(OR($A66="",E$4=""),0,COUNTIFS(Formulas!$A$2:$A$1501,E$4,Formulas!$B$2:$B$1501,$A66))</f>
        <v>0</v>
      </c>
      <c r="F66" s="21" t="n">
        <f aca="false">IF(OR($A66="",F$4=""),0,COUNTIFS(Formulas!$A$2:$A$1501,F$4,Formulas!$B$2:$B$1501,$A66))</f>
        <v>0</v>
      </c>
      <c r="G66" s="21" t="n">
        <f aca="false">IF(OR($A66="",G$4=""),0,COUNTIFS(Formulas!$A$2:$A$1501,G$4,Formulas!$B$2:$B$1501,$A66))</f>
        <v>0</v>
      </c>
      <c r="H66" s="21" t="n">
        <f aca="false">IF(OR($A66="",H$4=""),0,COUNTIFS(Formulas!$A$2:$A$1501,H$4,Formulas!$B$2:$B$1501,$A66))</f>
        <v>0</v>
      </c>
      <c r="I66" s="21" t="n">
        <f aca="false">IF(OR($A66="",I$4=""),0,COUNTIFS(Formulas!$A$2:$A$1501,I$4,Formulas!$B$2:$B$1501,$A66))</f>
        <v>0</v>
      </c>
      <c r="J66" s="21" t="n">
        <f aca="false">IF(OR($A66="",J$4=""),0,COUNTIFS(Formulas!$A$2:$A$1501,J$4,Formulas!$B$2:$B$1501,$A66))</f>
        <v>0</v>
      </c>
      <c r="K66" s="21" t="n">
        <f aca="false">IF(OR($A66="",K$4=""),0,COUNTIFS(Formulas!$A$2:$A$1501,K$4,Formulas!$B$2:$B$1501,$A66))</f>
        <v>0</v>
      </c>
      <c r="L66" s="21" t="n">
        <f aca="false">IF(OR($A66="",L$4=""),0,COUNTIFS(Formulas!$A$2:$A$1501,L$4,Formulas!$B$2:$B$1501,$A66))</f>
        <v>0</v>
      </c>
      <c r="M66" s="21" t="n">
        <f aca="false">IF(OR($A66="",M$4=""),0,COUNTIFS(Formulas!$A$2:$A$1501,M$4,Formulas!$B$2:$B$1501,$A66))</f>
        <v>0</v>
      </c>
      <c r="N66" s="21" t="n">
        <f aca="false">IF(OR($A66="",N$4=""),0,COUNTIFS(Formulas!$A$2:$A$1501,N$4,Formulas!$B$2:$B$1501,$A66))</f>
        <v>0</v>
      </c>
      <c r="O66" s="21" t="n">
        <f aca="false">IF(OR($A66="",O$4=""),0,COUNTIFS(Formulas!$A$2:$A$1501,O$4,Formulas!$B$2:$B$1501,$A66))</f>
        <v>0</v>
      </c>
      <c r="P66" s="21" t="n">
        <f aca="false">IF(OR($A66="",P$4=""),0,COUNTIFS(Formulas!$A$2:$A$1501,P$4,Formulas!$B$2:$B$1501,$A66))</f>
        <v>0</v>
      </c>
      <c r="Q66" s="21" t="n">
        <f aca="false">IF(OR($A66="",Q$4=""),0,COUNTIFS(Formulas!$A$2:$A$1501,Q$4,Formulas!$B$2:$B$1501,$A66))</f>
        <v>0</v>
      </c>
      <c r="R66" s="21" t="n">
        <f aca="false">IF(OR($A66="",R$4=""),0,COUNTIFS(Formulas!$A$2:$A$1501,R$4,Formulas!$B$2:$B$1501,$A66))</f>
        <v>0</v>
      </c>
      <c r="S66" s="21" t="n">
        <f aca="false">IF(OR($A66="",S$4=""),0,COUNTIFS(Formulas!$A$2:$A$1501,S$4,Formulas!$B$2:$B$1501,$A66))</f>
        <v>0</v>
      </c>
      <c r="T66" s="21" t="n">
        <f aca="false">IF(OR($A66="",T$4=""),0,COUNTIFS(Formulas!$A$2:$A$1501,T$4,Formulas!$B$2:$B$1501,$A66))</f>
        <v>0</v>
      </c>
      <c r="U66" s="21" t="n">
        <f aca="false">IF(OR($A66="",U$4=""),0,COUNTIFS(Formulas!$A$2:$A$1501,U$4,Formulas!$B$2:$B$1501,$A66))</f>
        <v>0</v>
      </c>
      <c r="V66" s="21" t="n">
        <f aca="false">IF(OR($A66="",V$4=""),0,COUNTIFS(Formulas!$A$2:$A$1501,V$4,Formulas!$B$2:$B$1501,$A66))</f>
        <v>0</v>
      </c>
      <c r="W66" s="21" t="n">
        <f aca="false">IF(OR($A66="",W$4=""),0,COUNTIFS(Formulas!$A$2:$A$1501,W$4,Formulas!$B$2:$B$1501,$A66))</f>
        <v>0</v>
      </c>
      <c r="X66" s="21" t="n">
        <f aca="false">IF(OR($A66="",X$4=""),0,COUNTIFS(Formulas!$A$2:$A$1501,X$4,Formulas!$B$2:$B$1501,$A66))</f>
        <v>0</v>
      </c>
      <c r="Y66" s="21" t="n">
        <f aca="false">IF(OR($A66="",Y$4=""),0,COUNTIFS(Formulas!$A$2:$A$1501,Y$4,Formulas!$B$2:$B$1501,$A66))</f>
        <v>0</v>
      </c>
      <c r="Z66" s="21" t="n">
        <f aca="false">IF(OR($A66="",Z$4=""),0,COUNTIFS(Formulas!$A$2:$A$1501,Z$4,Formulas!$B$2:$B$1501,$A66))</f>
        <v>0</v>
      </c>
      <c r="AA66" s="21" t="n">
        <f aca="false">IF(OR($A66="",AA$4=""),0,COUNTIFS(Formulas!$A$2:$A$1501,AA$4,Formulas!$B$2:$B$1501,$A66))</f>
        <v>0</v>
      </c>
      <c r="AB66" s="21" t="n">
        <f aca="false">IF(OR($A66="",AB$4=""),0,COUNTIFS(Formulas!$A$2:$A$1501,AB$4,Formulas!$B$2:$B$1501,$A66))</f>
        <v>0</v>
      </c>
      <c r="AC66" s="21" t="n">
        <f aca="false">IF(OR($A66="",AC$4=""),0,COUNTIFS(Formulas!$A$2:$A$1501,AC$4,Formulas!$B$2:$B$1501,$A66))</f>
        <v>0</v>
      </c>
      <c r="AD66" s="21" t="n">
        <f aca="false">IF(OR($A66="",AD$4=""),0,COUNTIFS(Formulas!$A$2:$A$1501,AD$4,Formulas!$B$2:$B$1501,$A66))</f>
        <v>0</v>
      </c>
      <c r="AE66" s="21" t="n">
        <f aca="false">IF(OR($A66="",AE$4=""),0,COUNTIFS(Formulas!$A$2:$A$1501,AE$4,Formulas!$B$2:$B$1501,$A66))</f>
        <v>0</v>
      </c>
      <c r="AF66" s="21" t="n">
        <f aca="false">IF(OR($A66="",AF$4=""),0,COUNTIFS(Formulas!$A$2:$A$1501,AF$4,Formulas!$B$2:$B$1501,$A66))</f>
        <v>0</v>
      </c>
      <c r="AG66" s="21" t="n">
        <f aca="false">IF(OR($A66="",AG$4=""),0,COUNTIFS(Formulas!$A$2:$A$1501,AG$4,Formulas!$B$2:$B$1501,$A66))</f>
        <v>0</v>
      </c>
      <c r="AH66" s="21" t="n">
        <f aca="false">IF(OR($A66="",AH$4=""),0,COUNTIFS(Formulas!$A$2:$A$1501,AH$4,Formulas!$B$2:$B$1501,$A66))</f>
        <v>0</v>
      </c>
      <c r="AI66" s="21" t="n">
        <f aca="false">IF(OR($A66="",AI$4=""),0,COUNTIFS(Formulas!$A$2:$A$1501,AI$4,Formulas!$B$2:$B$1501,$A66))</f>
        <v>0</v>
      </c>
      <c r="AJ66" s="21" t="n">
        <f aca="false">IF(OR($A66="",AJ$4=""),0,COUNTIFS(Formulas!$A$2:$A$1501,AJ$4,Formulas!$B$2:$B$1501,$A66))</f>
        <v>0</v>
      </c>
      <c r="AK66" s="21" t="n">
        <f aca="false">IF(OR($A66="",AK$4=""),0,COUNTIFS(Formulas!$A$2:$A$1501,AK$4,Formulas!$B$2:$B$1501,$A66))</f>
        <v>0</v>
      </c>
      <c r="AL66" s="21" t="n">
        <f aca="false">IF(OR($A66="",AL$4=""),0,COUNTIFS(Formulas!$A$2:$A$1501,AL$4,Formulas!$B$2:$B$1501,$A66))</f>
        <v>0</v>
      </c>
      <c r="AM66" s="21" t="n">
        <f aca="false">IF(OR($A66="",AM$4=""),0,COUNTIFS(Formulas!$A$2:$A$1501,AM$4,Formulas!$B$2:$B$1501,$A66))</f>
        <v>0</v>
      </c>
      <c r="AN66" s="21" t="n">
        <f aca="false">IF(OR($A66="",AN$4=""),0,COUNTIFS(Formulas!$A$2:$A$1501,AN$4,Formulas!$B$2:$B$1501,$A66))</f>
        <v>0</v>
      </c>
      <c r="AO66" s="21" t="n">
        <f aca="false">IF(OR($A66="",AO$4=""),0,COUNTIFS(Formulas!$A$2:$A$1501,AO$4,Formulas!$B$2:$B$1501,$A66))</f>
        <v>0</v>
      </c>
      <c r="AP66" s="21" t="n">
        <f aca="false">IF(OR($A66="",AP$4=""),0,COUNTIFS(Formulas!$A$2:$A$1501,AP$4,Formulas!$B$2:$B$1501,$A66))</f>
        <v>0</v>
      </c>
      <c r="AQ66" s="21" t="n">
        <f aca="false">IF(OR($A66="",AQ$4=""),0,COUNTIFS(Formulas!$A$2:$A$1501,AQ$4,Formulas!$B$2:$B$1501,$A66))</f>
        <v>0</v>
      </c>
      <c r="AR66" s="21" t="n">
        <f aca="false">IF(OR($A66="",AR$4=""),0,COUNTIFS(Formulas!$A$2:$A$1501,AR$4,Formulas!$B$2:$B$1501,$A66))</f>
        <v>0</v>
      </c>
      <c r="AS66" s="21" t="n">
        <f aca="false">IF(OR($A66="",AS$4=""),0,COUNTIFS(Formulas!$A$2:$A$1501,AS$4,Formulas!$B$2:$B$1501,$A66))</f>
        <v>0</v>
      </c>
      <c r="AT66" s="21" t="n">
        <f aca="false">IF(OR($A66="",AT$4=""),0,COUNTIFS(Formulas!$A$2:$A$1501,AT$4,Formulas!$B$2:$B$1501,$A66))</f>
        <v>0</v>
      </c>
      <c r="AU66" s="21" t="n">
        <f aca="false">IF(OR($A66="",AU$4=""),0,COUNTIFS(Formulas!$A$2:$A$1501,AU$4,Formulas!$B$2:$B$1501,$A66))</f>
        <v>0</v>
      </c>
      <c r="AV66" s="21" t="n">
        <f aca="false">IF(OR($A66="",AV$4=""),0,COUNTIFS(Formulas!$A$2:$A$1501,AV$4,Formulas!$B$2:$B$1501,$A66))</f>
        <v>0</v>
      </c>
      <c r="AW66" s="21" t="n">
        <f aca="false">IF(OR($A66="",AW$4=""),0,COUNTIFS(Formulas!$A$2:$A$1501,AW$4,Formulas!$B$2:$B$1501,$A66))</f>
        <v>0</v>
      </c>
      <c r="AX66" s="21" t="n">
        <f aca="false">IF(OR($A66="",AX$4=""),0,COUNTIFS(Formulas!$A$2:$A$1501,AX$4,Formulas!$B$2:$B$1501,$A66))</f>
        <v>0</v>
      </c>
      <c r="AY66" s="21" t="n">
        <f aca="false">IF(OR($A66="",AY$4=""),0,COUNTIFS(Formulas!$A$2:$A$1501,AY$4,Formulas!$B$2:$B$1501,$A66))</f>
        <v>0</v>
      </c>
      <c r="AZ66" s="21" t="n">
        <f aca="false">IF(OR($A66="",AZ$4=""),0,COUNTIFS(Formulas!$A$2:$A$1501,AZ$4,Formulas!$B$2:$B$1501,$A66))</f>
        <v>0</v>
      </c>
      <c r="BA66" s="21" t="n">
        <f aca="false">IF(OR($A66="",BA$4=""),0,COUNTIFS(Formulas!$A$2:$A$1501,BA$4,Formulas!$B$2:$B$1501,$A66))</f>
        <v>0</v>
      </c>
      <c r="BB66" s="21" t="n">
        <f aca="false">IF(OR($A66="",BB$4=""),0,COUNTIFS(Formulas!$A$2:$A$1501,BB$4,Formulas!$B$2:$B$1501,$A66))</f>
        <v>0</v>
      </c>
      <c r="BC66" s="21" t="n">
        <f aca="false">IF(OR($A66="",BC$4=""),0,COUNTIFS(Formulas!$A$2:$A$1501,BC$4,Formulas!$B$2:$B$1501,$A66))</f>
        <v>0</v>
      </c>
      <c r="BD66" s="21" t="n">
        <f aca="false">IF(OR($A66="",BD$4=""),0,COUNTIFS(Formulas!$A$2:$A$1501,BD$4,Formulas!$B$2:$B$1501,$A66))</f>
        <v>0</v>
      </c>
      <c r="BE66" s="21" t="n">
        <f aca="false">IF(OR($A66="",BE$4=""),0,COUNTIFS(Formulas!$A$2:$A$1501,BE$4,Formulas!$B$2:$B$1501,$A66))</f>
        <v>0</v>
      </c>
      <c r="BF66" s="21" t="n">
        <f aca="false">IF(OR($A66="",BF$4=""),0,COUNTIFS(Formulas!$A$2:$A$1501,BF$4,Formulas!$B$2:$B$1501,$A66))</f>
        <v>0</v>
      </c>
      <c r="BG66" s="21" t="n">
        <f aca="false">IF(OR($A66="",BG$4=""),0,COUNTIFS(Formulas!$A$2:$A$1501,BG$4,Formulas!$B$2:$B$1501,$A66))</f>
        <v>0</v>
      </c>
      <c r="BH66" s="21" t="n">
        <f aca="false">IF(OR($A66="",BH$4=""),0,COUNTIFS(Formulas!$A$2:$A$1501,BH$4,Formulas!$B$2:$B$1501,$A66))</f>
        <v>0</v>
      </c>
      <c r="BI66" s="21" t="n">
        <f aca="false">IF(OR($A66="",BI$4=""),0,COUNTIFS(Formulas!$A$2:$A$1501,BI$4,Formulas!$B$2:$B$1501,$A66))</f>
        <v>0</v>
      </c>
      <c r="BJ66" s="21" t="n">
        <f aca="false">IF(OR($A66="",BJ$4=""),0,COUNTIFS(Formulas!$A$2:$A$1501,BJ$4,Formulas!$B$2:$B$1501,$A66))</f>
        <v>0</v>
      </c>
    </row>
    <row r="67" customFormat="false" ht="15" hidden="false" customHeight="false" outlineLevel="0" collapsed="false">
      <c r="A67" s="13" t="str">
        <f aca="false">IF(INDEX(Materials!$A$2:$A$201,63)="","",INDEX(Materials!$A$2:$A$201,63))</f>
        <v/>
      </c>
      <c r="B67" s="19" t="str">
        <f aca="false">IF(A67="","",COUNTIF(C67:BJ67,"&gt;0"))</f>
        <v/>
      </c>
      <c r="C67" s="21" t="n">
        <f aca="false">IF(OR($A67="",C$4=""),0,COUNTIFS(Formulas!$A$2:$A$1501,C$4,Formulas!$B$2:$B$1501,$A67))</f>
        <v>0</v>
      </c>
      <c r="D67" s="21" t="n">
        <f aca="false">IF(OR($A67="",D$4=""),0,COUNTIFS(Formulas!$A$2:$A$1501,D$4,Formulas!$B$2:$B$1501,$A67))</f>
        <v>0</v>
      </c>
      <c r="E67" s="21" t="n">
        <f aca="false">IF(OR($A67="",E$4=""),0,COUNTIFS(Formulas!$A$2:$A$1501,E$4,Formulas!$B$2:$B$1501,$A67))</f>
        <v>0</v>
      </c>
      <c r="F67" s="21" t="n">
        <f aca="false">IF(OR($A67="",F$4=""),0,COUNTIFS(Formulas!$A$2:$A$1501,F$4,Formulas!$B$2:$B$1501,$A67))</f>
        <v>0</v>
      </c>
      <c r="G67" s="21" t="n">
        <f aca="false">IF(OR($A67="",G$4=""),0,COUNTIFS(Formulas!$A$2:$A$1501,G$4,Formulas!$B$2:$B$1501,$A67))</f>
        <v>0</v>
      </c>
      <c r="H67" s="21" t="n">
        <f aca="false">IF(OR($A67="",H$4=""),0,COUNTIFS(Formulas!$A$2:$A$1501,H$4,Formulas!$B$2:$B$1501,$A67))</f>
        <v>0</v>
      </c>
      <c r="I67" s="21" t="n">
        <f aca="false">IF(OR($A67="",I$4=""),0,COUNTIFS(Formulas!$A$2:$A$1501,I$4,Formulas!$B$2:$B$1501,$A67))</f>
        <v>0</v>
      </c>
      <c r="J67" s="21" t="n">
        <f aca="false">IF(OR($A67="",J$4=""),0,COUNTIFS(Formulas!$A$2:$A$1501,J$4,Formulas!$B$2:$B$1501,$A67))</f>
        <v>0</v>
      </c>
      <c r="K67" s="21" t="n">
        <f aca="false">IF(OR($A67="",K$4=""),0,COUNTIFS(Formulas!$A$2:$A$1501,K$4,Formulas!$B$2:$B$1501,$A67))</f>
        <v>0</v>
      </c>
      <c r="L67" s="21" t="n">
        <f aca="false">IF(OR($A67="",L$4=""),0,COUNTIFS(Formulas!$A$2:$A$1501,L$4,Formulas!$B$2:$B$1501,$A67))</f>
        <v>0</v>
      </c>
      <c r="M67" s="21" t="n">
        <f aca="false">IF(OR($A67="",M$4=""),0,COUNTIFS(Formulas!$A$2:$A$1501,M$4,Formulas!$B$2:$B$1501,$A67))</f>
        <v>0</v>
      </c>
      <c r="N67" s="21" t="n">
        <f aca="false">IF(OR($A67="",N$4=""),0,COUNTIFS(Formulas!$A$2:$A$1501,N$4,Formulas!$B$2:$B$1501,$A67))</f>
        <v>0</v>
      </c>
      <c r="O67" s="21" t="n">
        <f aca="false">IF(OR($A67="",O$4=""),0,COUNTIFS(Formulas!$A$2:$A$1501,O$4,Formulas!$B$2:$B$1501,$A67))</f>
        <v>0</v>
      </c>
      <c r="P67" s="21" t="n">
        <f aca="false">IF(OR($A67="",P$4=""),0,COUNTIFS(Formulas!$A$2:$A$1501,P$4,Formulas!$B$2:$B$1501,$A67))</f>
        <v>0</v>
      </c>
      <c r="Q67" s="21" t="n">
        <f aca="false">IF(OR($A67="",Q$4=""),0,COUNTIFS(Formulas!$A$2:$A$1501,Q$4,Formulas!$B$2:$B$1501,$A67))</f>
        <v>0</v>
      </c>
      <c r="R67" s="21" t="n">
        <f aca="false">IF(OR($A67="",R$4=""),0,COUNTIFS(Formulas!$A$2:$A$1501,R$4,Formulas!$B$2:$B$1501,$A67))</f>
        <v>0</v>
      </c>
      <c r="S67" s="21" t="n">
        <f aca="false">IF(OR($A67="",S$4=""),0,COUNTIFS(Formulas!$A$2:$A$1501,S$4,Formulas!$B$2:$B$1501,$A67))</f>
        <v>0</v>
      </c>
      <c r="T67" s="21" t="n">
        <f aca="false">IF(OR($A67="",T$4=""),0,COUNTIFS(Formulas!$A$2:$A$1501,T$4,Formulas!$B$2:$B$1501,$A67))</f>
        <v>0</v>
      </c>
      <c r="U67" s="21" t="n">
        <f aca="false">IF(OR($A67="",U$4=""),0,COUNTIFS(Formulas!$A$2:$A$1501,U$4,Formulas!$B$2:$B$1501,$A67))</f>
        <v>0</v>
      </c>
      <c r="V67" s="21" t="n">
        <f aca="false">IF(OR($A67="",V$4=""),0,COUNTIFS(Formulas!$A$2:$A$1501,V$4,Formulas!$B$2:$B$1501,$A67))</f>
        <v>0</v>
      </c>
      <c r="W67" s="21" t="n">
        <f aca="false">IF(OR($A67="",W$4=""),0,COUNTIFS(Formulas!$A$2:$A$1501,W$4,Formulas!$B$2:$B$1501,$A67))</f>
        <v>0</v>
      </c>
      <c r="X67" s="21" t="n">
        <f aca="false">IF(OR($A67="",X$4=""),0,COUNTIFS(Formulas!$A$2:$A$1501,X$4,Formulas!$B$2:$B$1501,$A67))</f>
        <v>0</v>
      </c>
      <c r="Y67" s="21" t="n">
        <f aca="false">IF(OR($A67="",Y$4=""),0,COUNTIFS(Formulas!$A$2:$A$1501,Y$4,Formulas!$B$2:$B$1501,$A67))</f>
        <v>0</v>
      </c>
      <c r="Z67" s="21" t="n">
        <f aca="false">IF(OR($A67="",Z$4=""),0,COUNTIFS(Formulas!$A$2:$A$1501,Z$4,Formulas!$B$2:$B$1501,$A67))</f>
        <v>0</v>
      </c>
      <c r="AA67" s="21" t="n">
        <f aca="false">IF(OR($A67="",AA$4=""),0,COUNTIFS(Formulas!$A$2:$A$1501,AA$4,Formulas!$B$2:$B$1501,$A67))</f>
        <v>0</v>
      </c>
      <c r="AB67" s="21" t="n">
        <f aca="false">IF(OR($A67="",AB$4=""),0,COUNTIFS(Formulas!$A$2:$A$1501,AB$4,Formulas!$B$2:$B$1501,$A67))</f>
        <v>0</v>
      </c>
      <c r="AC67" s="21" t="n">
        <f aca="false">IF(OR($A67="",AC$4=""),0,COUNTIFS(Formulas!$A$2:$A$1501,AC$4,Formulas!$B$2:$B$1501,$A67))</f>
        <v>0</v>
      </c>
      <c r="AD67" s="21" t="n">
        <f aca="false">IF(OR($A67="",AD$4=""),0,COUNTIFS(Formulas!$A$2:$A$1501,AD$4,Formulas!$B$2:$B$1501,$A67))</f>
        <v>0</v>
      </c>
      <c r="AE67" s="21" t="n">
        <f aca="false">IF(OR($A67="",AE$4=""),0,COUNTIFS(Formulas!$A$2:$A$1501,AE$4,Formulas!$B$2:$B$1501,$A67))</f>
        <v>0</v>
      </c>
      <c r="AF67" s="21" t="n">
        <f aca="false">IF(OR($A67="",AF$4=""),0,COUNTIFS(Formulas!$A$2:$A$1501,AF$4,Formulas!$B$2:$B$1501,$A67))</f>
        <v>0</v>
      </c>
      <c r="AG67" s="21" t="n">
        <f aca="false">IF(OR($A67="",AG$4=""),0,COUNTIFS(Formulas!$A$2:$A$1501,AG$4,Formulas!$B$2:$B$1501,$A67))</f>
        <v>0</v>
      </c>
      <c r="AH67" s="21" t="n">
        <f aca="false">IF(OR($A67="",AH$4=""),0,COUNTIFS(Formulas!$A$2:$A$1501,AH$4,Formulas!$B$2:$B$1501,$A67))</f>
        <v>0</v>
      </c>
      <c r="AI67" s="21" t="n">
        <f aca="false">IF(OR($A67="",AI$4=""),0,COUNTIFS(Formulas!$A$2:$A$1501,AI$4,Formulas!$B$2:$B$1501,$A67))</f>
        <v>0</v>
      </c>
      <c r="AJ67" s="21" t="n">
        <f aca="false">IF(OR($A67="",AJ$4=""),0,COUNTIFS(Formulas!$A$2:$A$1501,AJ$4,Formulas!$B$2:$B$1501,$A67))</f>
        <v>0</v>
      </c>
      <c r="AK67" s="21" t="n">
        <f aca="false">IF(OR($A67="",AK$4=""),0,COUNTIFS(Formulas!$A$2:$A$1501,AK$4,Formulas!$B$2:$B$1501,$A67))</f>
        <v>0</v>
      </c>
      <c r="AL67" s="21" t="n">
        <f aca="false">IF(OR($A67="",AL$4=""),0,COUNTIFS(Formulas!$A$2:$A$1501,AL$4,Formulas!$B$2:$B$1501,$A67))</f>
        <v>0</v>
      </c>
      <c r="AM67" s="21" t="n">
        <f aca="false">IF(OR($A67="",AM$4=""),0,COUNTIFS(Formulas!$A$2:$A$1501,AM$4,Formulas!$B$2:$B$1501,$A67))</f>
        <v>0</v>
      </c>
      <c r="AN67" s="21" t="n">
        <f aca="false">IF(OR($A67="",AN$4=""),0,COUNTIFS(Formulas!$A$2:$A$1501,AN$4,Formulas!$B$2:$B$1501,$A67))</f>
        <v>0</v>
      </c>
      <c r="AO67" s="21" t="n">
        <f aca="false">IF(OR($A67="",AO$4=""),0,COUNTIFS(Formulas!$A$2:$A$1501,AO$4,Formulas!$B$2:$B$1501,$A67))</f>
        <v>0</v>
      </c>
      <c r="AP67" s="21" t="n">
        <f aca="false">IF(OR($A67="",AP$4=""),0,COUNTIFS(Formulas!$A$2:$A$1501,AP$4,Formulas!$B$2:$B$1501,$A67))</f>
        <v>0</v>
      </c>
      <c r="AQ67" s="21" t="n">
        <f aca="false">IF(OR($A67="",AQ$4=""),0,COUNTIFS(Formulas!$A$2:$A$1501,AQ$4,Formulas!$B$2:$B$1501,$A67))</f>
        <v>0</v>
      </c>
      <c r="AR67" s="21" t="n">
        <f aca="false">IF(OR($A67="",AR$4=""),0,COUNTIFS(Formulas!$A$2:$A$1501,AR$4,Formulas!$B$2:$B$1501,$A67))</f>
        <v>0</v>
      </c>
      <c r="AS67" s="21" t="n">
        <f aca="false">IF(OR($A67="",AS$4=""),0,COUNTIFS(Formulas!$A$2:$A$1501,AS$4,Formulas!$B$2:$B$1501,$A67))</f>
        <v>0</v>
      </c>
      <c r="AT67" s="21" t="n">
        <f aca="false">IF(OR($A67="",AT$4=""),0,COUNTIFS(Formulas!$A$2:$A$1501,AT$4,Formulas!$B$2:$B$1501,$A67))</f>
        <v>0</v>
      </c>
      <c r="AU67" s="21" t="n">
        <f aca="false">IF(OR($A67="",AU$4=""),0,COUNTIFS(Formulas!$A$2:$A$1501,AU$4,Formulas!$B$2:$B$1501,$A67))</f>
        <v>0</v>
      </c>
      <c r="AV67" s="21" t="n">
        <f aca="false">IF(OR($A67="",AV$4=""),0,COUNTIFS(Formulas!$A$2:$A$1501,AV$4,Formulas!$B$2:$B$1501,$A67))</f>
        <v>0</v>
      </c>
      <c r="AW67" s="21" t="n">
        <f aca="false">IF(OR($A67="",AW$4=""),0,COUNTIFS(Formulas!$A$2:$A$1501,AW$4,Formulas!$B$2:$B$1501,$A67))</f>
        <v>0</v>
      </c>
      <c r="AX67" s="21" t="n">
        <f aca="false">IF(OR($A67="",AX$4=""),0,COUNTIFS(Formulas!$A$2:$A$1501,AX$4,Formulas!$B$2:$B$1501,$A67))</f>
        <v>0</v>
      </c>
      <c r="AY67" s="21" t="n">
        <f aca="false">IF(OR($A67="",AY$4=""),0,COUNTIFS(Formulas!$A$2:$A$1501,AY$4,Formulas!$B$2:$B$1501,$A67))</f>
        <v>0</v>
      </c>
      <c r="AZ67" s="21" t="n">
        <f aca="false">IF(OR($A67="",AZ$4=""),0,COUNTIFS(Formulas!$A$2:$A$1501,AZ$4,Formulas!$B$2:$B$1501,$A67))</f>
        <v>0</v>
      </c>
      <c r="BA67" s="21" t="n">
        <f aca="false">IF(OR($A67="",BA$4=""),0,COUNTIFS(Formulas!$A$2:$A$1501,BA$4,Formulas!$B$2:$B$1501,$A67))</f>
        <v>0</v>
      </c>
      <c r="BB67" s="21" t="n">
        <f aca="false">IF(OR($A67="",BB$4=""),0,COUNTIFS(Formulas!$A$2:$A$1501,BB$4,Formulas!$B$2:$B$1501,$A67))</f>
        <v>0</v>
      </c>
      <c r="BC67" s="21" t="n">
        <f aca="false">IF(OR($A67="",BC$4=""),0,COUNTIFS(Formulas!$A$2:$A$1501,BC$4,Formulas!$B$2:$B$1501,$A67))</f>
        <v>0</v>
      </c>
      <c r="BD67" s="21" t="n">
        <f aca="false">IF(OR($A67="",BD$4=""),0,COUNTIFS(Formulas!$A$2:$A$1501,BD$4,Formulas!$B$2:$B$1501,$A67))</f>
        <v>0</v>
      </c>
      <c r="BE67" s="21" t="n">
        <f aca="false">IF(OR($A67="",BE$4=""),0,COUNTIFS(Formulas!$A$2:$A$1501,BE$4,Formulas!$B$2:$B$1501,$A67))</f>
        <v>0</v>
      </c>
      <c r="BF67" s="21" t="n">
        <f aca="false">IF(OR($A67="",BF$4=""),0,COUNTIFS(Formulas!$A$2:$A$1501,BF$4,Formulas!$B$2:$B$1501,$A67))</f>
        <v>0</v>
      </c>
      <c r="BG67" s="21" t="n">
        <f aca="false">IF(OR($A67="",BG$4=""),0,COUNTIFS(Formulas!$A$2:$A$1501,BG$4,Formulas!$B$2:$B$1501,$A67))</f>
        <v>0</v>
      </c>
      <c r="BH67" s="21" t="n">
        <f aca="false">IF(OR($A67="",BH$4=""),0,COUNTIFS(Formulas!$A$2:$A$1501,BH$4,Formulas!$B$2:$B$1501,$A67))</f>
        <v>0</v>
      </c>
      <c r="BI67" s="21" t="n">
        <f aca="false">IF(OR($A67="",BI$4=""),0,COUNTIFS(Formulas!$A$2:$A$1501,BI$4,Formulas!$B$2:$B$1501,$A67))</f>
        <v>0</v>
      </c>
      <c r="BJ67" s="21" t="n">
        <f aca="false">IF(OR($A67="",BJ$4=""),0,COUNTIFS(Formulas!$A$2:$A$1501,BJ$4,Formulas!$B$2:$B$1501,$A67))</f>
        <v>0</v>
      </c>
    </row>
    <row r="68" customFormat="false" ht="15" hidden="false" customHeight="false" outlineLevel="0" collapsed="false">
      <c r="A68" s="13" t="str">
        <f aca="false">IF(INDEX(Materials!$A$2:$A$201,64)="","",INDEX(Materials!$A$2:$A$201,64))</f>
        <v/>
      </c>
      <c r="B68" s="19" t="str">
        <f aca="false">IF(A68="","",COUNTIF(C68:BJ68,"&gt;0"))</f>
        <v/>
      </c>
      <c r="C68" s="21" t="n">
        <f aca="false">IF(OR($A68="",C$4=""),0,COUNTIFS(Formulas!$A$2:$A$1501,C$4,Formulas!$B$2:$B$1501,$A68))</f>
        <v>0</v>
      </c>
      <c r="D68" s="21" t="n">
        <f aca="false">IF(OR($A68="",D$4=""),0,COUNTIFS(Formulas!$A$2:$A$1501,D$4,Formulas!$B$2:$B$1501,$A68))</f>
        <v>0</v>
      </c>
      <c r="E68" s="21" t="n">
        <f aca="false">IF(OR($A68="",E$4=""),0,COUNTIFS(Formulas!$A$2:$A$1501,E$4,Formulas!$B$2:$B$1501,$A68))</f>
        <v>0</v>
      </c>
      <c r="F68" s="21" t="n">
        <f aca="false">IF(OR($A68="",F$4=""),0,COUNTIFS(Formulas!$A$2:$A$1501,F$4,Formulas!$B$2:$B$1501,$A68))</f>
        <v>0</v>
      </c>
      <c r="G68" s="21" t="n">
        <f aca="false">IF(OR($A68="",G$4=""),0,COUNTIFS(Formulas!$A$2:$A$1501,G$4,Formulas!$B$2:$B$1501,$A68))</f>
        <v>0</v>
      </c>
      <c r="H68" s="21" t="n">
        <f aca="false">IF(OR($A68="",H$4=""),0,COUNTIFS(Formulas!$A$2:$A$1501,H$4,Formulas!$B$2:$B$1501,$A68))</f>
        <v>0</v>
      </c>
      <c r="I68" s="21" t="n">
        <f aca="false">IF(OR($A68="",I$4=""),0,COUNTIFS(Formulas!$A$2:$A$1501,I$4,Formulas!$B$2:$B$1501,$A68))</f>
        <v>0</v>
      </c>
      <c r="J68" s="21" t="n">
        <f aca="false">IF(OR($A68="",J$4=""),0,COUNTIFS(Formulas!$A$2:$A$1501,J$4,Formulas!$B$2:$B$1501,$A68))</f>
        <v>0</v>
      </c>
      <c r="K68" s="21" t="n">
        <f aca="false">IF(OR($A68="",K$4=""),0,COUNTIFS(Formulas!$A$2:$A$1501,K$4,Formulas!$B$2:$B$1501,$A68))</f>
        <v>0</v>
      </c>
      <c r="L68" s="21" t="n">
        <f aca="false">IF(OR($A68="",L$4=""),0,COUNTIFS(Formulas!$A$2:$A$1501,L$4,Formulas!$B$2:$B$1501,$A68))</f>
        <v>0</v>
      </c>
      <c r="M68" s="21" t="n">
        <f aca="false">IF(OR($A68="",M$4=""),0,COUNTIFS(Formulas!$A$2:$A$1501,M$4,Formulas!$B$2:$B$1501,$A68))</f>
        <v>0</v>
      </c>
      <c r="N68" s="21" t="n">
        <f aca="false">IF(OR($A68="",N$4=""),0,COUNTIFS(Formulas!$A$2:$A$1501,N$4,Formulas!$B$2:$B$1501,$A68))</f>
        <v>0</v>
      </c>
      <c r="O68" s="21" t="n">
        <f aca="false">IF(OR($A68="",O$4=""),0,COUNTIFS(Formulas!$A$2:$A$1501,O$4,Formulas!$B$2:$B$1501,$A68))</f>
        <v>0</v>
      </c>
      <c r="P68" s="21" t="n">
        <f aca="false">IF(OR($A68="",P$4=""),0,COUNTIFS(Formulas!$A$2:$A$1501,P$4,Formulas!$B$2:$B$1501,$A68))</f>
        <v>0</v>
      </c>
      <c r="Q68" s="21" t="n">
        <f aca="false">IF(OR($A68="",Q$4=""),0,COUNTIFS(Formulas!$A$2:$A$1501,Q$4,Formulas!$B$2:$B$1501,$A68))</f>
        <v>0</v>
      </c>
      <c r="R68" s="21" t="n">
        <f aca="false">IF(OR($A68="",R$4=""),0,COUNTIFS(Formulas!$A$2:$A$1501,R$4,Formulas!$B$2:$B$1501,$A68))</f>
        <v>0</v>
      </c>
      <c r="S68" s="21" t="n">
        <f aca="false">IF(OR($A68="",S$4=""),0,COUNTIFS(Formulas!$A$2:$A$1501,S$4,Formulas!$B$2:$B$1501,$A68))</f>
        <v>0</v>
      </c>
      <c r="T68" s="21" t="n">
        <f aca="false">IF(OR($A68="",T$4=""),0,COUNTIFS(Formulas!$A$2:$A$1501,T$4,Formulas!$B$2:$B$1501,$A68))</f>
        <v>0</v>
      </c>
      <c r="U68" s="21" t="n">
        <f aca="false">IF(OR($A68="",U$4=""),0,COUNTIFS(Formulas!$A$2:$A$1501,U$4,Formulas!$B$2:$B$1501,$A68))</f>
        <v>0</v>
      </c>
      <c r="V68" s="21" t="n">
        <f aca="false">IF(OR($A68="",V$4=""),0,COUNTIFS(Formulas!$A$2:$A$1501,V$4,Formulas!$B$2:$B$1501,$A68))</f>
        <v>0</v>
      </c>
      <c r="W68" s="21" t="n">
        <f aca="false">IF(OR($A68="",W$4=""),0,COUNTIFS(Formulas!$A$2:$A$1501,W$4,Formulas!$B$2:$B$1501,$A68))</f>
        <v>0</v>
      </c>
      <c r="X68" s="21" t="n">
        <f aca="false">IF(OR($A68="",X$4=""),0,COUNTIFS(Formulas!$A$2:$A$1501,X$4,Formulas!$B$2:$B$1501,$A68))</f>
        <v>0</v>
      </c>
      <c r="Y68" s="21" t="n">
        <f aca="false">IF(OR($A68="",Y$4=""),0,COUNTIFS(Formulas!$A$2:$A$1501,Y$4,Formulas!$B$2:$B$1501,$A68))</f>
        <v>0</v>
      </c>
      <c r="Z68" s="21" t="n">
        <f aca="false">IF(OR($A68="",Z$4=""),0,COUNTIFS(Formulas!$A$2:$A$1501,Z$4,Formulas!$B$2:$B$1501,$A68))</f>
        <v>0</v>
      </c>
      <c r="AA68" s="21" t="n">
        <f aca="false">IF(OR($A68="",AA$4=""),0,COUNTIFS(Formulas!$A$2:$A$1501,AA$4,Formulas!$B$2:$B$1501,$A68))</f>
        <v>0</v>
      </c>
      <c r="AB68" s="21" t="n">
        <f aca="false">IF(OR($A68="",AB$4=""),0,COUNTIFS(Formulas!$A$2:$A$1501,AB$4,Formulas!$B$2:$B$1501,$A68))</f>
        <v>0</v>
      </c>
      <c r="AC68" s="21" t="n">
        <f aca="false">IF(OR($A68="",AC$4=""),0,COUNTIFS(Formulas!$A$2:$A$1501,AC$4,Formulas!$B$2:$B$1501,$A68))</f>
        <v>0</v>
      </c>
      <c r="AD68" s="21" t="n">
        <f aca="false">IF(OR($A68="",AD$4=""),0,COUNTIFS(Formulas!$A$2:$A$1501,AD$4,Formulas!$B$2:$B$1501,$A68))</f>
        <v>0</v>
      </c>
      <c r="AE68" s="21" t="n">
        <f aca="false">IF(OR($A68="",AE$4=""),0,COUNTIFS(Formulas!$A$2:$A$1501,AE$4,Formulas!$B$2:$B$1501,$A68))</f>
        <v>0</v>
      </c>
      <c r="AF68" s="21" t="n">
        <f aca="false">IF(OR($A68="",AF$4=""),0,COUNTIFS(Formulas!$A$2:$A$1501,AF$4,Formulas!$B$2:$B$1501,$A68))</f>
        <v>0</v>
      </c>
      <c r="AG68" s="21" t="n">
        <f aca="false">IF(OR($A68="",AG$4=""),0,COUNTIFS(Formulas!$A$2:$A$1501,AG$4,Formulas!$B$2:$B$1501,$A68))</f>
        <v>0</v>
      </c>
      <c r="AH68" s="21" t="n">
        <f aca="false">IF(OR($A68="",AH$4=""),0,COUNTIFS(Formulas!$A$2:$A$1501,AH$4,Formulas!$B$2:$B$1501,$A68))</f>
        <v>0</v>
      </c>
      <c r="AI68" s="21" t="n">
        <f aca="false">IF(OR($A68="",AI$4=""),0,COUNTIFS(Formulas!$A$2:$A$1501,AI$4,Formulas!$B$2:$B$1501,$A68))</f>
        <v>0</v>
      </c>
      <c r="AJ68" s="21" t="n">
        <f aca="false">IF(OR($A68="",AJ$4=""),0,COUNTIFS(Formulas!$A$2:$A$1501,AJ$4,Formulas!$B$2:$B$1501,$A68))</f>
        <v>0</v>
      </c>
      <c r="AK68" s="21" t="n">
        <f aca="false">IF(OR($A68="",AK$4=""),0,COUNTIFS(Formulas!$A$2:$A$1501,AK$4,Formulas!$B$2:$B$1501,$A68))</f>
        <v>0</v>
      </c>
      <c r="AL68" s="21" t="n">
        <f aca="false">IF(OR($A68="",AL$4=""),0,COUNTIFS(Formulas!$A$2:$A$1501,AL$4,Formulas!$B$2:$B$1501,$A68))</f>
        <v>0</v>
      </c>
      <c r="AM68" s="21" t="n">
        <f aca="false">IF(OR($A68="",AM$4=""),0,COUNTIFS(Formulas!$A$2:$A$1501,AM$4,Formulas!$B$2:$B$1501,$A68))</f>
        <v>0</v>
      </c>
      <c r="AN68" s="21" t="n">
        <f aca="false">IF(OR($A68="",AN$4=""),0,COUNTIFS(Formulas!$A$2:$A$1501,AN$4,Formulas!$B$2:$B$1501,$A68))</f>
        <v>0</v>
      </c>
      <c r="AO68" s="21" t="n">
        <f aca="false">IF(OR($A68="",AO$4=""),0,COUNTIFS(Formulas!$A$2:$A$1501,AO$4,Formulas!$B$2:$B$1501,$A68))</f>
        <v>0</v>
      </c>
      <c r="AP68" s="21" t="n">
        <f aca="false">IF(OR($A68="",AP$4=""),0,COUNTIFS(Formulas!$A$2:$A$1501,AP$4,Formulas!$B$2:$B$1501,$A68))</f>
        <v>0</v>
      </c>
      <c r="AQ68" s="21" t="n">
        <f aca="false">IF(OR($A68="",AQ$4=""),0,COUNTIFS(Formulas!$A$2:$A$1501,AQ$4,Formulas!$B$2:$B$1501,$A68))</f>
        <v>0</v>
      </c>
      <c r="AR68" s="21" t="n">
        <f aca="false">IF(OR($A68="",AR$4=""),0,COUNTIFS(Formulas!$A$2:$A$1501,AR$4,Formulas!$B$2:$B$1501,$A68))</f>
        <v>0</v>
      </c>
      <c r="AS68" s="21" t="n">
        <f aca="false">IF(OR($A68="",AS$4=""),0,COUNTIFS(Formulas!$A$2:$A$1501,AS$4,Formulas!$B$2:$B$1501,$A68))</f>
        <v>0</v>
      </c>
      <c r="AT68" s="21" t="n">
        <f aca="false">IF(OR($A68="",AT$4=""),0,COUNTIFS(Formulas!$A$2:$A$1501,AT$4,Formulas!$B$2:$B$1501,$A68))</f>
        <v>0</v>
      </c>
      <c r="AU68" s="21" t="n">
        <f aca="false">IF(OR($A68="",AU$4=""),0,COUNTIFS(Formulas!$A$2:$A$1501,AU$4,Formulas!$B$2:$B$1501,$A68))</f>
        <v>0</v>
      </c>
      <c r="AV68" s="21" t="n">
        <f aca="false">IF(OR($A68="",AV$4=""),0,COUNTIFS(Formulas!$A$2:$A$1501,AV$4,Formulas!$B$2:$B$1501,$A68))</f>
        <v>0</v>
      </c>
      <c r="AW68" s="21" t="n">
        <f aca="false">IF(OR($A68="",AW$4=""),0,COUNTIFS(Formulas!$A$2:$A$1501,AW$4,Formulas!$B$2:$B$1501,$A68))</f>
        <v>0</v>
      </c>
      <c r="AX68" s="21" t="n">
        <f aca="false">IF(OR($A68="",AX$4=""),0,COUNTIFS(Formulas!$A$2:$A$1501,AX$4,Formulas!$B$2:$B$1501,$A68))</f>
        <v>0</v>
      </c>
      <c r="AY68" s="21" t="n">
        <f aca="false">IF(OR($A68="",AY$4=""),0,COUNTIFS(Formulas!$A$2:$A$1501,AY$4,Formulas!$B$2:$B$1501,$A68))</f>
        <v>0</v>
      </c>
      <c r="AZ68" s="21" t="n">
        <f aca="false">IF(OR($A68="",AZ$4=""),0,COUNTIFS(Formulas!$A$2:$A$1501,AZ$4,Formulas!$B$2:$B$1501,$A68))</f>
        <v>0</v>
      </c>
      <c r="BA68" s="21" t="n">
        <f aca="false">IF(OR($A68="",BA$4=""),0,COUNTIFS(Formulas!$A$2:$A$1501,BA$4,Formulas!$B$2:$B$1501,$A68))</f>
        <v>0</v>
      </c>
      <c r="BB68" s="21" t="n">
        <f aca="false">IF(OR($A68="",BB$4=""),0,COUNTIFS(Formulas!$A$2:$A$1501,BB$4,Formulas!$B$2:$B$1501,$A68))</f>
        <v>0</v>
      </c>
      <c r="BC68" s="21" t="n">
        <f aca="false">IF(OR($A68="",BC$4=""),0,COUNTIFS(Formulas!$A$2:$A$1501,BC$4,Formulas!$B$2:$B$1501,$A68))</f>
        <v>0</v>
      </c>
      <c r="BD68" s="21" t="n">
        <f aca="false">IF(OR($A68="",BD$4=""),0,COUNTIFS(Formulas!$A$2:$A$1501,BD$4,Formulas!$B$2:$B$1501,$A68))</f>
        <v>0</v>
      </c>
      <c r="BE68" s="21" t="n">
        <f aca="false">IF(OR($A68="",BE$4=""),0,COUNTIFS(Formulas!$A$2:$A$1501,BE$4,Formulas!$B$2:$B$1501,$A68))</f>
        <v>0</v>
      </c>
      <c r="BF68" s="21" t="n">
        <f aca="false">IF(OR($A68="",BF$4=""),0,COUNTIFS(Formulas!$A$2:$A$1501,BF$4,Formulas!$B$2:$B$1501,$A68))</f>
        <v>0</v>
      </c>
      <c r="BG68" s="21" t="n">
        <f aca="false">IF(OR($A68="",BG$4=""),0,COUNTIFS(Formulas!$A$2:$A$1501,BG$4,Formulas!$B$2:$B$1501,$A68))</f>
        <v>0</v>
      </c>
      <c r="BH68" s="21" t="n">
        <f aca="false">IF(OR($A68="",BH$4=""),0,COUNTIFS(Formulas!$A$2:$A$1501,BH$4,Formulas!$B$2:$B$1501,$A68))</f>
        <v>0</v>
      </c>
      <c r="BI68" s="21" t="n">
        <f aca="false">IF(OR($A68="",BI$4=""),0,COUNTIFS(Formulas!$A$2:$A$1501,BI$4,Formulas!$B$2:$B$1501,$A68))</f>
        <v>0</v>
      </c>
      <c r="BJ68" s="21" t="n">
        <f aca="false">IF(OR($A68="",BJ$4=""),0,COUNTIFS(Formulas!$A$2:$A$1501,BJ$4,Formulas!$B$2:$B$1501,$A68))</f>
        <v>0</v>
      </c>
    </row>
    <row r="69" customFormat="false" ht="15" hidden="false" customHeight="false" outlineLevel="0" collapsed="false">
      <c r="A69" s="13" t="str">
        <f aca="false">IF(INDEX(Materials!$A$2:$A$201,65)="","",INDEX(Materials!$A$2:$A$201,65))</f>
        <v/>
      </c>
      <c r="B69" s="19" t="str">
        <f aca="false">IF(A69="","",COUNTIF(C69:BJ69,"&gt;0"))</f>
        <v/>
      </c>
      <c r="C69" s="21" t="n">
        <f aca="false">IF(OR($A69="",C$4=""),0,COUNTIFS(Formulas!$A$2:$A$1501,C$4,Formulas!$B$2:$B$1501,$A69))</f>
        <v>0</v>
      </c>
      <c r="D69" s="21" t="n">
        <f aca="false">IF(OR($A69="",D$4=""),0,COUNTIFS(Formulas!$A$2:$A$1501,D$4,Formulas!$B$2:$B$1501,$A69))</f>
        <v>0</v>
      </c>
      <c r="E69" s="21" t="n">
        <f aca="false">IF(OR($A69="",E$4=""),0,COUNTIFS(Formulas!$A$2:$A$1501,E$4,Formulas!$B$2:$B$1501,$A69))</f>
        <v>0</v>
      </c>
      <c r="F69" s="21" t="n">
        <f aca="false">IF(OR($A69="",F$4=""),0,COUNTIFS(Formulas!$A$2:$A$1501,F$4,Formulas!$B$2:$B$1501,$A69))</f>
        <v>0</v>
      </c>
      <c r="G69" s="21" t="n">
        <f aca="false">IF(OR($A69="",G$4=""),0,COUNTIFS(Formulas!$A$2:$A$1501,G$4,Formulas!$B$2:$B$1501,$A69))</f>
        <v>0</v>
      </c>
      <c r="H69" s="21" t="n">
        <f aca="false">IF(OR($A69="",H$4=""),0,COUNTIFS(Formulas!$A$2:$A$1501,H$4,Formulas!$B$2:$B$1501,$A69))</f>
        <v>0</v>
      </c>
      <c r="I69" s="21" t="n">
        <f aca="false">IF(OR($A69="",I$4=""),0,COUNTIFS(Formulas!$A$2:$A$1501,I$4,Formulas!$B$2:$B$1501,$A69))</f>
        <v>0</v>
      </c>
      <c r="J69" s="21" t="n">
        <f aca="false">IF(OR($A69="",J$4=""),0,COUNTIFS(Formulas!$A$2:$A$1501,J$4,Formulas!$B$2:$B$1501,$A69))</f>
        <v>0</v>
      </c>
      <c r="K69" s="21" t="n">
        <f aca="false">IF(OR($A69="",K$4=""),0,COUNTIFS(Formulas!$A$2:$A$1501,K$4,Formulas!$B$2:$B$1501,$A69))</f>
        <v>0</v>
      </c>
      <c r="L69" s="21" t="n">
        <f aca="false">IF(OR($A69="",L$4=""),0,COUNTIFS(Formulas!$A$2:$A$1501,L$4,Formulas!$B$2:$B$1501,$A69))</f>
        <v>0</v>
      </c>
      <c r="M69" s="21" t="n">
        <f aca="false">IF(OR($A69="",M$4=""),0,COUNTIFS(Formulas!$A$2:$A$1501,M$4,Formulas!$B$2:$B$1501,$A69))</f>
        <v>0</v>
      </c>
      <c r="N69" s="21" t="n">
        <f aca="false">IF(OR($A69="",N$4=""),0,COUNTIFS(Formulas!$A$2:$A$1501,N$4,Formulas!$B$2:$B$1501,$A69))</f>
        <v>0</v>
      </c>
      <c r="O69" s="21" t="n">
        <f aca="false">IF(OR($A69="",O$4=""),0,COUNTIFS(Formulas!$A$2:$A$1501,O$4,Formulas!$B$2:$B$1501,$A69))</f>
        <v>0</v>
      </c>
      <c r="P69" s="21" t="n">
        <f aca="false">IF(OR($A69="",P$4=""),0,COUNTIFS(Formulas!$A$2:$A$1501,P$4,Formulas!$B$2:$B$1501,$A69))</f>
        <v>0</v>
      </c>
      <c r="Q69" s="21" t="n">
        <f aca="false">IF(OR($A69="",Q$4=""),0,COUNTIFS(Formulas!$A$2:$A$1501,Q$4,Formulas!$B$2:$B$1501,$A69))</f>
        <v>0</v>
      </c>
      <c r="R69" s="21" t="n">
        <f aca="false">IF(OR($A69="",R$4=""),0,COUNTIFS(Formulas!$A$2:$A$1501,R$4,Formulas!$B$2:$B$1501,$A69))</f>
        <v>0</v>
      </c>
      <c r="S69" s="21" t="n">
        <f aca="false">IF(OR($A69="",S$4=""),0,COUNTIFS(Formulas!$A$2:$A$1501,S$4,Formulas!$B$2:$B$1501,$A69))</f>
        <v>0</v>
      </c>
      <c r="T69" s="21" t="n">
        <f aca="false">IF(OR($A69="",T$4=""),0,COUNTIFS(Formulas!$A$2:$A$1501,T$4,Formulas!$B$2:$B$1501,$A69))</f>
        <v>0</v>
      </c>
      <c r="U69" s="21" t="n">
        <f aca="false">IF(OR($A69="",U$4=""),0,COUNTIFS(Formulas!$A$2:$A$1501,U$4,Formulas!$B$2:$B$1501,$A69))</f>
        <v>0</v>
      </c>
      <c r="V69" s="21" t="n">
        <f aca="false">IF(OR($A69="",V$4=""),0,COUNTIFS(Formulas!$A$2:$A$1501,V$4,Formulas!$B$2:$B$1501,$A69))</f>
        <v>0</v>
      </c>
      <c r="W69" s="21" t="n">
        <f aca="false">IF(OR($A69="",W$4=""),0,COUNTIFS(Formulas!$A$2:$A$1501,W$4,Formulas!$B$2:$B$1501,$A69))</f>
        <v>0</v>
      </c>
      <c r="X69" s="21" t="n">
        <f aca="false">IF(OR($A69="",X$4=""),0,COUNTIFS(Formulas!$A$2:$A$1501,X$4,Formulas!$B$2:$B$1501,$A69))</f>
        <v>0</v>
      </c>
      <c r="Y69" s="21" t="n">
        <f aca="false">IF(OR($A69="",Y$4=""),0,COUNTIFS(Formulas!$A$2:$A$1501,Y$4,Formulas!$B$2:$B$1501,$A69))</f>
        <v>0</v>
      </c>
      <c r="Z69" s="21" t="n">
        <f aca="false">IF(OR($A69="",Z$4=""),0,COUNTIFS(Formulas!$A$2:$A$1501,Z$4,Formulas!$B$2:$B$1501,$A69))</f>
        <v>0</v>
      </c>
      <c r="AA69" s="21" t="n">
        <f aca="false">IF(OR($A69="",AA$4=""),0,COUNTIFS(Formulas!$A$2:$A$1501,AA$4,Formulas!$B$2:$B$1501,$A69))</f>
        <v>0</v>
      </c>
      <c r="AB69" s="21" t="n">
        <f aca="false">IF(OR($A69="",AB$4=""),0,COUNTIFS(Formulas!$A$2:$A$1501,AB$4,Formulas!$B$2:$B$1501,$A69))</f>
        <v>0</v>
      </c>
      <c r="AC69" s="21" t="n">
        <f aca="false">IF(OR($A69="",AC$4=""),0,COUNTIFS(Formulas!$A$2:$A$1501,AC$4,Formulas!$B$2:$B$1501,$A69))</f>
        <v>0</v>
      </c>
      <c r="AD69" s="21" t="n">
        <f aca="false">IF(OR($A69="",AD$4=""),0,COUNTIFS(Formulas!$A$2:$A$1501,AD$4,Formulas!$B$2:$B$1501,$A69))</f>
        <v>0</v>
      </c>
      <c r="AE69" s="21" t="n">
        <f aca="false">IF(OR($A69="",AE$4=""),0,COUNTIFS(Formulas!$A$2:$A$1501,AE$4,Formulas!$B$2:$B$1501,$A69))</f>
        <v>0</v>
      </c>
      <c r="AF69" s="21" t="n">
        <f aca="false">IF(OR($A69="",AF$4=""),0,COUNTIFS(Formulas!$A$2:$A$1501,AF$4,Formulas!$B$2:$B$1501,$A69))</f>
        <v>0</v>
      </c>
      <c r="AG69" s="21" t="n">
        <f aca="false">IF(OR($A69="",AG$4=""),0,COUNTIFS(Formulas!$A$2:$A$1501,AG$4,Formulas!$B$2:$B$1501,$A69))</f>
        <v>0</v>
      </c>
      <c r="AH69" s="21" t="n">
        <f aca="false">IF(OR($A69="",AH$4=""),0,COUNTIFS(Formulas!$A$2:$A$1501,AH$4,Formulas!$B$2:$B$1501,$A69))</f>
        <v>0</v>
      </c>
      <c r="AI69" s="21" t="n">
        <f aca="false">IF(OR($A69="",AI$4=""),0,COUNTIFS(Formulas!$A$2:$A$1501,AI$4,Formulas!$B$2:$B$1501,$A69))</f>
        <v>0</v>
      </c>
      <c r="AJ69" s="21" t="n">
        <f aca="false">IF(OR($A69="",AJ$4=""),0,COUNTIFS(Formulas!$A$2:$A$1501,AJ$4,Formulas!$B$2:$B$1501,$A69))</f>
        <v>0</v>
      </c>
      <c r="AK69" s="21" t="n">
        <f aca="false">IF(OR($A69="",AK$4=""),0,COUNTIFS(Formulas!$A$2:$A$1501,AK$4,Formulas!$B$2:$B$1501,$A69))</f>
        <v>0</v>
      </c>
      <c r="AL69" s="21" t="n">
        <f aca="false">IF(OR($A69="",AL$4=""),0,COUNTIFS(Formulas!$A$2:$A$1501,AL$4,Formulas!$B$2:$B$1501,$A69))</f>
        <v>0</v>
      </c>
      <c r="AM69" s="21" t="n">
        <f aca="false">IF(OR($A69="",AM$4=""),0,COUNTIFS(Formulas!$A$2:$A$1501,AM$4,Formulas!$B$2:$B$1501,$A69))</f>
        <v>0</v>
      </c>
      <c r="AN69" s="21" t="n">
        <f aca="false">IF(OR($A69="",AN$4=""),0,COUNTIFS(Formulas!$A$2:$A$1501,AN$4,Formulas!$B$2:$B$1501,$A69))</f>
        <v>0</v>
      </c>
      <c r="AO69" s="21" t="n">
        <f aca="false">IF(OR($A69="",AO$4=""),0,COUNTIFS(Formulas!$A$2:$A$1501,AO$4,Formulas!$B$2:$B$1501,$A69))</f>
        <v>0</v>
      </c>
      <c r="AP69" s="21" t="n">
        <f aca="false">IF(OR($A69="",AP$4=""),0,COUNTIFS(Formulas!$A$2:$A$1501,AP$4,Formulas!$B$2:$B$1501,$A69))</f>
        <v>0</v>
      </c>
      <c r="AQ69" s="21" t="n">
        <f aca="false">IF(OR($A69="",AQ$4=""),0,COUNTIFS(Formulas!$A$2:$A$1501,AQ$4,Formulas!$B$2:$B$1501,$A69))</f>
        <v>0</v>
      </c>
      <c r="AR69" s="21" t="n">
        <f aca="false">IF(OR($A69="",AR$4=""),0,COUNTIFS(Formulas!$A$2:$A$1501,AR$4,Formulas!$B$2:$B$1501,$A69))</f>
        <v>0</v>
      </c>
      <c r="AS69" s="21" t="n">
        <f aca="false">IF(OR($A69="",AS$4=""),0,COUNTIFS(Formulas!$A$2:$A$1501,AS$4,Formulas!$B$2:$B$1501,$A69))</f>
        <v>0</v>
      </c>
      <c r="AT69" s="21" t="n">
        <f aca="false">IF(OR($A69="",AT$4=""),0,COUNTIFS(Formulas!$A$2:$A$1501,AT$4,Formulas!$B$2:$B$1501,$A69))</f>
        <v>0</v>
      </c>
      <c r="AU69" s="21" t="n">
        <f aca="false">IF(OR($A69="",AU$4=""),0,COUNTIFS(Formulas!$A$2:$A$1501,AU$4,Formulas!$B$2:$B$1501,$A69))</f>
        <v>0</v>
      </c>
      <c r="AV69" s="21" t="n">
        <f aca="false">IF(OR($A69="",AV$4=""),0,COUNTIFS(Formulas!$A$2:$A$1501,AV$4,Formulas!$B$2:$B$1501,$A69))</f>
        <v>0</v>
      </c>
      <c r="AW69" s="21" t="n">
        <f aca="false">IF(OR($A69="",AW$4=""),0,COUNTIFS(Formulas!$A$2:$A$1501,AW$4,Formulas!$B$2:$B$1501,$A69))</f>
        <v>0</v>
      </c>
      <c r="AX69" s="21" t="n">
        <f aca="false">IF(OR($A69="",AX$4=""),0,COUNTIFS(Formulas!$A$2:$A$1501,AX$4,Formulas!$B$2:$B$1501,$A69))</f>
        <v>0</v>
      </c>
      <c r="AY69" s="21" t="n">
        <f aca="false">IF(OR($A69="",AY$4=""),0,COUNTIFS(Formulas!$A$2:$A$1501,AY$4,Formulas!$B$2:$B$1501,$A69))</f>
        <v>0</v>
      </c>
      <c r="AZ69" s="21" t="n">
        <f aca="false">IF(OR($A69="",AZ$4=""),0,COUNTIFS(Formulas!$A$2:$A$1501,AZ$4,Formulas!$B$2:$B$1501,$A69))</f>
        <v>0</v>
      </c>
      <c r="BA69" s="21" t="n">
        <f aca="false">IF(OR($A69="",BA$4=""),0,COUNTIFS(Formulas!$A$2:$A$1501,BA$4,Formulas!$B$2:$B$1501,$A69))</f>
        <v>0</v>
      </c>
      <c r="BB69" s="21" t="n">
        <f aca="false">IF(OR($A69="",BB$4=""),0,COUNTIFS(Formulas!$A$2:$A$1501,BB$4,Formulas!$B$2:$B$1501,$A69))</f>
        <v>0</v>
      </c>
      <c r="BC69" s="21" t="n">
        <f aca="false">IF(OR($A69="",BC$4=""),0,COUNTIFS(Formulas!$A$2:$A$1501,BC$4,Formulas!$B$2:$B$1501,$A69))</f>
        <v>0</v>
      </c>
      <c r="BD69" s="21" t="n">
        <f aca="false">IF(OR($A69="",BD$4=""),0,COUNTIFS(Formulas!$A$2:$A$1501,BD$4,Formulas!$B$2:$B$1501,$A69))</f>
        <v>0</v>
      </c>
      <c r="BE69" s="21" t="n">
        <f aca="false">IF(OR($A69="",BE$4=""),0,COUNTIFS(Formulas!$A$2:$A$1501,BE$4,Formulas!$B$2:$B$1501,$A69))</f>
        <v>0</v>
      </c>
      <c r="BF69" s="21" t="n">
        <f aca="false">IF(OR($A69="",BF$4=""),0,COUNTIFS(Formulas!$A$2:$A$1501,BF$4,Formulas!$B$2:$B$1501,$A69))</f>
        <v>0</v>
      </c>
      <c r="BG69" s="21" t="n">
        <f aca="false">IF(OR($A69="",BG$4=""),0,COUNTIFS(Formulas!$A$2:$A$1501,BG$4,Formulas!$B$2:$B$1501,$A69))</f>
        <v>0</v>
      </c>
      <c r="BH69" s="21" t="n">
        <f aca="false">IF(OR($A69="",BH$4=""),0,COUNTIFS(Formulas!$A$2:$A$1501,BH$4,Formulas!$B$2:$B$1501,$A69))</f>
        <v>0</v>
      </c>
      <c r="BI69" s="21" t="n">
        <f aca="false">IF(OR($A69="",BI$4=""),0,COUNTIFS(Formulas!$A$2:$A$1501,BI$4,Formulas!$B$2:$B$1501,$A69))</f>
        <v>0</v>
      </c>
      <c r="BJ69" s="21" t="n">
        <f aca="false">IF(OR($A69="",BJ$4=""),0,COUNTIFS(Formulas!$A$2:$A$1501,BJ$4,Formulas!$B$2:$B$1501,$A69))</f>
        <v>0</v>
      </c>
    </row>
    <row r="70" customFormat="false" ht="15" hidden="false" customHeight="false" outlineLevel="0" collapsed="false">
      <c r="A70" s="13" t="str">
        <f aca="false">IF(INDEX(Materials!$A$2:$A$201,66)="","",INDEX(Materials!$A$2:$A$201,66))</f>
        <v/>
      </c>
      <c r="B70" s="19" t="str">
        <f aca="false">IF(A70="","",COUNTIF(C70:BJ70,"&gt;0"))</f>
        <v/>
      </c>
      <c r="C70" s="21" t="n">
        <f aca="false">IF(OR($A70="",C$4=""),0,COUNTIFS(Formulas!$A$2:$A$1501,C$4,Formulas!$B$2:$B$1501,$A70))</f>
        <v>0</v>
      </c>
      <c r="D70" s="21" t="n">
        <f aca="false">IF(OR($A70="",D$4=""),0,COUNTIFS(Formulas!$A$2:$A$1501,D$4,Formulas!$B$2:$B$1501,$A70))</f>
        <v>0</v>
      </c>
      <c r="E70" s="21" t="n">
        <f aca="false">IF(OR($A70="",E$4=""),0,COUNTIFS(Formulas!$A$2:$A$1501,E$4,Formulas!$B$2:$B$1501,$A70))</f>
        <v>0</v>
      </c>
      <c r="F70" s="21" t="n">
        <f aca="false">IF(OR($A70="",F$4=""),0,COUNTIFS(Formulas!$A$2:$A$1501,F$4,Formulas!$B$2:$B$1501,$A70))</f>
        <v>0</v>
      </c>
      <c r="G70" s="21" t="n">
        <f aca="false">IF(OR($A70="",G$4=""),0,COUNTIFS(Formulas!$A$2:$A$1501,G$4,Formulas!$B$2:$B$1501,$A70))</f>
        <v>0</v>
      </c>
      <c r="H70" s="21" t="n">
        <f aca="false">IF(OR($A70="",H$4=""),0,COUNTIFS(Formulas!$A$2:$A$1501,H$4,Formulas!$B$2:$B$1501,$A70))</f>
        <v>0</v>
      </c>
      <c r="I70" s="21" t="n">
        <f aca="false">IF(OR($A70="",I$4=""),0,COUNTIFS(Formulas!$A$2:$A$1501,I$4,Formulas!$B$2:$B$1501,$A70))</f>
        <v>0</v>
      </c>
      <c r="J70" s="21" t="n">
        <f aca="false">IF(OR($A70="",J$4=""),0,COUNTIFS(Formulas!$A$2:$A$1501,J$4,Formulas!$B$2:$B$1501,$A70))</f>
        <v>0</v>
      </c>
      <c r="K70" s="21" t="n">
        <f aca="false">IF(OR($A70="",K$4=""),0,COUNTIFS(Formulas!$A$2:$A$1501,K$4,Formulas!$B$2:$B$1501,$A70))</f>
        <v>0</v>
      </c>
      <c r="L70" s="21" t="n">
        <f aca="false">IF(OR($A70="",L$4=""),0,COUNTIFS(Formulas!$A$2:$A$1501,L$4,Formulas!$B$2:$B$1501,$A70))</f>
        <v>0</v>
      </c>
      <c r="M70" s="21" t="n">
        <f aca="false">IF(OR($A70="",M$4=""),0,COUNTIFS(Formulas!$A$2:$A$1501,M$4,Formulas!$B$2:$B$1501,$A70))</f>
        <v>0</v>
      </c>
      <c r="N70" s="21" t="n">
        <f aca="false">IF(OR($A70="",N$4=""),0,COUNTIFS(Formulas!$A$2:$A$1501,N$4,Formulas!$B$2:$B$1501,$A70))</f>
        <v>0</v>
      </c>
      <c r="O70" s="21" t="n">
        <f aca="false">IF(OR($A70="",O$4=""),0,COUNTIFS(Formulas!$A$2:$A$1501,O$4,Formulas!$B$2:$B$1501,$A70))</f>
        <v>0</v>
      </c>
      <c r="P70" s="21" t="n">
        <f aca="false">IF(OR($A70="",P$4=""),0,COUNTIFS(Formulas!$A$2:$A$1501,P$4,Formulas!$B$2:$B$1501,$A70))</f>
        <v>0</v>
      </c>
      <c r="Q70" s="21" t="n">
        <f aca="false">IF(OR($A70="",Q$4=""),0,COUNTIFS(Formulas!$A$2:$A$1501,Q$4,Formulas!$B$2:$B$1501,$A70))</f>
        <v>0</v>
      </c>
      <c r="R70" s="21" t="n">
        <f aca="false">IF(OR($A70="",R$4=""),0,COUNTIFS(Formulas!$A$2:$A$1501,R$4,Formulas!$B$2:$B$1501,$A70))</f>
        <v>0</v>
      </c>
      <c r="S70" s="21" t="n">
        <f aca="false">IF(OR($A70="",S$4=""),0,COUNTIFS(Formulas!$A$2:$A$1501,S$4,Formulas!$B$2:$B$1501,$A70))</f>
        <v>0</v>
      </c>
      <c r="T70" s="21" t="n">
        <f aca="false">IF(OR($A70="",T$4=""),0,COUNTIFS(Formulas!$A$2:$A$1501,T$4,Formulas!$B$2:$B$1501,$A70))</f>
        <v>0</v>
      </c>
      <c r="U70" s="21" t="n">
        <f aca="false">IF(OR($A70="",U$4=""),0,COUNTIFS(Formulas!$A$2:$A$1501,U$4,Formulas!$B$2:$B$1501,$A70))</f>
        <v>0</v>
      </c>
      <c r="V70" s="21" t="n">
        <f aca="false">IF(OR($A70="",V$4=""),0,COUNTIFS(Formulas!$A$2:$A$1501,V$4,Formulas!$B$2:$B$1501,$A70))</f>
        <v>0</v>
      </c>
      <c r="W70" s="21" t="n">
        <f aca="false">IF(OR($A70="",W$4=""),0,COUNTIFS(Formulas!$A$2:$A$1501,W$4,Formulas!$B$2:$B$1501,$A70))</f>
        <v>0</v>
      </c>
      <c r="X70" s="21" t="n">
        <f aca="false">IF(OR($A70="",X$4=""),0,COUNTIFS(Formulas!$A$2:$A$1501,X$4,Formulas!$B$2:$B$1501,$A70))</f>
        <v>0</v>
      </c>
      <c r="Y70" s="21" t="n">
        <f aca="false">IF(OR($A70="",Y$4=""),0,COUNTIFS(Formulas!$A$2:$A$1501,Y$4,Formulas!$B$2:$B$1501,$A70))</f>
        <v>0</v>
      </c>
      <c r="Z70" s="21" t="n">
        <f aca="false">IF(OR($A70="",Z$4=""),0,COUNTIFS(Formulas!$A$2:$A$1501,Z$4,Formulas!$B$2:$B$1501,$A70))</f>
        <v>0</v>
      </c>
      <c r="AA70" s="21" t="n">
        <f aca="false">IF(OR($A70="",AA$4=""),0,COUNTIFS(Formulas!$A$2:$A$1501,AA$4,Formulas!$B$2:$B$1501,$A70))</f>
        <v>0</v>
      </c>
      <c r="AB70" s="21" t="n">
        <f aca="false">IF(OR($A70="",AB$4=""),0,COUNTIFS(Formulas!$A$2:$A$1501,AB$4,Formulas!$B$2:$B$1501,$A70))</f>
        <v>0</v>
      </c>
      <c r="AC70" s="21" t="n">
        <f aca="false">IF(OR($A70="",AC$4=""),0,COUNTIFS(Formulas!$A$2:$A$1501,AC$4,Formulas!$B$2:$B$1501,$A70))</f>
        <v>0</v>
      </c>
      <c r="AD70" s="21" t="n">
        <f aca="false">IF(OR($A70="",AD$4=""),0,COUNTIFS(Formulas!$A$2:$A$1501,AD$4,Formulas!$B$2:$B$1501,$A70))</f>
        <v>0</v>
      </c>
      <c r="AE70" s="21" t="n">
        <f aca="false">IF(OR($A70="",AE$4=""),0,COUNTIFS(Formulas!$A$2:$A$1501,AE$4,Formulas!$B$2:$B$1501,$A70))</f>
        <v>0</v>
      </c>
      <c r="AF70" s="21" t="n">
        <f aca="false">IF(OR($A70="",AF$4=""),0,COUNTIFS(Formulas!$A$2:$A$1501,AF$4,Formulas!$B$2:$B$1501,$A70))</f>
        <v>0</v>
      </c>
      <c r="AG70" s="21" t="n">
        <f aca="false">IF(OR($A70="",AG$4=""),0,COUNTIFS(Formulas!$A$2:$A$1501,AG$4,Formulas!$B$2:$B$1501,$A70))</f>
        <v>0</v>
      </c>
      <c r="AH70" s="21" t="n">
        <f aca="false">IF(OR($A70="",AH$4=""),0,COUNTIFS(Formulas!$A$2:$A$1501,AH$4,Formulas!$B$2:$B$1501,$A70))</f>
        <v>0</v>
      </c>
      <c r="AI70" s="21" t="n">
        <f aca="false">IF(OR($A70="",AI$4=""),0,COUNTIFS(Formulas!$A$2:$A$1501,AI$4,Formulas!$B$2:$B$1501,$A70))</f>
        <v>0</v>
      </c>
      <c r="AJ70" s="21" t="n">
        <f aca="false">IF(OR($A70="",AJ$4=""),0,COUNTIFS(Formulas!$A$2:$A$1501,AJ$4,Formulas!$B$2:$B$1501,$A70))</f>
        <v>0</v>
      </c>
      <c r="AK70" s="21" t="n">
        <f aca="false">IF(OR($A70="",AK$4=""),0,COUNTIFS(Formulas!$A$2:$A$1501,AK$4,Formulas!$B$2:$B$1501,$A70))</f>
        <v>0</v>
      </c>
      <c r="AL70" s="21" t="n">
        <f aca="false">IF(OR($A70="",AL$4=""),0,COUNTIFS(Formulas!$A$2:$A$1501,AL$4,Formulas!$B$2:$B$1501,$A70))</f>
        <v>0</v>
      </c>
      <c r="AM70" s="21" t="n">
        <f aca="false">IF(OR($A70="",AM$4=""),0,COUNTIFS(Formulas!$A$2:$A$1501,AM$4,Formulas!$B$2:$B$1501,$A70))</f>
        <v>0</v>
      </c>
      <c r="AN70" s="21" t="n">
        <f aca="false">IF(OR($A70="",AN$4=""),0,COUNTIFS(Formulas!$A$2:$A$1501,AN$4,Formulas!$B$2:$B$1501,$A70))</f>
        <v>0</v>
      </c>
      <c r="AO70" s="21" t="n">
        <f aca="false">IF(OR($A70="",AO$4=""),0,COUNTIFS(Formulas!$A$2:$A$1501,AO$4,Formulas!$B$2:$B$1501,$A70))</f>
        <v>0</v>
      </c>
      <c r="AP70" s="21" t="n">
        <f aca="false">IF(OR($A70="",AP$4=""),0,COUNTIFS(Formulas!$A$2:$A$1501,AP$4,Formulas!$B$2:$B$1501,$A70))</f>
        <v>0</v>
      </c>
      <c r="AQ70" s="21" t="n">
        <f aca="false">IF(OR($A70="",AQ$4=""),0,COUNTIFS(Formulas!$A$2:$A$1501,AQ$4,Formulas!$B$2:$B$1501,$A70))</f>
        <v>0</v>
      </c>
      <c r="AR70" s="21" t="n">
        <f aca="false">IF(OR($A70="",AR$4=""),0,COUNTIFS(Formulas!$A$2:$A$1501,AR$4,Formulas!$B$2:$B$1501,$A70))</f>
        <v>0</v>
      </c>
      <c r="AS70" s="21" t="n">
        <f aca="false">IF(OR($A70="",AS$4=""),0,COUNTIFS(Formulas!$A$2:$A$1501,AS$4,Formulas!$B$2:$B$1501,$A70))</f>
        <v>0</v>
      </c>
      <c r="AT70" s="21" t="n">
        <f aca="false">IF(OR($A70="",AT$4=""),0,COUNTIFS(Formulas!$A$2:$A$1501,AT$4,Formulas!$B$2:$B$1501,$A70))</f>
        <v>0</v>
      </c>
      <c r="AU70" s="21" t="n">
        <f aca="false">IF(OR($A70="",AU$4=""),0,COUNTIFS(Formulas!$A$2:$A$1501,AU$4,Formulas!$B$2:$B$1501,$A70))</f>
        <v>0</v>
      </c>
      <c r="AV70" s="21" t="n">
        <f aca="false">IF(OR($A70="",AV$4=""),0,COUNTIFS(Formulas!$A$2:$A$1501,AV$4,Formulas!$B$2:$B$1501,$A70))</f>
        <v>0</v>
      </c>
      <c r="AW70" s="21" t="n">
        <f aca="false">IF(OR($A70="",AW$4=""),0,COUNTIFS(Formulas!$A$2:$A$1501,AW$4,Formulas!$B$2:$B$1501,$A70))</f>
        <v>0</v>
      </c>
      <c r="AX70" s="21" t="n">
        <f aca="false">IF(OR($A70="",AX$4=""),0,COUNTIFS(Formulas!$A$2:$A$1501,AX$4,Formulas!$B$2:$B$1501,$A70))</f>
        <v>0</v>
      </c>
      <c r="AY70" s="21" t="n">
        <f aca="false">IF(OR($A70="",AY$4=""),0,COUNTIFS(Formulas!$A$2:$A$1501,AY$4,Formulas!$B$2:$B$1501,$A70))</f>
        <v>0</v>
      </c>
      <c r="AZ70" s="21" t="n">
        <f aca="false">IF(OR($A70="",AZ$4=""),0,COUNTIFS(Formulas!$A$2:$A$1501,AZ$4,Formulas!$B$2:$B$1501,$A70))</f>
        <v>0</v>
      </c>
      <c r="BA70" s="21" t="n">
        <f aca="false">IF(OR($A70="",BA$4=""),0,COUNTIFS(Formulas!$A$2:$A$1501,BA$4,Formulas!$B$2:$B$1501,$A70))</f>
        <v>0</v>
      </c>
      <c r="BB70" s="21" t="n">
        <f aca="false">IF(OR($A70="",BB$4=""),0,COUNTIFS(Formulas!$A$2:$A$1501,BB$4,Formulas!$B$2:$B$1501,$A70))</f>
        <v>0</v>
      </c>
      <c r="BC70" s="21" t="n">
        <f aca="false">IF(OR($A70="",BC$4=""),0,COUNTIFS(Formulas!$A$2:$A$1501,BC$4,Formulas!$B$2:$B$1501,$A70))</f>
        <v>0</v>
      </c>
      <c r="BD70" s="21" t="n">
        <f aca="false">IF(OR($A70="",BD$4=""),0,COUNTIFS(Formulas!$A$2:$A$1501,BD$4,Formulas!$B$2:$B$1501,$A70))</f>
        <v>0</v>
      </c>
      <c r="BE70" s="21" t="n">
        <f aca="false">IF(OR($A70="",BE$4=""),0,COUNTIFS(Formulas!$A$2:$A$1501,BE$4,Formulas!$B$2:$B$1501,$A70))</f>
        <v>0</v>
      </c>
      <c r="BF70" s="21" t="n">
        <f aca="false">IF(OR($A70="",BF$4=""),0,COUNTIFS(Formulas!$A$2:$A$1501,BF$4,Formulas!$B$2:$B$1501,$A70))</f>
        <v>0</v>
      </c>
      <c r="BG70" s="21" t="n">
        <f aca="false">IF(OR($A70="",BG$4=""),0,COUNTIFS(Formulas!$A$2:$A$1501,BG$4,Formulas!$B$2:$B$1501,$A70))</f>
        <v>0</v>
      </c>
      <c r="BH70" s="21" t="n">
        <f aca="false">IF(OR($A70="",BH$4=""),0,COUNTIFS(Formulas!$A$2:$A$1501,BH$4,Formulas!$B$2:$B$1501,$A70))</f>
        <v>0</v>
      </c>
      <c r="BI70" s="21" t="n">
        <f aca="false">IF(OR($A70="",BI$4=""),0,COUNTIFS(Formulas!$A$2:$A$1501,BI$4,Formulas!$B$2:$B$1501,$A70))</f>
        <v>0</v>
      </c>
      <c r="BJ70" s="21" t="n">
        <f aca="false">IF(OR($A70="",BJ$4=""),0,COUNTIFS(Formulas!$A$2:$A$1501,BJ$4,Formulas!$B$2:$B$1501,$A70))</f>
        <v>0</v>
      </c>
    </row>
    <row r="71" customFormat="false" ht="15" hidden="false" customHeight="false" outlineLevel="0" collapsed="false">
      <c r="A71" s="13" t="str">
        <f aca="false">IF(INDEX(Materials!$A$2:$A$201,67)="","",INDEX(Materials!$A$2:$A$201,67))</f>
        <v/>
      </c>
      <c r="B71" s="19" t="str">
        <f aca="false">IF(A71="","",COUNTIF(C71:BJ71,"&gt;0"))</f>
        <v/>
      </c>
      <c r="C71" s="21" t="n">
        <f aca="false">IF(OR($A71="",C$4=""),0,COUNTIFS(Formulas!$A$2:$A$1501,C$4,Formulas!$B$2:$B$1501,$A71))</f>
        <v>0</v>
      </c>
      <c r="D71" s="21" t="n">
        <f aca="false">IF(OR($A71="",D$4=""),0,COUNTIFS(Formulas!$A$2:$A$1501,D$4,Formulas!$B$2:$B$1501,$A71))</f>
        <v>0</v>
      </c>
      <c r="E71" s="21" t="n">
        <f aca="false">IF(OR($A71="",E$4=""),0,COUNTIFS(Formulas!$A$2:$A$1501,E$4,Formulas!$B$2:$B$1501,$A71))</f>
        <v>0</v>
      </c>
      <c r="F71" s="21" t="n">
        <f aca="false">IF(OR($A71="",F$4=""),0,COUNTIFS(Formulas!$A$2:$A$1501,F$4,Formulas!$B$2:$B$1501,$A71))</f>
        <v>0</v>
      </c>
      <c r="G71" s="21" t="n">
        <f aca="false">IF(OR($A71="",G$4=""),0,COUNTIFS(Formulas!$A$2:$A$1501,G$4,Formulas!$B$2:$B$1501,$A71))</f>
        <v>0</v>
      </c>
      <c r="H71" s="21" t="n">
        <f aca="false">IF(OR($A71="",H$4=""),0,COUNTIFS(Formulas!$A$2:$A$1501,H$4,Formulas!$B$2:$B$1501,$A71))</f>
        <v>0</v>
      </c>
      <c r="I71" s="21" t="n">
        <f aca="false">IF(OR($A71="",I$4=""),0,COUNTIFS(Formulas!$A$2:$A$1501,I$4,Formulas!$B$2:$B$1501,$A71))</f>
        <v>0</v>
      </c>
      <c r="J71" s="21" t="n">
        <f aca="false">IF(OR($A71="",J$4=""),0,COUNTIFS(Formulas!$A$2:$A$1501,J$4,Formulas!$B$2:$B$1501,$A71))</f>
        <v>0</v>
      </c>
      <c r="K71" s="21" t="n">
        <f aca="false">IF(OR($A71="",K$4=""),0,COUNTIFS(Formulas!$A$2:$A$1501,K$4,Formulas!$B$2:$B$1501,$A71))</f>
        <v>0</v>
      </c>
      <c r="L71" s="21" t="n">
        <f aca="false">IF(OR($A71="",L$4=""),0,COUNTIFS(Formulas!$A$2:$A$1501,L$4,Formulas!$B$2:$B$1501,$A71))</f>
        <v>0</v>
      </c>
      <c r="M71" s="21" t="n">
        <f aca="false">IF(OR($A71="",M$4=""),0,COUNTIFS(Formulas!$A$2:$A$1501,M$4,Formulas!$B$2:$B$1501,$A71))</f>
        <v>0</v>
      </c>
      <c r="N71" s="21" t="n">
        <f aca="false">IF(OR($A71="",N$4=""),0,COUNTIFS(Formulas!$A$2:$A$1501,N$4,Formulas!$B$2:$B$1501,$A71))</f>
        <v>0</v>
      </c>
      <c r="O71" s="21" t="n">
        <f aca="false">IF(OR($A71="",O$4=""),0,COUNTIFS(Formulas!$A$2:$A$1501,O$4,Formulas!$B$2:$B$1501,$A71))</f>
        <v>0</v>
      </c>
      <c r="P71" s="21" t="n">
        <f aca="false">IF(OR($A71="",P$4=""),0,COUNTIFS(Formulas!$A$2:$A$1501,P$4,Formulas!$B$2:$B$1501,$A71))</f>
        <v>0</v>
      </c>
      <c r="Q71" s="21" t="n">
        <f aca="false">IF(OR($A71="",Q$4=""),0,COUNTIFS(Formulas!$A$2:$A$1501,Q$4,Formulas!$B$2:$B$1501,$A71))</f>
        <v>0</v>
      </c>
      <c r="R71" s="21" t="n">
        <f aca="false">IF(OR($A71="",R$4=""),0,COUNTIFS(Formulas!$A$2:$A$1501,R$4,Formulas!$B$2:$B$1501,$A71))</f>
        <v>0</v>
      </c>
      <c r="S71" s="21" t="n">
        <f aca="false">IF(OR($A71="",S$4=""),0,COUNTIFS(Formulas!$A$2:$A$1501,S$4,Formulas!$B$2:$B$1501,$A71))</f>
        <v>0</v>
      </c>
      <c r="T71" s="21" t="n">
        <f aca="false">IF(OR($A71="",T$4=""),0,COUNTIFS(Formulas!$A$2:$A$1501,T$4,Formulas!$B$2:$B$1501,$A71))</f>
        <v>0</v>
      </c>
      <c r="U71" s="21" t="n">
        <f aca="false">IF(OR($A71="",U$4=""),0,COUNTIFS(Formulas!$A$2:$A$1501,U$4,Formulas!$B$2:$B$1501,$A71))</f>
        <v>0</v>
      </c>
      <c r="V71" s="21" t="n">
        <f aca="false">IF(OR($A71="",V$4=""),0,COUNTIFS(Formulas!$A$2:$A$1501,V$4,Formulas!$B$2:$B$1501,$A71))</f>
        <v>0</v>
      </c>
      <c r="W71" s="21" t="n">
        <f aca="false">IF(OR($A71="",W$4=""),0,COUNTIFS(Formulas!$A$2:$A$1501,W$4,Formulas!$B$2:$B$1501,$A71))</f>
        <v>0</v>
      </c>
      <c r="X71" s="21" t="n">
        <f aca="false">IF(OR($A71="",X$4=""),0,COUNTIFS(Formulas!$A$2:$A$1501,X$4,Formulas!$B$2:$B$1501,$A71))</f>
        <v>0</v>
      </c>
      <c r="Y71" s="21" t="n">
        <f aca="false">IF(OR($A71="",Y$4=""),0,COUNTIFS(Formulas!$A$2:$A$1501,Y$4,Formulas!$B$2:$B$1501,$A71))</f>
        <v>0</v>
      </c>
      <c r="Z71" s="21" t="n">
        <f aca="false">IF(OR($A71="",Z$4=""),0,COUNTIFS(Formulas!$A$2:$A$1501,Z$4,Formulas!$B$2:$B$1501,$A71))</f>
        <v>0</v>
      </c>
      <c r="AA71" s="21" t="n">
        <f aca="false">IF(OR($A71="",AA$4=""),0,COUNTIFS(Formulas!$A$2:$A$1501,AA$4,Formulas!$B$2:$B$1501,$A71))</f>
        <v>0</v>
      </c>
      <c r="AB71" s="21" t="n">
        <f aca="false">IF(OR($A71="",AB$4=""),0,COUNTIFS(Formulas!$A$2:$A$1501,AB$4,Formulas!$B$2:$B$1501,$A71))</f>
        <v>0</v>
      </c>
      <c r="AC71" s="21" t="n">
        <f aca="false">IF(OR($A71="",AC$4=""),0,COUNTIFS(Formulas!$A$2:$A$1501,AC$4,Formulas!$B$2:$B$1501,$A71))</f>
        <v>0</v>
      </c>
      <c r="AD71" s="21" t="n">
        <f aca="false">IF(OR($A71="",AD$4=""),0,COUNTIFS(Formulas!$A$2:$A$1501,AD$4,Formulas!$B$2:$B$1501,$A71))</f>
        <v>0</v>
      </c>
      <c r="AE71" s="21" t="n">
        <f aca="false">IF(OR($A71="",AE$4=""),0,COUNTIFS(Formulas!$A$2:$A$1501,AE$4,Formulas!$B$2:$B$1501,$A71))</f>
        <v>0</v>
      </c>
      <c r="AF71" s="21" t="n">
        <f aca="false">IF(OR($A71="",AF$4=""),0,COUNTIFS(Formulas!$A$2:$A$1501,AF$4,Formulas!$B$2:$B$1501,$A71))</f>
        <v>0</v>
      </c>
      <c r="AG71" s="21" t="n">
        <f aca="false">IF(OR($A71="",AG$4=""),0,COUNTIFS(Formulas!$A$2:$A$1501,AG$4,Formulas!$B$2:$B$1501,$A71))</f>
        <v>0</v>
      </c>
      <c r="AH71" s="21" t="n">
        <f aca="false">IF(OR($A71="",AH$4=""),0,COUNTIFS(Formulas!$A$2:$A$1501,AH$4,Formulas!$B$2:$B$1501,$A71))</f>
        <v>0</v>
      </c>
      <c r="AI71" s="21" t="n">
        <f aca="false">IF(OR($A71="",AI$4=""),0,COUNTIFS(Formulas!$A$2:$A$1501,AI$4,Formulas!$B$2:$B$1501,$A71))</f>
        <v>0</v>
      </c>
      <c r="AJ71" s="21" t="n">
        <f aca="false">IF(OR($A71="",AJ$4=""),0,COUNTIFS(Formulas!$A$2:$A$1501,AJ$4,Formulas!$B$2:$B$1501,$A71))</f>
        <v>0</v>
      </c>
      <c r="AK71" s="21" t="n">
        <f aca="false">IF(OR($A71="",AK$4=""),0,COUNTIFS(Formulas!$A$2:$A$1501,AK$4,Formulas!$B$2:$B$1501,$A71))</f>
        <v>0</v>
      </c>
      <c r="AL71" s="21" t="n">
        <f aca="false">IF(OR($A71="",AL$4=""),0,COUNTIFS(Formulas!$A$2:$A$1501,AL$4,Formulas!$B$2:$B$1501,$A71))</f>
        <v>0</v>
      </c>
      <c r="AM71" s="21" t="n">
        <f aca="false">IF(OR($A71="",AM$4=""),0,COUNTIFS(Formulas!$A$2:$A$1501,AM$4,Formulas!$B$2:$B$1501,$A71))</f>
        <v>0</v>
      </c>
      <c r="AN71" s="21" t="n">
        <f aca="false">IF(OR($A71="",AN$4=""),0,COUNTIFS(Formulas!$A$2:$A$1501,AN$4,Formulas!$B$2:$B$1501,$A71))</f>
        <v>0</v>
      </c>
      <c r="AO71" s="21" t="n">
        <f aca="false">IF(OR($A71="",AO$4=""),0,COUNTIFS(Formulas!$A$2:$A$1501,AO$4,Formulas!$B$2:$B$1501,$A71))</f>
        <v>0</v>
      </c>
      <c r="AP71" s="21" t="n">
        <f aca="false">IF(OR($A71="",AP$4=""),0,COUNTIFS(Formulas!$A$2:$A$1501,AP$4,Formulas!$B$2:$B$1501,$A71))</f>
        <v>0</v>
      </c>
      <c r="AQ71" s="21" t="n">
        <f aca="false">IF(OR($A71="",AQ$4=""),0,COUNTIFS(Formulas!$A$2:$A$1501,AQ$4,Formulas!$B$2:$B$1501,$A71))</f>
        <v>0</v>
      </c>
      <c r="AR71" s="21" t="n">
        <f aca="false">IF(OR($A71="",AR$4=""),0,COUNTIFS(Formulas!$A$2:$A$1501,AR$4,Formulas!$B$2:$B$1501,$A71))</f>
        <v>0</v>
      </c>
      <c r="AS71" s="21" t="n">
        <f aca="false">IF(OR($A71="",AS$4=""),0,COUNTIFS(Formulas!$A$2:$A$1501,AS$4,Formulas!$B$2:$B$1501,$A71))</f>
        <v>0</v>
      </c>
      <c r="AT71" s="21" t="n">
        <f aca="false">IF(OR($A71="",AT$4=""),0,COUNTIFS(Formulas!$A$2:$A$1501,AT$4,Formulas!$B$2:$B$1501,$A71))</f>
        <v>0</v>
      </c>
      <c r="AU71" s="21" t="n">
        <f aca="false">IF(OR($A71="",AU$4=""),0,COUNTIFS(Formulas!$A$2:$A$1501,AU$4,Formulas!$B$2:$B$1501,$A71))</f>
        <v>0</v>
      </c>
      <c r="AV71" s="21" t="n">
        <f aca="false">IF(OR($A71="",AV$4=""),0,COUNTIFS(Formulas!$A$2:$A$1501,AV$4,Formulas!$B$2:$B$1501,$A71))</f>
        <v>0</v>
      </c>
      <c r="AW71" s="21" t="n">
        <f aca="false">IF(OR($A71="",AW$4=""),0,COUNTIFS(Formulas!$A$2:$A$1501,AW$4,Formulas!$B$2:$B$1501,$A71))</f>
        <v>0</v>
      </c>
      <c r="AX71" s="21" t="n">
        <f aca="false">IF(OR($A71="",AX$4=""),0,COUNTIFS(Formulas!$A$2:$A$1501,AX$4,Formulas!$B$2:$B$1501,$A71))</f>
        <v>0</v>
      </c>
      <c r="AY71" s="21" t="n">
        <f aca="false">IF(OR($A71="",AY$4=""),0,COUNTIFS(Formulas!$A$2:$A$1501,AY$4,Formulas!$B$2:$B$1501,$A71))</f>
        <v>0</v>
      </c>
      <c r="AZ71" s="21" t="n">
        <f aca="false">IF(OR($A71="",AZ$4=""),0,COUNTIFS(Formulas!$A$2:$A$1501,AZ$4,Formulas!$B$2:$B$1501,$A71))</f>
        <v>0</v>
      </c>
      <c r="BA71" s="21" t="n">
        <f aca="false">IF(OR($A71="",BA$4=""),0,COUNTIFS(Formulas!$A$2:$A$1501,BA$4,Formulas!$B$2:$B$1501,$A71))</f>
        <v>0</v>
      </c>
      <c r="BB71" s="21" t="n">
        <f aca="false">IF(OR($A71="",BB$4=""),0,COUNTIFS(Formulas!$A$2:$A$1501,BB$4,Formulas!$B$2:$B$1501,$A71))</f>
        <v>0</v>
      </c>
      <c r="BC71" s="21" t="n">
        <f aca="false">IF(OR($A71="",BC$4=""),0,COUNTIFS(Formulas!$A$2:$A$1501,BC$4,Formulas!$B$2:$B$1501,$A71))</f>
        <v>0</v>
      </c>
      <c r="BD71" s="21" t="n">
        <f aca="false">IF(OR($A71="",BD$4=""),0,COUNTIFS(Formulas!$A$2:$A$1501,BD$4,Formulas!$B$2:$B$1501,$A71))</f>
        <v>0</v>
      </c>
      <c r="BE71" s="21" t="n">
        <f aca="false">IF(OR($A71="",BE$4=""),0,COUNTIFS(Formulas!$A$2:$A$1501,BE$4,Formulas!$B$2:$B$1501,$A71))</f>
        <v>0</v>
      </c>
      <c r="BF71" s="21" t="n">
        <f aca="false">IF(OR($A71="",BF$4=""),0,COUNTIFS(Formulas!$A$2:$A$1501,BF$4,Formulas!$B$2:$B$1501,$A71))</f>
        <v>0</v>
      </c>
      <c r="BG71" s="21" t="n">
        <f aca="false">IF(OR($A71="",BG$4=""),0,COUNTIFS(Formulas!$A$2:$A$1501,BG$4,Formulas!$B$2:$B$1501,$A71))</f>
        <v>0</v>
      </c>
      <c r="BH71" s="21" t="n">
        <f aca="false">IF(OR($A71="",BH$4=""),0,COUNTIFS(Formulas!$A$2:$A$1501,BH$4,Formulas!$B$2:$B$1501,$A71))</f>
        <v>0</v>
      </c>
      <c r="BI71" s="21" t="n">
        <f aca="false">IF(OR($A71="",BI$4=""),0,COUNTIFS(Formulas!$A$2:$A$1501,BI$4,Formulas!$B$2:$B$1501,$A71))</f>
        <v>0</v>
      </c>
      <c r="BJ71" s="21" t="n">
        <f aca="false">IF(OR($A71="",BJ$4=""),0,COUNTIFS(Formulas!$A$2:$A$1501,BJ$4,Formulas!$B$2:$B$1501,$A71))</f>
        <v>0</v>
      </c>
    </row>
    <row r="72" customFormat="false" ht="15" hidden="false" customHeight="false" outlineLevel="0" collapsed="false">
      <c r="A72" s="13" t="str">
        <f aca="false">IF(INDEX(Materials!$A$2:$A$201,68)="","",INDEX(Materials!$A$2:$A$201,68))</f>
        <v/>
      </c>
      <c r="B72" s="19" t="str">
        <f aca="false">IF(A72="","",COUNTIF(C72:BJ72,"&gt;0"))</f>
        <v/>
      </c>
      <c r="C72" s="21" t="n">
        <f aca="false">IF(OR($A72="",C$4=""),0,COUNTIFS(Formulas!$A$2:$A$1501,C$4,Formulas!$B$2:$B$1501,$A72))</f>
        <v>0</v>
      </c>
      <c r="D72" s="21" t="n">
        <f aca="false">IF(OR($A72="",D$4=""),0,COUNTIFS(Formulas!$A$2:$A$1501,D$4,Formulas!$B$2:$B$1501,$A72))</f>
        <v>0</v>
      </c>
      <c r="E72" s="21" t="n">
        <f aca="false">IF(OR($A72="",E$4=""),0,COUNTIFS(Formulas!$A$2:$A$1501,E$4,Formulas!$B$2:$B$1501,$A72))</f>
        <v>0</v>
      </c>
      <c r="F72" s="21" t="n">
        <f aca="false">IF(OR($A72="",F$4=""),0,COUNTIFS(Formulas!$A$2:$A$1501,F$4,Formulas!$B$2:$B$1501,$A72))</f>
        <v>0</v>
      </c>
      <c r="G72" s="21" t="n">
        <f aca="false">IF(OR($A72="",G$4=""),0,COUNTIFS(Formulas!$A$2:$A$1501,G$4,Formulas!$B$2:$B$1501,$A72))</f>
        <v>0</v>
      </c>
      <c r="H72" s="21" t="n">
        <f aca="false">IF(OR($A72="",H$4=""),0,COUNTIFS(Formulas!$A$2:$A$1501,H$4,Formulas!$B$2:$B$1501,$A72))</f>
        <v>0</v>
      </c>
      <c r="I72" s="21" t="n">
        <f aca="false">IF(OR($A72="",I$4=""),0,COUNTIFS(Formulas!$A$2:$A$1501,I$4,Formulas!$B$2:$B$1501,$A72))</f>
        <v>0</v>
      </c>
      <c r="J72" s="21" t="n">
        <f aca="false">IF(OR($A72="",J$4=""),0,COUNTIFS(Formulas!$A$2:$A$1501,J$4,Formulas!$B$2:$B$1501,$A72))</f>
        <v>0</v>
      </c>
      <c r="K72" s="21" t="n">
        <f aca="false">IF(OR($A72="",K$4=""),0,COUNTIFS(Formulas!$A$2:$A$1501,K$4,Formulas!$B$2:$B$1501,$A72))</f>
        <v>0</v>
      </c>
      <c r="L72" s="21" t="n">
        <f aca="false">IF(OR($A72="",L$4=""),0,COUNTIFS(Formulas!$A$2:$A$1501,L$4,Formulas!$B$2:$B$1501,$A72))</f>
        <v>0</v>
      </c>
      <c r="M72" s="21" t="n">
        <f aca="false">IF(OR($A72="",M$4=""),0,COUNTIFS(Formulas!$A$2:$A$1501,M$4,Formulas!$B$2:$B$1501,$A72))</f>
        <v>0</v>
      </c>
      <c r="N72" s="21" t="n">
        <f aca="false">IF(OR($A72="",N$4=""),0,COUNTIFS(Formulas!$A$2:$A$1501,N$4,Formulas!$B$2:$B$1501,$A72))</f>
        <v>0</v>
      </c>
      <c r="O72" s="21" t="n">
        <f aca="false">IF(OR($A72="",O$4=""),0,COUNTIFS(Formulas!$A$2:$A$1501,O$4,Formulas!$B$2:$B$1501,$A72))</f>
        <v>0</v>
      </c>
      <c r="P72" s="21" t="n">
        <f aca="false">IF(OR($A72="",P$4=""),0,COUNTIFS(Formulas!$A$2:$A$1501,P$4,Formulas!$B$2:$B$1501,$A72))</f>
        <v>0</v>
      </c>
      <c r="Q72" s="21" t="n">
        <f aca="false">IF(OR($A72="",Q$4=""),0,COUNTIFS(Formulas!$A$2:$A$1501,Q$4,Formulas!$B$2:$B$1501,$A72))</f>
        <v>0</v>
      </c>
      <c r="R72" s="21" t="n">
        <f aca="false">IF(OR($A72="",R$4=""),0,COUNTIFS(Formulas!$A$2:$A$1501,R$4,Formulas!$B$2:$B$1501,$A72))</f>
        <v>0</v>
      </c>
      <c r="S72" s="21" t="n">
        <f aca="false">IF(OR($A72="",S$4=""),0,COUNTIFS(Formulas!$A$2:$A$1501,S$4,Formulas!$B$2:$B$1501,$A72))</f>
        <v>0</v>
      </c>
      <c r="T72" s="21" t="n">
        <f aca="false">IF(OR($A72="",T$4=""),0,COUNTIFS(Formulas!$A$2:$A$1501,T$4,Formulas!$B$2:$B$1501,$A72))</f>
        <v>0</v>
      </c>
      <c r="U72" s="21" t="n">
        <f aca="false">IF(OR($A72="",U$4=""),0,COUNTIFS(Formulas!$A$2:$A$1501,U$4,Formulas!$B$2:$B$1501,$A72))</f>
        <v>0</v>
      </c>
      <c r="V72" s="21" t="n">
        <f aca="false">IF(OR($A72="",V$4=""),0,COUNTIFS(Formulas!$A$2:$A$1501,V$4,Formulas!$B$2:$B$1501,$A72))</f>
        <v>0</v>
      </c>
      <c r="W72" s="21" t="n">
        <f aca="false">IF(OR($A72="",W$4=""),0,COUNTIFS(Formulas!$A$2:$A$1501,W$4,Formulas!$B$2:$B$1501,$A72))</f>
        <v>0</v>
      </c>
      <c r="X72" s="21" t="n">
        <f aca="false">IF(OR($A72="",X$4=""),0,COUNTIFS(Formulas!$A$2:$A$1501,X$4,Formulas!$B$2:$B$1501,$A72))</f>
        <v>0</v>
      </c>
      <c r="Y72" s="21" t="n">
        <f aca="false">IF(OR($A72="",Y$4=""),0,COUNTIFS(Formulas!$A$2:$A$1501,Y$4,Formulas!$B$2:$B$1501,$A72))</f>
        <v>0</v>
      </c>
      <c r="Z72" s="21" t="n">
        <f aca="false">IF(OR($A72="",Z$4=""),0,COUNTIFS(Formulas!$A$2:$A$1501,Z$4,Formulas!$B$2:$B$1501,$A72))</f>
        <v>0</v>
      </c>
      <c r="AA72" s="21" t="n">
        <f aca="false">IF(OR($A72="",AA$4=""),0,COUNTIFS(Formulas!$A$2:$A$1501,AA$4,Formulas!$B$2:$B$1501,$A72))</f>
        <v>0</v>
      </c>
      <c r="AB72" s="21" t="n">
        <f aca="false">IF(OR($A72="",AB$4=""),0,COUNTIFS(Formulas!$A$2:$A$1501,AB$4,Formulas!$B$2:$B$1501,$A72))</f>
        <v>0</v>
      </c>
      <c r="AC72" s="21" t="n">
        <f aca="false">IF(OR($A72="",AC$4=""),0,COUNTIFS(Formulas!$A$2:$A$1501,AC$4,Formulas!$B$2:$B$1501,$A72))</f>
        <v>0</v>
      </c>
      <c r="AD72" s="21" t="n">
        <f aca="false">IF(OR($A72="",AD$4=""),0,COUNTIFS(Formulas!$A$2:$A$1501,AD$4,Formulas!$B$2:$B$1501,$A72))</f>
        <v>0</v>
      </c>
      <c r="AE72" s="21" t="n">
        <f aca="false">IF(OR($A72="",AE$4=""),0,COUNTIFS(Formulas!$A$2:$A$1501,AE$4,Formulas!$B$2:$B$1501,$A72))</f>
        <v>0</v>
      </c>
      <c r="AF72" s="21" t="n">
        <f aca="false">IF(OR($A72="",AF$4=""),0,COUNTIFS(Formulas!$A$2:$A$1501,AF$4,Formulas!$B$2:$B$1501,$A72))</f>
        <v>0</v>
      </c>
      <c r="AG72" s="21" t="n">
        <f aca="false">IF(OR($A72="",AG$4=""),0,COUNTIFS(Formulas!$A$2:$A$1501,AG$4,Formulas!$B$2:$B$1501,$A72))</f>
        <v>0</v>
      </c>
      <c r="AH72" s="21" t="n">
        <f aca="false">IF(OR($A72="",AH$4=""),0,COUNTIFS(Formulas!$A$2:$A$1501,AH$4,Formulas!$B$2:$B$1501,$A72))</f>
        <v>0</v>
      </c>
      <c r="AI72" s="21" t="n">
        <f aca="false">IF(OR($A72="",AI$4=""),0,COUNTIFS(Formulas!$A$2:$A$1501,AI$4,Formulas!$B$2:$B$1501,$A72))</f>
        <v>0</v>
      </c>
      <c r="AJ72" s="21" t="n">
        <f aca="false">IF(OR($A72="",AJ$4=""),0,COUNTIFS(Formulas!$A$2:$A$1501,AJ$4,Formulas!$B$2:$B$1501,$A72))</f>
        <v>0</v>
      </c>
      <c r="AK72" s="21" t="n">
        <f aca="false">IF(OR($A72="",AK$4=""),0,COUNTIFS(Formulas!$A$2:$A$1501,AK$4,Formulas!$B$2:$B$1501,$A72))</f>
        <v>0</v>
      </c>
      <c r="AL72" s="21" t="n">
        <f aca="false">IF(OR($A72="",AL$4=""),0,COUNTIFS(Formulas!$A$2:$A$1501,AL$4,Formulas!$B$2:$B$1501,$A72))</f>
        <v>0</v>
      </c>
      <c r="AM72" s="21" t="n">
        <f aca="false">IF(OR($A72="",AM$4=""),0,COUNTIFS(Formulas!$A$2:$A$1501,AM$4,Formulas!$B$2:$B$1501,$A72))</f>
        <v>0</v>
      </c>
      <c r="AN72" s="21" t="n">
        <f aca="false">IF(OR($A72="",AN$4=""),0,COUNTIFS(Formulas!$A$2:$A$1501,AN$4,Formulas!$B$2:$B$1501,$A72))</f>
        <v>0</v>
      </c>
      <c r="AO72" s="21" t="n">
        <f aca="false">IF(OR($A72="",AO$4=""),0,COUNTIFS(Formulas!$A$2:$A$1501,AO$4,Formulas!$B$2:$B$1501,$A72))</f>
        <v>0</v>
      </c>
      <c r="AP72" s="21" t="n">
        <f aca="false">IF(OR($A72="",AP$4=""),0,COUNTIFS(Formulas!$A$2:$A$1501,AP$4,Formulas!$B$2:$B$1501,$A72))</f>
        <v>0</v>
      </c>
      <c r="AQ72" s="21" t="n">
        <f aca="false">IF(OR($A72="",AQ$4=""),0,COUNTIFS(Formulas!$A$2:$A$1501,AQ$4,Formulas!$B$2:$B$1501,$A72))</f>
        <v>0</v>
      </c>
      <c r="AR72" s="21" t="n">
        <f aca="false">IF(OR($A72="",AR$4=""),0,COUNTIFS(Formulas!$A$2:$A$1501,AR$4,Formulas!$B$2:$B$1501,$A72))</f>
        <v>0</v>
      </c>
      <c r="AS72" s="21" t="n">
        <f aca="false">IF(OR($A72="",AS$4=""),0,COUNTIFS(Formulas!$A$2:$A$1501,AS$4,Formulas!$B$2:$B$1501,$A72))</f>
        <v>0</v>
      </c>
      <c r="AT72" s="21" t="n">
        <f aca="false">IF(OR($A72="",AT$4=""),0,COUNTIFS(Formulas!$A$2:$A$1501,AT$4,Formulas!$B$2:$B$1501,$A72))</f>
        <v>0</v>
      </c>
      <c r="AU72" s="21" t="n">
        <f aca="false">IF(OR($A72="",AU$4=""),0,COUNTIFS(Formulas!$A$2:$A$1501,AU$4,Formulas!$B$2:$B$1501,$A72))</f>
        <v>0</v>
      </c>
      <c r="AV72" s="21" t="n">
        <f aca="false">IF(OR($A72="",AV$4=""),0,COUNTIFS(Formulas!$A$2:$A$1501,AV$4,Formulas!$B$2:$B$1501,$A72))</f>
        <v>0</v>
      </c>
      <c r="AW72" s="21" t="n">
        <f aca="false">IF(OR($A72="",AW$4=""),0,COUNTIFS(Formulas!$A$2:$A$1501,AW$4,Formulas!$B$2:$B$1501,$A72))</f>
        <v>0</v>
      </c>
      <c r="AX72" s="21" t="n">
        <f aca="false">IF(OR($A72="",AX$4=""),0,COUNTIFS(Formulas!$A$2:$A$1501,AX$4,Formulas!$B$2:$B$1501,$A72))</f>
        <v>0</v>
      </c>
      <c r="AY72" s="21" t="n">
        <f aca="false">IF(OR($A72="",AY$4=""),0,COUNTIFS(Formulas!$A$2:$A$1501,AY$4,Formulas!$B$2:$B$1501,$A72))</f>
        <v>0</v>
      </c>
      <c r="AZ72" s="21" t="n">
        <f aca="false">IF(OR($A72="",AZ$4=""),0,COUNTIFS(Formulas!$A$2:$A$1501,AZ$4,Formulas!$B$2:$B$1501,$A72))</f>
        <v>0</v>
      </c>
      <c r="BA72" s="21" t="n">
        <f aca="false">IF(OR($A72="",BA$4=""),0,COUNTIFS(Formulas!$A$2:$A$1501,BA$4,Formulas!$B$2:$B$1501,$A72))</f>
        <v>0</v>
      </c>
      <c r="BB72" s="21" t="n">
        <f aca="false">IF(OR($A72="",BB$4=""),0,COUNTIFS(Formulas!$A$2:$A$1501,BB$4,Formulas!$B$2:$B$1501,$A72))</f>
        <v>0</v>
      </c>
      <c r="BC72" s="21" t="n">
        <f aca="false">IF(OR($A72="",BC$4=""),0,COUNTIFS(Formulas!$A$2:$A$1501,BC$4,Formulas!$B$2:$B$1501,$A72))</f>
        <v>0</v>
      </c>
      <c r="BD72" s="21" t="n">
        <f aca="false">IF(OR($A72="",BD$4=""),0,COUNTIFS(Formulas!$A$2:$A$1501,BD$4,Formulas!$B$2:$B$1501,$A72))</f>
        <v>0</v>
      </c>
      <c r="BE72" s="21" t="n">
        <f aca="false">IF(OR($A72="",BE$4=""),0,COUNTIFS(Formulas!$A$2:$A$1501,BE$4,Formulas!$B$2:$B$1501,$A72))</f>
        <v>0</v>
      </c>
      <c r="BF72" s="21" t="n">
        <f aca="false">IF(OR($A72="",BF$4=""),0,COUNTIFS(Formulas!$A$2:$A$1501,BF$4,Formulas!$B$2:$B$1501,$A72))</f>
        <v>0</v>
      </c>
      <c r="BG72" s="21" t="n">
        <f aca="false">IF(OR($A72="",BG$4=""),0,COUNTIFS(Formulas!$A$2:$A$1501,BG$4,Formulas!$B$2:$B$1501,$A72))</f>
        <v>0</v>
      </c>
      <c r="BH72" s="21" t="n">
        <f aca="false">IF(OR($A72="",BH$4=""),0,COUNTIFS(Formulas!$A$2:$A$1501,BH$4,Formulas!$B$2:$B$1501,$A72))</f>
        <v>0</v>
      </c>
      <c r="BI72" s="21" t="n">
        <f aca="false">IF(OR($A72="",BI$4=""),0,COUNTIFS(Formulas!$A$2:$A$1501,BI$4,Formulas!$B$2:$B$1501,$A72))</f>
        <v>0</v>
      </c>
      <c r="BJ72" s="21" t="n">
        <f aca="false">IF(OR($A72="",BJ$4=""),0,COUNTIFS(Formulas!$A$2:$A$1501,BJ$4,Formulas!$B$2:$B$1501,$A72))</f>
        <v>0</v>
      </c>
    </row>
    <row r="73" customFormat="false" ht="15" hidden="false" customHeight="false" outlineLevel="0" collapsed="false">
      <c r="A73" s="13" t="str">
        <f aca="false">IF(INDEX(Materials!$A$2:$A$201,69)="","",INDEX(Materials!$A$2:$A$201,69))</f>
        <v/>
      </c>
      <c r="B73" s="19" t="str">
        <f aca="false">IF(A73="","",COUNTIF(C73:BJ73,"&gt;0"))</f>
        <v/>
      </c>
      <c r="C73" s="21" t="n">
        <f aca="false">IF(OR($A73="",C$4=""),0,COUNTIFS(Formulas!$A$2:$A$1501,C$4,Formulas!$B$2:$B$1501,$A73))</f>
        <v>0</v>
      </c>
      <c r="D73" s="21" t="n">
        <f aca="false">IF(OR($A73="",D$4=""),0,COUNTIFS(Formulas!$A$2:$A$1501,D$4,Formulas!$B$2:$B$1501,$A73))</f>
        <v>0</v>
      </c>
      <c r="E73" s="21" t="n">
        <f aca="false">IF(OR($A73="",E$4=""),0,COUNTIFS(Formulas!$A$2:$A$1501,E$4,Formulas!$B$2:$B$1501,$A73))</f>
        <v>0</v>
      </c>
      <c r="F73" s="21" t="n">
        <f aca="false">IF(OR($A73="",F$4=""),0,COUNTIFS(Formulas!$A$2:$A$1501,F$4,Formulas!$B$2:$B$1501,$A73))</f>
        <v>0</v>
      </c>
      <c r="G73" s="21" t="n">
        <f aca="false">IF(OR($A73="",G$4=""),0,COUNTIFS(Formulas!$A$2:$A$1501,G$4,Formulas!$B$2:$B$1501,$A73))</f>
        <v>0</v>
      </c>
      <c r="H73" s="21" t="n">
        <f aca="false">IF(OR($A73="",H$4=""),0,COUNTIFS(Formulas!$A$2:$A$1501,H$4,Formulas!$B$2:$B$1501,$A73))</f>
        <v>0</v>
      </c>
      <c r="I73" s="21" t="n">
        <f aca="false">IF(OR($A73="",I$4=""),0,COUNTIFS(Formulas!$A$2:$A$1501,I$4,Formulas!$B$2:$B$1501,$A73))</f>
        <v>0</v>
      </c>
      <c r="J73" s="21" t="n">
        <f aca="false">IF(OR($A73="",J$4=""),0,COUNTIFS(Formulas!$A$2:$A$1501,J$4,Formulas!$B$2:$B$1501,$A73))</f>
        <v>0</v>
      </c>
      <c r="K73" s="21" t="n">
        <f aca="false">IF(OR($A73="",K$4=""),0,COUNTIFS(Formulas!$A$2:$A$1501,K$4,Formulas!$B$2:$B$1501,$A73))</f>
        <v>0</v>
      </c>
      <c r="L73" s="21" t="n">
        <f aca="false">IF(OR($A73="",L$4=""),0,COUNTIFS(Formulas!$A$2:$A$1501,L$4,Formulas!$B$2:$B$1501,$A73))</f>
        <v>0</v>
      </c>
      <c r="M73" s="21" t="n">
        <f aca="false">IF(OR($A73="",M$4=""),0,COUNTIFS(Formulas!$A$2:$A$1501,M$4,Formulas!$B$2:$B$1501,$A73))</f>
        <v>0</v>
      </c>
      <c r="N73" s="21" t="n">
        <f aca="false">IF(OR($A73="",N$4=""),0,COUNTIFS(Formulas!$A$2:$A$1501,N$4,Formulas!$B$2:$B$1501,$A73))</f>
        <v>0</v>
      </c>
      <c r="O73" s="21" t="n">
        <f aca="false">IF(OR($A73="",O$4=""),0,COUNTIFS(Formulas!$A$2:$A$1501,O$4,Formulas!$B$2:$B$1501,$A73))</f>
        <v>0</v>
      </c>
      <c r="P73" s="21" t="n">
        <f aca="false">IF(OR($A73="",P$4=""),0,COUNTIFS(Formulas!$A$2:$A$1501,P$4,Formulas!$B$2:$B$1501,$A73))</f>
        <v>0</v>
      </c>
      <c r="Q73" s="21" t="n">
        <f aca="false">IF(OR($A73="",Q$4=""),0,COUNTIFS(Formulas!$A$2:$A$1501,Q$4,Formulas!$B$2:$B$1501,$A73))</f>
        <v>0</v>
      </c>
      <c r="R73" s="21" t="n">
        <f aca="false">IF(OR($A73="",R$4=""),0,COUNTIFS(Formulas!$A$2:$A$1501,R$4,Formulas!$B$2:$B$1501,$A73))</f>
        <v>0</v>
      </c>
      <c r="S73" s="21" t="n">
        <f aca="false">IF(OR($A73="",S$4=""),0,COUNTIFS(Formulas!$A$2:$A$1501,S$4,Formulas!$B$2:$B$1501,$A73))</f>
        <v>0</v>
      </c>
      <c r="T73" s="21" t="n">
        <f aca="false">IF(OR($A73="",T$4=""),0,COUNTIFS(Formulas!$A$2:$A$1501,T$4,Formulas!$B$2:$B$1501,$A73))</f>
        <v>0</v>
      </c>
      <c r="U73" s="21" t="n">
        <f aca="false">IF(OR($A73="",U$4=""),0,COUNTIFS(Formulas!$A$2:$A$1501,U$4,Formulas!$B$2:$B$1501,$A73))</f>
        <v>0</v>
      </c>
      <c r="V73" s="21" t="n">
        <f aca="false">IF(OR($A73="",V$4=""),0,COUNTIFS(Formulas!$A$2:$A$1501,V$4,Formulas!$B$2:$B$1501,$A73))</f>
        <v>0</v>
      </c>
      <c r="W73" s="21" t="n">
        <f aca="false">IF(OR($A73="",W$4=""),0,COUNTIFS(Formulas!$A$2:$A$1501,W$4,Formulas!$B$2:$B$1501,$A73))</f>
        <v>0</v>
      </c>
      <c r="X73" s="21" t="n">
        <f aca="false">IF(OR($A73="",X$4=""),0,COUNTIFS(Formulas!$A$2:$A$1501,X$4,Formulas!$B$2:$B$1501,$A73))</f>
        <v>0</v>
      </c>
      <c r="Y73" s="21" t="n">
        <f aca="false">IF(OR($A73="",Y$4=""),0,COUNTIFS(Formulas!$A$2:$A$1501,Y$4,Formulas!$B$2:$B$1501,$A73))</f>
        <v>0</v>
      </c>
      <c r="Z73" s="21" t="n">
        <f aca="false">IF(OR($A73="",Z$4=""),0,COUNTIFS(Formulas!$A$2:$A$1501,Z$4,Formulas!$B$2:$B$1501,$A73))</f>
        <v>0</v>
      </c>
      <c r="AA73" s="21" t="n">
        <f aca="false">IF(OR($A73="",AA$4=""),0,COUNTIFS(Formulas!$A$2:$A$1501,AA$4,Formulas!$B$2:$B$1501,$A73))</f>
        <v>0</v>
      </c>
      <c r="AB73" s="21" t="n">
        <f aca="false">IF(OR($A73="",AB$4=""),0,COUNTIFS(Formulas!$A$2:$A$1501,AB$4,Formulas!$B$2:$B$1501,$A73))</f>
        <v>0</v>
      </c>
      <c r="AC73" s="21" t="n">
        <f aca="false">IF(OR($A73="",AC$4=""),0,COUNTIFS(Formulas!$A$2:$A$1501,AC$4,Formulas!$B$2:$B$1501,$A73))</f>
        <v>0</v>
      </c>
      <c r="AD73" s="21" t="n">
        <f aca="false">IF(OR($A73="",AD$4=""),0,COUNTIFS(Formulas!$A$2:$A$1501,AD$4,Formulas!$B$2:$B$1501,$A73))</f>
        <v>0</v>
      </c>
      <c r="AE73" s="21" t="n">
        <f aca="false">IF(OR($A73="",AE$4=""),0,COUNTIFS(Formulas!$A$2:$A$1501,AE$4,Formulas!$B$2:$B$1501,$A73))</f>
        <v>0</v>
      </c>
      <c r="AF73" s="21" t="n">
        <f aca="false">IF(OR($A73="",AF$4=""),0,COUNTIFS(Formulas!$A$2:$A$1501,AF$4,Formulas!$B$2:$B$1501,$A73))</f>
        <v>0</v>
      </c>
      <c r="AG73" s="21" t="n">
        <f aca="false">IF(OR($A73="",AG$4=""),0,COUNTIFS(Formulas!$A$2:$A$1501,AG$4,Formulas!$B$2:$B$1501,$A73))</f>
        <v>0</v>
      </c>
      <c r="AH73" s="21" t="n">
        <f aca="false">IF(OR($A73="",AH$4=""),0,COUNTIFS(Formulas!$A$2:$A$1501,AH$4,Formulas!$B$2:$B$1501,$A73))</f>
        <v>0</v>
      </c>
      <c r="AI73" s="21" t="n">
        <f aca="false">IF(OR($A73="",AI$4=""),0,COUNTIFS(Formulas!$A$2:$A$1501,AI$4,Formulas!$B$2:$B$1501,$A73))</f>
        <v>0</v>
      </c>
      <c r="AJ73" s="21" t="n">
        <f aca="false">IF(OR($A73="",AJ$4=""),0,COUNTIFS(Formulas!$A$2:$A$1501,AJ$4,Formulas!$B$2:$B$1501,$A73))</f>
        <v>0</v>
      </c>
      <c r="AK73" s="21" t="n">
        <f aca="false">IF(OR($A73="",AK$4=""),0,COUNTIFS(Formulas!$A$2:$A$1501,AK$4,Formulas!$B$2:$B$1501,$A73))</f>
        <v>0</v>
      </c>
      <c r="AL73" s="21" t="n">
        <f aca="false">IF(OR($A73="",AL$4=""),0,COUNTIFS(Formulas!$A$2:$A$1501,AL$4,Formulas!$B$2:$B$1501,$A73))</f>
        <v>0</v>
      </c>
      <c r="AM73" s="21" t="n">
        <f aca="false">IF(OR($A73="",AM$4=""),0,COUNTIFS(Formulas!$A$2:$A$1501,AM$4,Formulas!$B$2:$B$1501,$A73))</f>
        <v>0</v>
      </c>
      <c r="AN73" s="21" t="n">
        <f aca="false">IF(OR($A73="",AN$4=""),0,COUNTIFS(Formulas!$A$2:$A$1501,AN$4,Formulas!$B$2:$B$1501,$A73))</f>
        <v>0</v>
      </c>
      <c r="AO73" s="21" t="n">
        <f aca="false">IF(OR($A73="",AO$4=""),0,COUNTIFS(Formulas!$A$2:$A$1501,AO$4,Formulas!$B$2:$B$1501,$A73))</f>
        <v>0</v>
      </c>
      <c r="AP73" s="21" t="n">
        <f aca="false">IF(OR($A73="",AP$4=""),0,COUNTIFS(Formulas!$A$2:$A$1501,AP$4,Formulas!$B$2:$B$1501,$A73))</f>
        <v>0</v>
      </c>
      <c r="AQ73" s="21" t="n">
        <f aca="false">IF(OR($A73="",AQ$4=""),0,COUNTIFS(Formulas!$A$2:$A$1501,AQ$4,Formulas!$B$2:$B$1501,$A73))</f>
        <v>0</v>
      </c>
      <c r="AR73" s="21" t="n">
        <f aca="false">IF(OR($A73="",AR$4=""),0,COUNTIFS(Formulas!$A$2:$A$1501,AR$4,Formulas!$B$2:$B$1501,$A73))</f>
        <v>0</v>
      </c>
      <c r="AS73" s="21" t="n">
        <f aca="false">IF(OR($A73="",AS$4=""),0,COUNTIFS(Formulas!$A$2:$A$1501,AS$4,Formulas!$B$2:$B$1501,$A73))</f>
        <v>0</v>
      </c>
      <c r="AT73" s="21" t="n">
        <f aca="false">IF(OR($A73="",AT$4=""),0,COUNTIFS(Formulas!$A$2:$A$1501,AT$4,Formulas!$B$2:$B$1501,$A73))</f>
        <v>0</v>
      </c>
      <c r="AU73" s="21" t="n">
        <f aca="false">IF(OR($A73="",AU$4=""),0,COUNTIFS(Formulas!$A$2:$A$1501,AU$4,Formulas!$B$2:$B$1501,$A73))</f>
        <v>0</v>
      </c>
      <c r="AV73" s="21" t="n">
        <f aca="false">IF(OR($A73="",AV$4=""),0,COUNTIFS(Formulas!$A$2:$A$1501,AV$4,Formulas!$B$2:$B$1501,$A73))</f>
        <v>0</v>
      </c>
      <c r="AW73" s="21" t="n">
        <f aca="false">IF(OR($A73="",AW$4=""),0,COUNTIFS(Formulas!$A$2:$A$1501,AW$4,Formulas!$B$2:$B$1501,$A73))</f>
        <v>0</v>
      </c>
      <c r="AX73" s="21" t="n">
        <f aca="false">IF(OR($A73="",AX$4=""),0,COUNTIFS(Formulas!$A$2:$A$1501,AX$4,Formulas!$B$2:$B$1501,$A73))</f>
        <v>0</v>
      </c>
      <c r="AY73" s="21" t="n">
        <f aca="false">IF(OR($A73="",AY$4=""),0,COUNTIFS(Formulas!$A$2:$A$1501,AY$4,Formulas!$B$2:$B$1501,$A73))</f>
        <v>0</v>
      </c>
      <c r="AZ73" s="21" t="n">
        <f aca="false">IF(OR($A73="",AZ$4=""),0,COUNTIFS(Formulas!$A$2:$A$1501,AZ$4,Formulas!$B$2:$B$1501,$A73))</f>
        <v>0</v>
      </c>
      <c r="BA73" s="21" t="n">
        <f aca="false">IF(OR($A73="",BA$4=""),0,COUNTIFS(Formulas!$A$2:$A$1501,BA$4,Formulas!$B$2:$B$1501,$A73))</f>
        <v>0</v>
      </c>
      <c r="BB73" s="21" t="n">
        <f aca="false">IF(OR($A73="",BB$4=""),0,COUNTIFS(Formulas!$A$2:$A$1501,BB$4,Formulas!$B$2:$B$1501,$A73))</f>
        <v>0</v>
      </c>
      <c r="BC73" s="21" t="n">
        <f aca="false">IF(OR($A73="",BC$4=""),0,COUNTIFS(Formulas!$A$2:$A$1501,BC$4,Formulas!$B$2:$B$1501,$A73))</f>
        <v>0</v>
      </c>
      <c r="BD73" s="21" t="n">
        <f aca="false">IF(OR($A73="",BD$4=""),0,COUNTIFS(Formulas!$A$2:$A$1501,BD$4,Formulas!$B$2:$B$1501,$A73))</f>
        <v>0</v>
      </c>
      <c r="BE73" s="21" t="n">
        <f aca="false">IF(OR($A73="",BE$4=""),0,COUNTIFS(Formulas!$A$2:$A$1501,BE$4,Formulas!$B$2:$B$1501,$A73))</f>
        <v>0</v>
      </c>
      <c r="BF73" s="21" t="n">
        <f aca="false">IF(OR($A73="",BF$4=""),0,COUNTIFS(Formulas!$A$2:$A$1501,BF$4,Formulas!$B$2:$B$1501,$A73))</f>
        <v>0</v>
      </c>
      <c r="BG73" s="21" t="n">
        <f aca="false">IF(OR($A73="",BG$4=""),0,COUNTIFS(Formulas!$A$2:$A$1501,BG$4,Formulas!$B$2:$B$1501,$A73))</f>
        <v>0</v>
      </c>
      <c r="BH73" s="21" t="n">
        <f aca="false">IF(OR($A73="",BH$4=""),0,COUNTIFS(Formulas!$A$2:$A$1501,BH$4,Formulas!$B$2:$B$1501,$A73))</f>
        <v>0</v>
      </c>
      <c r="BI73" s="21" t="n">
        <f aca="false">IF(OR($A73="",BI$4=""),0,COUNTIFS(Formulas!$A$2:$A$1501,BI$4,Formulas!$B$2:$B$1501,$A73))</f>
        <v>0</v>
      </c>
      <c r="BJ73" s="21" t="n">
        <f aca="false">IF(OR($A73="",BJ$4=""),0,COUNTIFS(Formulas!$A$2:$A$1501,BJ$4,Formulas!$B$2:$B$1501,$A73))</f>
        <v>0</v>
      </c>
    </row>
    <row r="74" customFormat="false" ht="15" hidden="false" customHeight="false" outlineLevel="0" collapsed="false">
      <c r="A74" s="13" t="str">
        <f aca="false">IF(INDEX(Materials!$A$2:$A$201,70)="","",INDEX(Materials!$A$2:$A$201,70))</f>
        <v/>
      </c>
      <c r="B74" s="19" t="str">
        <f aca="false">IF(A74="","",COUNTIF(C74:BJ74,"&gt;0"))</f>
        <v/>
      </c>
      <c r="C74" s="21" t="n">
        <f aca="false">IF(OR($A74="",C$4=""),0,COUNTIFS(Formulas!$A$2:$A$1501,C$4,Formulas!$B$2:$B$1501,$A74))</f>
        <v>0</v>
      </c>
      <c r="D74" s="21" t="n">
        <f aca="false">IF(OR($A74="",D$4=""),0,COUNTIFS(Formulas!$A$2:$A$1501,D$4,Formulas!$B$2:$B$1501,$A74))</f>
        <v>0</v>
      </c>
      <c r="E74" s="21" t="n">
        <f aca="false">IF(OR($A74="",E$4=""),0,COUNTIFS(Formulas!$A$2:$A$1501,E$4,Formulas!$B$2:$B$1501,$A74))</f>
        <v>0</v>
      </c>
      <c r="F74" s="21" t="n">
        <f aca="false">IF(OR($A74="",F$4=""),0,COUNTIFS(Formulas!$A$2:$A$1501,F$4,Formulas!$B$2:$B$1501,$A74))</f>
        <v>0</v>
      </c>
      <c r="G74" s="21" t="n">
        <f aca="false">IF(OR($A74="",G$4=""),0,COUNTIFS(Formulas!$A$2:$A$1501,G$4,Formulas!$B$2:$B$1501,$A74))</f>
        <v>0</v>
      </c>
      <c r="H74" s="21" t="n">
        <f aca="false">IF(OR($A74="",H$4=""),0,COUNTIFS(Formulas!$A$2:$A$1501,H$4,Formulas!$B$2:$B$1501,$A74))</f>
        <v>0</v>
      </c>
      <c r="I74" s="21" t="n">
        <f aca="false">IF(OR($A74="",I$4=""),0,COUNTIFS(Formulas!$A$2:$A$1501,I$4,Formulas!$B$2:$B$1501,$A74))</f>
        <v>0</v>
      </c>
      <c r="J74" s="21" t="n">
        <f aca="false">IF(OR($A74="",J$4=""),0,COUNTIFS(Formulas!$A$2:$A$1501,J$4,Formulas!$B$2:$B$1501,$A74))</f>
        <v>0</v>
      </c>
      <c r="K74" s="21" t="n">
        <f aca="false">IF(OR($A74="",K$4=""),0,COUNTIFS(Formulas!$A$2:$A$1501,K$4,Formulas!$B$2:$B$1501,$A74))</f>
        <v>0</v>
      </c>
      <c r="L74" s="21" t="n">
        <f aca="false">IF(OR($A74="",L$4=""),0,COUNTIFS(Formulas!$A$2:$A$1501,L$4,Formulas!$B$2:$B$1501,$A74))</f>
        <v>0</v>
      </c>
      <c r="M74" s="21" t="n">
        <f aca="false">IF(OR($A74="",M$4=""),0,COUNTIFS(Formulas!$A$2:$A$1501,M$4,Formulas!$B$2:$B$1501,$A74))</f>
        <v>0</v>
      </c>
      <c r="N74" s="21" t="n">
        <f aca="false">IF(OR($A74="",N$4=""),0,COUNTIFS(Formulas!$A$2:$A$1501,N$4,Formulas!$B$2:$B$1501,$A74))</f>
        <v>0</v>
      </c>
      <c r="O74" s="21" t="n">
        <f aca="false">IF(OR($A74="",O$4=""),0,COUNTIFS(Formulas!$A$2:$A$1501,O$4,Formulas!$B$2:$B$1501,$A74))</f>
        <v>0</v>
      </c>
      <c r="P74" s="21" t="n">
        <f aca="false">IF(OR($A74="",P$4=""),0,COUNTIFS(Formulas!$A$2:$A$1501,P$4,Formulas!$B$2:$B$1501,$A74))</f>
        <v>0</v>
      </c>
      <c r="Q74" s="21" t="n">
        <f aca="false">IF(OR($A74="",Q$4=""),0,COUNTIFS(Formulas!$A$2:$A$1501,Q$4,Formulas!$B$2:$B$1501,$A74))</f>
        <v>0</v>
      </c>
      <c r="R74" s="21" t="n">
        <f aca="false">IF(OR($A74="",R$4=""),0,COUNTIFS(Formulas!$A$2:$A$1501,R$4,Formulas!$B$2:$B$1501,$A74))</f>
        <v>0</v>
      </c>
      <c r="S74" s="21" t="n">
        <f aca="false">IF(OR($A74="",S$4=""),0,COUNTIFS(Formulas!$A$2:$A$1501,S$4,Formulas!$B$2:$B$1501,$A74))</f>
        <v>0</v>
      </c>
      <c r="T74" s="21" t="n">
        <f aca="false">IF(OR($A74="",T$4=""),0,COUNTIFS(Formulas!$A$2:$A$1501,T$4,Formulas!$B$2:$B$1501,$A74))</f>
        <v>0</v>
      </c>
      <c r="U74" s="21" t="n">
        <f aca="false">IF(OR($A74="",U$4=""),0,COUNTIFS(Formulas!$A$2:$A$1501,U$4,Formulas!$B$2:$B$1501,$A74))</f>
        <v>0</v>
      </c>
      <c r="V74" s="21" t="n">
        <f aca="false">IF(OR($A74="",V$4=""),0,COUNTIFS(Formulas!$A$2:$A$1501,V$4,Formulas!$B$2:$B$1501,$A74))</f>
        <v>0</v>
      </c>
      <c r="W74" s="21" t="n">
        <f aca="false">IF(OR($A74="",W$4=""),0,COUNTIFS(Formulas!$A$2:$A$1501,W$4,Formulas!$B$2:$B$1501,$A74))</f>
        <v>0</v>
      </c>
      <c r="X74" s="21" t="n">
        <f aca="false">IF(OR($A74="",X$4=""),0,COUNTIFS(Formulas!$A$2:$A$1501,X$4,Formulas!$B$2:$B$1501,$A74))</f>
        <v>0</v>
      </c>
      <c r="Y74" s="21" t="n">
        <f aca="false">IF(OR($A74="",Y$4=""),0,COUNTIFS(Formulas!$A$2:$A$1501,Y$4,Formulas!$B$2:$B$1501,$A74))</f>
        <v>0</v>
      </c>
      <c r="Z74" s="21" t="n">
        <f aca="false">IF(OR($A74="",Z$4=""),0,COUNTIFS(Formulas!$A$2:$A$1501,Z$4,Formulas!$B$2:$B$1501,$A74))</f>
        <v>0</v>
      </c>
      <c r="AA74" s="21" t="n">
        <f aca="false">IF(OR($A74="",AA$4=""),0,COUNTIFS(Formulas!$A$2:$A$1501,AA$4,Formulas!$B$2:$B$1501,$A74))</f>
        <v>0</v>
      </c>
      <c r="AB74" s="21" t="n">
        <f aca="false">IF(OR($A74="",AB$4=""),0,COUNTIFS(Formulas!$A$2:$A$1501,AB$4,Formulas!$B$2:$B$1501,$A74))</f>
        <v>0</v>
      </c>
      <c r="AC74" s="21" t="n">
        <f aca="false">IF(OR($A74="",AC$4=""),0,COUNTIFS(Formulas!$A$2:$A$1501,AC$4,Formulas!$B$2:$B$1501,$A74))</f>
        <v>0</v>
      </c>
      <c r="AD74" s="21" t="n">
        <f aca="false">IF(OR($A74="",AD$4=""),0,COUNTIFS(Formulas!$A$2:$A$1501,AD$4,Formulas!$B$2:$B$1501,$A74))</f>
        <v>0</v>
      </c>
      <c r="AE74" s="21" t="n">
        <f aca="false">IF(OR($A74="",AE$4=""),0,COUNTIFS(Formulas!$A$2:$A$1501,AE$4,Formulas!$B$2:$B$1501,$A74))</f>
        <v>0</v>
      </c>
      <c r="AF74" s="21" t="n">
        <f aca="false">IF(OR($A74="",AF$4=""),0,COUNTIFS(Formulas!$A$2:$A$1501,AF$4,Formulas!$B$2:$B$1501,$A74))</f>
        <v>0</v>
      </c>
      <c r="AG74" s="21" t="n">
        <f aca="false">IF(OR($A74="",AG$4=""),0,COUNTIFS(Formulas!$A$2:$A$1501,AG$4,Formulas!$B$2:$B$1501,$A74))</f>
        <v>0</v>
      </c>
      <c r="AH74" s="21" t="n">
        <f aca="false">IF(OR($A74="",AH$4=""),0,COUNTIFS(Formulas!$A$2:$A$1501,AH$4,Formulas!$B$2:$B$1501,$A74))</f>
        <v>0</v>
      </c>
      <c r="AI74" s="21" t="n">
        <f aca="false">IF(OR($A74="",AI$4=""),0,COUNTIFS(Formulas!$A$2:$A$1501,AI$4,Formulas!$B$2:$B$1501,$A74))</f>
        <v>0</v>
      </c>
      <c r="AJ74" s="21" t="n">
        <f aca="false">IF(OR($A74="",AJ$4=""),0,COUNTIFS(Formulas!$A$2:$A$1501,AJ$4,Formulas!$B$2:$B$1501,$A74))</f>
        <v>0</v>
      </c>
      <c r="AK74" s="21" t="n">
        <f aca="false">IF(OR($A74="",AK$4=""),0,COUNTIFS(Formulas!$A$2:$A$1501,AK$4,Formulas!$B$2:$B$1501,$A74))</f>
        <v>0</v>
      </c>
      <c r="AL74" s="21" t="n">
        <f aca="false">IF(OR($A74="",AL$4=""),0,COUNTIFS(Formulas!$A$2:$A$1501,AL$4,Formulas!$B$2:$B$1501,$A74))</f>
        <v>0</v>
      </c>
      <c r="AM74" s="21" t="n">
        <f aca="false">IF(OR($A74="",AM$4=""),0,COUNTIFS(Formulas!$A$2:$A$1501,AM$4,Formulas!$B$2:$B$1501,$A74))</f>
        <v>0</v>
      </c>
      <c r="AN74" s="21" t="n">
        <f aca="false">IF(OR($A74="",AN$4=""),0,COUNTIFS(Formulas!$A$2:$A$1501,AN$4,Formulas!$B$2:$B$1501,$A74))</f>
        <v>0</v>
      </c>
      <c r="AO74" s="21" t="n">
        <f aca="false">IF(OR($A74="",AO$4=""),0,COUNTIFS(Formulas!$A$2:$A$1501,AO$4,Formulas!$B$2:$B$1501,$A74))</f>
        <v>0</v>
      </c>
      <c r="AP74" s="21" t="n">
        <f aca="false">IF(OR($A74="",AP$4=""),0,COUNTIFS(Formulas!$A$2:$A$1501,AP$4,Formulas!$B$2:$B$1501,$A74))</f>
        <v>0</v>
      </c>
      <c r="AQ74" s="21" t="n">
        <f aca="false">IF(OR($A74="",AQ$4=""),0,COUNTIFS(Formulas!$A$2:$A$1501,AQ$4,Formulas!$B$2:$B$1501,$A74))</f>
        <v>0</v>
      </c>
      <c r="AR74" s="21" t="n">
        <f aca="false">IF(OR($A74="",AR$4=""),0,COUNTIFS(Formulas!$A$2:$A$1501,AR$4,Formulas!$B$2:$B$1501,$A74))</f>
        <v>0</v>
      </c>
      <c r="AS74" s="21" t="n">
        <f aca="false">IF(OR($A74="",AS$4=""),0,COUNTIFS(Formulas!$A$2:$A$1501,AS$4,Formulas!$B$2:$B$1501,$A74))</f>
        <v>0</v>
      </c>
      <c r="AT74" s="21" t="n">
        <f aca="false">IF(OR($A74="",AT$4=""),0,COUNTIFS(Formulas!$A$2:$A$1501,AT$4,Formulas!$B$2:$B$1501,$A74))</f>
        <v>0</v>
      </c>
      <c r="AU74" s="21" t="n">
        <f aca="false">IF(OR($A74="",AU$4=""),0,COUNTIFS(Formulas!$A$2:$A$1501,AU$4,Formulas!$B$2:$B$1501,$A74))</f>
        <v>0</v>
      </c>
      <c r="AV74" s="21" t="n">
        <f aca="false">IF(OR($A74="",AV$4=""),0,COUNTIFS(Formulas!$A$2:$A$1501,AV$4,Formulas!$B$2:$B$1501,$A74))</f>
        <v>0</v>
      </c>
      <c r="AW74" s="21" t="n">
        <f aca="false">IF(OR($A74="",AW$4=""),0,COUNTIFS(Formulas!$A$2:$A$1501,AW$4,Formulas!$B$2:$B$1501,$A74))</f>
        <v>0</v>
      </c>
      <c r="AX74" s="21" t="n">
        <f aca="false">IF(OR($A74="",AX$4=""),0,COUNTIFS(Formulas!$A$2:$A$1501,AX$4,Formulas!$B$2:$B$1501,$A74))</f>
        <v>0</v>
      </c>
      <c r="AY74" s="21" t="n">
        <f aca="false">IF(OR($A74="",AY$4=""),0,COUNTIFS(Formulas!$A$2:$A$1501,AY$4,Formulas!$B$2:$B$1501,$A74))</f>
        <v>0</v>
      </c>
      <c r="AZ74" s="21" t="n">
        <f aca="false">IF(OR($A74="",AZ$4=""),0,COUNTIFS(Formulas!$A$2:$A$1501,AZ$4,Formulas!$B$2:$B$1501,$A74))</f>
        <v>0</v>
      </c>
      <c r="BA74" s="21" t="n">
        <f aca="false">IF(OR($A74="",BA$4=""),0,COUNTIFS(Formulas!$A$2:$A$1501,BA$4,Formulas!$B$2:$B$1501,$A74))</f>
        <v>0</v>
      </c>
      <c r="BB74" s="21" t="n">
        <f aca="false">IF(OR($A74="",BB$4=""),0,COUNTIFS(Formulas!$A$2:$A$1501,BB$4,Formulas!$B$2:$B$1501,$A74))</f>
        <v>0</v>
      </c>
      <c r="BC74" s="21" t="n">
        <f aca="false">IF(OR($A74="",BC$4=""),0,COUNTIFS(Formulas!$A$2:$A$1501,BC$4,Formulas!$B$2:$B$1501,$A74))</f>
        <v>0</v>
      </c>
      <c r="BD74" s="21" t="n">
        <f aca="false">IF(OR($A74="",BD$4=""),0,COUNTIFS(Formulas!$A$2:$A$1501,BD$4,Formulas!$B$2:$B$1501,$A74))</f>
        <v>0</v>
      </c>
      <c r="BE74" s="21" t="n">
        <f aca="false">IF(OR($A74="",BE$4=""),0,COUNTIFS(Formulas!$A$2:$A$1501,BE$4,Formulas!$B$2:$B$1501,$A74))</f>
        <v>0</v>
      </c>
      <c r="BF74" s="21" t="n">
        <f aca="false">IF(OR($A74="",BF$4=""),0,COUNTIFS(Formulas!$A$2:$A$1501,BF$4,Formulas!$B$2:$B$1501,$A74))</f>
        <v>0</v>
      </c>
      <c r="BG74" s="21" t="n">
        <f aca="false">IF(OR($A74="",BG$4=""),0,COUNTIFS(Formulas!$A$2:$A$1501,BG$4,Formulas!$B$2:$B$1501,$A74))</f>
        <v>0</v>
      </c>
      <c r="BH74" s="21" t="n">
        <f aca="false">IF(OR($A74="",BH$4=""),0,COUNTIFS(Formulas!$A$2:$A$1501,BH$4,Formulas!$B$2:$B$1501,$A74))</f>
        <v>0</v>
      </c>
      <c r="BI74" s="21" t="n">
        <f aca="false">IF(OR($A74="",BI$4=""),0,COUNTIFS(Formulas!$A$2:$A$1501,BI$4,Formulas!$B$2:$B$1501,$A74))</f>
        <v>0</v>
      </c>
      <c r="BJ74" s="21" t="n">
        <f aca="false">IF(OR($A74="",BJ$4=""),0,COUNTIFS(Formulas!$A$2:$A$1501,BJ$4,Formulas!$B$2:$B$1501,$A74))</f>
        <v>0</v>
      </c>
    </row>
    <row r="75" customFormat="false" ht="15" hidden="false" customHeight="false" outlineLevel="0" collapsed="false">
      <c r="A75" s="13" t="str">
        <f aca="false">IF(INDEX(Materials!$A$2:$A$201,71)="","",INDEX(Materials!$A$2:$A$201,71))</f>
        <v/>
      </c>
      <c r="B75" s="19" t="str">
        <f aca="false">IF(A75="","",COUNTIF(C75:BJ75,"&gt;0"))</f>
        <v/>
      </c>
      <c r="C75" s="21" t="n">
        <f aca="false">IF(OR($A75="",C$4=""),0,COUNTIFS(Formulas!$A$2:$A$1501,C$4,Formulas!$B$2:$B$1501,$A75))</f>
        <v>0</v>
      </c>
      <c r="D75" s="21" t="n">
        <f aca="false">IF(OR($A75="",D$4=""),0,COUNTIFS(Formulas!$A$2:$A$1501,D$4,Formulas!$B$2:$B$1501,$A75))</f>
        <v>0</v>
      </c>
      <c r="E75" s="21" t="n">
        <f aca="false">IF(OR($A75="",E$4=""),0,COUNTIFS(Formulas!$A$2:$A$1501,E$4,Formulas!$B$2:$B$1501,$A75))</f>
        <v>0</v>
      </c>
      <c r="F75" s="21" t="n">
        <f aca="false">IF(OR($A75="",F$4=""),0,COUNTIFS(Formulas!$A$2:$A$1501,F$4,Formulas!$B$2:$B$1501,$A75))</f>
        <v>0</v>
      </c>
      <c r="G75" s="21" t="n">
        <f aca="false">IF(OR($A75="",G$4=""),0,COUNTIFS(Formulas!$A$2:$A$1501,G$4,Formulas!$B$2:$B$1501,$A75))</f>
        <v>0</v>
      </c>
      <c r="H75" s="21" t="n">
        <f aca="false">IF(OR($A75="",H$4=""),0,COUNTIFS(Formulas!$A$2:$A$1501,H$4,Formulas!$B$2:$B$1501,$A75))</f>
        <v>0</v>
      </c>
      <c r="I75" s="21" t="n">
        <f aca="false">IF(OR($A75="",I$4=""),0,COUNTIFS(Formulas!$A$2:$A$1501,I$4,Formulas!$B$2:$B$1501,$A75))</f>
        <v>0</v>
      </c>
      <c r="J75" s="21" t="n">
        <f aca="false">IF(OR($A75="",J$4=""),0,COUNTIFS(Formulas!$A$2:$A$1501,J$4,Formulas!$B$2:$B$1501,$A75))</f>
        <v>0</v>
      </c>
      <c r="K75" s="21" t="n">
        <f aca="false">IF(OR($A75="",K$4=""),0,COUNTIFS(Formulas!$A$2:$A$1501,K$4,Formulas!$B$2:$B$1501,$A75))</f>
        <v>0</v>
      </c>
      <c r="L75" s="21" t="n">
        <f aca="false">IF(OR($A75="",L$4=""),0,COUNTIFS(Formulas!$A$2:$A$1501,L$4,Formulas!$B$2:$B$1501,$A75))</f>
        <v>0</v>
      </c>
      <c r="M75" s="21" t="n">
        <f aca="false">IF(OR($A75="",M$4=""),0,COUNTIFS(Formulas!$A$2:$A$1501,M$4,Formulas!$B$2:$B$1501,$A75))</f>
        <v>0</v>
      </c>
      <c r="N75" s="21" t="n">
        <f aca="false">IF(OR($A75="",N$4=""),0,COUNTIFS(Formulas!$A$2:$A$1501,N$4,Formulas!$B$2:$B$1501,$A75))</f>
        <v>0</v>
      </c>
      <c r="O75" s="21" t="n">
        <f aca="false">IF(OR($A75="",O$4=""),0,COUNTIFS(Formulas!$A$2:$A$1501,O$4,Formulas!$B$2:$B$1501,$A75))</f>
        <v>0</v>
      </c>
      <c r="P75" s="21" t="n">
        <f aca="false">IF(OR($A75="",P$4=""),0,COUNTIFS(Formulas!$A$2:$A$1501,P$4,Formulas!$B$2:$B$1501,$A75))</f>
        <v>0</v>
      </c>
      <c r="Q75" s="21" t="n">
        <f aca="false">IF(OR($A75="",Q$4=""),0,COUNTIFS(Formulas!$A$2:$A$1501,Q$4,Formulas!$B$2:$B$1501,$A75))</f>
        <v>0</v>
      </c>
      <c r="R75" s="21" t="n">
        <f aca="false">IF(OR($A75="",R$4=""),0,COUNTIFS(Formulas!$A$2:$A$1501,R$4,Formulas!$B$2:$B$1501,$A75))</f>
        <v>0</v>
      </c>
      <c r="S75" s="21" t="n">
        <f aca="false">IF(OR($A75="",S$4=""),0,COUNTIFS(Formulas!$A$2:$A$1501,S$4,Formulas!$B$2:$B$1501,$A75))</f>
        <v>0</v>
      </c>
      <c r="T75" s="21" t="n">
        <f aca="false">IF(OR($A75="",T$4=""),0,COUNTIFS(Formulas!$A$2:$A$1501,T$4,Formulas!$B$2:$B$1501,$A75))</f>
        <v>0</v>
      </c>
      <c r="U75" s="21" t="n">
        <f aca="false">IF(OR($A75="",U$4=""),0,COUNTIFS(Formulas!$A$2:$A$1501,U$4,Formulas!$B$2:$B$1501,$A75))</f>
        <v>0</v>
      </c>
      <c r="V75" s="21" t="n">
        <f aca="false">IF(OR($A75="",V$4=""),0,COUNTIFS(Formulas!$A$2:$A$1501,V$4,Formulas!$B$2:$B$1501,$A75))</f>
        <v>0</v>
      </c>
      <c r="W75" s="21" t="n">
        <f aca="false">IF(OR($A75="",W$4=""),0,COUNTIFS(Formulas!$A$2:$A$1501,W$4,Formulas!$B$2:$B$1501,$A75))</f>
        <v>0</v>
      </c>
      <c r="X75" s="21" t="n">
        <f aca="false">IF(OR($A75="",X$4=""),0,COUNTIFS(Formulas!$A$2:$A$1501,X$4,Formulas!$B$2:$B$1501,$A75))</f>
        <v>0</v>
      </c>
      <c r="Y75" s="21" t="n">
        <f aca="false">IF(OR($A75="",Y$4=""),0,COUNTIFS(Formulas!$A$2:$A$1501,Y$4,Formulas!$B$2:$B$1501,$A75))</f>
        <v>0</v>
      </c>
      <c r="Z75" s="21" t="n">
        <f aca="false">IF(OR($A75="",Z$4=""),0,COUNTIFS(Formulas!$A$2:$A$1501,Z$4,Formulas!$B$2:$B$1501,$A75))</f>
        <v>0</v>
      </c>
      <c r="AA75" s="21" t="n">
        <f aca="false">IF(OR($A75="",AA$4=""),0,COUNTIFS(Formulas!$A$2:$A$1501,AA$4,Formulas!$B$2:$B$1501,$A75))</f>
        <v>0</v>
      </c>
      <c r="AB75" s="21" t="n">
        <f aca="false">IF(OR($A75="",AB$4=""),0,COUNTIFS(Formulas!$A$2:$A$1501,AB$4,Formulas!$B$2:$B$1501,$A75))</f>
        <v>0</v>
      </c>
      <c r="AC75" s="21" t="n">
        <f aca="false">IF(OR($A75="",AC$4=""),0,COUNTIFS(Formulas!$A$2:$A$1501,AC$4,Formulas!$B$2:$B$1501,$A75))</f>
        <v>0</v>
      </c>
      <c r="AD75" s="21" t="n">
        <f aca="false">IF(OR($A75="",AD$4=""),0,COUNTIFS(Formulas!$A$2:$A$1501,AD$4,Formulas!$B$2:$B$1501,$A75))</f>
        <v>0</v>
      </c>
      <c r="AE75" s="21" t="n">
        <f aca="false">IF(OR($A75="",AE$4=""),0,COUNTIFS(Formulas!$A$2:$A$1501,AE$4,Formulas!$B$2:$B$1501,$A75))</f>
        <v>0</v>
      </c>
      <c r="AF75" s="21" t="n">
        <f aca="false">IF(OR($A75="",AF$4=""),0,COUNTIFS(Formulas!$A$2:$A$1501,AF$4,Formulas!$B$2:$B$1501,$A75))</f>
        <v>0</v>
      </c>
      <c r="AG75" s="21" t="n">
        <f aca="false">IF(OR($A75="",AG$4=""),0,COUNTIFS(Formulas!$A$2:$A$1501,AG$4,Formulas!$B$2:$B$1501,$A75))</f>
        <v>0</v>
      </c>
      <c r="AH75" s="21" t="n">
        <f aca="false">IF(OR($A75="",AH$4=""),0,COUNTIFS(Formulas!$A$2:$A$1501,AH$4,Formulas!$B$2:$B$1501,$A75))</f>
        <v>0</v>
      </c>
      <c r="AI75" s="21" t="n">
        <f aca="false">IF(OR($A75="",AI$4=""),0,COUNTIFS(Formulas!$A$2:$A$1501,AI$4,Formulas!$B$2:$B$1501,$A75))</f>
        <v>0</v>
      </c>
      <c r="AJ75" s="21" t="n">
        <f aca="false">IF(OR($A75="",AJ$4=""),0,COUNTIFS(Formulas!$A$2:$A$1501,AJ$4,Formulas!$B$2:$B$1501,$A75))</f>
        <v>0</v>
      </c>
      <c r="AK75" s="21" t="n">
        <f aca="false">IF(OR($A75="",AK$4=""),0,COUNTIFS(Formulas!$A$2:$A$1501,AK$4,Formulas!$B$2:$B$1501,$A75))</f>
        <v>0</v>
      </c>
      <c r="AL75" s="21" t="n">
        <f aca="false">IF(OR($A75="",AL$4=""),0,COUNTIFS(Formulas!$A$2:$A$1501,AL$4,Formulas!$B$2:$B$1501,$A75))</f>
        <v>0</v>
      </c>
      <c r="AM75" s="21" t="n">
        <f aca="false">IF(OR($A75="",AM$4=""),0,COUNTIFS(Formulas!$A$2:$A$1501,AM$4,Formulas!$B$2:$B$1501,$A75))</f>
        <v>0</v>
      </c>
      <c r="AN75" s="21" t="n">
        <f aca="false">IF(OR($A75="",AN$4=""),0,COUNTIFS(Formulas!$A$2:$A$1501,AN$4,Formulas!$B$2:$B$1501,$A75))</f>
        <v>0</v>
      </c>
      <c r="AO75" s="21" t="n">
        <f aca="false">IF(OR($A75="",AO$4=""),0,COUNTIFS(Formulas!$A$2:$A$1501,AO$4,Formulas!$B$2:$B$1501,$A75))</f>
        <v>0</v>
      </c>
      <c r="AP75" s="21" t="n">
        <f aca="false">IF(OR($A75="",AP$4=""),0,COUNTIFS(Formulas!$A$2:$A$1501,AP$4,Formulas!$B$2:$B$1501,$A75))</f>
        <v>0</v>
      </c>
      <c r="AQ75" s="21" t="n">
        <f aca="false">IF(OR($A75="",AQ$4=""),0,COUNTIFS(Formulas!$A$2:$A$1501,AQ$4,Formulas!$B$2:$B$1501,$A75))</f>
        <v>0</v>
      </c>
      <c r="AR75" s="21" t="n">
        <f aca="false">IF(OR($A75="",AR$4=""),0,COUNTIFS(Formulas!$A$2:$A$1501,AR$4,Formulas!$B$2:$B$1501,$A75))</f>
        <v>0</v>
      </c>
      <c r="AS75" s="21" t="n">
        <f aca="false">IF(OR($A75="",AS$4=""),0,COUNTIFS(Formulas!$A$2:$A$1501,AS$4,Formulas!$B$2:$B$1501,$A75))</f>
        <v>0</v>
      </c>
      <c r="AT75" s="21" t="n">
        <f aca="false">IF(OR($A75="",AT$4=""),0,COUNTIFS(Formulas!$A$2:$A$1501,AT$4,Formulas!$B$2:$B$1501,$A75))</f>
        <v>0</v>
      </c>
      <c r="AU75" s="21" t="n">
        <f aca="false">IF(OR($A75="",AU$4=""),0,COUNTIFS(Formulas!$A$2:$A$1501,AU$4,Formulas!$B$2:$B$1501,$A75))</f>
        <v>0</v>
      </c>
      <c r="AV75" s="21" t="n">
        <f aca="false">IF(OR($A75="",AV$4=""),0,COUNTIFS(Formulas!$A$2:$A$1501,AV$4,Formulas!$B$2:$B$1501,$A75))</f>
        <v>0</v>
      </c>
      <c r="AW75" s="21" t="n">
        <f aca="false">IF(OR($A75="",AW$4=""),0,COUNTIFS(Formulas!$A$2:$A$1501,AW$4,Formulas!$B$2:$B$1501,$A75))</f>
        <v>0</v>
      </c>
      <c r="AX75" s="21" t="n">
        <f aca="false">IF(OR($A75="",AX$4=""),0,COUNTIFS(Formulas!$A$2:$A$1501,AX$4,Formulas!$B$2:$B$1501,$A75))</f>
        <v>0</v>
      </c>
      <c r="AY75" s="21" t="n">
        <f aca="false">IF(OR($A75="",AY$4=""),0,COUNTIFS(Formulas!$A$2:$A$1501,AY$4,Formulas!$B$2:$B$1501,$A75))</f>
        <v>0</v>
      </c>
      <c r="AZ75" s="21" t="n">
        <f aca="false">IF(OR($A75="",AZ$4=""),0,COUNTIFS(Formulas!$A$2:$A$1501,AZ$4,Formulas!$B$2:$B$1501,$A75))</f>
        <v>0</v>
      </c>
      <c r="BA75" s="21" t="n">
        <f aca="false">IF(OR($A75="",BA$4=""),0,COUNTIFS(Formulas!$A$2:$A$1501,BA$4,Formulas!$B$2:$B$1501,$A75))</f>
        <v>0</v>
      </c>
      <c r="BB75" s="21" t="n">
        <f aca="false">IF(OR($A75="",BB$4=""),0,COUNTIFS(Formulas!$A$2:$A$1501,BB$4,Formulas!$B$2:$B$1501,$A75))</f>
        <v>0</v>
      </c>
      <c r="BC75" s="21" t="n">
        <f aca="false">IF(OR($A75="",BC$4=""),0,COUNTIFS(Formulas!$A$2:$A$1501,BC$4,Formulas!$B$2:$B$1501,$A75))</f>
        <v>0</v>
      </c>
      <c r="BD75" s="21" t="n">
        <f aca="false">IF(OR($A75="",BD$4=""),0,COUNTIFS(Formulas!$A$2:$A$1501,BD$4,Formulas!$B$2:$B$1501,$A75))</f>
        <v>0</v>
      </c>
      <c r="BE75" s="21" t="n">
        <f aca="false">IF(OR($A75="",BE$4=""),0,COUNTIFS(Formulas!$A$2:$A$1501,BE$4,Formulas!$B$2:$B$1501,$A75))</f>
        <v>0</v>
      </c>
      <c r="BF75" s="21" t="n">
        <f aca="false">IF(OR($A75="",BF$4=""),0,COUNTIFS(Formulas!$A$2:$A$1501,BF$4,Formulas!$B$2:$B$1501,$A75))</f>
        <v>0</v>
      </c>
      <c r="BG75" s="21" t="n">
        <f aca="false">IF(OR($A75="",BG$4=""),0,COUNTIFS(Formulas!$A$2:$A$1501,BG$4,Formulas!$B$2:$B$1501,$A75))</f>
        <v>0</v>
      </c>
      <c r="BH75" s="21" t="n">
        <f aca="false">IF(OR($A75="",BH$4=""),0,COUNTIFS(Formulas!$A$2:$A$1501,BH$4,Formulas!$B$2:$B$1501,$A75))</f>
        <v>0</v>
      </c>
      <c r="BI75" s="21" t="n">
        <f aca="false">IF(OR($A75="",BI$4=""),0,COUNTIFS(Formulas!$A$2:$A$1501,BI$4,Formulas!$B$2:$B$1501,$A75))</f>
        <v>0</v>
      </c>
      <c r="BJ75" s="21" t="n">
        <f aca="false">IF(OR($A75="",BJ$4=""),0,COUNTIFS(Formulas!$A$2:$A$1501,BJ$4,Formulas!$B$2:$B$1501,$A75))</f>
        <v>0</v>
      </c>
    </row>
    <row r="76" customFormat="false" ht="15" hidden="false" customHeight="false" outlineLevel="0" collapsed="false">
      <c r="A76" s="13" t="str">
        <f aca="false">IF(INDEX(Materials!$A$2:$A$201,72)="","",INDEX(Materials!$A$2:$A$201,72))</f>
        <v/>
      </c>
      <c r="B76" s="19" t="str">
        <f aca="false">IF(A76="","",COUNTIF(C76:BJ76,"&gt;0"))</f>
        <v/>
      </c>
      <c r="C76" s="21" t="n">
        <f aca="false">IF(OR($A76="",C$4=""),0,COUNTIFS(Formulas!$A$2:$A$1501,C$4,Formulas!$B$2:$B$1501,$A76))</f>
        <v>0</v>
      </c>
      <c r="D76" s="21" t="n">
        <f aca="false">IF(OR($A76="",D$4=""),0,COUNTIFS(Formulas!$A$2:$A$1501,D$4,Formulas!$B$2:$B$1501,$A76))</f>
        <v>0</v>
      </c>
      <c r="E76" s="21" t="n">
        <f aca="false">IF(OR($A76="",E$4=""),0,COUNTIFS(Formulas!$A$2:$A$1501,E$4,Formulas!$B$2:$B$1501,$A76))</f>
        <v>0</v>
      </c>
      <c r="F76" s="21" t="n">
        <f aca="false">IF(OR($A76="",F$4=""),0,COUNTIFS(Formulas!$A$2:$A$1501,F$4,Formulas!$B$2:$B$1501,$A76))</f>
        <v>0</v>
      </c>
      <c r="G76" s="21" t="n">
        <f aca="false">IF(OR($A76="",G$4=""),0,COUNTIFS(Formulas!$A$2:$A$1501,G$4,Formulas!$B$2:$B$1501,$A76))</f>
        <v>0</v>
      </c>
      <c r="H76" s="21" t="n">
        <f aca="false">IF(OR($A76="",H$4=""),0,COUNTIFS(Formulas!$A$2:$A$1501,H$4,Formulas!$B$2:$B$1501,$A76))</f>
        <v>0</v>
      </c>
      <c r="I76" s="21" t="n">
        <f aca="false">IF(OR($A76="",I$4=""),0,COUNTIFS(Formulas!$A$2:$A$1501,I$4,Formulas!$B$2:$B$1501,$A76))</f>
        <v>0</v>
      </c>
      <c r="J76" s="21" t="n">
        <f aca="false">IF(OR($A76="",J$4=""),0,COUNTIFS(Formulas!$A$2:$A$1501,J$4,Formulas!$B$2:$B$1501,$A76))</f>
        <v>0</v>
      </c>
      <c r="K76" s="21" t="n">
        <f aca="false">IF(OR($A76="",K$4=""),0,COUNTIFS(Formulas!$A$2:$A$1501,K$4,Formulas!$B$2:$B$1501,$A76))</f>
        <v>0</v>
      </c>
      <c r="L76" s="21" t="n">
        <f aca="false">IF(OR($A76="",L$4=""),0,COUNTIFS(Formulas!$A$2:$A$1501,L$4,Formulas!$B$2:$B$1501,$A76))</f>
        <v>0</v>
      </c>
      <c r="M76" s="21" t="n">
        <f aca="false">IF(OR($A76="",M$4=""),0,COUNTIFS(Formulas!$A$2:$A$1501,M$4,Formulas!$B$2:$B$1501,$A76))</f>
        <v>0</v>
      </c>
      <c r="N76" s="21" t="n">
        <f aca="false">IF(OR($A76="",N$4=""),0,COUNTIFS(Formulas!$A$2:$A$1501,N$4,Formulas!$B$2:$B$1501,$A76))</f>
        <v>0</v>
      </c>
      <c r="O76" s="21" t="n">
        <f aca="false">IF(OR($A76="",O$4=""),0,COUNTIFS(Formulas!$A$2:$A$1501,O$4,Formulas!$B$2:$B$1501,$A76))</f>
        <v>0</v>
      </c>
      <c r="P76" s="21" t="n">
        <f aca="false">IF(OR($A76="",P$4=""),0,COUNTIFS(Formulas!$A$2:$A$1501,P$4,Formulas!$B$2:$B$1501,$A76))</f>
        <v>0</v>
      </c>
      <c r="Q76" s="21" t="n">
        <f aca="false">IF(OR($A76="",Q$4=""),0,COUNTIFS(Formulas!$A$2:$A$1501,Q$4,Formulas!$B$2:$B$1501,$A76))</f>
        <v>0</v>
      </c>
      <c r="R76" s="21" t="n">
        <f aca="false">IF(OR($A76="",R$4=""),0,COUNTIFS(Formulas!$A$2:$A$1501,R$4,Formulas!$B$2:$B$1501,$A76))</f>
        <v>0</v>
      </c>
      <c r="S76" s="21" t="n">
        <f aca="false">IF(OR($A76="",S$4=""),0,COUNTIFS(Formulas!$A$2:$A$1501,S$4,Formulas!$B$2:$B$1501,$A76))</f>
        <v>0</v>
      </c>
      <c r="T76" s="21" t="n">
        <f aca="false">IF(OR($A76="",T$4=""),0,COUNTIFS(Formulas!$A$2:$A$1501,T$4,Formulas!$B$2:$B$1501,$A76))</f>
        <v>0</v>
      </c>
      <c r="U76" s="21" t="n">
        <f aca="false">IF(OR($A76="",U$4=""),0,COUNTIFS(Formulas!$A$2:$A$1501,U$4,Formulas!$B$2:$B$1501,$A76))</f>
        <v>0</v>
      </c>
      <c r="V76" s="21" t="n">
        <f aca="false">IF(OR($A76="",V$4=""),0,COUNTIFS(Formulas!$A$2:$A$1501,V$4,Formulas!$B$2:$B$1501,$A76))</f>
        <v>0</v>
      </c>
      <c r="W76" s="21" t="n">
        <f aca="false">IF(OR($A76="",W$4=""),0,COUNTIFS(Formulas!$A$2:$A$1501,W$4,Formulas!$B$2:$B$1501,$A76))</f>
        <v>0</v>
      </c>
      <c r="X76" s="21" t="n">
        <f aca="false">IF(OR($A76="",X$4=""),0,COUNTIFS(Formulas!$A$2:$A$1501,X$4,Formulas!$B$2:$B$1501,$A76))</f>
        <v>0</v>
      </c>
      <c r="Y76" s="21" t="n">
        <f aca="false">IF(OR($A76="",Y$4=""),0,COUNTIFS(Formulas!$A$2:$A$1501,Y$4,Formulas!$B$2:$B$1501,$A76))</f>
        <v>0</v>
      </c>
      <c r="Z76" s="21" t="n">
        <f aca="false">IF(OR($A76="",Z$4=""),0,COUNTIFS(Formulas!$A$2:$A$1501,Z$4,Formulas!$B$2:$B$1501,$A76))</f>
        <v>0</v>
      </c>
      <c r="AA76" s="21" t="n">
        <f aca="false">IF(OR($A76="",AA$4=""),0,COUNTIFS(Formulas!$A$2:$A$1501,AA$4,Formulas!$B$2:$B$1501,$A76))</f>
        <v>0</v>
      </c>
      <c r="AB76" s="21" t="n">
        <f aca="false">IF(OR($A76="",AB$4=""),0,COUNTIFS(Formulas!$A$2:$A$1501,AB$4,Formulas!$B$2:$B$1501,$A76))</f>
        <v>0</v>
      </c>
      <c r="AC76" s="21" t="n">
        <f aca="false">IF(OR($A76="",AC$4=""),0,COUNTIFS(Formulas!$A$2:$A$1501,AC$4,Formulas!$B$2:$B$1501,$A76))</f>
        <v>0</v>
      </c>
      <c r="AD76" s="21" t="n">
        <f aca="false">IF(OR($A76="",AD$4=""),0,COUNTIFS(Formulas!$A$2:$A$1501,AD$4,Formulas!$B$2:$B$1501,$A76))</f>
        <v>0</v>
      </c>
      <c r="AE76" s="21" t="n">
        <f aca="false">IF(OR($A76="",AE$4=""),0,COUNTIFS(Formulas!$A$2:$A$1501,AE$4,Formulas!$B$2:$B$1501,$A76))</f>
        <v>0</v>
      </c>
      <c r="AF76" s="21" t="n">
        <f aca="false">IF(OR($A76="",AF$4=""),0,COUNTIFS(Formulas!$A$2:$A$1501,AF$4,Formulas!$B$2:$B$1501,$A76))</f>
        <v>0</v>
      </c>
      <c r="AG76" s="21" t="n">
        <f aca="false">IF(OR($A76="",AG$4=""),0,COUNTIFS(Formulas!$A$2:$A$1501,AG$4,Formulas!$B$2:$B$1501,$A76))</f>
        <v>0</v>
      </c>
      <c r="AH76" s="21" t="n">
        <f aca="false">IF(OR($A76="",AH$4=""),0,COUNTIFS(Formulas!$A$2:$A$1501,AH$4,Formulas!$B$2:$B$1501,$A76))</f>
        <v>0</v>
      </c>
      <c r="AI76" s="21" t="n">
        <f aca="false">IF(OR($A76="",AI$4=""),0,COUNTIFS(Formulas!$A$2:$A$1501,AI$4,Formulas!$B$2:$B$1501,$A76))</f>
        <v>0</v>
      </c>
      <c r="AJ76" s="21" t="n">
        <f aca="false">IF(OR($A76="",AJ$4=""),0,COUNTIFS(Formulas!$A$2:$A$1501,AJ$4,Formulas!$B$2:$B$1501,$A76))</f>
        <v>0</v>
      </c>
      <c r="AK76" s="21" t="n">
        <f aca="false">IF(OR($A76="",AK$4=""),0,COUNTIFS(Formulas!$A$2:$A$1501,AK$4,Formulas!$B$2:$B$1501,$A76))</f>
        <v>0</v>
      </c>
      <c r="AL76" s="21" t="n">
        <f aca="false">IF(OR($A76="",AL$4=""),0,COUNTIFS(Formulas!$A$2:$A$1501,AL$4,Formulas!$B$2:$B$1501,$A76))</f>
        <v>0</v>
      </c>
      <c r="AM76" s="21" t="n">
        <f aca="false">IF(OR($A76="",AM$4=""),0,COUNTIFS(Formulas!$A$2:$A$1501,AM$4,Formulas!$B$2:$B$1501,$A76))</f>
        <v>0</v>
      </c>
      <c r="AN76" s="21" t="n">
        <f aca="false">IF(OR($A76="",AN$4=""),0,COUNTIFS(Formulas!$A$2:$A$1501,AN$4,Formulas!$B$2:$B$1501,$A76))</f>
        <v>0</v>
      </c>
      <c r="AO76" s="21" t="n">
        <f aca="false">IF(OR($A76="",AO$4=""),0,COUNTIFS(Formulas!$A$2:$A$1501,AO$4,Formulas!$B$2:$B$1501,$A76))</f>
        <v>0</v>
      </c>
      <c r="AP76" s="21" t="n">
        <f aca="false">IF(OR($A76="",AP$4=""),0,COUNTIFS(Formulas!$A$2:$A$1501,AP$4,Formulas!$B$2:$B$1501,$A76))</f>
        <v>0</v>
      </c>
      <c r="AQ76" s="21" t="n">
        <f aca="false">IF(OR($A76="",AQ$4=""),0,COUNTIFS(Formulas!$A$2:$A$1501,AQ$4,Formulas!$B$2:$B$1501,$A76))</f>
        <v>0</v>
      </c>
      <c r="AR76" s="21" t="n">
        <f aca="false">IF(OR($A76="",AR$4=""),0,COUNTIFS(Formulas!$A$2:$A$1501,AR$4,Formulas!$B$2:$B$1501,$A76))</f>
        <v>0</v>
      </c>
      <c r="AS76" s="21" t="n">
        <f aca="false">IF(OR($A76="",AS$4=""),0,COUNTIFS(Formulas!$A$2:$A$1501,AS$4,Formulas!$B$2:$B$1501,$A76))</f>
        <v>0</v>
      </c>
      <c r="AT76" s="21" t="n">
        <f aca="false">IF(OR($A76="",AT$4=""),0,COUNTIFS(Formulas!$A$2:$A$1501,AT$4,Formulas!$B$2:$B$1501,$A76))</f>
        <v>0</v>
      </c>
      <c r="AU76" s="21" t="n">
        <f aca="false">IF(OR($A76="",AU$4=""),0,COUNTIFS(Formulas!$A$2:$A$1501,AU$4,Formulas!$B$2:$B$1501,$A76))</f>
        <v>0</v>
      </c>
      <c r="AV76" s="21" t="n">
        <f aca="false">IF(OR($A76="",AV$4=""),0,COUNTIFS(Formulas!$A$2:$A$1501,AV$4,Formulas!$B$2:$B$1501,$A76))</f>
        <v>0</v>
      </c>
      <c r="AW76" s="21" t="n">
        <f aca="false">IF(OR($A76="",AW$4=""),0,COUNTIFS(Formulas!$A$2:$A$1501,AW$4,Formulas!$B$2:$B$1501,$A76))</f>
        <v>0</v>
      </c>
      <c r="AX76" s="21" t="n">
        <f aca="false">IF(OR($A76="",AX$4=""),0,COUNTIFS(Formulas!$A$2:$A$1501,AX$4,Formulas!$B$2:$B$1501,$A76))</f>
        <v>0</v>
      </c>
      <c r="AY76" s="21" t="n">
        <f aca="false">IF(OR($A76="",AY$4=""),0,COUNTIFS(Formulas!$A$2:$A$1501,AY$4,Formulas!$B$2:$B$1501,$A76))</f>
        <v>0</v>
      </c>
      <c r="AZ76" s="21" t="n">
        <f aca="false">IF(OR($A76="",AZ$4=""),0,COUNTIFS(Formulas!$A$2:$A$1501,AZ$4,Formulas!$B$2:$B$1501,$A76))</f>
        <v>0</v>
      </c>
      <c r="BA76" s="21" t="n">
        <f aca="false">IF(OR($A76="",BA$4=""),0,COUNTIFS(Formulas!$A$2:$A$1501,BA$4,Formulas!$B$2:$B$1501,$A76))</f>
        <v>0</v>
      </c>
      <c r="BB76" s="21" t="n">
        <f aca="false">IF(OR($A76="",BB$4=""),0,COUNTIFS(Formulas!$A$2:$A$1501,BB$4,Formulas!$B$2:$B$1501,$A76))</f>
        <v>0</v>
      </c>
      <c r="BC76" s="21" t="n">
        <f aca="false">IF(OR($A76="",BC$4=""),0,COUNTIFS(Formulas!$A$2:$A$1501,BC$4,Formulas!$B$2:$B$1501,$A76))</f>
        <v>0</v>
      </c>
      <c r="BD76" s="21" t="n">
        <f aca="false">IF(OR($A76="",BD$4=""),0,COUNTIFS(Formulas!$A$2:$A$1501,BD$4,Formulas!$B$2:$B$1501,$A76))</f>
        <v>0</v>
      </c>
      <c r="BE76" s="21" t="n">
        <f aca="false">IF(OR($A76="",BE$4=""),0,COUNTIFS(Formulas!$A$2:$A$1501,BE$4,Formulas!$B$2:$B$1501,$A76))</f>
        <v>0</v>
      </c>
      <c r="BF76" s="21" t="n">
        <f aca="false">IF(OR($A76="",BF$4=""),0,COUNTIFS(Formulas!$A$2:$A$1501,BF$4,Formulas!$B$2:$B$1501,$A76))</f>
        <v>0</v>
      </c>
      <c r="BG76" s="21" t="n">
        <f aca="false">IF(OR($A76="",BG$4=""),0,COUNTIFS(Formulas!$A$2:$A$1501,BG$4,Formulas!$B$2:$B$1501,$A76))</f>
        <v>0</v>
      </c>
      <c r="BH76" s="21" t="n">
        <f aca="false">IF(OR($A76="",BH$4=""),0,COUNTIFS(Formulas!$A$2:$A$1501,BH$4,Formulas!$B$2:$B$1501,$A76))</f>
        <v>0</v>
      </c>
      <c r="BI76" s="21" t="n">
        <f aca="false">IF(OR($A76="",BI$4=""),0,COUNTIFS(Formulas!$A$2:$A$1501,BI$4,Formulas!$B$2:$B$1501,$A76))</f>
        <v>0</v>
      </c>
      <c r="BJ76" s="21" t="n">
        <f aca="false">IF(OR($A76="",BJ$4=""),0,COUNTIFS(Formulas!$A$2:$A$1501,BJ$4,Formulas!$B$2:$B$1501,$A76))</f>
        <v>0</v>
      </c>
    </row>
    <row r="77" customFormat="false" ht="15" hidden="false" customHeight="false" outlineLevel="0" collapsed="false">
      <c r="A77" s="13" t="str">
        <f aca="false">IF(INDEX(Materials!$A$2:$A$201,73)="","",INDEX(Materials!$A$2:$A$201,73))</f>
        <v/>
      </c>
      <c r="B77" s="19" t="str">
        <f aca="false">IF(A77="","",COUNTIF(C77:BJ77,"&gt;0"))</f>
        <v/>
      </c>
      <c r="C77" s="21" t="n">
        <f aca="false">IF(OR($A77="",C$4=""),0,COUNTIFS(Formulas!$A$2:$A$1501,C$4,Formulas!$B$2:$B$1501,$A77))</f>
        <v>0</v>
      </c>
      <c r="D77" s="21" t="n">
        <f aca="false">IF(OR($A77="",D$4=""),0,COUNTIFS(Formulas!$A$2:$A$1501,D$4,Formulas!$B$2:$B$1501,$A77))</f>
        <v>0</v>
      </c>
      <c r="E77" s="21" t="n">
        <f aca="false">IF(OR($A77="",E$4=""),0,COUNTIFS(Formulas!$A$2:$A$1501,E$4,Formulas!$B$2:$B$1501,$A77))</f>
        <v>0</v>
      </c>
      <c r="F77" s="21" t="n">
        <f aca="false">IF(OR($A77="",F$4=""),0,COUNTIFS(Formulas!$A$2:$A$1501,F$4,Formulas!$B$2:$B$1501,$A77))</f>
        <v>0</v>
      </c>
      <c r="G77" s="21" t="n">
        <f aca="false">IF(OR($A77="",G$4=""),0,COUNTIFS(Formulas!$A$2:$A$1501,G$4,Formulas!$B$2:$B$1501,$A77))</f>
        <v>0</v>
      </c>
      <c r="H77" s="21" t="n">
        <f aca="false">IF(OR($A77="",H$4=""),0,COUNTIFS(Formulas!$A$2:$A$1501,H$4,Formulas!$B$2:$B$1501,$A77))</f>
        <v>0</v>
      </c>
      <c r="I77" s="21" t="n">
        <f aca="false">IF(OR($A77="",I$4=""),0,COUNTIFS(Formulas!$A$2:$A$1501,I$4,Formulas!$B$2:$B$1501,$A77))</f>
        <v>0</v>
      </c>
      <c r="J77" s="21" t="n">
        <f aca="false">IF(OR($A77="",J$4=""),0,COUNTIFS(Formulas!$A$2:$A$1501,J$4,Formulas!$B$2:$B$1501,$A77))</f>
        <v>0</v>
      </c>
      <c r="K77" s="21" t="n">
        <f aca="false">IF(OR($A77="",K$4=""),0,COUNTIFS(Formulas!$A$2:$A$1501,K$4,Formulas!$B$2:$B$1501,$A77))</f>
        <v>0</v>
      </c>
      <c r="L77" s="21" t="n">
        <f aca="false">IF(OR($A77="",L$4=""),0,COUNTIFS(Formulas!$A$2:$A$1501,L$4,Formulas!$B$2:$B$1501,$A77))</f>
        <v>0</v>
      </c>
      <c r="M77" s="21" t="n">
        <f aca="false">IF(OR($A77="",M$4=""),0,COUNTIFS(Formulas!$A$2:$A$1501,M$4,Formulas!$B$2:$B$1501,$A77))</f>
        <v>0</v>
      </c>
      <c r="N77" s="21" t="n">
        <f aca="false">IF(OR($A77="",N$4=""),0,COUNTIFS(Formulas!$A$2:$A$1501,N$4,Formulas!$B$2:$B$1501,$A77))</f>
        <v>0</v>
      </c>
      <c r="O77" s="21" t="n">
        <f aca="false">IF(OR($A77="",O$4=""),0,COUNTIFS(Formulas!$A$2:$A$1501,O$4,Formulas!$B$2:$B$1501,$A77))</f>
        <v>0</v>
      </c>
      <c r="P77" s="21" t="n">
        <f aca="false">IF(OR($A77="",P$4=""),0,COUNTIFS(Formulas!$A$2:$A$1501,P$4,Formulas!$B$2:$B$1501,$A77))</f>
        <v>0</v>
      </c>
      <c r="Q77" s="21" t="n">
        <f aca="false">IF(OR($A77="",Q$4=""),0,COUNTIFS(Formulas!$A$2:$A$1501,Q$4,Formulas!$B$2:$B$1501,$A77))</f>
        <v>0</v>
      </c>
      <c r="R77" s="21" t="n">
        <f aca="false">IF(OR($A77="",R$4=""),0,COUNTIFS(Formulas!$A$2:$A$1501,R$4,Formulas!$B$2:$B$1501,$A77))</f>
        <v>0</v>
      </c>
      <c r="S77" s="21" t="n">
        <f aca="false">IF(OR($A77="",S$4=""),0,COUNTIFS(Formulas!$A$2:$A$1501,S$4,Formulas!$B$2:$B$1501,$A77))</f>
        <v>0</v>
      </c>
      <c r="T77" s="21" t="n">
        <f aca="false">IF(OR($A77="",T$4=""),0,COUNTIFS(Formulas!$A$2:$A$1501,T$4,Formulas!$B$2:$B$1501,$A77))</f>
        <v>0</v>
      </c>
      <c r="U77" s="21" t="n">
        <f aca="false">IF(OR($A77="",U$4=""),0,COUNTIFS(Formulas!$A$2:$A$1501,U$4,Formulas!$B$2:$B$1501,$A77))</f>
        <v>0</v>
      </c>
      <c r="V77" s="21" t="n">
        <f aca="false">IF(OR($A77="",V$4=""),0,COUNTIFS(Formulas!$A$2:$A$1501,V$4,Formulas!$B$2:$B$1501,$A77))</f>
        <v>0</v>
      </c>
      <c r="W77" s="21" t="n">
        <f aca="false">IF(OR($A77="",W$4=""),0,COUNTIFS(Formulas!$A$2:$A$1501,W$4,Formulas!$B$2:$B$1501,$A77))</f>
        <v>0</v>
      </c>
      <c r="X77" s="21" t="n">
        <f aca="false">IF(OR($A77="",X$4=""),0,COUNTIFS(Formulas!$A$2:$A$1501,X$4,Formulas!$B$2:$B$1501,$A77))</f>
        <v>0</v>
      </c>
      <c r="Y77" s="21" t="n">
        <f aca="false">IF(OR($A77="",Y$4=""),0,COUNTIFS(Formulas!$A$2:$A$1501,Y$4,Formulas!$B$2:$B$1501,$A77))</f>
        <v>0</v>
      </c>
      <c r="Z77" s="21" t="n">
        <f aca="false">IF(OR($A77="",Z$4=""),0,COUNTIFS(Formulas!$A$2:$A$1501,Z$4,Formulas!$B$2:$B$1501,$A77))</f>
        <v>0</v>
      </c>
      <c r="AA77" s="21" t="n">
        <f aca="false">IF(OR($A77="",AA$4=""),0,COUNTIFS(Formulas!$A$2:$A$1501,AA$4,Formulas!$B$2:$B$1501,$A77))</f>
        <v>0</v>
      </c>
      <c r="AB77" s="21" t="n">
        <f aca="false">IF(OR($A77="",AB$4=""),0,COUNTIFS(Formulas!$A$2:$A$1501,AB$4,Formulas!$B$2:$B$1501,$A77))</f>
        <v>0</v>
      </c>
      <c r="AC77" s="21" t="n">
        <f aca="false">IF(OR($A77="",AC$4=""),0,COUNTIFS(Formulas!$A$2:$A$1501,AC$4,Formulas!$B$2:$B$1501,$A77))</f>
        <v>0</v>
      </c>
      <c r="AD77" s="21" t="n">
        <f aca="false">IF(OR($A77="",AD$4=""),0,COUNTIFS(Formulas!$A$2:$A$1501,AD$4,Formulas!$B$2:$B$1501,$A77))</f>
        <v>0</v>
      </c>
      <c r="AE77" s="21" t="n">
        <f aca="false">IF(OR($A77="",AE$4=""),0,COUNTIFS(Formulas!$A$2:$A$1501,AE$4,Formulas!$B$2:$B$1501,$A77))</f>
        <v>0</v>
      </c>
      <c r="AF77" s="21" t="n">
        <f aca="false">IF(OR($A77="",AF$4=""),0,COUNTIFS(Formulas!$A$2:$A$1501,AF$4,Formulas!$B$2:$B$1501,$A77))</f>
        <v>0</v>
      </c>
      <c r="AG77" s="21" t="n">
        <f aca="false">IF(OR($A77="",AG$4=""),0,COUNTIFS(Formulas!$A$2:$A$1501,AG$4,Formulas!$B$2:$B$1501,$A77))</f>
        <v>0</v>
      </c>
      <c r="AH77" s="21" t="n">
        <f aca="false">IF(OR($A77="",AH$4=""),0,COUNTIFS(Formulas!$A$2:$A$1501,AH$4,Formulas!$B$2:$B$1501,$A77))</f>
        <v>0</v>
      </c>
      <c r="AI77" s="21" t="n">
        <f aca="false">IF(OR($A77="",AI$4=""),0,COUNTIFS(Formulas!$A$2:$A$1501,AI$4,Formulas!$B$2:$B$1501,$A77))</f>
        <v>0</v>
      </c>
      <c r="AJ77" s="21" t="n">
        <f aca="false">IF(OR($A77="",AJ$4=""),0,COUNTIFS(Formulas!$A$2:$A$1501,AJ$4,Formulas!$B$2:$B$1501,$A77))</f>
        <v>0</v>
      </c>
      <c r="AK77" s="21" t="n">
        <f aca="false">IF(OR($A77="",AK$4=""),0,COUNTIFS(Formulas!$A$2:$A$1501,AK$4,Formulas!$B$2:$B$1501,$A77))</f>
        <v>0</v>
      </c>
      <c r="AL77" s="21" t="n">
        <f aca="false">IF(OR($A77="",AL$4=""),0,COUNTIFS(Formulas!$A$2:$A$1501,AL$4,Formulas!$B$2:$B$1501,$A77))</f>
        <v>0</v>
      </c>
      <c r="AM77" s="21" t="n">
        <f aca="false">IF(OR($A77="",AM$4=""),0,COUNTIFS(Formulas!$A$2:$A$1501,AM$4,Formulas!$B$2:$B$1501,$A77))</f>
        <v>0</v>
      </c>
      <c r="AN77" s="21" t="n">
        <f aca="false">IF(OR($A77="",AN$4=""),0,COUNTIFS(Formulas!$A$2:$A$1501,AN$4,Formulas!$B$2:$B$1501,$A77))</f>
        <v>0</v>
      </c>
      <c r="AO77" s="21" t="n">
        <f aca="false">IF(OR($A77="",AO$4=""),0,COUNTIFS(Formulas!$A$2:$A$1501,AO$4,Formulas!$B$2:$B$1501,$A77))</f>
        <v>0</v>
      </c>
      <c r="AP77" s="21" t="n">
        <f aca="false">IF(OR($A77="",AP$4=""),0,COUNTIFS(Formulas!$A$2:$A$1501,AP$4,Formulas!$B$2:$B$1501,$A77))</f>
        <v>0</v>
      </c>
      <c r="AQ77" s="21" t="n">
        <f aca="false">IF(OR($A77="",AQ$4=""),0,COUNTIFS(Formulas!$A$2:$A$1501,AQ$4,Formulas!$B$2:$B$1501,$A77))</f>
        <v>0</v>
      </c>
      <c r="AR77" s="21" t="n">
        <f aca="false">IF(OR($A77="",AR$4=""),0,COUNTIFS(Formulas!$A$2:$A$1501,AR$4,Formulas!$B$2:$B$1501,$A77))</f>
        <v>0</v>
      </c>
      <c r="AS77" s="21" t="n">
        <f aca="false">IF(OR($A77="",AS$4=""),0,COUNTIFS(Formulas!$A$2:$A$1501,AS$4,Formulas!$B$2:$B$1501,$A77))</f>
        <v>0</v>
      </c>
      <c r="AT77" s="21" t="n">
        <f aca="false">IF(OR($A77="",AT$4=""),0,COUNTIFS(Formulas!$A$2:$A$1501,AT$4,Formulas!$B$2:$B$1501,$A77))</f>
        <v>0</v>
      </c>
      <c r="AU77" s="21" t="n">
        <f aca="false">IF(OR($A77="",AU$4=""),0,COUNTIFS(Formulas!$A$2:$A$1501,AU$4,Formulas!$B$2:$B$1501,$A77))</f>
        <v>0</v>
      </c>
      <c r="AV77" s="21" t="n">
        <f aca="false">IF(OR($A77="",AV$4=""),0,COUNTIFS(Formulas!$A$2:$A$1501,AV$4,Formulas!$B$2:$B$1501,$A77))</f>
        <v>0</v>
      </c>
      <c r="AW77" s="21" t="n">
        <f aca="false">IF(OR($A77="",AW$4=""),0,COUNTIFS(Formulas!$A$2:$A$1501,AW$4,Formulas!$B$2:$B$1501,$A77))</f>
        <v>0</v>
      </c>
      <c r="AX77" s="21" t="n">
        <f aca="false">IF(OR($A77="",AX$4=""),0,COUNTIFS(Formulas!$A$2:$A$1501,AX$4,Formulas!$B$2:$B$1501,$A77))</f>
        <v>0</v>
      </c>
      <c r="AY77" s="21" t="n">
        <f aca="false">IF(OR($A77="",AY$4=""),0,COUNTIFS(Formulas!$A$2:$A$1501,AY$4,Formulas!$B$2:$B$1501,$A77))</f>
        <v>0</v>
      </c>
      <c r="AZ77" s="21" t="n">
        <f aca="false">IF(OR($A77="",AZ$4=""),0,COUNTIFS(Formulas!$A$2:$A$1501,AZ$4,Formulas!$B$2:$B$1501,$A77))</f>
        <v>0</v>
      </c>
      <c r="BA77" s="21" t="n">
        <f aca="false">IF(OR($A77="",BA$4=""),0,COUNTIFS(Formulas!$A$2:$A$1501,BA$4,Formulas!$B$2:$B$1501,$A77))</f>
        <v>0</v>
      </c>
      <c r="BB77" s="21" t="n">
        <f aca="false">IF(OR($A77="",BB$4=""),0,COUNTIFS(Formulas!$A$2:$A$1501,BB$4,Formulas!$B$2:$B$1501,$A77))</f>
        <v>0</v>
      </c>
      <c r="BC77" s="21" t="n">
        <f aca="false">IF(OR($A77="",BC$4=""),0,COUNTIFS(Formulas!$A$2:$A$1501,BC$4,Formulas!$B$2:$B$1501,$A77))</f>
        <v>0</v>
      </c>
      <c r="BD77" s="21" t="n">
        <f aca="false">IF(OR($A77="",BD$4=""),0,COUNTIFS(Formulas!$A$2:$A$1501,BD$4,Formulas!$B$2:$B$1501,$A77))</f>
        <v>0</v>
      </c>
      <c r="BE77" s="21" t="n">
        <f aca="false">IF(OR($A77="",BE$4=""),0,COUNTIFS(Formulas!$A$2:$A$1501,BE$4,Formulas!$B$2:$B$1501,$A77))</f>
        <v>0</v>
      </c>
      <c r="BF77" s="21" t="n">
        <f aca="false">IF(OR($A77="",BF$4=""),0,COUNTIFS(Formulas!$A$2:$A$1501,BF$4,Formulas!$B$2:$B$1501,$A77))</f>
        <v>0</v>
      </c>
      <c r="BG77" s="21" t="n">
        <f aca="false">IF(OR($A77="",BG$4=""),0,COUNTIFS(Formulas!$A$2:$A$1501,BG$4,Formulas!$B$2:$B$1501,$A77))</f>
        <v>0</v>
      </c>
      <c r="BH77" s="21" t="n">
        <f aca="false">IF(OR($A77="",BH$4=""),0,COUNTIFS(Formulas!$A$2:$A$1501,BH$4,Formulas!$B$2:$B$1501,$A77))</f>
        <v>0</v>
      </c>
      <c r="BI77" s="21" t="n">
        <f aca="false">IF(OR($A77="",BI$4=""),0,COUNTIFS(Formulas!$A$2:$A$1501,BI$4,Formulas!$B$2:$B$1501,$A77))</f>
        <v>0</v>
      </c>
      <c r="BJ77" s="21" t="n">
        <f aca="false">IF(OR($A77="",BJ$4=""),0,COUNTIFS(Formulas!$A$2:$A$1501,BJ$4,Formulas!$B$2:$B$1501,$A77))</f>
        <v>0</v>
      </c>
    </row>
    <row r="78" customFormat="false" ht="15" hidden="false" customHeight="false" outlineLevel="0" collapsed="false">
      <c r="A78" s="13" t="str">
        <f aca="false">IF(INDEX(Materials!$A$2:$A$201,74)="","",INDEX(Materials!$A$2:$A$201,74))</f>
        <v/>
      </c>
      <c r="B78" s="19" t="str">
        <f aca="false">IF(A78="","",COUNTIF(C78:BJ78,"&gt;0"))</f>
        <v/>
      </c>
      <c r="C78" s="21" t="n">
        <f aca="false">IF(OR($A78="",C$4=""),0,COUNTIFS(Formulas!$A$2:$A$1501,C$4,Formulas!$B$2:$B$1501,$A78))</f>
        <v>0</v>
      </c>
      <c r="D78" s="21" t="n">
        <f aca="false">IF(OR($A78="",D$4=""),0,COUNTIFS(Formulas!$A$2:$A$1501,D$4,Formulas!$B$2:$B$1501,$A78))</f>
        <v>0</v>
      </c>
      <c r="E78" s="21" t="n">
        <f aca="false">IF(OR($A78="",E$4=""),0,COUNTIFS(Formulas!$A$2:$A$1501,E$4,Formulas!$B$2:$B$1501,$A78))</f>
        <v>0</v>
      </c>
      <c r="F78" s="21" t="n">
        <f aca="false">IF(OR($A78="",F$4=""),0,COUNTIFS(Formulas!$A$2:$A$1501,F$4,Formulas!$B$2:$B$1501,$A78))</f>
        <v>0</v>
      </c>
      <c r="G78" s="21" t="n">
        <f aca="false">IF(OR($A78="",G$4=""),0,COUNTIFS(Formulas!$A$2:$A$1501,G$4,Formulas!$B$2:$B$1501,$A78))</f>
        <v>0</v>
      </c>
      <c r="H78" s="21" t="n">
        <f aca="false">IF(OR($A78="",H$4=""),0,COUNTIFS(Formulas!$A$2:$A$1501,H$4,Formulas!$B$2:$B$1501,$A78))</f>
        <v>0</v>
      </c>
      <c r="I78" s="21" t="n">
        <f aca="false">IF(OR($A78="",I$4=""),0,COUNTIFS(Formulas!$A$2:$A$1501,I$4,Formulas!$B$2:$B$1501,$A78))</f>
        <v>0</v>
      </c>
      <c r="J78" s="21" t="n">
        <f aca="false">IF(OR($A78="",J$4=""),0,COUNTIFS(Formulas!$A$2:$A$1501,J$4,Formulas!$B$2:$B$1501,$A78))</f>
        <v>0</v>
      </c>
      <c r="K78" s="21" t="n">
        <f aca="false">IF(OR($A78="",K$4=""),0,COUNTIFS(Formulas!$A$2:$A$1501,K$4,Formulas!$B$2:$B$1501,$A78))</f>
        <v>0</v>
      </c>
      <c r="L78" s="21" t="n">
        <f aca="false">IF(OR($A78="",L$4=""),0,COUNTIFS(Formulas!$A$2:$A$1501,L$4,Formulas!$B$2:$B$1501,$A78))</f>
        <v>0</v>
      </c>
      <c r="M78" s="21" t="n">
        <f aca="false">IF(OR($A78="",M$4=""),0,COUNTIFS(Formulas!$A$2:$A$1501,M$4,Formulas!$B$2:$B$1501,$A78))</f>
        <v>0</v>
      </c>
      <c r="N78" s="21" t="n">
        <f aca="false">IF(OR($A78="",N$4=""),0,COUNTIFS(Formulas!$A$2:$A$1501,N$4,Formulas!$B$2:$B$1501,$A78))</f>
        <v>0</v>
      </c>
      <c r="O78" s="21" t="n">
        <f aca="false">IF(OR($A78="",O$4=""),0,COUNTIFS(Formulas!$A$2:$A$1501,O$4,Formulas!$B$2:$B$1501,$A78))</f>
        <v>0</v>
      </c>
      <c r="P78" s="21" t="n">
        <f aca="false">IF(OR($A78="",P$4=""),0,COUNTIFS(Formulas!$A$2:$A$1501,P$4,Formulas!$B$2:$B$1501,$A78))</f>
        <v>0</v>
      </c>
      <c r="Q78" s="21" t="n">
        <f aca="false">IF(OR($A78="",Q$4=""),0,COUNTIFS(Formulas!$A$2:$A$1501,Q$4,Formulas!$B$2:$B$1501,$A78))</f>
        <v>0</v>
      </c>
      <c r="R78" s="21" t="n">
        <f aca="false">IF(OR($A78="",R$4=""),0,COUNTIFS(Formulas!$A$2:$A$1501,R$4,Formulas!$B$2:$B$1501,$A78))</f>
        <v>0</v>
      </c>
      <c r="S78" s="21" t="n">
        <f aca="false">IF(OR($A78="",S$4=""),0,COUNTIFS(Formulas!$A$2:$A$1501,S$4,Formulas!$B$2:$B$1501,$A78))</f>
        <v>0</v>
      </c>
      <c r="T78" s="21" t="n">
        <f aca="false">IF(OR($A78="",T$4=""),0,COUNTIFS(Formulas!$A$2:$A$1501,T$4,Formulas!$B$2:$B$1501,$A78))</f>
        <v>0</v>
      </c>
      <c r="U78" s="21" t="n">
        <f aca="false">IF(OR($A78="",U$4=""),0,COUNTIFS(Formulas!$A$2:$A$1501,U$4,Formulas!$B$2:$B$1501,$A78))</f>
        <v>0</v>
      </c>
      <c r="V78" s="21" t="n">
        <f aca="false">IF(OR($A78="",V$4=""),0,COUNTIFS(Formulas!$A$2:$A$1501,V$4,Formulas!$B$2:$B$1501,$A78))</f>
        <v>0</v>
      </c>
      <c r="W78" s="21" t="n">
        <f aca="false">IF(OR($A78="",W$4=""),0,COUNTIFS(Formulas!$A$2:$A$1501,W$4,Formulas!$B$2:$B$1501,$A78))</f>
        <v>0</v>
      </c>
      <c r="X78" s="21" t="n">
        <f aca="false">IF(OR($A78="",X$4=""),0,COUNTIFS(Formulas!$A$2:$A$1501,X$4,Formulas!$B$2:$B$1501,$A78))</f>
        <v>0</v>
      </c>
      <c r="Y78" s="21" t="n">
        <f aca="false">IF(OR($A78="",Y$4=""),0,COUNTIFS(Formulas!$A$2:$A$1501,Y$4,Formulas!$B$2:$B$1501,$A78))</f>
        <v>0</v>
      </c>
      <c r="Z78" s="21" t="n">
        <f aca="false">IF(OR($A78="",Z$4=""),0,COUNTIFS(Formulas!$A$2:$A$1501,Z$4,Formulas!$B$2:$B$1501,$A78))</f>
        <v>0</v>
      </c>
      <c r="AA78" s="21" t="n">
        <f aca="false">IF(OR($A78="",AA$4=""),0,COUNTIFS(Formulas!$A$2:$A$1501,AA$4,Formulas!$B$2:$B$1501,$A78))</f>
        <v>0</v>
      </c>
      <c r="AB78" s="21" t="n">
        <f aca="false">IF(OR($A78="",AB$4=""),0,COUNTIFS(Formulas!$A$2:$A$1501,AB$4,Formulas!$B$2:$B$1501,$A78))</f>
        <v>0</v>
      </c>
      <c r="AC78" s="21" t="n">
        <f aca="false">IF(OR($A78="",AC$4=""),0,COUNTIFS(Formulas!$A$2:$A$1501,AC$4,Formulas!$B$2:$B$1501,$A78))</f>
        <v>0</v>
      </c>
      <c r="AD78" s="21" t="n">
        <f aca="false">IF(OR($A78="",AD$4=""),0,COUNTIFS(Formulas!$A$2:$A$1501,AD$4,Formulas!$B$2:$B$1501,$A78))</f>
        <v>0</v>
      </c>
      <c r="AE78" s="21" t="n">
        <f aca="false">IF(OR($A78="",AE$4=""),0,COUNTIFS(Formulas!$A$2:$A$1501,AE$4,Formulas!$B$2:$B$1501,$A78))</f>
        <v>0</v>
      </c>
      <c r="AF78" s="21" t="n">
        <f aca="false">IF(OR($A78="",AF$4=""),0,COUNTIFS(Formulas!$A$2:$A$1501,AF$4,Formulas!$B$2:$B$1501,$A78))</f>
        <v>0</v>
      </c>
      <c r="AG78" s="21" t="n">
        <f aca="false">IF(OR($A78="",AG$4=""),0,COUNTIFS(Formulas!$A$2:$A$1501,AG$4,Formulas!$B$2:$B$1501,$A78))</f>
        <v>0</v>
      </c>
      <c r="AH78" s="21" t="n">
        <f aca="false">IF(OR($A78="",AH$4=""),0,COUNTIFS(Formulas!$A$2:$A$1501,AH$4,Formulas!$B$2:$B$1501,$A78))</f>
        <v>0</v>
      </c>
      <c r="AI78" s="21" t="n">
        <f aca="false">IF(OR($A78="",AI$4=""),0,COUNTIFS(Formulas!$A$2:$A$1501,AI$4,Formulas!$B$2:$B$1501,$A78))</f>
        <v>0</v>
      </c>
      <c r="AJ78" s="21" t="n">
        <f aca="false">IF(OR($A78="",AJ$4=""),0,COUNTIFS(Formulas!$A$2:$A$1501,AJ$4,Formulas!$B$2:$B$1501,$A78))</f>
        <v>0</v>
      </c>
      <c r="AK78" s="21" t="n">
        <f aca="false">IF(OR($A78="",AK$4=""),0,COUNTIFS(Formulas!$A$2:$A$1501,AK$4,Formulas!$B$2:$B$1501,$A78))</f>
        <v>0</v>
      </c>
      <c r="AL78" s="21" t="n">
        <f aca="false">IF(OR($A78="",AL$4=""),0,COUNTIFS(Formulas!$A$2:$A$1501,AL$4,Formulas!$B$2:$B$1501,$A78))</f>
        <v>0</v>
      </c>
      <c r="AM78" s="21" t="n">
        <f aca="false">IF(OR($A78="",AM$4=""),0,COUNTIFS(Formulas!$A$2:$A$1501,AM$4,Formulas!$B$2:$B$1501,$A78))</f>
        <v>0</v>
      </c>
      <c r="AN78" s="21" t="n">
        <f aca="false">IF(OR($A78="",AN$4=""),0,COUNTIFS(Formulas!$A$2:$A$1501,AN$4,Formulas!$B$2:$B$1501,$A78))</f>
        <v>0</v>
      </c>
      <c r="AO78" s="21" t="n">
        <f aca="false">IF(OR($A78="",AO$4=""),0,COUNTIFS(Formulas!$A$2:$A$1501,AO$4,Formulas!$B$2:$B$1501,$A78))</f>
        <v>0</v>
      </c>
      <c r="AP78" s="21" t="n">
        <f aca="false">IF(OR($A78="",AP$4=""),0,COUNTIFS(Formulas!$A$2:$A$1501,AP$4,Formulas!$B$2:$B$1501,$A78))</f>
        <v>0</v>
      </c>
      <c r="AQ78" s="21" t="n">
        <f aca="false">IF(OR($A78="",AQ$4=""),0,COUNTIFS(Formulas!$A$2:$A$1501,AQ$4,Formulas!$B$2:$B$1501,$A78))</f>
        <v>0</v>
      </c>
      <c r="AR78" s="21" t="n">
        <f aca="false">IF(OR($A78="",AR$4=""),0,COUNTIFS(Formulas!$A$2:$A$1501,AR$4,Formulas!$B$2:$B$1501,$A78))</f>
        <v>0</v>
      </c>
      <c r="AS78" s="21" t="n">
        <f aca="false">IF(OR($A78="",AS$4=""),0,COUNTIFS(Formulas!$A$2:$A$1501,AS$4,Formulas!$B$2:$B$1501,$A78))</f>
        <v>0</v>
      </c>
      <c r="AT78" s="21" t="n">
        <f aca="false">IF(OR($A78="",AT$4=""),0,COUNTIFS(Formulas!$A$2:$A$1501,AT$4,Formulas!$B$2:$B$1501,$A78))</f>
        <v>0</v>
      </c>
      <c r="AU78" s="21" t="n">
        <f aca="false">IF(OR($A78="",AU$4=""),0,COUNTIFS(Formulas!$A$2:$A$1501,AU$4,Formulas!$B$2:$B$1501,$A78))</f>
        <v>0</v>
      </c>
      <c r="AV78" s="21" t="n">
        <f aca="false">IF(OR($A78="",AV$4=""),0,COUNTIFS(Formulas!$A$2:$A$1501,AV$4,Formulas!$B$2:$B$1501,$A78))</f>
        <v>0</v>
      </c>
      <c r="AW78" s="21" t="n">
        <f aca="false">IF(OR($A78="",AW$4=""),0,COUNTIFS(Formulas!$A$2:$A$1501,AW$4,Formulas!$B$2:$B$1501,$A78))</f>
        <v>0</v>
      </c>
      <c r="AX78" s="21" t="n">
        <f aca="false">IF(OR($A78="",AX$4=""),0,COUNTIFS(Formulas!$A$2:$A$1501,AX$4,Formulas!$B$2:$B$1501,$A78))</f>
        <v>0</v>
      </c>
      <c r="AY78" s="21" t="n">
        <f aca="false">IF(OR($A78="",AY$4=""),0,COUNTIFS(Formulas!$A$2:$A$1501,AY$4,Formulas!$B$2:$B$1501,$A78))</f>
        <v>0</v>
      </c>
      <c r="AZ78" s="21" t="n">
        <f aca="false">IF(OR($A78="",AZ$4=""),0,COUNTIFS(Formulas!$A$2:$A$1501,AZ$4,Formulas!$B$2:$B$1501,$A78))</f>
        <v>0</v>
      </c>
      <c r="BA78" s="21" t="n">
        <f aca="false">IF(OR($A78="",BA$4=""),0,COUNTIFS(Formulas!$A$2:$A$1501,BA$4,Formulas!$B$2:$B$1501,$A78))</f>
        <v>0</v>
      </c>
      <c r="BB78" s="21" t="n">
        <f aca="false">IF(OR($A78="",BB$4=""),0,COUNTIFS(Formulas!$A$2:$A$1501,BB$4,Formulas!$B$2:$B$1501,$A78))</f>
        <v>0</v>
      </c>
      <c r="BC78" s="21" t="n">
        <f aca="false">IF(OR($A78="",BC$4=""),0,COUNTIFS(Formulas!$A$2:$A$1501,BC$4,Formulas!$B$2:$B$1501,$A78))</f>
        <v>0</v>
      </c>
      <c r="BD78" s="21" t="n">
        <f aca="false">IF(OR($A78="",BD$4=""),0,COUNTIFS(Formulas!$A$2:$A$1501,BD$4,Formulas!$B$2:$B$1501,$A78))</f>
        <v>0</v>
      </c>
      <c r="BE78" s="21" t="n">
        <f aca="false">IF(OR($A78="",BE$4=""),0,COUNTIFS(Formulas!$A$2:$A$1501,BE$4,Formulas!$B$2:$B$1501,$A78))</f>
        <v>0</v>
      </c>
      <c r="BF78" s="21" t="n">
        <f aca="false">IF(OR($A78="",BF$4=""),0,COUNTIFS(Formulas!$A$2:$A$1501,BF$4,Formulas!$B$2:$B$1501,$A78))</f>
        <v>0</v>
      </c>
      <c r="BG78" s="21" t="n">
        <f aca="false">IF(OR($A78="",BG$4=""),0,COUNTIFS(Formulas!$A$2:$A$1501,BG$4,Formulas!$B$2:$B$1501,$A78))</f>
        <v>0</v>
      </c>
      <c r="BH78" s="21" t="n">
        <f aca="false">IF(OR($A78="",BH$4=""),0,COUNTIFS(Formulas!$A$2:$A$1501,BH$4,Formulas!$B$2:$B$1501,$A78))</f>
        <v>0</v>
      </c>
      <c r="BI78" s="21" t="n">
        <f aca="false">IF(OR($A78="",BI$4=""),0,COUNTIFS(Formulas!$A$2:$A$1501,BI$4,Formulas!$B$2:$B$1501,$A78))</f>
        <v>0</v>
      </c>
      <c r="BJ78" s="21" t="n">
        <f aca="false">IF(OR($A78="",BJ$4=""),0,COUNTIFS(Formulas!$A$2:$A$1501,BJ$4,Formulas!$B$2:$B$1501,$A78))</f>
        <v>0</v>
      </c>
    </row>
    <row r="79" customFormat="false" ht="15" hidden="false" customHeight="false" outlineLevel="0" collapsed="false">
      <c r="A79" s="13" t="str">
        <f aca="false">IF(INDEX(Materials!$A$2:$A$201,75)="","",INDEX(Materials!$A$2:$A$201,75))</f>
        <v/>
      </c>
      <c r="B79" s="19" t="str">
        <f aca="false">IF(A79="","",COUNTIF(C79:BJ79,"&gt;0"))</f>
        <v/>
      </c>
      <c r="C79" s="21" t="n">
        <f aca="false">IF(OR($A79="",C$4=""),0,COUNTIFS(Formulas!$A$2:$A$1501,C$4,Formulas!$B$2:$B$1501,$A79))</f>
        <v>0</v>
      </c>
      <c r="D79" s="21" t="n">
        <f aca="false">IF(OR($A79="",D$4=""),0,COUNTIFS(Formulas!$A$2:$A$1501,D$4,Formulas!$B$2:$B$1501,$A79))</f>
        <v>0</v>
      </c>
      <c r="E79" s="21" t="n">
        <f aca="false">IF(OR($A79="",E$4=""),0,COUNTIFS(Formulas!$A$2:$A$1501,E$4,Formulas!$B$2:$B$1501,$A79))</f>
        <v>0</v>
      </c>
      <c r="F79" s="21" t="n">
        <f aca="false">IF(OR($A79="",F$4=""),0,COUNTIFS(Formulas!$A$2:$A$1501,F$4,Formulas!$B$2:$B$1501,$A79))</f>
        <v>0</v>
      </c>
      <c r="G79" s="21" t="n">
        <f aca="false">IF(OR($A79="",G$4=""),0,COUNTIFS(Formulas!$A$2:$A$1501,G$4,Formulas!$B$2:$B$1501,$A79))</f>
        <v>0</v>
      </c>
      <c r="H79" s="21" t="n">
        <f aca="false">IF(OR($A79="",H$4=""),0,COUNTIFS(Formulas!$A$2:$A$1501,H$4,Formulas!$B$2:$B$1501,$A79))</f>
        <v>0</v>
      </c>
      <c r="I79" s="21" t="n">
        <f aca="false">IF(OR($A79="",I$4=""),0,COUNTIFS(Formulas!$A$2:$A$1501,I$4,Formulas!$B$2:$B$1501,$A79))</f>
        <v>0</v>
      </c>
      <c r="J79" s="21" t="n">
        <f aca="false">IF(OR($A79="",J$4=""),0,COUNTIFS(Formulas!$A$2:$A$1501,J$4,Formulas!$B$2:$B$1501,$A79))</f>
        <v>0</v>
      </c>
      <c r="K79" s="21" t="n">
        <f aca="false">IF(OR($A79="",K$4=""),0,COUNTIFS(Formulas!$A$2:$A$1501,K$4,Formulas!$B$2:$B$1501,$A79))</f>
        <v>0</v>
      </c>
      <c r="L79" s="21" t="n">
        <f aca="false">IF(OR($A79="",L$4=""),0,COUNTIFS(Formulas!$A$2:$A$1501,L$4,Formulas!$B$2:$B$1501,$A79))</f>
        <v>0</v>
      </c>
      <c r="M79" s="21" t="n">
        <f aca="false">IF(OR($A79="",M$4=""),0,COUNTIFS(Formulas!$A$2:$A$1501,M$4,Formulas!$B$2:$B$1501,$A79))</f>
        <v>0</v>
      </c>
      <c r="N79" s="21" t="n">
        <f aca="false">IF(OR($A79="",N$4=""),0,COUNTIFS(Formulas!$A$2:$A$1501,N$4,Formulas!$B$2:$B$1501,$A79))</f>
        <v>0</v>
      </c>
      <c r="O79" s="21" t="n">
        <f aca="false">IF(OR($A79="",O$4=""),0,COUNTIFS(Formulas!$A$2:$A$1501,O$4,Formulas!$B$2:$B$1501,$A79))</f>
        <v>0</v>
      </c>
      <c r="P79" s="21" t="n">
        <f aca="false">IF(OR($A79="",P$4=""),0,COUNTIFS(Formulas!$A$2:$A$1501,P$4,Formulas!$B$2:$B$1501,$A79))</f>
        <v>0</v>
      </c>
      <c r="Q79" s="21" t="n">
        <f aca="false">IF(OR($A79="",Q$4=""),0,COUNTIFS(Formulas!$A$2:$A$1501,Q$4,Formulas!$B$2:$B$1501,$A79))</f>
        <v>0</v>
      </c>
      <c r="R79" s="21" t="n">
        <f aca="false">IF(OR($A79="",R$4=""),0,COUNTIFS(Formulas!$A$2:$A$1501,R$4,Formulas!$B$2:$B$1501,$A79))</f>
        <v>0</v>
      </c>
      <c r="S79" s="21" t="n">
        <f aca="false">IF(OR($A79="",S$4=""),0,COUNTIFS(Formulas!$A$2:$A$1501,S$4,Formulas!$B$2:$B$1501,$A79))</f>
        <v>0</v>
      </c>
      <c r="T79" s="21" t="n">
        <f aca="false">IF(OR($A79="",T$4=""),0,COUNTIFS(Formulas!$A$2:$A$1501,T$4,Formulas!$B$2:$B$1501,$A79))</f>
        <v>0</v>
      </c>
      <c r="U79" s="21" t="n">
        <f aca="false">IF(OR($A79="",U$4=""),0,COUNTIFS(Formulas!$A$2:$A$1501,U$4,Formulas!$B$2:$B$1501,$A79))</f>
        <v>0</v>
      </c>
      <c r="V79" s="21" t="n">
        <f aca="false">IF(OR($A79="",V$4=""),0,COUNTIFS(Formulas!$A$2:$A$1501,V$4,Formulas!$B$2:$B$1501,$A79))</f>
        <v>0</v>
      </c>
      <c r="W79" s="21" t="n">
        <f aca="false">IF(OR($A79="",W$4=""),0,COUNTIFS(Formulas!$A$2:$A$1501,W$4,Formulas!$B$2:$B$1501,$A79))</f>
        <v>0</v>
      </c>
      <c r="X79" s="21" t="n">
        <f aca="false">IF(OR($A79="",X$4=""),0,COUNTIFS(Formulas!$A$2:$A$1501,X$4,Formulas!$B$2:$B$1501,$A79))</f>
        <v>0</v>
      </c>
      <c r="Y79" s="21" t="n">
        <f aca="false">IF(OR($A79="",Y$4=""),0,COUNTIFS(Formulas!$A$2:$A$1501,Y$4,Formulas!$B$2:$B$1501,$A79))</f>
        <v>0</v>
      </c>
      <c r="Z79" s="21" t="n">
        <f aca="false">IF(OR($A79="",Z$4=""),0,COUNTIFS(Formulas!$A$2:$A$1501,Z$4,Formulas!$B$2:$B$1501,$A79))</f>
        <v>0</v>
      </c>
      <c r="AA79" s="21" t="n">
        <f aca="false">IF(OR($A79="",AA$4=""),0,COUNTIFS(Formulas!$A$2:$A$1501,AA$4,Formulas!$B$2:$B$1501,$A79))</f>
        <v>0</v>
      </c>
      <c r="AB79" s="21" t="n">
        <f aca="false">IF(OR($A79="",AB$4=""),0,COUNTIFS(Formulas!$A$2:$A$1501,AB$4,Formulas!$B$2:$B$1501,$A79))</f>
        <v>0</v>
      </c>
      <c r="AC79" s="21" t="n">
        <f aca="false">IF(OR($A79="",AC$4=""),0,COUNTIFS(Formulas!$A$2:$A$1501,AC$4,Formulas!$B$2:$B$1501,$A79))</f>
        <v>0</v>
      </c>
      <c r="AD79" s="21" t="n">
        <f aca="false">IF(OR($A79="",AD$4=""),0,COUNTIFS(Formulas!$A$2:$A$1501,AD$4,Formulas!$B$2:$B$1501,$A79))</f>
        <v>0</v>
      </c>
      <c r="AE79" s="21" t="n">
        <f aca="false">IF(OR($A79="",AE$4=""),0,COUNTIFS(Formulas!$A$2:$A$1501,AE$4,Formulas!$B$2:$B$1501,$A79))</f>
        <v>0</v>
      </c>
      <c r="AF79" s="21" t="n">
        <f aca="false">IF(OR($A79="",AF$4=""),0,COUNTIFS(Formulas!$A$2:$A$1501,AF$4,Formulas!$B$2:$B$1501,$A79))</f>
        <v>0</v>
      </c>
      <c r="AG79" s="21" t="n">
        <f aca="false">IF(OR($A79="",AG$4=""),0,COUNTIFS(Formulas!$A$2:$A$1501,AG$4,Formulas!$B$2:$B$1501,$A79))</f>
        <v>0</v>
      </c>
      <c r="AH79" s="21" t="n">
        <f aca="false">IF(OR($A79="",AH$4=""),0,COUNTIFS(Formulas!$A$2:$A$1501,AH$4,Formulas!$B$2:$B$1501,$A79))</f>
        <v>0</v>
      </c>
      <c r="AI79" s="21" t="n">
        <f aca="false">IF(OR($A79="",AI$4=""),0,COUNTIFS(Formulas!$A$2:$A$1501,AI$4,Formulas!$B$2:$B$1501,$A79))</f>
        <v>0</v>
      </c>
      <c r="AJ79" s="21" t="n">
        <f aca="false">IF(OR($A79="",AJ$4=""),0,COUNTIFS(Formulas!$A$2:$A$1501,AJ$4,Formulas!$B$2:$B$1501,$A79))</f>
        <v>0</v>
      </c>
      <c r="AK79" s="21" t="n">
        <f aca="false">IF(OR($A79="",AK$4=""),0,COUNTIFS(Formulas!$A$2:$A$1501,AK$4,Formulas!$B$2:$B$1501,$A79))</f>
        <v>0</v>
      </c>
      <c r="AL79" s="21" t="n">
        <f aca="false">IF(OR($A79="",AL$4=""),0,COUNTIFS(Formulas!$A$2:$A$1501,AL$4,Formulas!$B$2:$B$1501,$A79))</f>
        <v>0</v>
      </c>
      <c r="AM79" s="21" t="n">
        <f aca="false">IF(OR($A79="",AM$4=""),0,COUNTIFS(Formulas!$A$2:$A$1501,AM$4,Formulas!$B$2:$B$1501,$A79))</f>
        <v>0</v>
      </c>
      <c r="AN79" s="21" t="n">
        <f aca="false">IF(OR($A79="",AN$4=""),0,COUNTIFS(Formulas!$A$2:$A$1501,AN$4,Formulas!$B$2:$B$1501,$A79))</f>
        <v>0</v>
      </c>
      <c r="AO79" s="21" t="n">
        <f aca="false">IF(OR($A79="",AO$4=""),0,COUNTIFS(Formulas!$A$2:$A$1501,AO$4,Formulas!$B$2:$B$1501,$A79))</f>
        <v>0</v>
      </c>
      <c r="AP79" s="21" t="n">
        <f aca="false">IF(OR($A79="",AP$4=""),0,COUNTIFS(Formulas!$A$2:$A$1501,AP$4,Formulas!$B$2:$B$1501,$A79))</f>
        <v>0</v>
      </c>
      <c r="AQ79" s="21" t="n">
        <f aca="false">IF(OR($A79="",AQ$4=""),0,COUNTIFS(Formulas!$A$2:$A$1501,AQ$4,Formulas!$B$2:$B$1501,$A79))</f>
        <v>0</v>
      </c>
      <c r="AR79" s="21" t="n">
        <f aca="false">IF(OR($A79="",AR$4=""),0,COUNTIFS(Formulas!$A$2:$A$1501,AR$4,Formulas!$B$2:$B$1501,$A79))</f>
        <v>0</v>
      </c>
      <c r="AS79" s="21" t="n">
        <f aca="false">IF(OR($A79="",AS$4=""),0,COUNTIFS(Formulas!$A$2:$A$1501,AS$4,Formulas!$B$2:$B$1501,$A79))</f>
        <v>0</v>
      </c>
      <c r="AT79" s="21" t="n">
        <f aca="false">IF(OR($A79="",AT$4=""),0,COUNTIFS(Formulas!$A$2:$A$1501,AT$4,Formulas!$B$2:$B$1501,$A79))</f>
        <v>0</v>
      </c>
      <c r="AU79" s="21" t="n">
        <f aca="false">IF(OR($A79="",AU$4=""),0,COUNTIFS(Formulas!$A$2:$A$1501,AU$4,Formulas!$B$2:$B$1501,$A79))</f>
        <v>0</v>
      </c>
      <c r="AV79" s="21" t="n">
        <f aca="false">IF(OR($A79="",AV$4=""),0,COUNTIFS(Formulas!$A$2:$A$1501,AV$4,Formulas!$B$2:$B$1501,$A79))</f>
        <v>0</v>
      </c>
      <c r="AW79" s="21" t="n">
        <f aca="false">IF(OR($A79="",AW$4=""),0,COUNTIFS(Formulas!$A$2:$A$1501,AW$4,Formulas!$B$2:$B$1501,$A79))</f>
        <v>0</v>
      </c>
      <c r="AX79" s="21" t="n">
        <f aca="false">IF(OR($A79="",AX$4=""),0,COUNTIFS(Formulas!$A$2:$A$1501,AX$4,Formulas!$B$2:$B$1501,$A79))</f>
        <v>0</v>
      </c>
      <c r="AY79" s="21" t="n">
        <f aca="false">IF(OR($A79="",AY$4=""),0,COUNTIFS(Formulas!$A$2:$A$1501,AY$4,Formulas!$B$2:$B$1501,$A79))</f>
        <v>0</v>
      </c>
      <c r="AZ79" s="21" t="n">
        <f aca="false">IF(OR($A79="",AZ$4=""),0,COUNTIFS(Formulas!$A$2:$A$1501,AZ$4,Formulas!$B$2:$B$1501,$A79))</f>
        <v>0</v>
      </c>
      <c r="BA79" s="21" t="n">
        <f aca="false">IF(OR($A79="",BA$4=""),0,COUNTIFS(Formulas!$A$2:$A$1501,BA$4,Formulas!$B$2:$B$1501,$A79))</f>
        <v>0</v>
      </c>
      <c r="BB79" s="21" t="n">
        <f aca="false">IF(OR($A79="",BB$4=""),0,COUNTIFS(Formulas!$A$2:$A$1501,BB$4,Formulas!$B$2:$B$1501,$A79))</f>
        <v>0</v>
      </c>
      <c r="BC79" s="21" t="n">
        <f aca="false">IF(OR($A79="",BC$4=""),0,COUNTIFS(Formulas!$A$2:$A$1501,BC$4,Formulas!$B$2:$B$1501,$A79))</f>
        <v>0</v>
      </c>
      <c r="BD79" s="21" t="n">
        <f aca="false">IF(OR($A79="",BD$4=""),0,COUNTIFS(Formulas!$A$2:$A$1501,BD$4,Formulas!$B$2:$B$1501,$A79))</f>
        <v>0</v>
      </c>
      <c r="BE79" s="21" t="n">
        <f aca="false">IF(OR($A79="",BE$4=""),0,COUNTIFS(Formulas!$A$2:$A$1501,BE$4,Formulas!$B$2:$B$1501,$A79))</f>
        <v>0</v>
      </c>
      <c r="BF79" s="21" t="n">
        <f aca="false">IF(OR($A79="",BF$4=""),0,COUNTIFS(Formulas!$A$2:$A$1501,BF$4,Formulas!$B$2:$B$1501,$A79))</f>
        <v>0</v>
      </c>
      <c r="BG79" s="21" t="n">
        <f aca="false">IF(OR($A79="",BG$4=""),0,COUNTIFS(Formulas!$A$2:$A$1501,BG$4,Formulas!$B$2:$B$1501,$A79))</f>
        <v>0</v>
      </c>
      <c r="BH79" s="21" t="n">
        <f aca="false">IF(OR($A79="",BH$4=""),0,COUNTIFS(Formulas!$A$2:$A$1501,BH$4,Formulas!$B$2:$B$1501,$A79))</f>
        <v>0</v>
      </c>
      <c r="BI79" s="21" t="n">
        <f aca="false">IF(OR($A79="",BI$4=""),0,COUNTIFS(Formulas!$A$2:$A$1501,BI$4,Formulas!$B$2:$B$1501,$A79))</f>
        <v>0</v>
      </c>
      <c r="BJ79" s="21" t="n">
        <f aca="false">IF(OR($A79="",BJ$4=""),0,COUNTIFS(Formulas!$A$2:$A$1501,BJ$4,Formulas!$B$2:$B$1501,$A79))</f>
        <v>0</v>
      </c>
    </row>
    <row r="80" customFormat="false" ht="15" hidden="false" customHeight="false" outlineLevel="0" collapsed="false">
      <c r="A80" s="13" t="str">
        <f aca="false">IF(INDEX(Materials!$A$2:$A$201,76)="","",INDEX(Materials!$A$2:$A$201,76))</f>
        <v/>
      </c>
      <c r="B80" s="19" t="str">
        <f aca="false">IF(A80="","",COUNTIF(C80:BJ80,"&gt;0"))</f>
        <v/>
      </c>
      <c r="C80" s="21" t="n">
        <f aca="false">IF(OR($A80="",C$4=""),0,COUNTIFS(Formulas!$A$2:$A$1501,C$4,Formulas!$B$2:$B$1501,$A80))</f>
        <v>0</v>
      </c>
      <c r="D80" s="21" t="n">
        <f aca="false">IF(OR($A80="",D$4=""),0,COUNTIFS(Formulas!$A$2:$A$1501,D$4,Formulas!$B$2:$B$1501,$A80))</f>
        <v>0</v>
      </c>
      <c r="E80" s="21" t="n">
        <f aca="false">IF(OR($A80="",E$4=""),0,COUNTIFS(Formulas!$A$2:$A$1501,E$4,Formulas!$B$2:$B$1501,$A80))</f>
        <v>0</v>
      </c>
      <c r="F80" s="21" t="n">
        <f aca="false">IF(OR($A80="",F$4=""),0,COUNTIFS(Formulas!$A$2:$A$1501,F$4,Formulas!$B$2:$B$1501,$A80))</f>
        <v>0</v>
      </c>
      <c r="G80" s="21" t="n">
        <f aca="false">IF(OR($A80="",G$4=""),0,COUNTIFS(Formulas!$A$2:$A$1501,G$4,Formulas!$B$2:$B$1501,$A80))</f>
        <v>0</v>
      </c>
      <c r="H80" s="21" t="n">
        <f aca="false">IF(OR($A80="",H$4=""),0,COUNTIFS(Formulas!$A$2:$A$1501,H$4,Formulas!$B$2:$B$1501,$A80))</f>
        <v>0</v>
      </c>
      <c r="I80" s="21" t="n">
        <f aca="false">IF(OR($A80="",I$4=""),0,COUNTIFS(Formulas!$A$2:$A$1501,I$4,Formulas!$B$2:$B$1501,$A80))</f>
        <v>0</v>
      </c>
      <c r="J80" s="21" t="n">
        <f aca="false">IF(OR($A80="",J$4=""),0,COUNTIFS(Formulas!$A$2:$A$1501,J$4,Formulas!$B$2:$B$1501,$A80))</f>
        <v>0</v>
      </c>
      <c r="K80" s="21" t="n">
        <f aca="false">IF(OR($A80="",K$4=""),0,COUNTIFS(Formulas!$A$2:$A$1501,K$4,Formulas!$B$2:$B$1501,$A80))</f>
        <v>0</v>
      </c>
      <c r="L80" s="21" t="n">
        <f aca="false">IF(OR($A80="",L$4=""),0,COUNTIFS(Formulas!$A$2:$A$1501,L$4,Formulas!$B$2:$B$1501,$A80))</f>
        <v>0</v>
      </c>
      <c r="M80" s="21" t="n">
        <f aca="false">IF(OR($A80="",M$4=""),0,COUNTIFS(Formulas!$A$2:$A$1501,M$4,Formulas!$B$2:$B$1501,$A80))</f>
        <v>0</v>
      </c>
      <c r="N80" s="21" t="n">
        <f aca="false">IF(OR($A80="",N$4=""),0,COUNTIFS(Formulas!$A$2:$A$1501,N$4,Formulas!$B$2:$B$1501,$A80))</f>
        <v>0</v>
      </c>
      <c r="O80" s="21" t="n">
        <f aca="false">IF(OR($A80="",O$4=""),0,COUNTIFS(Formulas!$A$2:$A$1501,O$4,Formulas!$B$2:$B$1501,$A80))</f>
        <v>0</v>
      </c>
      <c r="P80" s="21" t="n">
        <f aca="false">IF(OR($A80="",P$4=""),0,COUNTIFS(Formulas!$A$2:$A$1501,P$4,Formulas!$B$2:$B$1501,$A80))</f>
        <v>0</v>
      </c>
      <c r="Q80" s="21" t="n">
        <f aca="false">IF(OR($A80="",Q$4=""),0,COUNTIFS(Formulas!$A$2:$A$1501,Q$4,Formulas!$B$2:$B$1501,$A80))</f>
        <v>0</v>
      </c>
      <c r="R80" s="21" t="n">
        <f aca="false">IF(OR($A80="",R$4=""),0,COUNTIFS(Formulas!$A$2:$A$1501,R$4,Formulas!$B$2:$B$1501,$A80))</f>
        <v>0</v>
      </c>
      <c r="S80" s="21" t="n">
        <f aca="false">IF(OR($A80="",S$4=""),0,COUNTIFS(Formulas!$A$2:$A$1501,S$4,Formulas!$B$2:$B$1501,$A80))</f>
        <v>0</v>
      </c>
      <c r="T80" s="21" t="n">
        <f aca="false">IF(OR($A80="",T$4=""),0,COUNTIFS(Formulas!$A$2:$A$1501,T$4,Formulas!$B$2:$B$1501,$A80))</f>
        <v>0</v>
      </c>
      <c r="U80" s="21" t="n">
        <f aca="false">IF(OR($A80="",U$4=""),0,COUNTIFS(Formulas!$A$2:$A$1501,U$4,Formulas!$B$2:$B$1501,$A80))</f>
        <v>0</v>
      </c>
      <c r="V80" s="21" t="n">
        <f aca="false">IF(OR($A80="",V$4=""),0,COUNTIFS(Formulas!$A$2:$A$1501,V$4,Formulas!$B$2:$B$1501,$A80))</f>
        <v>0</v>
      </c>
      <c r="W80" s="21" t="n">
        <f aca="false">IF(OR($A80="",W$4=""),0,COUNTIFS(Formulas!$A$2:$A$1501,W$4,Formulas!$B$2:$B$1501,$A80))</f>
        <v>0</v>
      </c>
      <c r="X80" s="21" t="n">
        <f aca="false">IF(OR($A80="",X$4=""),0,COUNTIFS(Formulas!$A$2:$A$1501,X$4,Formulas!$B$2:$B$1501,$A80))</f>
        <v>0</v>
      </c>
      <c r="Y80" s="21" t="n">
        <f aca="false">IF(OR($A80="",Y$4=""),0,COUNTIFS(Formulas!$A$2:$A$1501,Y$4,Formulas!$B$2:$B$1501,$A80))</f>
        <v>0</v>
      </c>
      <c r="Z80" s="21" t="n">
        <f aca="false">IF(OR($A80="",Z$4=""),0,COUNTIFS(Formulas!$A$2:$A$1501,Z$4,Formulas!$B$2:$B$1501,$A80))</f>
        <v>0</v>
      </c>
      <c r="AA80" s="21" t="n">
        <f aca="false">IF(OR($A80="",AA$4=""),0,COUNTIFS(Formulas!$A$2:$A$1501,AA$4,Formulas!$B$2:$B$1501,$A80))</f>
        <v>0</v>
      </c>
      <c r="AB80" s="21" t="n">
        <f aca="false">IF(OR($A80="",AB$4=""),0,COUNTIFS(Formulas!$A$2:$A$1501,AB$4,Formulas!$B$2:$B$1501,$A80))</f>
        <v>0</v>
      </c>
      <c r="AC80" s="21" t="n">
        <f aca="false">IF(OR($A80="",AC$4=""),0,COUNTIFS(Formulas!$A$2:$A$1501,AC$4,Formulas!$B$2:$B$1501,$A80))</f>
        <v>0</v>
      </c>
      <c r="AD80" s="21" t="n">
        <f aca="false">IF(OR($A80="",AD$4=""),0,COUNTIFS(Formulas!$A$2:$A$1501,AD$4,Formulas!$B$2:$B$1501,$A80))</f>
        <v>0</v>
      </c>
      <c r="AE80" s="21" t="n">
        <f aca="false">IF(OR($A80="",AE$4=""),0,COUNTIFS(Formulas!$A$2:$A$1501,AE$4,Formulas!$B$2:$B$1501,$A80))</f>
        <v>0</v>
      </c>
      <c r="AF80" s="21" t="n">
        <f aca="false">IF(OR($A80="",AF$4=""),0,COUNTIFS(Formulas!$A$2:$A$1501,AF$4,Formulas!$B$2:$B$1501,$A80))</f>
        <v>0</v>
      </c>
      <c r="AG80" s="21" t="n">
        <f aca="false">IF(OR($A80="",AG$4=""),0,COUNTIFS(Formulas!$A$2:$A$1501,AG$4,Formulas!$B$2:$B$1501,$A80))</f>
        <v>0</v>
      </c>
      <c r="AH80" s="21" t="n">
        <f aca="false">IF(OR($A80="",AH$4=""),0,COUNTIFS(Formulas!$A$2:$A$1501,AH$4,Formulas!$B$2:$B$1501,$A80))</f>
        <v>0</v>
      </c>
      <c r="AI80" s="21" t="n">
        <f aca="false">IF(OR($A80="",AI$4=""),0,COUNTIFS(Formulas!$A$2:$A$1501,AI$4,Formulas!$B$2:$B$1501,$A80))</f>
        <v>0</v>
      </c>
      <c r="AJ80" s="21" t="n">
        <f aca="false">IF(OR($A80="",AJ$4=""),0,COUNTIFS(Formulas!$A$2:$A$1501,AJ$4,Formulas!$B$2:$B$1501,$A80))</f>
        <v>0</v>
      </c>
      <c r="AK80" s="21" t="n">
        <f aca="false">IF(OR($A80="",AK$4=""),0,COUNTIFS(Formulas!$A$2:$A$1501,AK$4,Formulas!$B$2:$B$1501,$A80))</f>
        <v>0</v>
      </c>
      <c r="AL80" s="21" t="n">
        <f aca="false">IF(OR($A80="",AL$4=""),0,COUNTIFS(Formulas!$A$2:$A$1501,AL$4,Formulas!$B$2:$B$1501,$A80))</f>
        <v>0</v>
      </c>
      <c r="AM80" s="21" t="n">
        <f aca="false">IF(OR($A80="",AM$4=""),0,COUNTIFS(Formulas!$A$2:$A$1501,AM$4,Formulas!$B$2:$B$1501,$A80))</f>
        <v>0</v>
      </c>
      <c r="AN80" s="21" t="n">
        <f aca="false">IF(OR($A80="",AN$4=""),0,COUNTIFS(Formulas!$A$2:$A$1501,AN$4,Formulas!$B$2:$B$1501,$A80))</f>
        <v>0</v>
      </c>
      <c r="AO80" s="21" t="n">
        <f aca="false">IF(OR($A80="",AO$4=""),0,COUNTIFS(Formulas!$A$2:$A$1501,AO$4,Formulas!$B$2:$B$1501,$A80))</f>
        <v>0</v>
      </c>
      <c r="AP80" s="21" t="n">
        <f aca="false">IF(OR($A80="",AP$4=""),0,COUNTIFS(Formulas!$A$2:$A$1501,AP$4,Formulas!$B$2:$B$1501,$A80))</f>
        <v>0</v>
      </c>
      <c r="AQ80" s="21" t="n">
        <f aca="false">IF(OR($A80="",AQ$4=""),0,COUNTIFS(Formulas!$A$2:$A$1501,AQ$4,Formulas!$B$2:$B$1501,$A80))</f>
        <v>0</v>
      </c>
      <c r="AR80" s="21" t="n">
        <f aca="false">IF(OR($A80="",AR$4=""),0,COUNTIFS(Formulas!$A$2:$A$1501,AR$4,Formulas!$B$2:$B$1501,$A80))</f>
        <v>0</v>
      </c>
      <c r="AS80" s="21" t="n">
        <f aca="false">IF(OR($A80="",AS$4=""),0,COUNTIFS(Formulas!$A$2:$A$1501,AS$4,Formulas!$B$2:$B$1501,$A80))</f>
        <v>0</v>
      </c>
      <c r="AT80" s="21" t="n">
        <f aca="false">IF(OR($A80="",AT$4=""),0,COUNTIFS(Formulas!$A$2:$A$1501,AT$4,Formulas!$B$2:$B$1501,$A80))</f>
        <v>0</v>
      </c>
      <c r="AU80" s="21" t="n">
        <f aca="false">IF(OR($A80="",AU$4=""),0,COUNTIFS(Formulas!$A$2:$A$1501,AU$4,Formulas!$B$2:$B$1501,$A80))</f>
        <v>0</v>
      </c>
      <c r="AV80" s="21" t="n">
        <f aca="false">IF(OR($A80="",AV$4=""),0,COUNTIFS(Formulas!$A$2:$A$1501,AV$4,Formulas!$B$2:$B$1501,$A80))</f>
        <v>0</v>
      </c>
      <c r="AW80" s="21" t="n">
        <f aca="false">IF(OR($A80="",AW$4=""),0,COUNTIFS(Formulas!$A$2:$A$1501,AW$4,Formulas!$B$2:$B$1501,$A80))</f>
        <v>0</v>
      </c>
      <c r="AX80" s="21" t="n">
        <f aca="false">IF(OR($A80="",AX$4=""),0,COUNTIFS(Formulas!$A$2:$A$1501,AX$4,Formulas!$B$2:$B$1501,$A80))</f>
        <v>0</v>
      </c>
      <c r="AY80" s="21" t="n">
        <f aca="false">IF(OR($A80="",AY$4=""),0,COUNTIFS(Formulas!$A$2:$A$1501,AY$4,Formulas!$B$2:$B$1501,$A80))</f>
        <v>0</v>
      </c>
      <c r="AZ80" s="21" t="n">
        <f aca="false">IF(OR($A80="",AZ$4=""),0,COUNTIFS(Formulas!$A$2:$A$1501,AZ$4,Formulas!$B$2:$B$1501,$A80))</f>
        <v>0</v>
      </c>
      <c r="BA80" s="21" t="n">
        <f aca="false">IF(OR($A80="",BA$4=""),0,COUNTIFS(Formulas!$A$2:$A$1501,BA$4,Formulas!$B$2:$B$1501,$A80))</f>
        <v>0</v>
      </c>
      <c r="BB80" s="21" t="n">
        <f aca="false">IF(OR($A80="",BB$4=""),0,COUNTIFS(Formulas!$A$2:$A$1501,BB$4,Formulas!$B$2:$B$1501,$A80))</f>
        <v>0</v>
      </c>
      <c r="BC80" s="21" t="n">
        <f aca="false">IF(OR($A80="",BC$4=""),0,COUNTIFS(Formulas!$A$2:$A$1501,BC$4,Formulas!$B$2:$B$1501,$A80))</f>
        <v>0</v>
      </c>
      <c r="BD80" s="21" t="n">
        <f aca="false">IF(OR($A80="",BD$4=""),0,COUNTIFS(Formulas!$A$2:$A$1501,BD$4,Formulas!$B$2:$B$1501,$A80))</f>
        <v>0</v>
      </c>
      <c r="BE80" s="21" t="n">
        <f aca="false">IF(OR($A80="",BE$4=""),0,COUNTIFS(Formulas!$A$2:$A$1501,BE$4,Formulas!$B$2:$B$1501,$A80))</f>
        <v>0</v>
      </c>
      <c r="BF80" s="21" t="n">
        <f aca="false">IF(OR($A80="",BF$4=""),0,COUNTIFS(Formulas!$A$2:$A$1501,BF$4,Formulas!$B$2:$B$1501,$A80))</f>
        <v>0</v>
      </c>
      <c r="BG80" s="21" t="n">
        <f aca="false">IF(OR($A80="",BG$4=""),0,COUNTIFS(Formulas!$A$2:$A$1501,BG$4,Formulas!$B$2:$B$1501,$A80))</f>
        <v>0</v>
      </c>
      <c r="BH80" s="21" t="n">
        <f aca="false">IF(OR($A80="",BH$4=""),0,COUNTIFS(Formulas!$A$2:$A$1501,BH$4,Formulas!$B$2:$B$1501,$A80))</f>
        <v>0</v>
      </c>
      <c r="BI80" s="21" t="n">
        <f aca="false">IF(OR($A80="",BI$4=""),0,COUNTIFS(Formulas!$A$2:$A$1501,BI$4,Formulas!$B$2:$B$1501,$A80))</f>
        <v>0</v>
      </c>
      <c r="BJ80" s="21" t="n">
        <f aca="false">IF(OR($A80="",BJ$4=""),0,COUNTIFS(Formulas!$A$2:$A$1501,BJ$4,Formulas!$B$2:$B$1501,$A80))</f>
        <v>0</v>
      </c>
    </row>
    <row r="81" customFormat="false" ht="15" hidden="false" customHeight="false" outlineLevel="0" collapsed="false">
      <c r="A81" s="13" t="str">
        <f aca="false">IF(INDEX(Materials!$A$2:$A$201,77)="","",INDEX(Materials!$A$2:$A$201,77))</f>
        <v/>
      </c>
      <c r="B81" s="19" t="str">
        <f aca="false">IF(A81="","",COUNTIF(C81:BJ81,"&gt;0"))</f>
        <v/>
      </c>
      <c r="C81" s="21" t="n">
        <f aca="false">IF(OR($A81="",C$4=""),0,COUNTIFS(Formulas!$A$2:$A$1501,C$4,Formulas!$B$2:$B$1501,$A81))</f>
        <v>0</v>
      </c>
      <c r="D81" s="21" t="n">
        <f aca="false">IF(OR($A81="",D$4=""),0,COUNTIFS(Formulas!$A$2:$A$1501,D$4,Formulas!$B$2:$B$1501,$A81))</f>
        <v>0</v>
      </c>
      <c r="E81" s="21" t="n">
        <f aca="false">IF(OR($A81="",E$4=""),0,COUNTIFS(Formulas!$A$2:$A$1501,E$4,Formulas!$B$2:$B$1501,$A81))</f>
        <v>0</v>
      </c>
      <c r="F81" s="21" t="n">
        <f aca="false">IF(OR($A81="",F$4=""),0,COUNTIFS(Formulas!$A$2:$A$1501,F$4,Formulas!$B$2:$B$1501,$A81))</f>
        <v>0</v>
      </c>
      <c r="G81" s="21" t="n">
        <f aca="false">IF(OR($A81="",G$4=""),0,COUNTIFS(Formulas!$A$2:$A$1501,G$4,Formulas!$B$2:$B$1501,$A81))</f>
        <v>0</v>
      </c>
      <c r="H81" s="21" t="n">
        <f aca="false">IF(OR($A81="",H$4=""),0,COUNTIFS(Formulas!$A$2:$A$1501,H$4,Formulas!$B$2:$B$1501,$A81))</f>
        <v>0</v>
      </c>
      <c r="I81" s="21" t="n">
        <f aca="false">IF(OR($A81="",I$4=""),0,COUNTIFS(Formulas!$A$2:$A$1501,I$4,Formulas!$B$2:$B$1501,$A81))</f>
        <v>0</v>
      </c>
      <c r="J81" s="21" t="n">
        <f aca="false">IF(OR($A81="",J$4=""),0,COUNTIFS(Formulas!$A$2:$A$1501,J$4,Formulas!$B$2:$B$1501,$A81))</f>
        <v>0</v>
      </c>
      <c r="K81" s="21" t="n">
        <f aca="false">IF(OR($A81="",K$4=""),0,COUNTIFS(Formulas!$A$2:$A$1501,K$4,Formulas!$B$2:$B$1501,$A81))</f>
        <v>0</v>
      </c>
      <c r="L81" s="21" t="n">
        <f aca="false">IF(OR($A81="",L$4=""),0,COUNTIFS(Formulas!$A$2:$A$1501,L$4,Formulas!$B$2:$B$1501,$A81))</f>
        <v>0</v>
      </c>
      <c r="M81" s="21" t="n">
        <f aca="false">IF(OR($A81="",M$4=""),0,COUNTIFS(Formulas!$A$2:$A$1501,M$4,Formulas!$B$2:$B$1501,$A81))</f>
        <v>0</v>
      </c>
      <c r="N81" s="21" t="n">
        <f aca="false">IF(OR($A81="",N$4=""),0,COUNTIFS(Formulas!$A$2:$A$1501,N$4,Formulas!$B$2:$B$1501,$A81))</f>
        <v>0</v>
      </c>
      <c r="O81" s="21" t="n">
        <f aca="false">IF(OR($A81="",O$4=""),0,COUNTIFS(Formulas!$A$2:$A$1501,O$4,Formulas!$B$2:$B$1501,$A81))</f>
        <v>0</v>
      </c>
      <c r="P81" s="21" t="n">
        <f aca="false">IF(OR($A81="",P$4=""),0,COUNTIFS(Formulas!$A$2:$A$1501,P$4,Formulas!$B$2:$B$1501,$A81))</f>
        <v>0</v>
      </c>
      <c r="Q81" s="21" t="n">
        <f aca="false">IF(OR($A81="",Q$4=""),0,COUNTIFS(Formulas!$A$2:$A$1501,Q$4,Formulas!$B$2:$B$1501,$A81))</f>
        <v>0</v>
      </c>
      <c r="R81" s="21" t="n">
        <f aca="false">IF(OR($A81="",R$4=""),0,COUNTIFS(Formulas!$A$2:$A$1501,R$4,Formulas!$B$2:$B$1501,$A81))</f>
        <v>0</v>
      </c>
      <c r="S81" s="21" t="n">
        <f aca="false">IF(OR($A81="",S$4=""),0,COUNTIFS(Formulas!$A$2:$A$1501,S$4,Formulas!$B$2:$B$1501,$A81))</f>
        <v>0</v>
      </c>
      <c r="T81" s="21" t="n">
        <f aca="false">IF(OR($A81="",T$4=""),0,COUNTIFS(Formulas!$A$2:$A$1501,T$4,Formulas!$B$2:$B$1501,$A81))</f>
        <v>0</v>
      </c>
      <c r="U81" s="21" t="n">
        <f aca="false">IF(OR($A81="",U$4=""),0,COUNTIFS(Formulas!$A$2:$A$1501,U$4,Formulas!$B$2:$B$1501,$A81))</f>
        <v>0</v>
      </c>
      <c r="V81" s="21" t="n">
        <f aca="false">IF(OR($A81="",V$4=""),0,COUNTIFS(Formulas!$A$2:$A$1501,V$4,Formulas!$B$2:$B$1501,$A81))</f>
        <v>0</v>
      </c>
      <c r="W81" s="21" t="n">
        <f aca="false">IF(OR($A81="",W$4=""),0,COUNTIFS(Formulas!$A$2:$A$1501,W$4,Formulas!$B$2:$B$1501,$A81))</f>
        <v>0</v>
      </c>
      <c r="X81" s="21" t="n">
        <f aca="false">IF(OR($A81="",X$4=""),0,COUNTIFS(Formulas!$A$2:$A$1501,X$4,Formulas!$B$2:$B$1501,$A81))</f>
        <v>0</v>
      </c>
      <c r="Y81" s="21" t="n">
        <f aca="false">IF(OR($A81="",Y$4=""),0,COUNTIFS(Formulas!$A$2:$A$1501,Y$4,Formulas!$B$2:$B$1501,$A81))</f>
        <v>0</v>
      </c>
      <c r="Z81" s="21" t="n">
        <f aca="false">IF(OR($A81="",Z$4=""),0,COUNTIFS(Formulas!$A$2:$A$1501,Z$4,Formulas!$B$2:$B$1501,$A81))</f>
        <v>0</v>
      </c>
      <c r="AA81" s="21" t="n">
        <f aca="false">IF(OR($A81="",AA$4=""),0,COUNTIFS(Formulas!$A$2:$A$1501,AA$4,Formulas!$B$2:$B$1501,$A81))</f>
        <v>0</v>
      </c>
      <c r="AB81" s="21" t="n">
        <f aca="false">IF(OR($A81="",AB$4=""),0,COUNTIFS(Formulas!$A$2:$A$1501,AB$4,Formulas!$B$2:$B$1501,$A81))</f>
        <v>0</v>
      </c>
      <c r="AC81" s="21" t="n">
        <f aca="false">IF(OR($A81="",AC$4=""),0,COUNTIFS(Formulas!$A$2:$A$1501,AC$4,Formulas!$B$2:$B$1501,$A81))</f>
        <v>0</v>
      </c>
      <c r="AD81" s="21" t="n">
        <f aca="false">IF(OR($A81="",AD$4=""),0,COUNTIFS(Formulas!$A$2:$A$1501,AD$4,Formulas!$B$2:$B$1501,$A81))</f>
        <v>0</v>
      </c>
      <c r="AE81" s="21" t="n">
        <f aca="false">IF(OR($A81="",AE$4=""),0,COUNTIFS(Formulas!$A$2:$A$1501,AE$4,Formulas!$B$2:$B$1501,$A81))</f>
        <v>0</v>
      </c>
      <c r="AF81" s="21" t="n">
        <f aca="false">IF(OR($A81="",AF$4=""),0,COUNTIFS(Formulas!$A$2:$A$1501,AF$4,Formulas!$B$2:$B$1501,$A81))</f>
        <v>0</v>
      </c>
      <c r="AG81" s="21" t="n">
        <f aca="false">IF(OR($A81="",AG$4=""),0,COUNTIFS(Formulas!$A$2:$A$1501,AG$4,Formulas!$B$2:$B$1501,$A81))</f>
        <v>0</v>
      </c>
      <c r="AH81" s="21" t="n">
        <f aca="false">IF(OR($A81="",AH$4=""),0,COUNTIFS(Formulas!$A$2:$A$1501,AH$4,Formulas!$B$2:$B$1501,$A81))</f>
        <v>0</v>
      </c>
      <c r="AI81" s="21" t="n">
        <f aca="false">IF(OR($A81="",AI$4=""),0,COUNTIFS(Formulas!$A$2:$A$1501,AI$4,Formulas!$B$2:$B$1501,$A81))</f>
        <v>0</v>
      </c>
      <c r="AJ81" s="21" t="n">
        <f aca="false">IF(OR($A81="",AJ$4=""),0,COUNTIFS(Formulas!$A$2:$A$1501,AJ$4,Formulas!$B$2:$B$1501,$A81))</f>
        <v>0</v>
      </c>
      <c r="AK81" s="21" t="n">
        <f aca="false">IF(OR($A81="",AK$4=""),0,COUNTIFS(Formulas!$A$2:$A$1501,AK$4,Formulas!$B$2:$B$1501,$A81))</f>
        <v>0</v>
      </c>
      <c r="AL81" s="21" t="n">
        <f aca="false">IF(OR($A81="",AL$4=""),0,COUNTIFS(Formulas!$A$2:$A$1501,AL$4,Formulas!$B$2:$B$1501,$A81))</f>
        <v>0</v>
      </c>
      <c r="AM81" s="21" t="n">
        <f aca="false">IF(OR($A81="",AM$4=""),0,COUNTIFS(Formulas!$A$2:$A$1501,AM$4,Formulas!$B$2:$B$1501,$A81))</f>
        <v>0</v>
      </c>
      <c r="AN81" s="21" t="n">
        <f aca="false">IF(OR($A81="",AN$4=""),0,COUNTIFS(Formulas!$A$2:$A$1501,AN$4,Formulas!$B$2:$B$1501,$A81))</f>
        <v>0</v>
      </c>
      <c r="AO81" s="21" t="n">
        <f aca="false">IF(OR($A81="",AO$4=""),0,COUNTIFS(Formulas!$A$2:$A$1501,AO$4,Formulas!$B$2:$B$1501,$A81))</f>
        <v>0</v>
      </c>
      <c r="AP81" s="21" t="n">
        <f aca="false">IF(OR($A81="",AP$4=""),0,COUNTIFS(Formulas!$A$2:$A$1501,AP$4,Formulas!$B$2:$B$1501,$A81))</f>
        <v>0</v>
      </c>
      <c r="AQ81" s="21" t="n">
        <f aca="false">IF(OR($A81="",AQ$4=""),0,COUNTIFS(Formulas!$A$2:$A$1501,AQ$4,Formulas!$B$2:$B$1501,$A81))</f>
        <v>0</v>
      </c>
      <c r="AR81" s="21" t="n">
        <f aca="false">IF(OR($A81="",AR$4=""),0,COUNTIFS(Formulas!$A$2:$A$1501,AR$4,Formulas!$B$2:$B$1501,$A81))</f>
        <v>0</v>
      </c>
      <c r="AS81" s="21" t="n">
        <f aca="false">IF(OR($A81="",AS$4=""),0,COUNTIFS(Formulas!$A$2:$A$1501,AS$4,Formulas!$B$2:$B$1501,$A81))</f>
        <v>0</v>
      </c>
      <c r="AT81" s="21" t="n">
        <f aca="false">IF(OR($A81="",AT$4=""),0,COUNTIFS(Formulas!$A$2:$A$1501,AT$4,Formulas!$B$2:$B$1501,$A81))</f>
        <v>0</v>
      </c>
      <c r="AU81" s="21" t="n">
        <f aca="false">IF(OR($A81="",AU$4=""),0,COUNTIFS(Formulas!$A$2:$A$1501,AU$4,Formulas!$B$2:$B$1501,$A81))</f>
        <v>0</v>
      </c>
      <c r="AV81" s="21" t="n">
        <f aca="false">IF(OR($A81="",AV$4=""),0,COUNTIFS(Formulas!$A$2:$A$1501,AV$4,Formulas!$B$2:$B$1501,$A81))</f>
        <v>0</v>
      </c>
      <c r="AW81" s="21" t="n">
        <f aca="false">IF(OR($A81="",AW$4=""),0,COUNTIFS(Formulas!$A$2:$A$1501,AW$4,Formulas!$B$2:$B$1501,$A81))</f>
        <v>0</v>
      </c>
      <c r="AX81" s="21" t="n">
        <f aca="false">IF(OR($A81="",AX$4=""),0,COUNTIFS(Formulas!$A$2:$A$1501,AX$4,Formulas!$B$2:$B$1501,$A81))</f>
        <v>0</v>
      </c>
      <c r="AY81" s="21" t="n">
        <f aca="false">IF(OR($A81="",AY$4=""),0,COUNTIFS(Formulas!$A$2:$A$1501,AY$4,Formulas!$B$2:$B$1501,$A81))</f>
        <v>0</v>
      </c>
      <c r="AZ81" s="21" t="n">
        <f aca="false">IF(OR($A81="",AZ$4=""),0,COUNTIFS(Formulas!$A$2:$A$1501,AZ$4,Formulas!$B$2:$B$1501,$A81))</f>
        <v>0</v>
      </c>
      <c r="BA81" s="21" t="n">
        <f aca="false">IF(OR($A81="",BA$4=""),0,COUNTIFS(Formulas!$A$2:$A$1501,BA$4,Formulas!$B$2:$B$1501,$A81))</f>
        <v>0</v>
      </c>
      <c r="BB81" s="21" t="n">
        <f aca="false">IF(OR($A81="",BB$4=""),0,COUNTIFS(Formulas!$A$2:$A$1501,BB$4,Formulas!$B$2:$B$1501,$A81))</f>
        <v>0</v>
      </c>
      <c r="BC81" s="21" t="n">
        <f aca="false">IF(OR($A81="",BC$4=""),0,COUNTIFS(Formulas!$A$2:$A$1501,BC$4,Formulas!$B$2:$B$1501,$A81))</f>
        <v>0</v>
      </c>
      <c r="BD81" s="21" t="n">
        <f aca="false">IF(OR($A81="",BD$4=""),0,COUNTIFS(Formulas!$A$2:$A$1501,BD$4,Formulas!$B$2:$B$1501,$A81))</f>
        <v>0</v>
      </c>
      <c r="BE81" s="21" t="n">
        <f aca="false">IF(OR($A81="",BE$4=""),0,COUNTIFS(Formulas!$A$2:$A$1501,BE$4,Formulas!$B$2:$B$1501,$A81))</f>
        <v>0</v>
      </c>
      <c r="BF81" s="21" t="n">
        <f aca="false">IF(OR($A81="",BF$4=""),0,COUNTIFS(Formulas!$A$2:$A$1501,BF$4,Formulas!$B$2:$B$1501,$A81))</f>
        <v>0</v>
      </c>
      <c r="BG81" s="21" t="n">
        <f aca="false">IF(OR($A81="",BG$4=""),0,COUNTIFS(Formulas!$A$2:$A$1501,BG$4,Formulas!$B$2:$B$1501,$A81))</f>
        <v>0</v>
      </c>
      <c r="BH81" s="21" t="n">
        <f aca="false">IF(OR($A81="",BH$4=""),0,COUNTIFS(Formulas!$A$2:$A$1501,BH$4,Formulas!$B$2:$B$1501,$A81))</f>
        <v>0</v>
      </c>
      <c r="BI81" s="21" t="n">
        <f aca="false">IF(OR($A81="",BI$4=""),0,COUNTIFS(Formulas!$A$2:$A$1501,BI$4,Formulas!$B$2:$B$1501,$A81))</f>
        <v>0</v>
      </c>
      <c r="BJ81" s="21" t="n">
        <f aca="false">IF(OR($A81="",BJ$4=""),0,COUNTIFS(Formulas!$A$2:$A$1501,BJ$4,Formulas!$B$2:$B$1501,$A81))</f>
        <v>0</v>
      </c>
    </row>
    <row r="82" customFormat="false" ht="15" hidden="false" customHeight="false" outlineLevel="0" collapsed="false">
      <c r="A82" s="13" t="str">
        <f aca="false">IF(INDEX(Materials!$A$2:$A$201,78)="","",INDEX(Materials!$A$2:$A$201,78))</f>
        <v/>
      </c>
      <c r="B82" s="19" t="str">
        <f aca="false">IF(A82="","",COUNTIF(C82:BJ82,"&gt;0"))</f>
        <v/>
      </c>
      <c r="C82" s="21" t="n">
        <f aca="false">IF(OR($A82="",C$4=""),0,COUNTIFS(Formulas!$A$2:$A$1501,C$4,Formulas!$B$2:$B$1501,$A82))</f>
        <v>0</v>
      </c>
      <c r="D82" s="21" t="n">
        <f aca="false">IF(OR($A82="",D$4=""),0,COUNTIFS(Formulas!$A$2:$A$1501,D$4,Formulas!$B$2:$B$1501,$A82))</f>
        <v>0</v>
      </c>
      <c r="E82" s="21" t="n">
        <f aca="false">IF(OR($A82="",E$4=""),0,COUNTIFS(Formulas!$A$2:$A$1501,E$4,Formulas!$B$2:$B$1501,$A82))</f>
        <v>0</v>
      </c>
      <c r="F82" s="21" t="n">
        <f aca="false">IF(OR($A82="",F$4=""),0,COUNTIFS(Formulas!$A$2:$A$1501,F$4,Formulas!$B$2:$B$1501,$A82))</f>
        <v>0</v>
      </c>
      <c r="G82" s="21" t="n">
        <f aca="false">IF(OR($A82="",G$4=""),0,COUNTIFS(Formulas!$A$2:$A$1501,G$4,Formulas!$B$2:$B$1501,$A82))</f>
        <v>0</v>
      </c>
      <c r="H82" s="21" t="n">
        <f aca="false">IF(OR($A82="",H$4=""),0,COUNTIFS(Formulas!$A$2:$A$1501,H$4,Formulas!$B$2:$B$1501,$A82))</f>
        <v>0</v>
      </c>
      <c r="I82" s="21" t="n">
        <f aca="false">IF(OR($A82="",I$4=""),0,COUNTIFS(Formulas!$A$2:$A$1501,I$4,Formulas!$B$2:$B$1501,$A82))</f>
        <v>0</v>
      </c>
      <c r="J82" s="21" t="n">
        <f aca="false">IF(OR($A82="",J$4=""),0,COUNTIFS(Formulas!$A$2:$A$1501,J$4,Formulas!$B$2:$B$1501,$A82))</f>
        <v>0</v>
      </c>
      <c r="K82" s="21" t="n">
        <f aca="false">IF(OR($A82="",K$4=""),0,COUNTIFS(Formulas!$A$2:$A$1501,K$4,Formulas!$B$2:$B$1501,$A82))</f>
        <v>0</v>
      </c>
      <c r="L82" s="21" t="n">
        <f aca="false">IF(OR($A82="",L$4=""),0,COUNTIFS(Formulas!$A$2:$A$1501,L$4,Formulas!$B$2:$B$1501,$A82))</f>
        <v>0</v>
      </c>
      <c r="M82" s="21" t="n">
        <f aca="false">IF(OR($A82="",M$4=""),0,COUNTIFS(Formulas!$A$2:$A$1501,M$4,Formulas!$B$2:$B$1501,$A82))</f>
        <v>0</v>
      </c>
      <c r="N82" s="21" t="n">
        <f aca="false">IF(OR($A82="",N$4=""),0,COUNTIFS(Formulas!$A$2:$A$1501,N$4,Formulas!$B$2:$B$1501,$A82))</f>
        <v>0</v>
      </c>
      <c r="O82" s="21" t="n">
        <f aca="false">IF(OR($A82="",O$4=""),0,COUNTIFS(Formulas!$A$2:$A$1501,O$4,Formulas!$B$2:$B$1501,$A82))</f>
        <v>0</v>
      </c>
      <c r="P82" s="21" t="n">
        <f aca="false">IF(OR($A82="",P$4=""),0,COUNTIFS(Formulas!$A$2:$A$1501,P$4,Formulas!$B$2:$B$1501,$A82))</f>
        <v>0</v>
      </c>
      <c r="Q82" s="21" t="n">
        <f aca="false">IF(OR($A82="",Q$4=""),0,COUNTIFS(Formulas!$A$2:$A$1501,Q$4,Formulas!$B$2:$B$1501,$A82))</f>
        <v>0</v>
      </c>
      <c r="R82" s="21" t="n">
        <f aca="false">IF(OR($A82="",R$4=""),0,COUNTIFS(Formulas!$A$2:$A$1501,R$4,Formulas!$B$2:$B$1501,$A82))</f>
        <v>0</v>
      </c>
      <c r="S82" s="21" t="n">
        <f aca="false">IF(OR($A82="",S$4=""),0,COUNTIFS(Formulas!$A$2:$A$1501,S$4,Formulas!$B$2:$B$1501,$A82))</f>
        <v>0</v>
      </c>
      <c r="T82" s="21" t="n">
        <f aca="false">IF(OR($A82="",T$4=""),0,COUNTIFS(Formulas!$A$2:$A$1501,T$4,Formulas!$B$2:$B$1501,$A82))</f>
        <v>0</v>
      </c>
      <c r="U82" s="21" t="n">
        <f aca="false">IF(OR($A82="",U$4=""),0,COUNTIFS(Formulas!$A$2:$A$1501,U$4,Formulas!$B$2:$B$1501,$A82))</f>
        <v>0</v>
      </c>
      <c r="V82" s="21" t="n">
        <f aca="false">IF(OR($A82="",V$4=""),0,COUNTIFS(Formulas!$A$2:$A$1501,V$4,Formulas!$B$2:$B$1501,$A82))</f>
        <v>0</v>
      </c>
      <c r="W82" s="21" t="n">
        <f aca="false">IF(OR($A82="",W$4=""),0,COUNTIFS(Formulas!$A$2:$A$1501,W$4,Formulas!$B$2:$B$1501,$A82))</f>
        <v>0</v>
      </c>
      <c r="X82" s="21" t="n">
        <f aca="false">IF(OR($A82="",X$4=""),0,COUNTIFS(Formulas!$A$2:$A$1501,X$4,Formulas!$B$2:$B$1501,$A82))</f>
        <v>0</v>
      </c>
      <c r="Y82" s="21" t="n">
        <f aca="false">IF(OR($A82="",Y$4=""),0,COUNTIFS(Formulas!$A$2:$A$1501,Y$4,Formulas!$B$2:$B$1501,$A82))</f>
        <v>0</v>
      </c>
      <c r="Z82" s="21" t="n">
        <f aca="false">IF(OR($A82="",Z$4=""),0,COUNTIFS(Formulas!$A$2:$A$1501,Z$4,Formulas!$B$2:$B$1501,$A82))</f>
        <v>0</v>
      </c>
      <c r="AA82" s="21" t="n">
        <f aca="false">IF(OR($A82="",AA$4=""),0,COUNTIFS(Formulas!$A$2:$A$1501,AA$4,Formulas!$B$2:$B$1501,$A82))</f>
        <v>0</v>
      </c>
      <c r="AB82" s="21" t="n">
        <f aca="false">IF(OR($A82="",AB$4=""),0,COUNTIFS(Formulas!$A$2:$A$1501,AB$4,Formulas!$B$2:$B$1501,$A82))</f>
        <v>0</v>
      </c>
      <c r="AC82" s="21" t="n">
        <f aca="false">IF(OR($A82="",AC$4=""),0,COUNTIFS(Formulas!$A$2:$A$1501,AC$4,Formulas!$B$2:$B$1501,$A82))</f>
        <v>0</v>
      </c>
      <c r="AD82" s="21" t="n">
        <f aca="false">IF(OR($A82="",AD$4=""),0,COUNTIFS(Formulas!$A$2:$A$1501,AD$4,Formulas!$B$2:$B$1501,$A82))</f>
        <v>0</v>
      </c>
      <c r="AE82" s="21" t="n">
        <f aca="false">IF(OR($A82="",AE$4=""),0,COUNTIFS(Formulas!$A$2:$A$1501,AE$4,Formulas!$B$2:$B$1501,$A82))</f>
        <v>0</v>
      </c>
      <c r="AF82" s="21" t="n">
        <f aca="false">IF(OR($A82="",AF$4=""),0,COUNTIFS(Formulas!$A$2:$A$1501,AF$4,Formulas!$B$2:$B$1501,$A82))</f>
        <v>0</v>
      </c>
      <c r="AG82" s="21" t="n">
        <f aca="false">IF(OR($A82="",AG$4=""),0,COUNTIFS(Formulas!$A$2:$A$1501,AG$4,Formulas!$B$2:$B$1501,$A82))</f>
        <v>0</v>
      </c>
      <c r="AH82" s="21" t="n">
        <f aca="false">IF(OR($A82="",AH$4=""),0,COUNTIFS(Formulas!$A$2:$A$1501,AH$4,Formulas!$B$2:$B$1501,$A82))</f>
        <v>0</v>
      </c>
      <c r="AI82" s="21" t="n">
        <f aca="false">IF(OR($A82="",AI$4=""),0,COUNTIFS(Formulas!$A$2:$A$1501,AI$4,Formulas!$B$2:$B$1501,$A82))</f>
        <v>0</v>
      </c>
      <c r="AJ82" s="21" t="n">
        <f aca="false">IF(OR($A82="",AJ$4=""),0,COUNTIFS(Formulas!$A$2:$A$1501,AJ$4,Formulas!$B$2:$B$1501,$A82))</f>
        <v>0</v>
      </c>
      <c r="AK82" s="21" t="n">
        <f aca="false">IF(OR($A82="",AK$4=""),0,COUNTIFS(Formulas!$A$2:$A$1501,AK$4,Formulas!$B$2:$B$1501,$A82))</f>
        <v>0</v>
      </c>
      <c r="AL82" s="21" t="n">
        <f aca="false">IF(OR($A82="",AL$4=""),0,COUNTIFS(Formulas!$A$2:$A$1501,AL$4,Formulas!$B$2:$B$1501,$A82))</f>
        <v>0</v>
      </c>
      <c r="AM82" s="21" t="n">
        <f aca="false">IF(OR($A82="",AM$4=""),0,COUNTIFS(Formulas!$A$2:$A$1501,AM$4,Formulas!$B$2:$B$1501,$A82))</f>
        <v>0</v>
      </c>
      <c r="AN82" s="21" t="n">
        <f aca="false">IF(OR($A82="",AN$4=""),0,COUNTIFS(Formulas!$A$2:$A$1501,AN$4,Formulas!$B$2:$B$1501,$A82))</f>
        <v>0</v>
      </c>
      <c r="AO82" s="21" t="n">
        <f aca="false">IF(OR($A82="",AO$4=""),0,COUNTIFS(Formulas!$A$2:$A$1501,AO$4,Formulas!$B$2:$B$1501,$A82))</f>
        <v>0</v>
      </c>
      <c r="AP82" s="21" t="n">
        <f aca="false">IF(OR($A82="",AP$4=""),0,COUNTIFS(Formulas!$A$2:$A$1501,AP$4,Formulas!$B$2:$B$1501,$A82))</f>
        <v>0</v>
      </c>
      <c r="AQ82" s="21" t="n">
        <f aca="false">IF(OR($A82="",AQ$4=""),0,COUNTIFS(Formulas!$A$2:$A$1501,AQ$4,Formulas!$B$2:$B$1501,$A82))</f>
        <v>0</v>
      </c>
      <c r="AR82" s="21" t="n">
        <f aca="false">IF(OR($A82="",AR$4=""),0,COUNTIFS(Formulas!$A$2:$A$1501,AR$4,Formulas!$B$2:$B$1501,$A82))</f>
        <v>0</v>
      </c>
      <c r="AS82" s="21" t="n">
        <f aca="false">IF(OR($A82="",AS$4=""),0,COUNTIFS(Formulas!$A$2:$A$1501,AS$4,Formulas!$B$2:$B$1501,$A82))</f>
        <v>0</v>
      </c>
      <c r="AT82" s="21" t="n">
        <f aca="false">IF(OR($A82="",AT$4=""),0,COUNTIFS(Formulas!$A$2:$A$1501,AT$4,Formulas!$B$2:$B$1501,$A82))</f>
        <v>0</v>
      </c>
      <c r="AU82" s="21" t="n">
        <f aca="false">IF(OR($A82="",AU$4=""),0,COUNTIFS(Formulas!$A$2:$A$1501,AU$4,Formulas!$B$2:$B$1501,$A82))</f>
        <v>0</v>
      </c>
      <c r="AV82" s="21" t="n">
        <f aca="false">IF(OR($A82="",AV$4=""),0,COUNTIFS(Formulas!$A$2:$A$1501,AV$4,Formulas!$B$2:$B$1501,$A82))</f>
        <v>0</v>
      </c>
      <c r="AW82" s="21" t="n">
        <f aca="false">IF(OR($A82="",AW$4=""),0,COUNTIFS(Formulas!$A$2:$A$1501,AW$4,Formulas!$B$2:$B$1501,$A82))</f>
        <v>0</v>
      </c>
      <c r="AX82" s="21" t="n">
        <f aca="false">IF(OR($A82="",AX$4=""),0,COUNTIFS(Formulas!$A$2:$A$1501,AX$4,Formulas!$B$2:$B$1501,$A82))</f>
        <v>0</v>
      </c>
      <c r="AY82" s="21" t="n">
        <f aca="false">IF(OR($A82="",AY$4=""),0,COUNTIFS(Formulas!$A$2:$A$1501,AY$4,Formulas!$B$2:$B$1501,$A82))</f>
        <v>0</v>
      </c>
      <c r="AZ82" s="21" t="n">
        <f aca="false">IF(OR($A82="",AZ$4=""),0,COUNTIFS(Formulas!$A$2:$A$1501,AZ$4,Formulas!$B$2:$B$1501,$A82))</f>
        <v>0</v>
      </c>
      <c r="BA82" s="21" t="n">
        <f aca="false">IF(OR($A82="",BA$4=""),0,COUNTIFS(Formulas!$A$2:$A$1501,BA$4,Formulas!$B$2:$B$1501,$A82))</f>
        <v>0</v>
      </c>
      <c r="BB82" s="21" t="n">
        <f aca="false">IF(OR($A82="",BB$4=""),0,COUNTIFS(Formulas!$A$2:$A$1501,BB$4,Formulas!$B$2:$B$1501,$A82))</f>
        <v>0</v>
      </c>
      <c r="BC82" s="21" t="n">
        <f aca="false">IF(OR($A82="",BC$4=""),0,COUNTIFS(Formulas!$A$2:$A$1501,BC$4,Formulas!$B$2:$B$1501,$A82))</f>
        <v>0</v>
      </c>
      <c r="BD82" s="21" t="n">
        <f aca="false">IF(OR($A82="",BD$4=""),0,COUNTIFS(Formulas!$A$2:$A$1501,BD$4,Formulas!$B$2:$B$1501,$A82))</f>
        <v>0</v>
      </c>
      <c r="BE82" s="21" t="n">
        <f aca="false">IF(OR($A82="",BE$4=""),0,COUNTIFS(Formulas!$A$2:$A$1501,BE$4,Formulas!$B$2:$B$1501,$A82))</f>
        <v>0</v>
      </c>
      <c r="BF82" s="21" t="n">
        <f aca="false">IF(OR($A82="",BF$4=""),0,COUNTIFS(Formulas!$A$2:$A$1501,BF$4,Formulas!$B$2:$B$1501,$A82))</f>
        <v>0</v>
      </c>
      <c r="BG82" s="21" t="n">
        <f aca="false">IF(OR($A82="",BG$4=""),0,COUNTIFS(Formulas!$A$2:$A$1501,BG$4,Formulas!$B$2:$B$1501,$A82))</f>
        <v>0</v>
      </c>
      <c r="BH82" s="21" t="n">
        <f aca="false">IF(OR($A82="",BH$4=""),0,COUNTIFS(Formulas!$A$2:$A$1501,BH$4,Formulas!$B$2:$B$1501,$A82))</f>
        <v>0</v>
      </c>
      <c r="BI82" s="21" t="n">
        <f aca="false">IF(OR($A82="",BI$4=""),0,COUNTIFS(Formulas!$A$2:$A$1501,BI$4,Formulas!$B$2:$B$1501,$A82))</f>
        <v>0</v>
      </c>
      <c r="BJ82" s="21" t="n">
        <f aca="false">IF(OR($A82="",BJ$4=""),0,COUNTIFS(Formulas!$A$2:$A$1501,BJ$4,Formulas!$B$2:$B$1501,$A82))</f>
        <v>0</v>
      </c>
    </row>
    <row r="83" customFormat="false" ht="15" hidden="false" customHeight="false" outlineLevel="0" collapsed="false">
      <c r="A83" s="13" t="str">
        <f aca="false">IF(INDEX(Materials!$A$2:$A$201,79)="","",INDEX(Materials!$A$2:$A$201,79))</f>
        <v/>
      </c>
      <c r="B83" s="19" t="str">
        <f aca="false">IF(A83="","",COUNTIF(C83:BJ83,"&gt;0"))</f>
        <v/>
      </c>
      <c r="C83" s="21" t="n">
        <f aca="false">IF(OR($A83="",C$4=""),0,COUNTIFS(Formulas!$A$2:$A$1501,C$4,Formulas!$B$2:$B$1501,$A83))</f>
        <v>0</v>
      </c>
      <c r="D83" s="21" t="n">
        <f aca="false">IF(OR($A83="",D$4=""),0,COUNTIFS(Formulas!$A$2:$A$1501,D$4,Formulas!$B$2:$B$1501,$A83))</f>
        <v>0</v>
      </c>
      <c r="E83" s="21" t="n">
        <f aca="false">IF(OR($A83="",E$4=""),0,COUNTIFS(Formulas!$A$2:$A$1501,E$4,Formulas!$B$2:$B$1501,$A83))</f>
        <v>0</v>
      </c>
      <c r="F83" s="21" t="n">
        <f aca="false">IF(OR($A83="",F$4=""),0,COUNTIFS(Formulas!$A$2:$A$1501,F$4,Formulas!$B$2:$B$1501,$A83))</f>
        <v>0</v>
      </c>
      <c r="G83" s="21" t="n">
        <f aca="false">IF(OR($A83="",G$4=""),0,COUNTIFS(Formulas!$A$2:$A$1501,G$4,Formulas!$B$2:$B$1501,$A83))</f>
        <v>0</v>
      </c>
      <c r="H83" s="21" t="n">
        <f aca="false">IF(OR($A83="",H$4=""),0,COUNTIFS(Formulas!$A$2:$A$1501,H$4,Formulas!$B$2:$B$1501,$A83))</f>
        <v>0</v>
      </c>
      <c r="I83" s="21" t="n">
        <f aca="false">IF(OR($A83="",I$4=""),0,COUNTIFS(Formulas!$A$2:$A$1501,I$4,Formulas!$B$2:$B$1501,$A83))</f>
        <v>0</v>
      </c>
      <c r="J83" s="21" t="n">
        <f aca="false">IF(OR($A83="",J$4=""),0,COUNTIFS(Formulas!$A$2:$A$1501,J$4,Formulas!$B$2:$B$1501,$A83))</f>
        <v>0</v>
      </c>
      <c r="K83" s="21" t="n">
        <f aca="false">IF(OR($A83="",K$4=""),0,COUNTIFS(Formulas!$A$2:$A$1501,K$4,Formulas!$B$2:$B$1501,$A83))</f>
        <v>0</v>
      </c>
      <c r="L83" s="21" t="n">
        <f aca="false">IF(OR($A83="",L$4=""),0,COUNTIFS(Formulas!$A$2:$A$1501,L$4,Formulas!$B$2:$B$1501,$A83))</f>
        <v>0</v>
      </c>
      <c r="M83" s="21" t="n">
        <f aca="false">IF(OR($A83="",M$4=""),0,COUNTIFS(Formulas!$A$2:$A$1501,M$4,Formulas!$B$2:$B$1501,$A83))</f>
        <v>0</v>
      </c>
      <c r="N83" s="21" t="n">
        <f aca="false">IF(OR($A83="",N$4=""),0,COUNTIFS(Formulas!$A$2:$A$1501,N$4,Formulas!$B$2:$B$1501,$A83))</f>
        <v>0</v>
      </c>
      <c r="O83" s="21" t="n">
        <f aca="false">IF(OR($A83="",O$4=""),0,COUNTIFS(Formulas!$A$2:$A$1501,O$4,Formulas!$B$2:$B$1501,$A83))</f>
        <v>0</v>
      </c>
      <c r="P83" s="21" t="n">
        <f aca="false">IF(OR($A83="",P$4=""),0,COUNTIFS(Formulas!$A$2:$A$1501,P$4,Formulas!$B$2:$B$1501,$A83))</f>
        <v>0</v>
      </c>
      <c r="Q83" s="21" t="n">
        <f aca="false">IF(OR($A83="",Q$4=""),0,COUNTIFS(Formulas!$A$2:$A$1501,Q$4,Formulas!$B$2:$B$1501,$A83))</f>
        <v>0</v>
      </c>
      <c r="R83" s="21" t="n">
        <f aca="false">IF(OR($A83="",R$4=""),0,COUNTIFS(Formulas!$A$2:$A$1501,R$4,Formulas!$B$2:$B$1501,$A83))</f>
        <v>0</v>
      </c>
      <c r="S83" s="21" t="n">
        <f aca="false">IF(OR($A83="",S$4=""),0,COUNTIFS(Formulas!$A$2:$A$1501,S$4,Formulas!$B$2:$B$1501,$A83))</f>
        <v>0</v>
      </c>
      <c r="T83" s="21" t="n">
        <f aca="false">IF(OR($A83="",T$4=""),0,COUNTIFS(Formulas!$A$2:$A$1501,T$4,Formulas!$B$2:$B$1501,$A83))</f>
        <v>0</v>
      </c>
      <c r="U83" s="21" t="n">
        <f aca="false">IF(OR($A83="",U$4=""),0,COUNTIFS(Formulas!$A$2:$A$1501,U$4,Formulas!$B$2:$B$1501,$A83))</f>
        <v>0</v>
      </c>
      <c r="V83" s="21" t="n">
        <f aca="false">IF(OR($A83="",V$4=""),0,COUNTIFS(Formulas!$A$2:$A$1501,V$4,Formulas!$B$2:$B$1501,$A83))</f>
        <v>0</v>
      </c>
      <c r="W83" s="21" t="n">
        <f aca="false">IF(OR($A83="",W$4=""),0,COUNTIFS(Formulas!$A$2:$A$1501,W$4,Formulas!$B$2:$B$1501,$A83))</f>
        <v>0</v>
      </c>
      <c r="X83" s="21" t="n">
        <f aca="false">IF(OR($A83="",X$4=""),0,COUNTIFS(Formulas!$A$2:$A$1501,X$4,Formulas!$B$2:$B$1501,$A83))</f>
        <v>0</v>
      </c>
      <c r="Y83" s="21" t="n">
        <f aca="false">IF(OR($A83="",Y$4=""),0,COUNTIFS(Formulas!$A$2:$A$1501,Y$4,Formulas!$B$2:$B$1501,$A83))</f>
        <v>0</v>
      </c>
      <c r="Z83" s="21" t="n">
        <f aca="false">IF(OR($A83="",Z$4=""),0,COUNTIFS(Formulas!$A$2:$A$1501,Z$4,Formulas!$B$2:$B$1501,$A83))</f>
        <v>0</v>
      </c>
      <c r="AA83" s="21" t="n">
        <f aca="false">IF(OR($A83="",AA$4=""),0,COUNTIFS(Formulas!$A$2:$A$1501,AA$4,Formulas!$B$2:$B$1501,$A83))</f>
        <v>0</v>
      </c>
      <c r="AB83" s="21" t="n">
        <f aca="false">IF(OR($A83="",AB$4=""),0,COUNTIFS(Formulas!$A$2:$A$1501,AB$4,Formulas!$B$2:$B$1501,$A83))</f>
        <v>0</v>
      </c>
      <c r="AC83" s="21" t="n">
        <f aca="false">IF(OR($A83="",AC$4=""),0,COUNTIFS(Formulas!$A$2:$A$1501,AC$4,Formulas!$B$2:$B$1501,$A83))</f>
        <v>0</v>
      </c>
      <c r="AD83" s="21" t="n">
        <f aca="false">IF(OR($A83="",AD$4=""),0,COUNTIFS(Formulas!$A$2:$A$1501,AD$4,Formulas!$B$2:$B$1501,$A83))</f>
        <v>0</v>
      </c>
      <c r="AE83" s="21" t="n">
        <f aca="false">IF(OR($A83="",AE$4=""),0,COUNTIFS(Formulas!$A$2:$A$1501,AE$4,Formulas!$B$2:$B$1501,$A83))</f>
        <v>0</v>
      </c>
      <c r="AF83" s="21" t="n">
        <f aca="false">IF(OR($A83="",AF$4=""),0,COUNTIFS(Formulas!$A$2:$A$1501,AF$4,Formulas!$B$2:$B$1501,$A83))</f>
        <v>0</v>
      </c>
      <c r="AG83" s="21" t="n">
        <f aca="false">IF(OR($A83="",AG$4=""),0,COUNTIFS(Formulas!$A$2:$A$1501,AG$4,Formulas!$B$2:$B$1501,$A83))</f>
        <v>0</v>
      </c>
      <c r="AH83" s="21" t="n">
        <f aca="false">IF(OR($A83="",AH$4=""),0,COUNTIFS(Formulas!$A$2:$A$1501,AH$4,Formulas!$B$2:$B$1501,$A83))</f>
        <v>0</v>
      </c>
      <c r="AI83" s="21" t="n">
        <f aca="false">IF(OR($A83="",AI$4=""),0,COUNTIFS(Formulas!$A$2:$A$1501,AI$4,Formulas!$B$2:$B$1501,$A83))</f>
        <v>0</v>
      </c>
      <c r="AJ83" s="21" t="n">
        <f aca="false">IF(OR($A83="",AJ$4=""),0,COUNTIFS(Formulas!$A$2:$A$1501,AJ$4,Formulas!$B$2:$B$1501,$A83))</f>
        <v>0</v>
      </c>
      <c r="AK83" s="21" t="n">
        <f aca="false">IF(OR($A83="",AK$4=""),0,COUNTIFS(Formulas!$A$2:$A$1501,AK$4,Formulas!$B$2:$B$1501,$A83))</f>
        <v>0</v>
      </c>
      <c r="AL83" s="21" t="n">
        <f aca="false">IF(OR($A83="",AL$4=""),0,COUNTIFS(Formulas!$A$2:$A$1501,AL$4,Formulas!$B$2:$B$1501,$A83))</f>
        <v>0</v>
      </c>
      <c r="AM83" s="21" t="n">
        <f aca="false">IF(OR($A83="",AM$4=""),0,COUNTIFS(Formulas!$A$2:$A$1501,AM$4,Formulas!$B$2:$B$1501,$A83))</f>
        <v>0</v>
      </c>
      <c r="AN83" s="21" t="n">
        <f aca="false">IF(OR($A83="",AN$4=""),0,COUNTIFS(Formulas!$A$2:$A$1501,AN$4,Formulas!$B$2:$B$1501,$A83))</f>
        <v>0</v>
      </c>
      <c r="AO83" s="21" t="n">
        <f aca="false">IF(OR($A83="",AO$4=""),0,COUNTIFS(Formulas!$A$2:$A$1501,AO$4,Formulas!$B$2:$B$1501,$A83))</f>
        <v>0</v>
      </c>
      <c r="AP83" s="21" t="n">
        <f aca="false">IF(OR($A83="",AP$4=""),0,COUNTIFS(Formulas!$A$2:$A$1501,AP$4,Formulas!$B$2:$B$1501,$A83))</f>
        <v>0</v>
      </c>
      <c r="AQ83" s="21" t="n">
        <f aca="false">IF(OR($A83="",AQ$4=""),0,COUNTIFS(Formulas!$A$2:$A$1501,AQ$4,Formulas!$B$2:$B$1501,$A83))</f>
        <v>0</v>
      </c>
      <c r="AR83" s="21" t="n">
        <f aca="false">IF(OR($A83="",AR$4=""),0,COUNTIFS(Formulas!$A$2:$A$1501,AR$4,Formulas!$B$2:$B$1501,$A83))</f>
        <v>0</v>
      </c>
      <c r="AS83" s="21" t="n">
        <f aca="false">IF(OR($A83="",AS$4=""),0,COUNTIFS(Formulas!$A$2:$A$1501,AS$4,Formulas!$B$2:$B$1501,$A83))</f>
        <v>0</v>
      </c>
      <c r="AT83" s="21" t="n">
        <f aca="false">IF(OR($A83="",AT$4=""),0,COUNTIFS(Formulas!$A$2:$A$1501,AT$4,Formulas!$B$2:$B$1501,$A83))</f>
        <v>0</v>
      </c>
      <c r="AU83" s="21" t="n">
        <f aca="false">IF(OR($A83="",AU$4=""),0,COUNTIFS(Formulas!$A$2:$A$1501,AU$4,Formulas!$B$2:$B$1501,$A83))</f>
        <v>0</v>
      </c>
      <c r="AV83" s="21" t="n">
        <f aca="false">IF(OR($A83="",AV$4=""),0,COUNTIFS(Formulas!$A$2:$A$1501,AV$4,Formulas!$B$2:$B$1501,$A83))</f>
        <v>0</v>
      </c>
      <c r="AW83" s="21" t="n">
        <f aca="false">IF(OR($A83="",AW$4=""),0,COUNTIFS(Formulas!$A$2:$A$1501,AW$4,Formulas!$B$2:$B$1501,$A83))</f>
        <v>0</v>
      </c>
      <c r="AX83" s="21" t="n">
        <f aca="false">IF(OR($A83="",AX$4=""),0,COUNTIFS(Formulas!$A$2:$A$1501,AX$4,Formulas!$B$2:$B$1501,$A83))</f>
        <v>0</v>
      </c>
      <c r="AY83" s="21" t="n">
        <f aca="false">IF(OR($A83="",AY$4=""),0,COUNTIFS(Formulas!$A$2:$A$1501,AY$4,Formulas!$B$2:$B$1501,$A83))</f>
        <v>0</v>
      </c>
      <c r="AZ83" s="21" t="n">
        <f aca="false">IF(OR($A83="",AZ$4=""),0,COUNTIFS(Formulas!$A$2:$A$1501,AZ$4,Formulas!$B$2:$B$1501,$A83))</f>
        <v>0</v>
      </c>
      <c r="BA83" s="21" t="n">
        <f aca="false">IF(OR($A83="",BA$4=""),0,COUNTIFS(Formulas!$A$2:$A$1501,BA$4,Formulas!$B$2:$B$1501,$A83))</f>
        <v>0</v>
      </c>
      <c r="BB83" s="21" t="n">
        <f aca="false">IF(OR($A83="",BB$4=""),0,COUNTIFS(Formulas!$A$2:$A$1501,BB$4,Formulas!$B$2:$B$1501,$A83))</f>
        <v>0</v>
      </c>
      <c r="BC83" s="21" t="n">
        <f aca="false">IF(OR($A83="",BC$4=""),0,COUNTIFS(Formulas!$A$2:$A$1501,BC$4,Formulas!$B$2:$B$1501,$A83))</f>
        <v>0</v>
      </c>
      <c r="BD83" s="21" t="n">
        <f aca="false">IF(OR($A83="",BD$4=""),0,COUNTIFS(Formulas!$A$2:$A$1501,BD$4,Formulas!$B$2:$B$1501,$A83))</f>
        <v>0</v>
      </c>
      <c r="BE83" s="21" t="n">
        <f aca="false">IF(OR($A83="",BE$4=""),0,COUNTIFS(Formulas!$A$2:$A$1501,BE$4,Formulas!$B$2:$B$1501,$A83))</f>
        <v>0</v>
      </c>
      <c r="BF83" s="21" t="n">
        <f aca="false">IF(OR($A83="",BF$4=""),0,COUNTIFS(Formulas!$A$2:$A$1501,BF$4,Formulas!$B$2:$B$1501,$A83))</f>
        <v>0</v>
      </c>
      <c r="BG83" s="21" t="n">
        <f aca="false">IF(OR($A83="",BG$4=""),0,COUNTIFS(Formulas!$A$2:$A$1501,BG$4,Formulas!$B$2:$B$1501,$A83))</f>
        <v>0</v>
      </c>
      <c r="BH83" s="21" t="n">
        <f aca="false">IF(OR($A83="",BH$4=""),0,COUNTIFS(Formulas!$A$2:$A$1501,BH$4,Formulas!$B$2:$B$1501,$A83))</f>
        <v>0</v>
      </c>
      <c r="BI83" s="21" t="n">
        <f aca="false">IF(OR($A83="",BI$4=""),0,COUNTIFS(Formulas!$A$2:$A$1501,BI$4,Formulas!$B$2:$B$1501,$A83))</f>
        <v>0</v>
      </c>
      <c r="BJ83" s="21" t="n">
        <f aca="false">IF(OR($A83="",BJ$4=""),0,COUNTIFS(Formulas!$A$2:$A$1501,BJ$4,Formulas!$B$2:$B$1501,$A83))</f>
        <v>0</v>
      </c>
    </row>
    <row r="84" customFormat="false" ht="15" hidden="false" customHeight="false" outlineLevel="0" collapsed="false">
      <c r="A84" s="13" t="str">
        <f aca="false">IF(INDEX(Materials!$A$2:$A$201,80)="","",INDEX(Materials!$A$2:$A$201,80))</f>
        <v/>
      </c>
      <c r="B84" s="19" t="str">
        <f aca="false">IF(A84="","",COUNTIF(C84:BJ84,"&gt;0"))</f>
        <v/>
      </c>
      <c r="C84" s="21" t="n">
        <f aca="false">IF(OR($A84="",C$4=""),0,COUNTIFS(Formulas!$A$2:$A$1501,C$4,Formulas!$B$2:$B$1501,$A84))</f>
        <v>0</v>
      </c>
      <c r="D84" s="21" t="n">
        <f aca="false">IF(OR($A84="",D$4=""),0,COUNTIFS(Formulas!$A$2:$A$1501,D$4,Formulas!$B$2:$B$1501,$A84))</f>
        <v>0</v>
      </c>
      <c r="E84" s="21" t="n">
        <f aca="false">IF(OR($A84="",E$4=""),0,COUNTIFS(Formulas!$A$2:$A$1501,E$4,Formulas!$B$2:$B$1501,$A84))</f>
        <v>0</v>
      </c>
      <c r="F84" s="21" t="n">
        <f aca="false">IF(OR($A84="",F$4=""),0,COUNTIFS(Formulas!$A$2:$A$1501,F$4,Formulas!$B$2:$B$1501,$A84))</f>
        <v>0</v>
      </c>
      <c r="G84" s="21" t="n">
        <f aca="false">IF(OR($A84="",G$4=""),0,COUNTIFS(Formulas!$A$2:$A$1501,G$4,Formulas!$B$2:$B$1501,$A84))</f>
        <v>0</v>
      </c>
      <c r="H84" s="21" t="n">
        <f aca="false">IF(OR($A84="",H$4=""),0,COUNTIFS(Formulas!$A$2:$A$1501,H$4,Formulas!$B$2:$B$1501,$A84))</f>
        <v>0</v>
      </c>
      <c r="I84" s="21" t="n">
        <f aca="false">IF(OR($A84="",I$4=""),0,COUNTIFS(Formulas!$A$2:$A$1501,I$4,Formulas!$B$2:$B$1501,$A84))</f>
        <v>0</v>
      </c>
      <c r="J84" s="21" t="n">
        <f aca="false">IF(OR($A84="",J$4=""),0,COUNTIFS(Formulas!$A$2:$A$1501,J$4,Formulas!$B$2:$B$1501,$A84))</f>
        <v>0</v>
      </c>
      <c r="K84" s="21" t="n">
        <f aca="false">IF(OR($A84="",K$4=""),0,COUNTIFS(Formulas!$A$2:$A$1501,K$4,Formulas!$B$2:$B$1501,$A84))</f>
        <v>0</v>
      </c>
      <c r="L84" s="21" t="n">
        <f aca="false">IF(OR($A84="",L$4=""),0,COUNTIFS(Formulas!$A$2:$A$1501,L$4,Formulas!$B$2:$B$1501,$A84))</f>
        <v>0</v>
      </c>
      <c r="M84" s="21" t="n">
        <f aca="false">IF(OR($A84="",M$4=""),0,COUNTIFS(Formulas!$A$2:$A$1501,M$4,Formulas!$B$2:$B$1501,$A84))</f>
        <v>0</v>
      </c>
      <c r="N84" s="21" t="n">
        <f aca="false">IF(OR($A84="",N$4=""),0,COUNTIFS(Formulas!$A$2:$A$1501,N$4,Formulas!$B$2:$B$1501,$A84))</f>
        <v>0</v>
      </c>
      <c r="O84" s="21" t="n">
        <f aca="false">IF(OR($A84="",O$4=""),0,COUNTIFS(Formulas!$A$2:$A$1501,O$4,Formulas!$B$2:$B$1501,$A84))</f>
        <v>0</v>
      </c>
      <c r="P84" s="21" t="n">
        <f aca="false">IF(OR($A84="",P$4=""),0,COUNTIFS(Formulas!$A$2:$A$1501,P$4,Formulas!$B$2:$B$1501,$A84))</f>
        <v>0</v>
      </c>
      <c r="Q84" s="21" t="n">
        <f aca="false">IF(OR($A84="",Q$4=""),0,COUNTIFS(Formulas!$A$2:$A$1501,Q$4,Formulas!$B$2:$B$1501,$A84))</f>
        <v>0</v>
      </c>
      <c r="R84" s="21" t="n">
        <f aca="false">IF(OR($A84="",R$4=""),0,COUNTIFS(Formulas!$A$2:$A$1501,R$4,Formulas!$B$2:$B$1501,$A84))</f>
        <v>0</v>
      </c>
      <c r="S84" s="21" t="n">
        <f aca="false">IF(OR($A84="",S$4=""),0,COUNTIFS(Formulas!$A$2:$A$1501,S$4,Formulas!$B$2:$B$1501,$A84))</f>
        <v>0</v>
      </c>
      <c r="T84" s="21" t="n">
        <f aca="false">IF(OR($A84="",T$4=""),0,COUNTIFS(Formulas!$A$2:$A$1501,T$4,Formulas!$B$2:$B$1501,$A84))</f>
        <v>0</v>
      </c>
      <c r="U84" s="21" t="n">
        <f aca="false">IF(OR($A84="",U$4=""),0,COUNTIFS(Formulas!$A$2:$A$1501,U$4,Formulas!$B$2:$B$1501,$A84))</f>
        <v>0</v>
      </c>
      <c r="V84" s="21" t="n">
        <f aca="false">IF(OR($A84="",V$4=""),0,COUNTIFS(Formulas!$A$2:$A$1501,V$4,Formulas!$B$2:$B$1501,$A84))</f>
        <v>0</v>
      </c>
      <c r="W84" s="21" t="n">
        <f aca="false">IF(OR($A84="",W$4=""),0,COUNTIFS(Formulas!$A$2:$A$1501,W$4,Formulas!$B$2:$B$1501,$A84))</f>
        <v>0</v>
      </c>
      <c r="X84" s="21" t="n">
        <f aca="false">IF(OR($A84="",X$4=""),0,COUNTIFS(Formulas!$A$2:$A$1501,X$4,Formulas!$B$2:$B$1501,$A84))</f>
        <v>0</v>
      </c>
      <c r="Y84" s="21" t="n">
        <f aca="false">IF(OR($A84="",Y$4=""),0,COUNTIFS(Formulas!$A$2:$A$1501,Y$4,Formulas!$B$2:$B$1501,$A84))</f>
        <v>0</v>
      </c>
      <c r="Z84" s="21" t="n">
        <f aca="false">IF(OR($A84="",Z$4=""),0,COUNTIFS(Formulas!$A$2:$A$1501,Z$4,Formulas!$B$2:$B$1501,$A84))</f>
        <v>0</v>
      </c>
      <c r="AA84" s="21" t="n">
        <f aca="false">IF(OR($A84="",AA$4=""),0,COUNTIFS(Formulas!$A$2:$A$1501,AA$4,Formulas!$B$2:$B$1501,$A84))</f>
        <v>0</v>
      </c>
      <c r="AB84" s="21" t="n">
        <f aca="false">IF(OR($A84="",AB$4=""),0,COUNTIFS(Formulas!$A$2:$A$1501,AB$4,Formulas!$B$2:$B$1501,$A84))</f>
        <v>0</v>
      </c>
      <c r="AC84" s="21" t="n">
        <f aca="false">IF(OR($A84="",AC$4=""),0,COUNTIFS(Formulas!$A$2:$A$1501,AC$4,Formulas!$B$2:$B$1501,$A84))</f>
        <v>0</v>
      </c>
      <c r="AD84" s="21" t="n">
        <f aca="false">IF(OR($A84="",AD$4=""),0,COUNTIFS(Formulas!$A$2:$A$1501,AD$4,Formulas!$B$2:$B$1501,$A84))</f>
        <v>0</v>
      </c>
      <c r="AE84" s="21" t="n">
        <f aca="false">IF(OR($A84="",AE$4=""),0,COUNTIFS(Formulas!$A$2:$A$1501,AE$4,Formulas!$B$2:$B$1501,$A84))</f>
        <v>0</v>
      </c>
      <c r="AF84" s="21" t="n">
        <f aca="false">IF(OR($A84="",AF$4=""),0,COUNTIFS(Formulas!$A$2:$A$1501,AF$4,Formulas!$B$2:$B$1501,$A84))</f>
        <v>0</v>
      </c>
      <c r="AG84" s="21" t="n">
        <f aca="false">IF(OR($A84="",AG$4=""),0,COUNTIFS(Formulas!$A$2:$A$1501,AG$4,Formulas!$B$2:$B$1501,$A84))</f>
        <v>0</v>
      </c>
      <c r="AH84" s="21" t="n">
        <f aca="false">IF(OR($A84="",AH$4=""),0,COUNTIFS(Formulas!$A$2:$A$1501,AH$4,Formulas!$B$2:$B$1501,$A84))</f>
        <v>0</v>
      </c>
      <c r="AI84" s="21" t="n">
        <f aca="false">IF(OR($A84="",AI$4=""),0,COUNTIFS(Formulas!$A$2:$A$1501,AI$4,Formulas!$B$2:$B$1501,$A84))</f>
        <v>0</v>
      </c>
      <c r="AJ84" s="21" t="n">
        <f aca="false">IF(OR($A84="",AJ$4=""),0,COUNTIFS(Formulas!$A$2:$A$1501,AJ$4,Formulas!$B$2:$B$1501,$A84))</f>
        <v>0</v>
      </c>
      <c r="AK84" s="21" t="n">
        <f aca="false">IF(OR($A84="",AK$4=""),0,COUNTIFS(Formulas!$A$2:$A$1501,AK$4,Formulas!$B$2:$B$1501,$A84))</f>
        <v>0</v>
      </c>
      <c r="AL84" s="21" t="n">
        <f aca="false">IF(OR($A84="",AL$4=""),0,COUNTIFS(Formulas!$A$2:$A$1501,AL$4,Formulas!$B$2:$B$1501,$A84))</f>
        <v>0</v>
      </c>
      <c r="AM84" s="21" t="n">
        <f aca="false">IF(OR($A84="",AM$4=""),0,COUNTIFS(Formulas!$A$2:$A$1501,AM$4,Formulas!$B$2:$B$1501,$A84))</f>
        <v>0</v>
      </c>
      <c r="AN84" s="21" t="n">
        <f aca="false">IF(OR($A84="",AN$4=""),0,COUNTIFS(Formulas!$A$2:$A$1501,AN$4,Formulas!$B$2:$B$1501,$A84))</f>
        <v>0</v>
      </c>
      <c r="AO84" s="21" t="n">
        <f aca="false">IF(OR($A84="",AO$4=""),0,COUNTIFS(Formulas!$A$2:$A$1501,AO$4,Formulas!$B$2:$B$1501,$A84))</f>
        <v>0</v>
      </c>
      <c r="AP84" s="21" t="n">
        <f aca="false">IF(OR($A84="",AP$4=""),0,COUNTIFS(Formulas!$A$2:$A$1501,AP$4,Formulas!$B$2:$B$1501,$A84))</f>
        <v>0</v>
      </c>
      <c r="AQ84" s="21" t="n">
        <f aca="false">IF(OR($A84="",AQ$4=""),0,COUNTIFS(Formulas!$A$2:$A$1501,AQ$4,Formulas!$B$2:$B$1501,$A84))</f>
        <v>0</v>
      </c>
      <c r="AR84" s="21" t="n">
        <f aca="false">IF(OR($A84="",AR$4=""),0,COUNTIFS(Formulas!$A$2:$A$1501,AR$4,Formulas!$B$2:$B$1501,$A84))</f>
        <v>0</v>
      </c>
      <c r="AS84" s="21" t="n">
        <f aca="false">IF(OR($A84="",AS$4=""),0,COUNTIFS(Formulas!$A$2:$A$1501,AS$4,Formulas!$B$2:$B$1501,$A84))</f>
        <v>0</v>
      </c>
      <c r="AT84" s="21" t="n">
        <f aca="false">IF(OR($A84="",AT$4=""),0,COUNTIFS(Formulas!$A$2:$A$1501,AT$4,Formulas!$B$2:$B$1501,$A84))</f>
        <v>0</v>
      </c>
      <c r="AU84" s="21" t="n">
        <f aca="false">IF(OR($A84="",AU$4=""),0,COUNTIFS(Formulas!$A$2:$A$1501,AU$4,Formulas!$B$2:$B$1501,$A84))</f>
        <v>0</v>
      </c>
      <c r="AV84" s="21" t="n">
        <f aca="false">IF(OR($A84="",AV$4=""),0,COUNTIFS(Formulas!$A$2:$A$1501,AV$4,Formulas!$B$2:$B$1501,$A84))</f>
        <v>0</v>
      </c>
      <c r="AW84" s="21" t="n">
        <f aca="false">IF(OR($A84="",AW$4=""),0,COUNTIFS(Formulas!$A$2:$A$1501,AW$4,Formulas!$B$2:$B$1501,$A84))</f>
        <v>0</v>
      </c>
      <c r="AX84" s="21" t="n">
        <f aca="false">IF(OR($A84="",AX$4=""),0,COUNTIFS(Formulas!$A$2:$A$1501,AX$4,Formulas!$B$2:$B$1501,$A84))</f>
        <v>0</v>
      </c>
      <c r="AY84" s="21" t="n">
        <f aca="false">IF(OR($A84="",AY$4=""),0,COUNTIFS(Formulas!$A$2:$A$1501,AY$4,Formulas!$B$2:$B$1501,$A84))</f>
        <v>0</v>
      </c>
      <c r="AZ84" s="21" t="n">
        <f aca="false">IF(OR($A84="",AZ$4=""),0,COUNTIFS(Formulas!$A$2:$A$1501,AZ$4,Formulas!$B$2:$B$1501,$A84))</f>
        <v>0</v>
      </c>
      <c r="BA84" s="21" t="n">
        <f aca="false">IF(OR($A84="",BA$4=""),0,COUNTIFS(Formulas!$A$2:$A$1501,BA$4,Formulas!$B$2:$B$1501,$A84))</f>
        <v>0</v>
      </c>
      <c r="BB84" s="21" t="n">
        <f aca="false">IF(OR($A84="",BB$4=""),0,COUNTIFS(Formulas!$A$2:$A$1501,BB$4,Formulas!$B$2:$B$1501,$A84))</f>
        <v>0</v>
      </c>
      <c r="BC84" s="21" t="n">
        <f aca="false">IF(OR($A84="",BC$4=""),0,COUNTIFS(Formulas!$A$2:$A$1501,BC$4,Formulas!$B$2:$B$1501,$A84))</f>
        <v>0</v>
      </c>
      <c r="BD84" s="21" t="n">
        <f aca="false">IF(OR($A84="",BD$4=""),0,COUNTIFS(Formulas!$A$2:$A$1501,BD$4,Formulas!$B$2:$B$1501,$A84))</f>
        <v>0</v>
      </c>
      <c r="BE84" s="21" t="n">
        <f aca="false">IF(OR($A84="",BE$4=""),0,COUNTIFS(Formulas!$A$2:$A$1501,BE$4,Formulas!$B$2:$B$1501,$A84))</f>
        <v>0</v>
      </c>
      <c r="BF84" s="21" t="n">
        <f aca="false">IF(OR($A84="",BF$4=""),0,COUNTIFS(Formulas!$A$2:$A$1501,BF$4,Formulas!$B$2:$B$1501,$A84))</f>
        <v>0</v>
      </c>
      <c r="BG84" s="21" t="n">
        <f aca="false">IF(OR($A84="",BG$4=""),0,COUNTIFS(Formulas!$A$2:$A$1501,BG$4,Formulas!$B$2:$B$1501,$A84))</f>
        <v>0</v>
      </c>
      <c r="BH84" s="21" t="n">
        <f aca="false">IF(OR($A84="",BH$4=""),0,COUNTIFS(Formulas!$A$2:$A$1501,BH$4,Formulas!$B$2:$B$1501,$A84))</f>
        <v>0</v>
      </c>
      <c r="BI84" s="21" t="n">
        <f aca="false">IF(OR($A84="",BI$4=""),0,COUNTIFS(Formulas!$A$2:$A$1501,BI$4,Formulas!$B$2:$B$1501,$A84))</f>
        <v>0</v>
      </c>
      <c r="BJ84" s="21" t="n">
        <f aca="false">IF(OR($A84="",BJ$4=""),0,COUNTIFS(Formulas!$A$2:$A$1501,BJ$4,Formulas!$B$2:$B$1501,$A84))</f>
        <v>0</v>
      </c>
    </row>
    <row r="85" customFormat="false" ht="15" hidden="false" customHeight="false" outlineLevel="0" collapsed="false">
      <c r="A85" s="13" t="str">
        <f aca="false">IF(INDEX(Materials!$A$2:$A$201,81)="","",INDEX(Materials!$A$2:$A$201,81))</f>
        <v/>
      </c>
      <c r="B85" s="19" t="str">
        <f aca="false">IF(A85="","",COUNTIF(C85:BJ85,"&gt;0"))</f>
        <v/>
      </c>
      <c r="C85" s="21" t="n">
        <f aca="false">IF(OR($A85="",C$4=""),0,COUNTIFS(Formulas!$A$2:$A$1501,C$4,Formulas!$B$2:$B$1501,$A85))</f>
        <v>0</v>
      </c>
      <c r="D85" s="21" t="n">
        <f aca="false">IF(OR($A85="",D$4=""),0,COUNTIFS(Formulas!$A$2:$A$1501,D$4,Formulas!$B$2:$B$1501,$A85))</f>
        <v>0</v>
      </c>
      <c r="E85" s="21" t="n">
        <f aca="false">IF(OR($A85="",E$4=""),0,COUNTIFS(Formulas!$A$2:$A$1501,E$4,Formulas!$B$2:$B$1501,$A85))</f>
        <v>0</v>
      </c>
      <c r="F85" s="21" t="n">
        <f aca="false">IF(OR($A85="",F$4=""),0,COUNTIFS(Formulas!$A$2:$A$1501,F$4,Formulas!$B$2:$B$1501,$A85))</f>
        <v>0</v>
      </c>
      <c r="G85" s="21" t="n">
        <f aca="false">IF(OR($A85="",G$4=""),0,COUNTIFS(Formulas!$A$2:$A$1501,G$4,Formulas!$B$2:$B$1501,$A85))</f>
        <v>0</v>
      </c>
      <c r="H85" s="21" t="n">
        <f aca="false">IF(OR($A85="",H$4=""),0,COUNTIFS(Formulas!$A$2:$A$1501,H$4,Formulas!$B$2:$B$1501,$A85))</f>
        <v>0</v>
      </c>
      <c r="I85" s="21" t="n">
        <f aca="false">IF(OR($A85="",I$4=""),0,COUNTIFS(Formulas!$A$2:$A$1501,I$4,Formulas!$B$2:$B$1501,$A85))</f>
        <v>0</v>
      </c>
      <c r="J85" s="21" t="n">
        <f aca="false">IF(OR($A85="",J$4=""),0,COUNTIFS(Formulas!$A$2:$A$1501,J$4,Formulas!$B$2:$B$1501,$A85))</f>
        <v>0</v>
      </c>
      <c r="K85" s="21" t="n">
        <f aca="false">IF(OR($A85="",K$4=""),0,COUNTIFS(Formulas!$A$2:$A$1501,K$4,Formulas!$B$2:$B$1501,$A85))</f>
        <v>0</v>
      </c>
      <c r="L85" s="21" t="n">
        <f aca="false">IF(OR($A85="",L$4=""),0,COUNTIFS(Formulas!$A$2:$A$1501,L$4,Formulas!$B$2:$B$1501,$A85))</f>
        <v>0</v>
      </c>
      <c r="M85" s="21" t="n">
        <f aca="false">IF(OR($A85="",M$4=""),0,COUNTIFS(Formulas!$A$2:$A$1501,M$4,Formulas!$B$2:$B$1501,$A85))</f>
        <v>0</v>
      </c>
      <c r="N85" s="21" t="n">
        <f aca="false">IF(OR($A85="",N$4=""),0,COUNTIFS(Formulas!$A$2:$A$1501,N$4,Formulas!$B$2:$B$1501,$A85))</f>
        <v>0</v>
      </c>
      <c r="O85" s="21" t="n">
        <f aca="false">IF(OR($A85="",O$4=""),0,COUNTIFS(Formulas!$A$2:$A$1501,O$4,Formulas!$B$2:$B$1501,$A85))</f>
        <v>0</v>
      </c>
      <c r="P85" s="21" t="n">
        <f aca="false">IF(OR($A85="",P$4=""),0,COUNTIFS(Formulas!$A$2:$A$1501,P$4,Formulas!$B$2:$B$1501,$A85))</f>
        <v>0</v>
      </c>
      <c r="Q85" s="21" t="n">
        <f aca="false">IF(OR($A85="",Q$4=""),0,COUNTIFS(Formulas!$A$2:$A$1501,Q$4,Formulas!$B$2:$B$1501,$A85))</f>
        <v>0</v>
      </c>
      <c r="R85" s="21" t="n">
        <f aca="false">IF(OR($A85="",R$4=""),0,COUNTIFS(Formulas!$A$2:$A$1501,R$4,Formulas!$B$2:$B$1501,$A85))</f>
        <v>0</v>
      </c>
      <c r="S85" s="21" t="n">
        <f aca="false">IF(OR($A85="",S$4=""),0,COUNTIFS(Formulas!$A$2:$A$1501,S$4,Formulas!$B$2:$B$1501,$A85))</f>
        <v>0</v>
      </c>
      <c r="T85" s="21" t="n">
        <f aca="false">IF(OR($A85="",T$4=""),0,COUNTIFS(Formulas!$A$2:$A$1501,T$4,Formulas!$B$2:$B$1501,$A85))</f>
        <v>0</v>
      </c>
      <c r="U85" s="21" t="n">
        <f aca="false">IF(OR($A85="",U$4=""),0,COUNTIFS(Formulas!$A$2:$A$1501,U$4,Formulas!$B$2:$B$1501,$A85))</f>
        <v>0</v>
      </c>
      <c r="V85" s="21" t="n">
        <f aca="false">IF(OR($A85="",V$4=""),0,COUNTIFS(Formulas!$A$2:$A$1501,V$4,Formulas!$B$2:$B$1501,$A85))</f>
        <v>0</v>
      </c>
      <c r="W85" s="21" t="n">
        <f aca="false">IF(OR($A85="",W$4=""),0,COUNTIFS(Formulas!$A$2:$A$1501,W$4,Formulas!$B$2:$B$1501,$A85))</f>
        <v>0</v>
      </c>
      <c r="X85" s="21" t="n">
        <f aca="false">IF(OR($A85="",X$4=""),0,COUNTIFS(Formulas!$A$2:$A$1501,X$4,Formulas!$B$2:$B$1501,$A85))</f>
        <v>0</v>
      </c>
      <c r="Y85" s="21" t="n">
        <f aca="false">IF(OR($A85="",Y$4=""),0,COUNTIFS(Formulas!$A$2:$A$1501,Y$4,Formulas!$B$2:$B$1501,$A85))</f>
        <v>0</v>
      </c>
      <c r="Z85" s="21" t="n">
        <f aca="false">IF(OR($A85="",Z$4=""),0,COUNTIFS(Formulas!$A$2:$A$1501,Z$4,Formulas!$B$2:$B$1501,$A85))</f>
        <v>0</v>
      </c>
      <c r="AA85" s="21" t="n">
        <f aca="false">IF(OR($A85="",AA$4=""),0,COUNTIFS(Formulas!$A$2:$A$1501,AA$4,Formulas!$B$2:$B$1501,$A85))</f>
        <v>0</v>
      </c>
      <c r="AB85" s="21" t="n">
        <f aca="false">IF(OR($A85="",AB$4=""),0,COUNTIFS(Formulas!$A$2:$A$1501,AB$4,Formulas!$B$2:$B$1501,$A85))</f>
        <v>0</v>
      </c>
      <c r="AC85" s="21" t="n">
        <f aca="false">IF(OR($A85="",AC$4=""),0,COUNTIFS(Formulas!$A$2:$A$1501,AC$4,Formulas!$B$2:$B$1501,$A85))</f>
        <v>0</v>
      </c>
      <c r="AD85" s="21" t="n">
        <f aca="false">IF(OR($A85="",AD$4=""),0,COUNTIFS(Formulas!$A$2:$A$1501,AD$4,Formulas!$B$2:$B$1501,$A85))</f>
        <v>0</v>
      </c>
      <c r="AE85" s="21" t="n">
        <f aca="false">IF(OR($A85="",AE$4=""),0,COUNTIFS(Formulas!$A$2:$A$1501,AE$4,Formulas!$B$2:$B$1501,$A85))</f>
        <v>0</v>
      </c>
      <c r="AF85" s="21" t="n">
        <f aca="false">IF(OR($A85="",AF$4=""),0,COUNTIFS(Formulas!$A$2:$A$1501,AF$4,Formulas!$B$2:$B$1501,$A85))</f>
        <v>0</v>
      </c>
      <c r="AG85" s="21" t="n">
        <f aca="false">IF(OR($A85="",AG$4=""),0,COUNTIFS(Formulas!$A$2:$A$1501,AG$4,Formulas!$B$2:$B$1501,$A85))</f>
        <v>0</v>
      </c>
      <c r="AH85" s="21" t="n">
        <f aca="false">IF(OR($A85="",AH$4=""),0,COUNTIFS(Formulas!$A$2:$A$1501,AH$4,Formulas!$B$2:$B$1501,$A85))</f>
        <v>0</v>
      </c>
      <c r="AI85" s="21" t="n">
        <f aca="false">IF(OR($A85="",AI$4=""),0,COUNTIFS(Formulas!$A$2:$A$1501,AI$4,Formulas!$B$2:$B$1501,$A85))</f>
        <v>0</v>
      </c>
      <c r="AJ85" s="21" t="n">
        <f aca="false">IF(OR($A85="",AJ$4=""),0,COUNTIFS(Formulas!$A$2:$A$1501,AJ$4,Formulas!$B$2:$B$1501,$A85))</f>
        <v>0</v>
      </c>
      <c r="AK85" s="21" t="n">
        <f aca="false">IF(OR($A85="",AK$4=""),0,COUNTIFS(Formulas!$A$2:$A$1501,AK$4,Formulas!$B$2:$B$1501,$A85))</f>
        <v>0</v>
      </c>
      <c r="AL85" s="21" t="n">
        <f aca="false">IF(OR($A85="",AL$4=""),0,COUNTIFS(Formulas!$A$2:$A$1501,AL$4,Formulas!$B$2:$B$1501,$A85))</f>
        <v>0</v>
      </c>
      <c r="AM85" s="21" t="n">
        <f aca="false">IF(OR($A85="",AM$4=""),0,COUNTIFS(Formulas!$A$2:$A$1501,AM$4,Formulas!$B$2:$B$1501,$A85))</f>
        <v>0</v>
      </c>
      <c r="AN85" s="21" t="n">
        <f aca="false">IF(OR($A85="",AN$4=""),0,COUNTIFS(Formulas!$A$2:$A$1501,AN$4,Formulas!$B$2:$B$1501,$A85))</f>
        <v>0</v>
      </c>
      <c r="AO85" s="21" t="n">
        <f aca="false">IF(OR($A85="",AO$4=""),0,COUNTIFS(Formulas!$A$2:$A$1501,AO$4,Formulas!$B$2:$B$1501,$A85))</f>
        <v>0</v>
      </c>
      <c r="AP85" s="21" t="n">
        <f aca="false">IF(OR($A85="",AP$4=""),0,COUNTIFS(Formulas!$A$2:$A$1501,AP$4,Formulas!$B$2:$B$1501,$A85))</f>
        <v>0</v>
      </c>
      <c r="AQ85" s="21" t="n">
        <f aca="false">IF(OR($A85="",AQ$4=""),0,COUNTIFS(Formulas!$A$2:$A$1501,AQ$4,Formulas!$B$2:$B$1501,$A85))</f>
        <v>0</v>
      </c>
      <c r="AR85" s="21" t="n">
        <f aca="false">IF(OR($A85="",AR$4=""),0,COUNTIFS(Formulas!$A$2:$A$1501,AR$4,Formulas!$B$2:$B$1501,$A85))</f>
        <v>0</v>
      </c>
      <c r="AS85" s="21" t="n">
        <f aca="false">IF(OR($A85="",AS$4=""),0,COUNTIFS(Formulas!$A$2:$A$1501,AS$4,Formulas!$B$2:$B$1501,$A85))</f>
        <v>0</v>
      </c>
      <c r="AT85" s="21" t="n">
        <f aca="false">IF(OR($A85="",AT$4=""),0,COUNTIFS(Formulas!$A$2:$A$1501,AT$4,Formulas!$B$2:$B$1501,$A85))</f>
        <v>0</v>
      </c>
      <c r="AU85" s="21" t="n">
        <f aca="false">IF(OR($A85="",AU$4=""),0,COUNTIFS(Formulas!$A$2:$A$1501,AU$4,Formulas!$B$2:$B$1501,$A85))</f>
        <v>0</v>
      </c>
      <c r="AV85" s="21" t="n">
        <f aca="false">IF(OR($A85="",AV$4=""),0,COUNTIFS(Formulas!$A$2:$A$1501,AV$4,Formulas!$B$2:$B$1501,$A85))</f>
        <v>0</v>
      </c>
      <c r="AW85" s="21" t="n">
        <f aca="false">IF(OR($A85="",AW$4=""),0,COUNTIFS(Formulas!$A$2:$A$1501,AW$4,Formulas!$B$2:$B$1501,$A85))</f>
        <v>0</v>
      </c>
      <c r="AX85" s="21" t="n">
        <f aca="false">IF(OR($A85="",AX$4=""),0,COUNTIFS(Formulas!$A$2:$A$1501,AX$4,Formulas!$B$2:$B$1501,$A85))</f>
        <v>0</v>
      </c>
      <c r="AY85" s="21" t="n">
        <f aca="false">IF(OR($A85="",AY$4=""),0,COUNTIFS(Formulas!$A$2:$A$1501,AY$4,Formulas!$B$2:$B$1501,$A85))</f>
        <v>0</v>
      </c>
      <c r="AZ85" s="21" t="n">
        <f aca="false">IF(OR($A85="",AZ$4=""),0,COUNTIFS(Formulas!$A$2:$A$1501,AZ$4,Formulas!$B$2:$B$1501,$A85))</f>
        <v>0</v>
      </c>
      <c r="BA85" s="21" t="n">
        <f aca="false">IF(OR($A85="",BA$4=""),0,COUNTIFS(Formulas!$A$2:$A$1501,BA$4,Formulas!$B$2:$B$1501,$A85))</f>
        <v>0</v>
      </c>
      <c r="BB85" s="21" t="n">
        <f aca="false">IF(OR($A85="",BB$4=""),0,COUNTIFS(Formulas!$A$2:$A$1501,BB$4,Formulas!$B$2:$B$1501,$A85))</f>
        <v>0</v>
      </c>
      <c r="BC85" s="21" t="n">
        <f aca="false">IF(OR($A85="",BC$4=""),0,COUNTIFS(Formulas!$A$2:$A$1501,BC$4,Formulas!$B$2:$B$1501,$A85))</f>
        <v>0</v>
      </c>
      <c r="BD85" s="21" t="n">
        <f aca="false">IF(OR($A85="",BD$4=""),0,COUNTIFS(Formulas!$A$2:$A$1501,BD$4,Formulas!$B$2:$B$1501,$A85))</f>
        <v>0</v>
      </c>
      <c r="BE85" s="21" t="n">
        <f aca="false">IF(OR($A85="",BE$4=""),0,COUNTIFS(Formulas!$A$2:$A$1501,BE$4,Formulas!$B$2:$B$1501,$A85))</f>
        <v>0</v>
      </c>
      <c r="BF85" s="21" t="n">
        <f aca="false">IF(OR($A85="",BF$4=""),0,COUNTIFS(Formulas!$A$2:$A$1501,BF$4,Formulas!$B$2:$B$1501,$A85))</f>
        <v>0</v>
      </c>
      <c r="BG85" s="21" t="n">
        <f aca="false">IF(OR($A85="",BG$4=""),0,COUNTIFS(Formulas!$A$2:$A$1501,BG$4,Formulas!$B$2:$B$1501,$A85))</f>
        <v>0</v>
      </c>
      <c r="BH85" s="21" t="n">
        <f aca="false">IF(OR($A85="",BH$4=""),0,COUNTIFS(Formulas!$A$2:$A$1501,BH$4,Formulas!$B$2:$B$1501,$A85))</f>
        <v>0</v>
      </c>
      <c r="BI85" s="21" t="n">
        <f aca="false">IF(OR($A85="",BI$4=""),0,COUNTIFS(Formulas!$A$2:$A$1501,BI$4,Formulas!$B$2:$B$1501,$A85))</f>
        <v>0</v>
      </c>
      <c r="BJ85" s="21" t="n">
        <f aca="false">IF(OR($A85="",BJ$4=""),0,COUNTIFS(Formulas!$A$2:$A$1501,BJ$4,Formulas!$B$2:$B$1501,$A85))</f>
        <v>0</v>
      </c>
    </row>
    <row r="86" customFormat="false" ht="15" hidden="false" customHeight="false" outlineLevel="0" collapsed="false">
      <c r="A86" s="13" t="str">
        <f aca="false">IF(INDEX(Materials!$A$2:$A$201,82)="","",INDEX(Materials!$A$2:$A$201,82))</f>
        <v/>
      </c>
      <c r="B86" s="19" t="str">
        <f aca="false">IF(A86="","",COUNTIF(C86:BJ86,"&gt;0"))</f>
        <v/>
      </c>
      <c r="C86" s="21" t="n">
        <f aca="false">IF(OR($A86="",C$4=""),0,COUNTIFS(Formulas!$A$2:$A$1501,C$4,Formulas!$B$2:$B$1501,$A86))</f>
        <v>0</v>
      </c>
      <c r="D86" s="21" t="n">
        <f aca="false">IF(OR($A86="",D$4=""),0,COUNTIFS(Formulas!$A$2:$A$1501,D$4,Formulas!$B$2:$B$1501,$A86))</f>
        <v>0</v>
      </c>
      <c r="E86" s="21" t="n">
        <f aca="false">IF(OR($A86="",E$4=""),0,COUNTIFS(Formulas!$A$2:$A$1501,E$4,Formulas!$B$2:$B$1501,$A86))</f>
        <v>0</v>
      </c>
      <c r="F86" s="21" t="n">
        <f aca="false">IF(OR($A86="",F$4=""),0,COUNTIFS(Formulas!$A$2:$A$1501,F$4,Formulas!$B$2:$B$1501,$A86))</f>
        <v>0</v>
      </c>
      <c r="G86" s="21" t="n">
        <f aca="false">IF(OR($A86="",G$4=""),0,COUNTIFS(Formulas!$A$2:$A$1501,G$4,Formulas!$B$2:$B$1501,$A86))</f>
        <v>0</v>
      </c>
      <c r="H86" s="21" t="n">
        <f aca="false">IF(OR($A86="",H$4=""),0,COUNTIFS(Formulas!$A$2:$A$1501,H$4,Formulas!$B$2:$B$1501,$A86))</f>
        <v>0</v>
      </c>
      <c r="I86" s="21" t="n">
        <f aca="false">IF(OR($A86="",I$4=""),0,COUNTIFS(Formulas!$A$2:$A$1501,I$4,Formulas!$B$2:$B$1501,$A86))</f>
        <v>0</v>
      </c>
      <c r="J86" s="21" t="n">
        <f aca="false">IF(OR($A86="",J$4=""),0,COUNTIFS(Formulas!$A$2:$A$1501,J$4,Formulas!$B$2:$B$1501,$A86))</f>
        <v>0</v>
      </c>
      <c r="K86" s="21" t="n">
        <f aca="false">IF(OR($A86="",K$4=""),0,COUNTIFS(Formulas!$A$2:$A$1501,K$4,Formulas!$B$2:$B$1501,$A86))</f>
        <v>0</v>
      </c>
      <c r="L86" s="21" t="n">
        <f aca="false">IF(OR($A86="",L$4=""),0,COUNTIFS(Formulas!$A$2:$A$1501,L$4,Formulas!$B$2:$B$1501,$A86))</f>
        <v>0</v>
      </c>
      <c r="M86" s="21" t="n">
        <f aca="false">IF(OR($A86="",M$4=""),0,COUNTIFS(Formulas!$A$2:$A$1501,M$4,Formulas!$B$2:$B$1501,$A86))</f>
        <v>0</v>
      </c>
      <c r="N86" s="21" t="n">
        <f aca="false">IF(OR($A86="",N$4=""),0,COUNTIFS(Formulas!$A$2:$A$1501,N$4,Formulas!$B$2:$B$1501,$A86))</f>
        <v>0</v>
      </c>
      <c r="O86" s="21" t="n">
        <f aca="false">IF(OR($A86="",O$4=""),0,COUNTIFS(Formulas!$A$2:$A$1501,O$4,Formulas!$B$2:$B$1501,$A86))</f>
        <v>0</v>
      </c>
      <c r="P86" s="21" t="n">
        <f aca="false">IF(OR($A86="",P$4=""),0,COUNTIFS(Formulas!$A$2:$A$1501,P$4,Formulas!$B$2:$B$1501,$A86))</f>
        <v>0</v>
      </c>
      <c r="Q86" s="21" t="n">
        <f aca="false">IF(OR($A86="",Q$4=""),0,COUNTIFS(Formulas!$A$2:$A$1501,Q$4,Formulas!$B$2:$B$1501,$A86))</f>
        <v>0</v>
      </c>
      <c r="R86" s="21" t="n">
        <f aca="false">IF(OR($A86="",R$4=""),0,COUNTIFS(Formulas!$A$2:$A$1501,R$4,Formulas!$B$2:$B$1501,$A86))</f>
        <v>0</v>
      </c>
      <c r="S86" s="21" t="n">
        <f aca="false">IF(OR($A86="",S$4=""),0,COUNTIFS(Formulas!$A$2:$A$1501,S$4,Formulas!$B$2:$B$1501,$A86))</f>
        <v>0</v>
      </c>
      <c r="T86" s="21" t="n">
        <f aca="false">IF(OR($A86="",T$4=""),0,COUNTIFS(Formulas!$A$2:$A$1501,T$4,Formulas!$B$2:$B$1501,$A86))</f>
        <v>0</v>
      </c>
      <c r="U86" s="21" t="n">
        <f aca="false">IF(OR($A86="",U$4=""),0,COUNTIFS(Formulas!$A$2:$A$1501,U$4,Formulas!$B$2:$B$1501,$A86))</f>
        <v>0</v>
      </c>
      <c r="V86" s="21" t="n">
        <f aca="false">IF(OR($A86="",V$4=""),0,COUNTIFS(Formulas!$A$2:$A$1501,V$4,Formulas!$B$2:$B$1501,$A86))</f>
        <v>0</v>
      </c>
      <c r="W86" s="21" t="n">
        <f aca="false">IF(OR($A86="",W$4=""),0,COUNTIFS(Formulas!$A$2:$A$1501,W$4,Formulas!$B$2:$B$1501,$A86))</f>
        <v>0</v>
      </c>
      <c r="X86" s="21" t="n">
        <f aca="false">IF(OR($A86="",X$4=""),0,COUNTIFS(Formulas!$A$2:$A$1501,X$4,Formulas!$B$2:$B$1501,$A86))</f>
        <v>0</v>
      </c>
      <c r="Y86" s="21" t="n">
        <f aca="false">IF(OR($A86="",Y$4=""),0,COUNTIFS(Formulas!$A$2:$A$1501,Y$4,Formulas!$B$2:$B$1501,$A86))</f>
        <v>0</v>
      </c>
      <c r="Z86" s="21" t="n">
        <f aca="false">IF(OR($A86="",Z$4=""),0,COUNTIFS(Formulas!$A$2:$A$1501,Z$4,Formulas!$B$2:$B$1501,$A86))</f>
        <v>0</v>
      </c>
      <c r="AA86" s="21" t="n">
        <f aca="false">IF(OR($A86="",AA$4=""),0,COUNTIFS(Formulas!$A$2:$A$1501,AA$4,Formulas!$B$2:$B$1501,$A86))</f>
        <v>0</v>
      </c>
      <c r="AB86" s="21" t="n">
        <f aca="false">IF(OR($A86="",AB$4=""),0,COUNTIFS(Formulas!$A$2:$A$1501,AB$4,Formulas!$B$2:$B$1501,$A86))</f>
        <v>0</v>
      </c>
      <c r="AC86" s="21" t="n">
        <f aca="false">IF(OR($A86="",AC$4=""),0,COUNTIFS(Formulas!$A$2:$A$1501,AC$4,Formulas!$B$2:$B$1501,$A86))</f>
        <v>0</v>
      </c>
      <c r="AD86" s="21" t="n">
        <f aca="false">IF(OR($A86="",AD$4=""),0,COUNTIFS(Formulas!$A$2:$A$1501,AD$4,Formulas!$B$2:$B$1501,$A86))</f>
        <v>0</v>
      </c>
      <c r="AE86" s="21" t="n">
        <f aca="false">IF(OR($A86="",AE$4=""),0,COUNTIFS(Formulas!$A$2:$A$1501,AE$4,Formulas!$B$2:$B$1501,$A86))</f>
        <v>0</v>
      </c>
      <c r="AF86" s="21" t="n">
        <f aca="false">IF(OR($A86="",AF$4=""),0,COUNTIFS(Formulas!$A$2:$A$1501,AF$4,Formulas!$B$2:$B$1501,$A86))</f>
        <v>0</v>
      </c>
      <c r="AG86" s="21" t="n">
        <f aca="false">IF(OR($A86="",AG$4=""),0,COUNTIFS(Formulas!$A$2:$A$1501,AG$4,Formulas!$B$2:$B$1501,$A86))</f>
        <v>0</v>
      </c>
      <c r="AH86" s="21" t="n">
        <f aca="false">IF(OR($A86="",AH$4=""),0,COUNTIFS(Formulas!$A$2:$A$1501,AH$4,Formulas!$B$2:$B$1501,$A86))</f>
        <v>0</v>
      </c>
      <c r="AI86" s="21" t="n">
        <f aca="false">IF(OR($A86="",AI$4=""),0,COUNTIFS(Formulas!$A$2:$A$1501,AI$4,Formulas!$B$2:$B$1501,$A86))</f>
        <v>0</v>
      </c>
      <c r="AJ86" s="21" t="n">
        <f aca="false">IF(OR($A86="",AJ$4=""),0,COUNTIFS(Formulas!$A$2:$A$1501,AJ$4,Formulas!$B$2:$B$1501,$A86))</f>
        <v>0</v>
      </c>
      <c r="AK86" s="21" t="n">
        <f aca="false">IF(OR($A86="",AK$4=""),0,COUNTIFS(Formulas!$A$2:$A$1501,AK$4,Formulas!$B$2:$B$1501,$A86))</f>
        <v>0</v>
      </c>
      <c r="AL86" s="21" t="n">
        <f aca="false">IF(OR($A86="",AL$4=""),0,COUNTIFS(Formulas!$A$2:$A$1501,AL$4,Formulas!$B$2:$B$1501,$A86))</f>
        <v>0</v>
      </c>
      <c r="AM86" s="21" t="n">
        <f aca="false">IF(OR($A86="",AM$4=""),0,COUNTIFS(Formulas!$A$2:$A$1501,AM$4,Formulas!$B$2:$B$1501,$A86))</f>
        <v>0</v>
      </c>
      <c r="AN86" s="21" t="n">
        <f aca="false">IF(OR($A86="",AN$4=""),0,COUNTIFS(Formulas!$A$2:$A$1501,AN$4,Formulas!$B$2:$B$1501,$A86))</f>
        <v>0</v>
      </c>
      <c r="AO86" s="21" t="n">
        <f aca="false">IF(OR($A86="",AO$4=""),0,COUNTIFS(Formulas!$A$2:$A$1501,AO$4,Formulas!$B$2:$B$1501,$A86))</f>
        <v>0</v>
      </c>
      <c r="AP86" s="21" t="n">
        <f aca="false">IF(OR($A86="",AP$4=""),0,COUNTIFS(Formulas!$A$2:$A$1501,AP$4,Formulas!$B$2:$B$1501,$A86))</f>
        <v>0</v>
      </c>
      <c r="AQ86" s="21" t="n">
        <f aca="false">IF(OR($A86="",AQ$4=""),0,COUNTIFS(Formulas!$A$2:$A$1501,AQ$4,Formulas!$B$2:$B$1501,$A86))</f>
        <v>0</v>
      </c>
      <c r="AR86" s="21" t="n">
        <f aca="false">IF(OR($A86="",AR$4=""),0,COUNTIFS(Formulas!$A$2:$A$1501,AR$4,Formulas!$B$2:$B$1501,$A86))</f>
        <v>0</v>
      </c>
      <c r="AS86" s="21" t="n">
        <f aca="false">IF(OR($A86="",AS$4=""),0,COUNTIFS(Formulas!$A$2:$A$1501,AS$4,Formulas!$B$2:$B$1501,$A86))</f>
        <v>0</v>
      </c>
      <c r="AT86" s="21" t="n">
        <f aca="false">IF(OR($A86="",AT$4=""),0,COUNTIFS(Formulas!$A$2:$A$1501,AT$4,Formulas!$B$2:$B$1501,$A86))</f>
        <v>0</v>
      </c>
      <c r="AU86" s="21" t="n">
        <f aca="false">IF(OR($A86="",AU$4=""),0,COUNTIFS(Formulas!$A$2:$A$1501,AU$4,Formulas!$B$2:$B$1501,$A86))</f>
        <v>0</v>
      </c>
      <c r="AV86" s="21" t="n">
        <f aca="false">IF(OR($A86="",AV$4=""),0,COUNTIFS(Formulas!$A$2:$A$1501,AV$4,Formulas!$B$2:$B$1501,$A86))</f>
        <v>0</v>
      </c>
      <c r="AW86" s="21" t="n">
        <f aca="false">IF(OR($A86="",AW$4=""),0,COUNTIFS(Formulas!$A$2:$A$1501,AW$4,Formulas!$B$2:$B$1501,$A86))</f>
        <v>0</v>
      </c>
      <c r="AX86" s="21" t="n">
        <f aca="false">IF(OR($A86="",AX$4=""),0,COUNTIFS(Formulas!$A$2:$A$1501,AX$4,Formulas!$B$2:$B$1501,$A86))</f>
        <v>0</v>
      </c>
      <c r="AY86" s="21" t="n">
        <f aca="false">IF(OR($A86="",AY$4=""),0,COUNTIFS(Formulas!$A$2:$A$1501,AY$4,Formulas!$B$2:$B$1501,$A86))</f>
        <v>0</v>
      </c>
      <c r="AZ86" s="21" t="n">
        <f aca="false">IF(OR($A86="",AZ$4=""),0,COUNTIFS(Formulas!$A$2:$A$1501,AZ$4,Formulas!$B$2:$B$1501,$A86))</f>
        <v>0</v>
      </c>
      <c r="BA86" s="21" t="n">
        <f aca="false">IF(OR($A86="",BA$4=""),0,COUNTIFS(Formulas!$A$2:$A$1501,BA$4,Formulas!$B$2:$B$1501,$A86))</f>
        <v>0</v>
      </c>
      <c r="BB86" s="21" t="n">
        <f aca="false">IF(OR($A86="",BB$4=""),0,COUNTIFS(Formulas!$A$2:$A$1501,BB$4,Formulas!$B$2:$B$1501,$A86))</f>
        <v>0</v>
      </c>
      <c r="BC86" s="21" t="n">
        <f aca="false">IF(OR($A86="",BC$4=""),0,COUNTIFS(Formulas!$A$2:$A$1501,BC$4,Formulas!$B$2:$B$1501,$A86))</f>
        <v>0</v>
      </c>
      <c r="BD86" s="21" t="n">
        <f aca="false">IF(OR($A86="",BD$4=""),0,COUNTIFS(Formulas!$A$2:$A$1501,BD$4,Formulas!$B$2:$B$1501,$A86))</f>
        <v>0</v>
      </c>
      <c r="BE86" s="21" t="n">
        <f aca="false">IF(OR($A86="",BE$4=""),0,COUNTIFS(Formulas!$A$2:$A$1501,BE$4,Formulas!$B$2:$B$1501,$A86))</f>
        <v>0</v>
      </c>
      <c r="BF86" s="21" t="n">
        <f aca="false">IF(OR($A86="",BF$4=""),0,COUNTIFS(Formulas!$A$2:$A$1501,BF$4,Formulas!$B$2:$B$1501,$A86))</f>
        <v>0</v>
      </c>
      <c r="BG86" s="21" t="n">
        <f aca="false">IF(OR($A86="",BG$4=""),0,COUNTIFS(Formulas!$A$2:$A$1501,BG$4,Formulas!$B$2:$B$1501,$A86))</f>
        <v>0</v>
      </c>
      <c r="BH86" s="21" t="n">
        <f aca="false">IF(OR($A86="",BH$4=""),0,COUNTIFS(Formulas!$A$2:$A$1501,BH$4,Formulas!$B$2:$B$1501,$A86))</f>
        <v>0</v>
      </c>
      <c r="BI86" s="21" t="n">
        <f aca="false">IF(OR($A86="",BI$4=""),0,COUNTIFS(Formulas!$A$2:$A$1501,BI$4,Formulas!$B$2:$B$1501,$A86))</f>
        <v>0</v>
      </c>
      <c r="BJ86" s="21" t="n">
        <f aca="false">IF(OR($A86="",BJ$4=""),0,COUNTIFS(Formulas!$A$2:$A$1501,BJ$4,Formulas!$B$2:$B$1501,$A86))</f>
        <v>0</v>
      </c>
    </row>
    <row r="87" customFormat="false" ht="15" hidden="false" customHeight="false" outlineLevel="0" collapsed="false">
      <c r="A87" s="13" t="str">
        <f aca="false">IF(INDEX(Materials!$A$2:$A$201,83)="","",INDEX(Materials!$A$2:$A$201,83))</f>
        <v/>
      </c>
      <c r="B87" s="19" t="str">
        <f aca="false">IF(A87="","",COUNTIF(C87:BJ87,"&gt;0"))</f>
        <v/>
      </c>
      <c r="C87" s="21" t="n">
        <f aca="false">IF(OR($A87="",C$4=""),0,COUNTIFS(Formulas!$A$2:$A$1501,C$4,Formulas!$B$2:$B$1501,$A87))</f>
        <v>0</v>
      </c>
      <c r="D87" s="21" t="n">
        <f aca="false">IF(OR($A87="",D$4=""),0,COUNTIFS(Formulas!$A$2:$A$1501,D$4,Formulas!$B$2:$B$1501,$A87))</f>
        <v>0</v>
      </c>
      <c r="E87" s="21" t="n">
        <f aca="false">IF(OR($A87="",E$4=""),0,COUNTIFS(Formulas!$A$2:$A$1501,E$4,Formulas!$B$2:$B$1501,$A87))</f>
        <v>0</v>
      </c>
      <c r="F87" s="21" t="n">
        <f aca="false">IF(OR($A87="",F$4=""),0,COUNTIFS(Formulas!$A$2:$A$1501,F$4,Formulas!$B$2:$B$1501,$A87))</f>
        <v>0</v>
      </c>
      <c r="G87" s="21" t="n">
        <f aca="false">IF(OR($A87="",G$4=""),0,COUNTIFS(Formulas!$A$2:$A$1501,G$4,Formulas!$B$2:$B$1501,$A87))</f>
        <v>0</v>
      </c>
      <c r="H87" s="21" t="n">
        <f aca="false">IF(OR($A87="",H$4=""),0,COUNTIFS(Formulas!$A$2:$A$1501,H$4,Formulas!$B$2:$B$1501,$A87))</f>
        <v>0</v>
      </c>
      <c r="I87" s="21" t="n">
        <f aca="false">IF(OR($A87="",I$4=""),0,COUNTIFS(Formulas!$A$2:$A$1501,I$4,Formulas!$B$2:$B$1501,$A87))</f>
        <v>0</v>
      </c>
      <c r="J87" s="21" t="n">
        <f aca="false">IF(OR($A87="",J$4=""),0,COUNTIFS(Formulas!$A$2:$A$1501,J$4,Formulas!$B$2:$B$1501,$A87))</f>
        <v>0</v>
      </c>
      <c r="K87" s="21" t="n">
        <f aca="false">IF(OR($A87="",K$4=""),0,COUNTIFS(Formulas!$A$2:$A$1501,K$4,Formulas!$B$2:$B$1501,$A87))</f>
        <v>0</v>
      </c>
      <c r="L87" s="21" t="n">
        <f aca="false">IF(OR($A87="",L$4=""),0,COUNTIFS(Formulas!$A$2:$A$1501,L$4,Formulas!$B$2:$B$1501,$A87))</f>
        <v>0</v>
      </c>
      <c r="M87" s="21" t="n">
        <f aca="false">IF(OR($A87="",M$4=""),0,COUNTIFS(Formulas!$A$2:$A$1501,M$4,Formulas!$B$2:$B$1501,$A87))</f>
        <v>0</v>
      </c>
      <c r="N87" s="21" t="n">
        <f aca="false">IF(OR($A87="",N$4=""),0,COUNTIFS(Formulas!$A$2:$A$1501,N$4,Formulas!$B$2:$B$1501,$A87))</f>
        <v>0</v>
      </c>
      <c r="O87" s="21" t="n">
        <f aca="false">IF(OR($A87="",O$4=""),0,COUNTIFS(Formulas!$A$2:$A$1501,O$4,Formulas!$B$2:$B$1501,$A87))</f>
        <v>0</v>
      </c>
      <c r="P87" s="21" t="n">
        <f aca="false">IF(OR($A87="",P$4=""),0,COUNTIFS(Formulas!$A$2:$A$1501,P$4,Formulas!$B$2:$B$1501,$A87))</f>
        <v>0</v>
      </c>
      <c r="Q87" s="21" t="n">
        <f aca="false">IF(OR($A87="",Q$4=""),0,COUNTIFS(Formulas!$A$2:$A$1501,Q$4,Formulas!$B$2:$B$1501,$A87))</f>
        <v>0</v>
      </c>
      <c r="R87" s="21" t="n">
        <f aca="false">IF(OR($A87="",R$4=""),0,COUNTIFS(Formulas!$A$2:$A$1501,R$4,Formulas!$B$2:$B$1501,$A87))</f>
        <v>0</v>
      </c>
      <c r="S87" s="21" t="n">
        <f aca="false">IF(OR($A87="",S$4=""),0,COUNTIFS(Formulas!$A$2:$A$1501,S$4,Formulas!$B$2:$B$1501,$A87))</f>
        <v>0</v>
      </c>
      <c r="T87" s="21" t="n">
        <f aca="false">IF(OR($A87="",T$4=""),0,COUNTIFS(Formulas!$A$2:$A$1501,T$4,Formulas!$B$2:$B$1501,$A87))</f>
        <v>0</v>
      </c>
      <c r="U87" s="21" t="n">
        <f aca="false">IF(OR($A87="",U$4=""),0,COUNTIFS(Formulas!$A$2:$A$1501,U$4,Formulas!$B$2:$B$1501,$A87))</f>
        <v>0</v>
      </c>
      <c r="V87" s="21" t="n">
        <f aca="false">IF(OR($A87="",V$4=""),0,COUNTIFS(Formulas!$A$2:$A$1501,V$4,Formulas!$B$2:$B$1501,$A87))</f>
        <v>0</v>
      </c>
      <c r="W87" s="21" t="n">
        <f aca="false">IF(OR($A87="",W$4=""),0,COUNTIFS(Formulas!$A$2:$A$1501,W$4,Formulas!$B$2:$B$1501,$A87))</f>
        <v>0</v>
      </c>
      <c r="X87" s="21" t="n">
        <f aca="false">IF(OR($A87="",X$4=""),0,COUNTIFS(Formulas!$A$2:$A$1501,X$4,Formulas!$B$2:$B$1501,$A87))</f>
        <v>0</v>
      </c>
      <c r="Y87" s="21" t="n">
        <f aca="false">IF(OR($A87="",Y$4=""),0,COUNTIFS(Formulas!$A$2:$A$1501,Y$4,Formulas!$B$2:$B$1501,$A87))</f>
        <v>0</v>
      </c>
      <c r="Z87" s="21" t="n">
        <f aca="false">IF(OR($A87="",Z$4=""),0,COUNTIFS(Formulas!$A$2:$A$1501,Z$4,Formulas!$B$2:$B$1501,$A87))</f>
        <v>0</v>
      </c>
      <c r="AA87" s="21" t="n">
        <f aca="false">IF(OR($A87="",AA$4=""),0,COUNTIFS(Formulas!$A$2:$A$1501,AA$4,Formulas!$B$2:$B$1501,$A87))</f>
        <v>0</v>
      </c>
      <c r="AB87" s="21" t="n">
        <f aca="false">IF(OR($A87="",AB$4=""),0,COUNTIFS(Formulas!$A$2:$A$1501,AB$4,Formulas!$B$2:$B$1501,$A87))</f>
        <v>0</v>
      </c>
      <c r="AC87" s="21" t="n">
        <f aca="false">IF(OR($A87="",AC$4=""),0,COUNTIFS(Formulas!$A$2:$A$1501,AC$4,Formulas!$B$2:$B$1501,$A87))</f>
        <v>0</v>
      </c>
      <c r="AD87" s="21" t="n">
        <f aca="false">IF(OR($A87="",AD$4=""),0,COUNTIFS(Formulas!$A$2:$A$1501,AD$4,Formulas!$B$2:$B$1501,$A87))</f>
        <v>0</v>
      </c>
      <c r="AE87" s="21" t="n">
        <f aca="false">IF(OR($A87="",AE$4=""),0,COUNTIFS(Formulas!$A$2:$A$1501,AE$4,Formulas!$B$2:$B$1501,$A87))</f>
        <v>0</v>
      </c>
      <c r="AF87" s="21" t="n">
        <f aca="false">IF(OR($A87="",AF$4=""),0,COUNTIFS(Formulas!$A$2:$A$1501,AF$4,Formulas!$B$2:$B$1501,$A87))</f>
        <v>0</v>
      </c>
      <c r="AG87" s="21" t="n">
        <f aca="false">IF(OR($A87="",AG$4=""),0,COUNTIFS(Formulas!$A$2:$A$1501,AG$4,Formulas!$B$2:$B$1501,$A87))</f>
        <v>0</v>
      </c>
      <c r="AH87" s="21" t="n">
        <f aca="false">IF(OR($A87="",AH$4=""),0,COUNTIFS(Formulas!$A$2:$A$1501,AH$4,Formulas!$B$2:$B$1501,$A87))</f>
        <v>0</v>
      </c>
      <c r="AI87" s="21" t="n">
        <f aca="false">IF(OR($A87="",AI$4=""),0,COUNTIFS(Formulas!$A$2:$A$1501,AI$4,Formulas!$B$2:$B$1501,$A87))</f>
        <v>0</v>
      </c>
      <c r="AJ87" s="21" t="n">
        <f aca="false">IF(OR($A87="",AJ$4=""),0,COUNTIFS(Formulas!$A$2:$A$1501,AJ$4,Formulas!$B$2:$B$1501,$A87))</f>
        <v>0</v>
      </c>
      <c r="AK87" s="21" t="n">
        <f aca="false">IF(OR($A87="",AK$4=""),0,COUNTIFS(Formulas!$A$2:$A$1501,AK$4,Formulas!$B$2:$B$1501,$A87))</f>
        <v>0</v>
      </c>
      <c r="AL87" s="21" t="n">
        <f aca="false">IF(OR($A87="",AL$4=""),0,COUNTIFS(Formulas!$A$2:$A$1501,AL$4,Formulas!$B$2:$B$1501,$A87))</f>
        <v>0</v>
      </c>
      <c r="AM87" s="21" t="n">
        <f aca="false">IF(OR($A87="",AM$4=""),0,COUNTIFS(Formulas!$A$2:$A$1501,AM$4,Formulas!$B$2:$B$1501,$A87))</f>
        <v>0</v>
      </c>
      <c r="AN87" s="21" t="n">
        <f aca="false">IF(OR($A87="",AN$4=""),0,COUNTIFS(Formulas!$A$2:$A$1501,AN$4,Formulas!$B$2:$B$1501,$A87))</f>
        <v>0</v>
      </c>
      <c r="AO87" s="21" t="n">
        <f aca="false">IF(OR($A87="",AO$4=""),0,COUNTIFS(Formulas!$A$2:$A$1501,AO$4,Formulas!$B$2:$B$1501,$A87))</f>
        <v>0</v>
      </c>
      <c r="AP87" s="21" t="n">
        <f aca="false">IF(OR($A87="",AP$4=""),0,COUNTIFS(Formulas!$A$2:$A$1501,AP$4,Formulas!$B$2:$B$1501,$A87))</f>
        <v>0</v>
      </c>
      <c r="AQ87" s="21" t="n">
        <f aca="false">IF(OR($A87="",AQ$4=""),0,COUNTIFS(Formulas!$A$2:$A$1501,AQ$4,Formulas!$B$2:$B$1501,$A87))</f>
        <v>0</v>
      </c>
      <c r="AR87" s="21" t="n">
        <f aca="false">IF(OR($A87="",AR$4=""),0,COUNTIFS(Formulas!$A$2:$A$1501,AR$4,Formulas!$B$2:$B$1501,$A87))</f>
        <v>0</v>
      </c>
      <c r="AS87" s="21" t="n">
        <f aca="false">IF(OR($A87="",AS$4=""),0,COUNTIFS(Formulas!$A$2:$A$1501,AS$4,Formulas!$B$2:$B$1501,$A87))</f>
        <v>0</v>
      </c>
      <c r="AT87" s="21" t="n">
        <f aca="false">IF(OR($A87="",AT$4=""),0,COUNTIFS(Formulas!$A$2:$A$1501,AT$4,Formulas!$B$2:$B$1501,$A87))</f>
        <v>0</v>
      </c>
      <c r="AU87" s="21" t="n">
        <f aca="false">IF(OR($A87="",AU$4=""),0,COUNTIFS(Formulas!$A$2:$A$1501,AU$4,Formulas!$B$2:$B$1501,$A87))</f>
        <v>0</v>
      </c>
      <c r="AV87" s="21" t="n">
        <f aca="false">IF(OR($A87="",AV$4=""),0,COUNTIFS(Formulas!$A$2:$A$1501,AV$4,Formulas!$B$2:$B$1501,$A87))</f>
        <v>0</v>
      </c>
      <c r="AW87" s="21" t="n">
        <f aca="false">IF(OR($A87="",AW$4=""),0,COUNTIFS(Formulas!$A$2:$A$1501,AW$4,Formulas!$B$2:$B$1501,$A87))</f>
        <v>0</v>
      </c>
      <c r="AX87" s="21" t="n">
        <f aca="false">IF(OR($A87="",AX$4=""),0,COUNTIFS(Formulas!$A$2:$A$1501,AX$4,Formulas!$B$2:$B$1501,$A87))</f>
        <v>0</v>
      </c>
      <c r="AY87" s="21" t="n">
        <f aca="false">IF(OR($A87="",AY$4=""),0,COUNTIFS(Formulas!$A$2:$A$1501,AY$4,Formulas!$B$2:$B$1501,$A87))</f>
        <v>0</v>
      </c>
      <c r="AZ87" s="21" t="n">
        <f aca="false">IF(OR($A87="",AZ$4=""),0,COUNTIFS(Formulas!$A$2:$A$1501,AZ$4,Formulas!$B$2:$B$1501,$A87))</f>
        <v>0</v>
      </c>
      <c r="BA87" s="21" t="n">
        <f aca="false">IF(OR($A87="",BA$4=""),0,COUNTIFS(Formulas!$A$2:$A$1501,BA$4,Formulas!$B$2:$B$1501,$A87))</f>
        <v>0</v>
      </c>
      <c r="BB87" s="21" t="n">
        <f aca="false">IF(OR($A87="",BB$4=""),0,COUNTIFS(Formulas!$A$2:$A$1501,BB$4,Formulas!$B$2:$B$1501,$A87))</f>
        <v>0</v>
      </c>
      <c r="BC87" s="21" t="n">
        <f aca="false">IF(OR($A87="",BC$4=""),0,COUNTIFS(Formulas!$A$2:$A$1501,BC$4,Formulas!$B$2:$B$1501,$A87))</f>
        <v>0</v>
      </c>
      <c r="BD87" s="21" t="n">
        <f aca="false">IF(OR($A87="",BD$4=""),0,COUNTIFS(Formulas!$A$2:$A$1501,BD$4,Formulas!$B$2:$B$1501,$A87))</f>
        <v>0</v>
      </c>
      <c r="BE87" s="21" t="n">
        <f aca="false">IF(OR($A87="",BE$4=""),0,COUNTIFS(Formulas!$A$2:$A$1501,BE$4,Formulas!$B$2:$B$1501,$A87))</f>
        <v>0</v>
      </c>
      <c r="BF87" s="21" t="n">
        <f aca="false">IF(OR($A87="",BF$4=""),0,COUNTIFS(Formulas!$A$2:$A$1501,BF$4,Formulas!$B$2:$B$1501,$A87))</f>
        <v>0</v>
      </c>
      <c r="BG87" s="21" t="n">
        <f aca="false">IF(OR($A87="",BG$4=""),0,COUNTIFS(Formulas!$A$2:$A$1501,BG$4,Formulas!$B$2:$B$1501,$A87))</f>
        <v>0</v>
      </c>
      <c r="BH87" s="21" t="n">
        <f aca="false">IF(OR($A87="",BH$4=""),0,COUNTIFS(Formulas!$A$2:$A$1501,BH$4,Formulas!$B$2:$B$1501,$A87))</f>
        <v>0</v>
      </c>
      <c r="BI87" s="21" t="n">
        <f aca="false">IF(OR($A87="",BI$4=""),0,COUNTIFS(Formulas!$A$2:$A$1501,BI$4,Formulas!$B$2:$B$1501,$A87))</f>
        <v>0</v>
      </c>
      <c r="BJ87" s="21" t="n">
        <f aca="false">IF(OR($A87="",BJ$4=""),0,COUNTIFS(Formulas!$A$2:$A$1501,BJ$4,Formulas!$B$2:$B$1501,$A87))</f>
        <v>0</v>
      </c>
    </row>
    <row r="88" customFormat="false" ht="15" hidden="false" customHeight="false" outlineLevel="0" collapsed="false">
      <c r="A88" s="13" t="str">
        <f aca="false">IF(INDEX(Materials!$A$2:$A$201,84)="","",INDEX(Materials!$A$2:$A$201,84))</f>
        <v/>
      </c>
      <c r="B88" s="19" t="str">
        <f aca="false">IF(A88="","",COUNTIF(C88:BJ88,"&gt;0"))</f>
        <v/>
      </c>
      <c r="C88" s="21" t="n">
        <f aca="false">IF(OR($A88="",C$4=""),0,COUNTIFS(Formulas!$A$2:$A$1501,C$4,Formulas!$B$2:$B$1501,$A88))</f>
        <v>0</v>
      </c>
      <c r="D88" s="21" t="n">
        <f aca="false">IF(OR($A88="",D$4=""),0,COUNTIFS(Formulas!$A$2:$A$1501,D$4,Formulas!$B$2:$B$1501,$A88))</f>
        <v>0</v>
      </c>
      <c r="E88" s="21" t="n">
        <f aca="false">IF(OR($A88="",E$4=""),0,COUNTIFS(Formulas!$A$2:$A$1501,E$4,Formulas!$B$2:$B$1501,$A88))</f>
        <v>0</v>
      </c>
      <c r="F88" s="21" t="n">
        <f aca="false">IF(OR($A88="",F$4=""),0,COUNTIFS(Formulas!$A$2:$A$1501,F$4,Formulas!$B$2:$B$1501,$A88))</f>
        <v>0</v>
      </c>
      <c r="G88" s="21" t="n">
        <f aca="false">IF(OR($A88="",G$4=""),0,COUNTIFS(Formulas!$A$2:$A$1501,G$4,Formulas!$B$2:$B$1501,$A88))</f>
        <v>0</v>
      </c>
      <c r="H88" s="21" t="n">
        <f aca="false">IF(OR($A88="",H$4=""),0,COUNTIFS(Formulas!$A$2:$A$1501,H$4,Formulas!$B$2:$B$1501,$A88))</f>
        <v>0</v>
      </c>
      <c r="I88" s="21" t="n">
        <f aca="false">IF(OR($A88="",I$4=""),0,COUNTIFS(Formulas!$A$2:$A$1501,I$4,Formulas!$B$2:$B$1501,$A88))</f>
        <v>0</v>
      </c>
      <c r="J88" s="21" t="n">
        <f aca="false">IF(OR($A88="",J$4=""),0,COUNTIFS(Formulas!$A$2:$A$1501,J$4,Formulas!$B$2:$B$1501,$A88))</f>
        <v>0</v>
      </c>
      <c r="K88" s="21" t="n">
        <f aca="false">IF(OR($A88="",K$4=""),0,COUNTIFS(Formulas!$A$2:$A$1501,K$4,Formulas!$B$2:$B$1501,$A88))</f>
        <v>0</v>
      </c>
      <c r="L88" s="21" t="n">
        <f aca="false">IF(OR($A88="",L$4=""),0,COUNTIFS(Formulas!$A$2:$A$1501,L$4,Formulas!$B$2:$B$1501,$A88))</f>
        <v>0</v>
      </c>
      <c r="M88" s="21" t="n">
        <f aca="false">IF(OR($A88="",M$4=""),0,COUNTIFS(Formulas!$A$2:$A$1501,M$4,Formulas!$B$2:$B$1501,$A88))</f>
        <v>0</v>
      </c>
      <c r="N88" s="21" t="n">
        <f aca="false">IF(OR($A88="",N$4=""),0,COUNTIFS(Formulas!$A$2:$A$1501,N$4,Formulas!$B$2:$B$1501,$A88))</f>
        <v>0</v>
      </c>
      <c r="O88" s="21" t="n">
        <f aca="false">IF(OR($A88="",O$4=""),0,COUNTIFS(Formulas!$A$2:$A$1501,O$4,Formulas!$B$2:$B$1501,$A88))</f>
        <v>0</v>
      </c>
      <c r="P88" s="21" t="n">
        <f aca="false">IF(OR($A88="",P$4=""),0,COUNTIFS(Formulas!$A$2:$A$1501,P$4,Formulas!$B$2:$B$1501,$A88))</f>
        <v>0</v>
      </c>
      <c r="Q88" s="21" t="n">
        <f aca="false">IF(OR($A88="",Q$4=""),0,COUNTIFS(Formulas!$A$2:$A$1501,Q$4,Formulas!$B$2:$B$1501,$A88))</f>
        <v>0</v>
      </c>
      <c r="R88" s="21" t="n">
        <f aca="false">IF(OR($A88="",R$4=""),0,COUNTIFS(Formulas!$A$2:$A$1501,R$4,Formulas!$B$2:$B$1501,$A88))</f>
        <v>0</v>
      </c>
      <c r="S88" s="21" t="n">
        <f aca="false">IF(OR($A88="",S$4=""),0,COUNTIFS(Formulas!$A$2:$A$1501,S$4,Formulas!$B$2:$B$1501,$A88))</f>
        <v>0</v>
      </c>
      <c r="T88" s="21" t="n">
        <f aca="false">IF(OR($A88="",T$4=""),0,COUNTIFS(Formulas!$A$2:$A$1501,T$4,Formulas!$B$2:$B$1501,$A88))</f>
        <v>0</v>
      </c>
      <c r="U88" s="21" t="n">
        <f aca="false">IF(OR($A88="",U$4=""),0,COUNTIFS(Formulas!$A$2:$A$1501,U$4,Formulas!$B$2:$B$1501,$A88))</f>
        <v>0</v>
      </c>
      <c r="V88" s="21" t="n">
        <f aca="false">IF(OR($A88="",V$4=""),0,COUNTIFS(Formulas!$A$2:$A$1501,V$4,Formulas!$B$2:$B$1501,$A88))</f>
        <v>0</v>
      </c>
      <c r="W88" s="21" t="n">
        <f aca="false">IF(OR($A88="",W$4=""),0,COUNTIFS(Formulas!$A$2:$A$1501,W$4,Formulas!$B$2:$B$1501,$A88))</f>
        <v>0</v>
      </c>
      <c r="X88" s="21" t="n">
        <f aca="false">IF(OR($A88="",X$4=""),0,COUNTIFS(Formulas!$A$2:$A$1501,X$4,Formulas!$B$2:$B$1501,$A88))</f>
        <v>0</v>
      </c>
      <c r="Y88" s="21" t="n">
        <f aca="false">IF(OR($A88="",Y$4=""),0,COUNTIFS(Formulas!$A$2:$A$1501,Y$4,Formulas!$B$2:$B$1501,$A88))</f>
        <v>0</v>
      </c>
      <c r="Z88" s="21" t="n">
        <f aca="false">IF(OR($A88="",Z$4=""),0,COUNTIFS(Formulas!$A$2:$A$1501,Z$4,Formulas!$B$2:$B$1501,$A88))</f>
        <v>0</v>
      </c>
      <c r="AA88" s="21" t="n">
        <f aca="false">IF(OR($A88="",AA$4=""),0,COUNTIFS(Formulas!$A$2:$A$1501,AA$4,Formulas!$B$2:$B$1501,$A88))</f>
        <v>0</v>
      </c>
      <c r="AB88" s="21" t="n">
        <f aca="false">IF(OR($A88="",AB$4=""),0,COUNTIFS(Formulas!$A$2:$A$1501,AB$4,Formulas!$B$2:$B$1501,$A88))</f>
        <v>0</v>
      </c>
      <c r="AC88" s="21" t="n">
        <f aca="false">IF(OR($A88="",AC$4=""),0,COUNTIFS(Formulas!$A$2:$A$1501,AC$4,Formulas!$B$2:$B$1501,$A88))</f>
        <v>0</v>
      </c>
      <c r="AD88" s="21" t="n">
        <f aca="false">IF(OR($A88="",AD$4=""),0,COUNTIFS(Formulas!$A$2:$A$1501,AD$4,Formulas!$B$2:$B$1501,$A88))</f>
        <v>0</v>
      </c>
      <c r="AE88" s="21" t="n">
        <f aca="false">IF(OR($A88="",AE$4=""),0,COUNTIFS(Formulas!$A$2:$A$1501,AE$4,Formulas!$B$2:$B$1501,$A88))</f>
        <v>0</v>
      </c>
      <c r="AF88" s="21" t="n">
        <f aca="false">IF(OR($A88="",AF$4=""),0,COUNTIFS(Formulas!$A$2:$A$1501,AF$4,Formulas!$B$2:$B$1501,$A88))</f>
        <v>0</v>
      </c>
      <c r="AG88" s="21" t="n">
        <f aca="false">IF(OR($A88="",AG$4=""),0,COUNTIFS(Formulas!$A$2:$A$1501,AG$4,Formulas!$B$2:$B$1501,$A88))</f>
        <v>0</v>
      </c>
      <c r="AH88" s="21" t="n">
        <f aca="false">IF(OR($A88="",AH$4=""),0,COUNTIFS(Formulas!$A$2:$A$1501,AH$4,Formulas!$B$2:$B$1501,$A88))</f>
        <v>0</v>
      </c>
      <c r="AI88" s="21" t="n">
        <f aca="false">IF(OR($A88="",AI$4=""),0,COUNTIFS(Formulas!$A$2:$A$1501,AI$4,Formulas!$B$2:$B$1501,$A88))</f>
        <v>0</v>
      </c>
      <c r="AJ88" s="21" t="n">
        <f aca="false">IF(OR($A88="",AJ$4=""),0,COUNTIFS(Formulas!$A$2:$A$1501,AJ$4,Formulas!$B$2:$B$1501,$A88))</f>
        <v>0</v>
      </c>
      <c r="AK88" s="21" t="n">
        <f aca="false">IF(OR($A88="",AK$4=""),0,COUNTIFS(Formulas!$A$2:$A$1501,AK$4,Formulas!$B$2:$B$1501,$A88))</f>
        <v>0</v>
      </c>
      <c r="AL88" s="21" t="n">
        <f aca="false">IF(OR($A88="",AL$4=""),0,COUNTIFS(Formulas!$A$2:$A$1501,AL$4,Formulas!$B$2:$B$1501,$A88))</f>
        <v>0</v>
      </c>
      <c r="AM88" s="21" t="n">
        <f aca="false">IF(OR($A88="",AM$4=""),0,COUNTIFS(Formulas!$A$2:$A$1501,AM$4,Formulas!$B$2:$B$1501,$A88))</f>
        <v>0</v>
      </c>
      <c r="AN88" s="21" t="n">
        <f aca="false">IF(OR($A88="",AN$4=""),0,COUNTIFS(Formulas!$A$2:$A$1501,AN$4,Formulas!$B$2:$B$1501,$A88))</f>
        <v>0</v>
      </c>
      <c r="AO88" s="21" t="n">
        <f aca="false">IF(OR($A88="",AO$4=""),0,COUNTIFS(Formulas!$A$2:$A$1501,AO$4,Formulas!$B$2:$B$1501,$A88))</f>
        <v>0</v>
      </c>
      <c r="AP88" s="21" t="n">
        <f aca="false">IF(OR($A88="",AP$4=""),0,COUNTIFS(Formulas!$A$2:$A$1501,AP$4,Formulas!$B$2:$B$1501,$A88))</f>
        <v>0</v>
      </c>
      <c r="AQ88" s="21" t="n">
        <f aca="false">IF(OR($A88="",AQ$4=""),0,COUNTIFS(Formulas!$A$2:$A$1501,AQ$4,Formulas!$B$2:$B$1501,$A88))</f>
        <v>0</v>
      </c>
      <c r="AR88" s="21" t="n">
        <f aca="false">IF(OR($A88="",AR$4=""),0,COUNTIFS(Formulas!$A$2:$A$1501,AR$4,Formulas!$B$2:$B$1501,$A88))</f>
        <v>0</v>
      </c>
      <c r="AS88" s="21" t="n">
        <f aca="false">IF(OR($A88="",AS$4=""),0,COUNTIFS(Formulas!$A$2:$A$1501,AS$4,Formulas!$B$2:$B$1501,$A88))</f>
        <v>0</v>
      </c>
      <c r="AT88" s="21" t="n">
        <f aca="false">IF(OR($A88="",AT$4=""),0,COUNTIFS(Formulas!$A$2:$A$1501,AT$4,Formulas!$B$2:$B$1501,$A88))</f>
        <v>0</v>
      </c>
      <c r="AU88" s="21" t="n">
        <f aca="false">IF(OR($A88="",AU$4=""),0,COUNTIFS(Formulas!$A$2:$A$1501,AU$4,Formulas!$B$2:$B$1501,$A88))</f>
        <v>0</v>
      </c>
      <c r="AV88" s="21" t="n">
        <f aca="false">IF(OR($A88="",AV$4=""),0,COUNTIFS(Formulas!$A$2:$A$1501,AV$4,Formulas!$B$2:$B$1501,$A88))</f>
        <v>0</v>
      </c>
      <c r="AW88" s="21" t="n">
        <f aca="false">IF(OR($A88="",AW$4=""),0,COUNTIFS(Formulas!$A$2:$A$1501,AW$4,Formulas!$B$2:$B$1501,$A88))</f>
        <v>0</v>
      </c>
      <c r="AX88" s="21" t="n">
        <f aca="false">IF(OR($A88="",AX$4=""),0,COUNTIFS(Formulas!$A$2:$A$1501,AX$4,Formulas!$B$2:$B$1501,$A88))</f>
        <v>0</v>
      </c>
      <c r="AY88" s="21" t="n">
        <f aca="false">IF(OR($A88="",AY$4=""),0,COUNTIFS(Formulas!$A$2:$A$1501,AY$4,Formulas!$B$2:$B$1501,$A88))</f>
        <v>0</v>
      </c>
      <c r="AZ88" s="21" t="n">
        <f aca="false">IF(OR($A88="",AZ$4=""),0,COUNTIFS(Formulas!$A$2:$A$1501,AZ$4,Formulas!$B$2:$B$1501,$A88))</f>
        <v>0</v>
      </c>
      <c r="BA88" s="21" t="n">
        <f aca="false">IF(OR($A88="",BA$4=""),0,COUNTIFS(Formulas!$A$2:$A$1501,BA$4,Formulas!$B$2:$B$1501,$A88))</f>
        <v>0</v>
      </c>
      <c r="BB88" s="21" t="n">
        <f aca="false">IF(OR($A88="",BB$4=""),0,COUNTIFS(Formulas!$A$2:$A$1501,BB$4,Formulas!$B$2:$B$1501,$A88))</f>
        <v>0</v>
      </c>
      <c r="BC88" s="21" t="n">
        <f aca="false">IF(OR($A88="",BC$4=""),0,COUNTIFS(Formulas!$A$2:$A$1501,BC$4,Formulas!$B$2:$B$1501,$A88))</f>
        <v>0</v>
      </c>
      <c r="BD88" s="21" t="n">
        <f aca="false">IF(OR($A88="",BD$4=""),0,COUNTIFS(Formulas!$A$2:$A$1501,BD$4,Formulas!$B$2:$B$1501,$A88))</f>
        <v>0</v>
      </c>
      <c r="BE88" s="21" t="n">
        <f aca="false">IF(OR($A88="",BE$4=""),0,COUNTIFS(Formulas!$A$2:$A$1501,BE$4,Formulas!$B$2:$B$1501,$A88))</f>
        <v>0</v>
      </c>
      <c r="BF88" s="21" t="n">
        <f aca="false">IF(OR($A88="",BF$4=""),0,COUNTIFS(Formulas!$A$2:$A$1501,BF$4,Formulas!$B$2:$B$1501,$A88))</f>
        <v>0</v>
      </c>
      <c r="BG88" s="21" t="n">
        <f aca="false">IF(OR($A88="",BG$4=""),0,COUNTIFS(Formulas!$A$2:$A$1501,BG$4,Formulas!$B$2:$B$1501,$A88))</f>
        <v>0</v>
      </c>
      <c r="BH88" s="21" t="n">
        <f aca="false">IF(OR($A88="",BH$4=""),0,COUNTIFS(Formulas!$A$2:$A$1501,BH$4,Formulas!$B$2:$B$1501,$A88))</f>
        <v>0</v>
      </c>
      <c r="BI88" s="21" t="n">
        <f aca="false">IF(OR($A88="",BI$4=""),0,COUNTIFS(Formulas!$A$2:$A$1501,BI$4,Formulas!$B$2:$B$1501,$A88))</f>
        <v>0</v>
      </c>
      <c r="BJ88" s="21" t="n">
        <f aca="false">IF(OR($A88="",BJ$4=""),0,COUNTIFS(Formulas!$A$2:$A$1501,BJ$4,Formulas!$B$2:$B$1501,$A88))</f>
        <v>0</v>
      </c>
    </row>
    <row r="89" customFormat="false" ht="15" hidden="false" customHeight="false" outlineLevel="0" collapsed="false">
      <c r="A89" s="13" t="str">
        <f aca="false">IF(INDEX(Materials!$A$2:$A$201,85)="","",INDEX(Materials!$A$2:$A$201,85))</f>
        <v/>
      </c>
      <c r="B89" s="19" t="str">
        <f aca="false">IF(A89="","",COUNTIF(C89:BJ89,"&gt;0"))</f>
        <v/>
      </c>
      <c r="C89" s="21" t="n">
        <f aca="false">IF(OR($A89="",C$4=""),0,COUNTIFS(Formulas!$A$2:$A$1501,C$4,Formulas!$B$2:$B$1501,$A89))</f>
        <v>0</v>
      </c>
      <c r="D89" s="21" t="n">
        <f aca="false">IF(OR($A89="",D$4=""),0,COUNTIFS(Formulas!$A$2:$A$1501,D$4,Formulas!$B$2:$B$1501,$A89))</f>
        <v>0</v>
      </c>
      <c r="E89" s="21" t="n">
        <f aca="false">IF(OR($A89="",E$4=""),0,COUNTIFS(Formulas!$A$2:$A$1501,E$4,Formulas!$B$2:$B$1501,$A89))</f>
        <v>0</v>
      </c>
      <c r="F89" s="21" t="n">
        <f aca="false">IF(OR($A89="",F$4=""),0,COUNTIFS(Formulas!$A$2:$A$1501,F$4,Formulas!$B$2:$B$1501,$A89))</f>
        <v>0</v>
      </c>
      <c r="G89" s="21" t="n">
        <f aca="false">IF(OR($A89="",G$4=""),0,COUNTIFS(Formulas!$A$2:$A$1501,G$4,Formulas!$B$2:$B$1501,$A89))</f>
        <v>0</v>
      </c>
      <c r="H89" s="21" t="n">
        <f aca="false">IF(OR($A89="",H$4=""),0,COUNTIFS(Formulas!$A$2:$A$1501,H$4,Formulas!$B$2:$B$1501,$A89))</f>
        <v>0</v>
      </c>
      <c r="I89" s="21" t="n">
        <f aca="false">IF(OR($A89="",I$4=""),0,COUNTIFS(Formulas!$A$2:$A$1501,I$4,Formulas!$B$2:$B$1501,$A89))</f>
        <v>0</v>
      </c>
      <c r="J89" s="21" t="n">
        <f aca="false">IF(OR($A89="",J$4=""),0,COUNTIFS(Formulas!$A$2:$A$1501,J$4,Formulas!$B$2:$B$1501,$A89))</f>
        <v>0</v>
      </c>
      <c r="K89" s="21" t="n">
        <f aca="false">IF(OR($A89="",K$4=""),0,COUNTIFS(Formulas!$A$2:$A$1501,K$4,Formulas!$B$2:$B$1501,$A89))</f>
        <v>0</v>
      </c>
      <c r="L89" s="21" t="n">
        <f aca="false">IF(OR($A89="",L$4=""),0,COUNTIFS(Formulas!$A$2:$A$1501,L$4,Formulas!$B$2:$B$1501,$A89))</f>
        <v>0</v>
      </c>
      <c r="M89" s="21" t="n">
        <f aca="false">IF(OR($A89="",M$4=""),0,COUNTIFS(Formulas!$A$2:$A$1501,M$4,Formulas!$B$2:$B$1501,$A89))</f>
        <v>0</v>
      </c>
      <c r="N89" s="21" t="n">
        <f aca="false">IF(OR($A89="",N$4=""),0,COUNTIFS(Formulas!$A$2:$A$1501,N$4,Formulas!$B$2:$B$1501,$A89))</f>
        <v>0</v>
      </c>
      <c r="O89" s="21" t="n">
        <f aca="false">IF(OR($A89="",O$4=""),0,COUNTIFS(Formulas!$A$2:$A$1501,O$4,Formulas!$B$2:$B$1501,$A89))</f>
        <v>0</v>
      </c>
      <c r="P89" s="21" t="n">
        <f aca="false">IF(OR($A89="",P$4=""),0,COUNTIFS(Formulas!$A$2:$A$1501,P$4,Formulas!$B$2:$B$1501,$A89))</f>
        <v>0</v>
      </c>
      <c r="Q89" s="21" t="n">
        <f aca="false">IF(OR($A89="",Q$4=""),0,COUNTIFS(Formulas!$A$2:$A$1501,Q$4,Formulas!$B$2:$B$1501,$A89))</f>
        <v>0</v>
      </c>
      <c r="R89" s="21" t="n">
        <f aca="false">IF(OR($A89="",R$4=""),0,COUNTIFS(Formulas!$A$2:$A$1501,R$4,Formulas!$B$2:$B$1501,$A89))</f>
        <v>0</v>
      </c>
      <c r="S89" s="21" t="n">
        <f aca="false">IF(OR($A89="",S$4=""),0,COUNTIFS(Formulas!$A$2:$A$1501,S$4,Formulas!$B$2:$B$1501,$A89))</f>
        <v>0</v>
      </c>
      <c r="T89" s="21" t="n">
        <f aca="false">IF(OR($A89="",T$4=""),0,COUNTIFS(Formulas!$A$2:$A$1501,T$4,Formulas!$B$2:$B$1501,$A89))</f>
        <v>0</v>
      </c>
      <c r="U89" s="21" t="n">
        <f aca="false">IF(OR($A89="",U$4=""),0,COUNTIFS(Formulas!$A$2:$A$1501,U$4,Formulas!$B$2:$B$1501,$A89))</f>
        <v>0</v>
      </c>
      <c r="V89" s="21" t="n">
        <f aca="false">IF(OR($A89="",V$4=""),0,COUNTIFS(Formulas!$A$2:$A$1501,V$4,Formulas!$B$2:$B$1501,$A89))</f>
        <v>0</v>
      </c>
      <c r="W89" s="21" t="n">
        <f aca="false">IF(OR($A89="",W$4=""),0,COUNTIFS(Formulas!$A$2:$A$1501,W$4,Formulas!$B$2:$B$1501,$A89))</f>
        <v>0</v>
      </c>
      <c r="X89" s="21" t="n">
        <f aca="false">IF(OR($A89="",X$4=""),0,COUNTIFS(Formulas!$A$2:$A$1501,X$4,Formulas!$B$2:$B$1501,$A89))</f>
        <v>0</v>
      </c>
      <c r="Y89" s="21" t="n">
        <f aca="false">IF(OR($A89="",Y$4=""),0,COUNTIFS(Formulas!$A$2:$A$1501,Y$4,Formulas!$B$2:$B$1501,$A89))</f>
        <v>0</v>
      </c>
      <c r="Z89" s="21" t="n">
        <f aca="false">IF(OR($A89="",Z$4=""),0,COUNTIFS(Formulas!$A$2:$A$1501,Z$4,Formulas!$B$2:$B$1501,$A89))</f>
        <v>0</v>
      </c>
      <c r="AA89" s="21" t="n">
        <f aca="false">IF(OR($A89="",AA$4=""),0,COUNTIFS(Formulas!$A$2:$A$1501,AA$4,Formulas!$B$2:$B$1501,$A89))</f>
        <v>0</v>
      </c>
      <c r="AB89" s="21" t="n">
        <f aca="false">IF(OR($A89="",AB$4=""),0,COUNTIFS(Formulas!$A$2:$A$1501,AB$4,Formulas!$B$2:$B$1501,$A89))</f>
        <v>0</v>
      </c>
      <c r="AC89" s="21" t="n">
        <f aca="false">IF(OR($A89="",AC$4=""),0,COUNTIFS(Formulas!$A$2:$A$1501,AC$4,Formulas!$B$2:$B$1501,$A89))</f>
        <v>0</v>
      </c>
      <c r="AD89" s="21" t="n">
        <f aca="false">IF(OR($A89="",AD$4=""),0,COUNTIFS(Formulas!$A$2:$A$1501,AD$4,Formulas!$B$2:$B$1501,$A89))</f>
        <v>0</v>
      </c>
      <c r="AE89" s="21" t="n">
        <f aca="false">IF(OR($A89="",AE$4=""),0,COUNTIFS(Formulas!$A$2:$A$1501,AE$4,Formulas!$B$2:$B$1501,$A89))</f>
        <v>0</v>
      </c>
      <c r="AF89" s="21" t="n">
        <f aca="false">IF(OR($A89="",AF$4=""),0,COUNTIFS(Formulas!$A$2:$A$1501,AF$4,Formulas!$B$2:$B$1501,$A89))</f>
        <v>0</v>
      </c>
      <c r="AG89" s="21" t="n">
        <f aca="false">IF(OR($A89="",AG$4=""),0,COUNTIFS(Formulas!$A$2:$A$1501,AG$4,Formulas!$B$2:$B$1501,$A89))</f>
        <v>0</v>
      </c>
      <c r="AH89" s="21" t="n">
        <f aca="false">IF(OR($A89="",AH$4=""),0,COUNTIFS(Formulas!$A$2:$A$1501,AH$4,Formulas!$B$2:$B$1501,$A89))</f>
        <v>0</v>
      </c>
      <c r="AI89" s="21" t="n">
        <f aca="false">IF(OR($A89="",AI$4=""),0,COUNTIFS(Formulas!$A$2:$A$1501,AI$4,Formulas!$B$2:$B$1501,$A89))</f>
        <v>0</v>
      </c>
      <c r="AJ89" s="21" t="n">
        <f aca="false">IF(OR($A89="",AJ$4=""),0,COUNTIFS(Formulas!$A$2:$A$1501,AJ$4,Formulas!$B$2:$B$1501,$A89))</f>
        <v>0</v>
      </c>
      <c r="AK89" s="21" t="n">
        <f aca="false">IF(OR($A89="",AK$4=""),0,COUNTIFS(Formulas!$A$2:$A$1501,AK$4,Formulas!$B$2:$B$1501,$A89))</f>
        <v>0</v>
      </c>
      <c r="AL89" s="21" t="n">
        <f aca="false">IF(OR($A89="",AL$4=""),0,COUNTIFS(Formulas!$A$2:$A$1501,AL$4,Formulas!$B$2:$B$1501,$A89))</f>
        <v>0</v>
      </c>
      <c r="AM89" s="21" t="n">
        <f aca="false">IF(OR($A89="",AM$4=""),0,COUNTIFS(Formulas!$A$2:$A$1501,AM$4,Formulas!$B$2:$B$1501,$A89))</f>
        <v>0</v>
      </c>
      <c r="AN89" s="21" t="n">
        <f aca="false">IF(OR($A89="",AN$4=""),0,COUNTIFS(Formulas!$A$2:$A$1501,AN$4,Formulas!$B$2:$B$1501,$A89))</f>
        <v>0</v>
      </c>
      <c r="AO89" s="21" t="n">
        <f aca="false">IF(OR($A89="",AO$4=""),0,COUNTIFS(Formulas!$A$2:$A$1501,AO$4,Formulas!$B$2:$B$1501,$A89))</f>
        <v>0</v>
      </c>
      <c r="AP89" s="21" t="n">
        <f aca="false">IF(OR($A89="",AP$4=""),0,COUNTIFS(Formulas!$A$2:$A$1501,AP$4,Formulas!$B$2:$B$1501,$A89))</f>
        <v>0</v>
      </c>
      <c r="AQ89" s="21" t="n">
        <f aca="false">IF(OR($A89="",AQ$4=""),0,COUNTIFS(Formulas!$A$2:$A$1501,AQ$4,Formulas!$B$2:$B$1501,$A89))</f>
        <v>0</v>
      </c>
      <c r="AR89" s="21" t="n">
        <f aca="false">IF(OR($A89="",AR$4=""),0,COUNTIFS(Formulas!$A$2:$A$1501,AR$4,Formulas!$B$2:$B$1501,$A89))</f>
        <v>0</v>
      </c>
      <c r="AS89" s="21" t="n">
        <f aca="false">IF(OR($A89="",AS$4=""),0,COUNTIFS(Formulas!$A$2:$A$1501,AS$4,Formulas!$B$2:$B$1501,$A89))</f>
        <v>0</v>
      </c>
      <c r="AT89" s="21" t="n">
        <f aca="false">IF(OR($A89="",AT$4=""),0,COUNTIFS(Formulas!$A$2:$A$1501,AT$4,Formulas!$B$2:$B$1501,$A89))</f>
        <v>0</v>
      </c>
      <c r="AU89" s="21" t="n">
        <f aca="false">IF(OR($A89="",AU$4=""),0,COUNTIFS(Formulas!$A$2:$A$1501,AU$4,Formulas!$B$2:$B$1501,$A89))</f>
        <v>0</v>
      </c>
      <c r="AV89" s="21" t="n">
        <f aca="false">IF(OR($A89="",AV$4=""),0,COUNTIFS(Formulas!$A$2:$A$1501,AV$4,Formulas!$B$2:$B$1501,$A89))</f>
        <v>0</v>
      </c>
      <c r="AW89" s="21" t="n">
        <f aca="false">IF(OR($A89="",AW$4=""),0,COUNTIFS(Formulas!$A$2:$A$1501,AW$4,Formulas!$B$2:$B$1501,$A89))</f>
        <v>0</v>
      </c>
      <c r="AX89" s="21" t="n">
        <f aca="false">IF(OR($A89="",AX$4=""),0,COUNTIFS(Formulas!$A$2:$A$1501,AX$4,Formulas!$B$2:$B$1501,$A89))</f>
        <v>0</v>
      </c>
      <c r="AY89" s="21" t="n">
        <f aca="false">IF(OR($A89="",AY$4=""),0,COUNTIFS(Formulas!$A$2:$A$1501,AY$4,Formulas!$B$2:$B$1501,$A89))</f>
        <v>0</v>
      </c>
      <c r="AZ89" s="21" t="n">
        <f aca="false">IF(OR($A89="",AZ$4=""),0,COUNTIFS(Formulas!$A$2:$A$1501,AZ$4,Formulas!$B$2:$B$1501,$A89))</f>
        <v>0</v>
      </c>
      <c r="BA89" s="21" t="n">
        <f aca="false">IF(OR($A89="",BA$4=""),0,COUNTIFS(Formulas!$A$2:$A$1501,BA$4,Formulas!$B$2:$B$1501,$A89))</f>
        <v>0</v>
      </c>
      <c r="BB89" s="21" t="n">
        <f aca="false">IF(OR($A89="",BB$4=""),0,COUNTIFS(Formulas!$A$2:$A$1501,BB$4,Formulas!$B$2:$B$1501,$A89))</f>
        <v>0</v>
      </c>
      <c r="BC89" s="21" t="n">
        <f aca="false">IF(OR($A89="",BC$4=""),0,COUNTIFS(Formulas!$A$2:$A$1501,BC$4,Formulas!$B$2:$B$1501,$A89))</f>
        <v>0</v>
      </c>
      <c r="BD89" s="21" t="n">
        <f aca="false">IF(OR($A89="",BD$4=""),0,COUNTIFS(Formulas!$A$2:$A$1501,BD$4,Formulas!$B$2:$B$1501,$A89))</f>
        <v>0</v>
      </c>
      <c r="BE89" s="21" t="n">
        <f aca="false">IF(OR($A89="",BE$4=""),0,COUNTIFS(Formulas!$A$2:$A$1501,BE$4,Formulas!$B$2:$B$1501,$A89))</f>
        <v>0</v>
      </c>
      <c r="BF89" s="21" t="n">
        <f aca="false">IF(OR($A89="",BF$4=""),0,COUNTIFS(Formulas!$A$2:$A$1501,BF$4,Formulas!$B$2:$B$1501,$A89))</f>
        <v>0</v>
      </c>
      <c r="BG89" s="21" t="n">
        <f aca="false">IF(OR($A89="",BG$4=""),0,COUNTIFS(Formulas!$A$2:$A$1501,BG$4,Formulas!$B$2:$B$1501,$A89))</f>
        <v>0</v>
      </c>
      <c r="BH89" s="21" t="n">
        <f aca="false">IF(OR($A89="",BH$4=""),0,COUNTIFS(Formulas!$A$2:$A$1501,BH$4,Formulas!$B$2:$B$1501,$A89))</f>
        <v>0</v>
      </c>
      <c r="BI89" s="21" t="n">
        <f aca="false">IF(OR($A89="",BI$4=""),0,COUNTIFS(Formulas!$A$2:$A$1501,BI$4,Formulas!$B$2:$B$1501,$A89))</f>
        <v>0</v>
      </c>
      <c r="BJ89" s="21" t="n">
        <f aca="false">IF(OR($A89="",BJ$4=""),0,COUNTIFS(Formulas!$A$2:$A$1501,BJ$4,Formulas!$B$2:$B$1501,$A89))</f>
        <v>0</v>
      </c>
    </row>
    <row r="90" customFormat="false" ht="15" hidden="false" customHeight="false" outlineLevel="0" collapsed="false">
      <c r="A90" s="13" t="str">
        <f aca="false">IF(INDEX(Materials!$A$2:$A$201,86)="","",INDEX(Materials!$A$2:$A$201,86))</f>
        <v/>
      </c>
      <c r="B90" s="19" t="str">
        <f aca="false">IF(A90="","",COUNTIF(C90:BJ90,"&gt;0"))</f>
        <v/>
      </c>
      <c r="C90" s="21" t="n">
        <f aca="false">IF(OR($A90="",C$4=""),0,COUNTIFS(Formulas!$A$2:$A$1501,C$4,Formulas!$B$2:$B$1501,$A90))</f>
        <v>0</v>
      </c>
      <c r="D90" s="21" t="n">
        <f aca="false">IF(OR($A90="",D$4=""),0,COUNTIFS(Formulas!$A$2:$A$1501,D$4,Formulas!$B$2:$B$1501,$A90))</f>
        <v>0</v>
      </c>
      <c r="E90" s="21" t="n">
        <f aca="false">IF(OR($A90="",E$4=""),0,COUNTIFS(Formulas!$A$2:$A$1501,E$4,Formulas!$B$2:$B$1501,$A90))</f>
        <v>0</v>
      </c>
      <c r="F90" s="21" t="n">
        <f aca="false">IF(OR($A90="",F$4=""),0,COUNTIFS(Formulas!$A$2:$A$1501,F$4,Formulas!$B$2:$B$1501,$A90))</f>
        <v>0</v>
      </c>
      <c r="G90" s="21" t="n">
        <f aca="false">IF(OR($A90="",G$4=""),0,COUNTIFS(Formulas!$A$2:$A$1501,G$4,Formulas!$B$2:$B$1501,$A90))</f>
        <v>0</v>
      </c>
      <c r="H90" s="21" t="n">
        <f aca="false">IF(OR($A90="",H$4=""),0,COUNTIFS(Formulas!$A$2:$A$1501,H$4,Formulas!$B$2:$B$1501,$A90))</f>
        <v>0</v>
      </c>
      <c r="I90" s="21" t="n">
        <f aca="false">IF(OR($A90="",I$4=""),0,COUNTIFS(Formulas!$A$2:$A$1501,I$4,Formulas!$B$2:$B$1501,$A90))</f>
        <v>0</v>
      </c>
      <c r="J90" s="21" t="n">
        <f aca="false">IF(OR($A90="",J$4=""),0,COUNTIFS(Formulas!$A$2:$A$1501,J$4,Formulas!$B$2:$B$1501,$A90))</f>
        <v>0</v>
      </c>
      <c r="K90" s="21" t="n">
        <f aca="false">IF(OR($A90="",K$4=""),0,COUNTIFS(Formulas!$A$2:$A$1501,K$4,Formulas!$B$2:$B$1501,$A90))</f>
        <v>0</v>
      </c>
      <c r="L90" s="21" t="n">
        <f aca="false">IF(OR($A90="",L$4=""),0,COUNTIFS(Formulas!$A$2:$A$1501,L$4,Formulas!$B$2:$B$1501,$A90))</f>
        <v>0</v>
      </c>
      <c r="M90" s="21" t="n">
        <f aca="false">IF(OR($A90="",M$4=""),0,COUNTIFS(Formulas!$A$2:$A$1501,M$4,Formulas!$B$2:$B$1501,$A90))</f>
        <v>0</v>
      </c>
      <c r="N90" s="21" t="n">
        <f aca="false">IF(OR($A90="",N$4=""),0,COUNTIFS(Formulas!$A$2:$A$1501,N$4,Formulas!$B$2:$B$1501,$A90))</f>
        <v>0</v>
      </c>
      <c r="O90" s="21" t="n">
        <f aca="false">IF(OR($A90="",O$4=""),0,COUNTIFS(Formulas!$A$2:$A$1501,O$4,Formulas!$B$2:$B$1501,$A90))</f>
        <v>0</v>
      </c>
      <c r="P90" s="21" t="n">
        <f aca="false">IF(OR($A90="",P$4=""),0,COUNTIFS(Formulas!$A$2:$A$1501,P$4,Formulas!$B$2:$B$1501,$A90))</f>
        <v>0</v>
      </c>
      <c r="Q90" s="21" t="n">
        <f aca="false">IF(OR($A90="",Q$4=""),0,COUNTIFS(Formulas!$A$2:$A$1501,Q$4,Formulas!$B$2:$B$1501,$A90))</f>
        <v>0</v>
      </c>
      <c r="R90" s="21" t="n">
        <f aca="false">IF(OR($A90="",R$4=""),0,COUNTIFS(Formulas!$A$2:$A$1501,R$4,Formulas!$B$2:$B$1501,$A90))</f>
        <v>0</v>
      </c>
      <c r="S90" s="21" t="n">
        <f aca="false">IF(OR($A90="",S$4=""),0,COUNTIFS(Formulas!$A$2:$A$1501,S$4,Formulas!$B$2:$B$1501,$A90))</f>
        <v>0</v>
      </c>
      <c r="T90" s="21" t="n">
        <f aca="false">IF(OR($A90="",T$4=""),0,COUNTIFS(Formulas!$A$2:$A$1501,T$4,Formulas!$B$2:$B$1501,$A90))</f>
        <v>0</v>
      </c>
      <c r="U90" s="21" t="n">
        <f aca="false">IF(OR($A90="",U$4=""),0,COUNTIFS(Formulas!$A$2:$A$1501,U$4,Formulas!$B$2:$B$1501,$A90))</f>
        <v>0</v>
      </c>
      <c r="V90" s="21" t="n">
        <f aca="false">IF(OR($A90="",V$4=""),0,COUNTIFS(Formulas!$A$2:$A$1501,V$4,Formulas!$B$2:$B$1501,$A90))</f>
        <v>0</v>
      </c>
      <c r="W90" s="21" t="n">
        <f aca="false">IF(OR($A90="",W$4=""),0,COUNTIFS(Formulas!$A$2:$A$1501,W$4,Formulas!$B$2:$B$1501,$A90))</f>
        <v>0</v>
      </c>
      <c r="X90" s="21" t="n">
        <f aca="false">IF(OR($A90="",X$4=""),0,COUNTIFS(Formulas!$A$2:$A$1501,X$4,Formulas!$B$2:$B$1501,$A90))</f>
        <v>0</v>
      </c>
      <c r="Y90" s="21" t="n">
        <f aca="false">IF(OR($A90="",Y$4=""),0,COUNTIFS(Formulas!$A$2:$A$1501,Y$4,Formulas!$B$2:$B$1501,$A90))</f>
        <v>0</v>
      </c>
      <c r="Z90" s="21" t="n">
        <f aca="false">IF(OR($A90="",Z$4=""),0,COUNTIFS(Formulas!$A$2:$A$1501,Z$4,Formulas!$B$2:$B$1501,$A90))</f>
        <v>0</v>
      </c>
      <c r="AA90" s="21" t="n">
        <f aca="false">IF(OR($A90="",AA$4=""),0,COUNTIFS(Formulas!$A$2:$A$1501,AA$4,Formulas!$B$2:$B$1501,$A90))</f>
        <v>0</v>
      </c>
      <c r="AB90" s="21" t="n">
        <f aca="false">IF(OR($A90="",AB$4=""),0,COUNTIFS(Formulas!$A$2:$A$1501,AB$4,Formulas!$B$2:$B$1501,$A90))</f>
        <v>0</v>
      </c>
      <c r="AC90" s="21" t="n">
        <f aca="false">IF(OR($A90="",AC$4=""),0,COUNTIFS(Formulas!$A$2:$A$1501,AC$4,Formulas!$B$2:$B$1501,$A90))</f>
        <v>0</v>
      </c>
      <c r="AD90" s="21" t="n">
        <f aca="false">IF(OR($A90="",AD$4=""),0,COUNTIFS(Formulas!$A$2:$A$1501,AD$4,Formulas!$B$2:$B$1501,$A90))</f>
        <v>0</v>
      </c>
      <c r="AE90" s="21" t="n">
        <f aca="false">IF(OR($A90="",AE$4=""),0,COUNTIFS(Formulas!$A$2:$A$1501,AE$4,Formulas!$B$2:$B$1501,$A90))</f>
        <v>0</v>
      </c>
      <c r="AF90" s="21" t="n">
        <f aca="false">IF(OR($A90="",AF$4=""),0,COUNTIFS(Formulas!$A$2:$A$1501,AF$4,Formulas!$B$2:$B$1501,$A90))</f>
        <v>0</v>
      </c>
      <c r="AG90" s="21" t="n">
        <f aca="false">IF(OR($A90="",AG$4=""),0,COUNTIFS(Formulas!$A$2:$A$1501,AG$4,Formulas!$B$2:$B$1501,$A90))</f>
        <v>0</v>
      </c>
      <c r="AH90" s="21" t="n">
        <f aca="false">IF(OR($A90="",AH$4=""),0,COUNTIFS(Formulas!$A$2:$A$1501,AH$4,Formulas!$B$2:$B$1501,$A90))</f>
        <v>0</v>
      </c>
      <c r="AI90" s="21" t="n">
        <f aca="false">IF(OR($A90="",AI$4=""),0,COUNTIFS(Formulas!$A$2:$A$1501,AI$4,Formulas!$B$2:$B$1501,$A90))</f>
        <v>0</v>
      </c>
      <c r="AJ90" s="21" t="n">
        <f aca="false">IF(OR($A90="",AJ$4=""),0,COUNTIFS(Formulas!$A$2:$A$1501,AJ$4,Formulas!$B$2:$B$1501,$A90))</f>
        <v>0</v>
      </c>
      <c r="AK90" s="21" t="n">
        <f aca="false">IF(OR($A90="",AK$4=""),0,COUNTIFS(Formulas!$A$2:$A$1501,AK$4,Formulas!$B$2:$B$1501,$A90))</f>
        <v>0</v>
      </c>
      <c r="AL90" s="21" t="n">
        <f aca="false">IF(OR($A90="",AL$4=""),0,COUNTIFS(Formulas!$A$2:$A$1501,AL$4,Formulas!$B$2:$B$1501,$A90))</f>
        <v>0</v>
      </c>
      <c r="AM90" s="21" t="n">
        <f aca="false">IF(OR($A90="",AM$4=""),0,COUNTIFS(Formulas!$A$2:$A$1501,AM$4,Formulas!$B$2:$B$1501,$A90))</f>
        <v>0</v>
      </c>
      <c r="AN90" s="21" t="n">
        <f aca="false">IF(OR($A90="",AN$4=""),0,COUNTIFS(Formulas!$A$2:$A$1501,AN$4,Formulas!$B$2:$B$1501,$A90))</f>
        <v>0</v>
      </c>
      <c r="AO90" s="21" t="n">
        <f aca="false">IF(OR($A90="",AO$4=""),0,COUNTIFS(Formulas!$A$2:$A$1501,AO$4,Formulas!$B$2:$B$1501,$A90))</f>
        <v>0</v>
      </c>
      <c r="AP90" s="21" t="n">
        <f aca="false">IF(OR($A90="",AP$4=""),0,COUNTIFS(Formulas!$A$2:$A$1501,AP$4,Formulas!$B$2:$B$1501,$A90))</f>
        <v>0</v>
      </c>
      <c r="AQ90" s="21" t="n">
        <f aca="false">IF(OR($A90="",AQ$4=""),0,COUNTIFS(Formulas!$A$2:$A$1501,AQ$4,Formulas!$B$2:$B$1501,$A90))</f>
        <v>0</v>
      </c>
      <c r="AR90" s="21" t="n">
        <f aca="false">IF(OR($A90="",AR$4=""),0,COUNTIFS(Formulas!$A$2:$A$1501,AR$4,Formulas!$B$2:$B$1501,$A90))</f>
        <v>0</v>
      </c>
      <c r="AS90" s="21" t="n">
        <f aca="false">IF(OR($A90="",AS$4=""),0,COUNTIFS(Formulas!$A$2:$A$1501,AS$4,Formulas!$B$2:$B$1501,$A90))</f>
        <v>0</v>
      </c>
      <c r="AT90" s="21" t="n">
        <f aca="false">IF(OR($A90="",AT$4=""),0,COUNTIFS(Formulas!$A$2:$A$1501,AT$4,Formulas!$B$2:$B$1501,$A90))</f>
        <v>0</v>
      </c>
      <c r="AU90" s="21" t="n">
        <f aca="false">IF(OR($A90="",AU$4=""),0,COUNTIFS(Formulas!$A$2:$A$1501,AU$4,Formulas!$B$2:$B$1501,$A90))</f>
        <v>0</v>
      </c>
      <c r="AV90" s="21" t="n">
        <f aca="false">IF(OR($A90="",AV$4=""),0,COUNTIFS(Formulas!$A$2:$A$1501,AV$4,Formulas!$B$2:$B$1501,$A90))</f>
        <v>0</v>
      </c>
      <c r="AW90" s="21" t="n">
        <f aca="false">IF(OR($A90="",AW$4=""),0,COUNTIFS(Formulas!$A$2:$A$1501,AW$4,Formulas!$B$2:$B$1501,$A90))</f>
        <v>0</v>
      </c>
      <c r="AX90" s="21" t="n">
        <f aca="false">IF(OR($A90="",AX$4=""),0,COUNTIFS(Formulas!$A$2:$A$1501,AX$4,Formulas!$B$2:$B$1501,$A90))</f>
        <v>0</v>
      </c>
      <c r="AY90" s="21" t="n">
        <f aca="false">IF(OR($A90="",AY$4=""),0,COUNTIFS(Formulas!$A$2:$A$1501,AY$4,Formulas!$B$2:$B$1501,$A90))</f>
        <v>0</v>
      </c>
      <c r="AZ90" s="21" t="n">
        <f aca="false">IF(OR($A90="",AZ$4=""),0,COUNTIFS(Formulas!$A$2:$A$1501,AZ$4,Formulas!$B$2:$B$1501,$A90))</f>
        <v>0</v>
      </c>
      <c r="BA90" s="21" t="n">
        <f aca="false">IF(OR($A90="",BA$4=""),0,COUNTIFS(Formulas!$A$2:$A$1501,BA$4,Formulas!$B$2:$B$1501,$A90))</f>
        <v>0</v>
      </c>
      <c r="BB90" s="21" t="n">
        <f aca="false">IF(OR($A90="",BB$4=""),0,COUNTIFS(Formulas!$A$2:$A$1501,BB$4,Formulas!$B$2:$B$1501,$A90))</f>
        <v>0</v>
      </c>
      <c r="BC90" s="21" t="n">
        <f aca="false">IF(OR($A90="",BC$4=""),0,COUNTIFS(Formulas!$A$2:$A$1501,BC$4,Formulas!$B$2:$B$1501,$A90))</f>
        <v>0</v>
      </c>
      <c r="BD90" s="21" t="n">
        <f aca="false">IF(OR($A90="",BD$4=""),0,COUNTIFS(Formulas!$A$2:$A$1501,BD$4,Formulas!$B$2:$B$1501,$A90))</f>
        <v>0</v>
      </c>
      <c r="BE90" s="21" t="n">
        <f aca="false">IF(OR($A90="",BE$4=""),0,COUNTIFS(Formulas!$A$2:$A$1501,BE$4,Formulas!$B$2:$B$1501,$A90))</f>
        <v>0</v>
      </c>
      <c r="BF90" s="21" t="n">
        <f aca="false">IF(OR($A90="",BF$4=""),0,COUNTIFS(Formulas!$A$2:$A$1501,BF$4,Formulas!$B$2:$B$1501,$A90))</f>
        <v>0</v>
      </c>
      <c r="BG90" s="21" t="n">
        <f aca="false">IF(OR($A90="",BG$4=""),0,COUNTIFS(Formulas!$A$2:$A$1501,BG$4,Formulas!$B$2:$B$1501,$A90))</f>
        <v>0</v>
      </c>
      <c r="BH90" s="21" t="n">
        <f aca="false">IF(OR($A90="",BH$4=""),0,COUNTIFS(Formulas!$A$2:$A$1501,BH$4,Formulas!$B$2:$B$1501,$A90))</f>
        <v>0</v>
      </c>
      <c r="BI90" s="21" t="n">
        <f aca="false">IF(OR($A90="",BI$4=""),0,COUNTIFS(Formulas!$A$2:$A$1501,BI$4,Formulas!$B$2:$B$1501,$A90))</f>
        <v>0</v>
      </c>
      <c r="BJ90" s="21" t="n">
        <f aca="false">IF(OR($A90="",BJ$4=""),0,COUNTIFS(Formulas!$A$2:$A$1501,BJ$4,Formulas!$B$2:$B$1501,$A90))</f>
        <v>0</v>
      </c>
    </row>
    <row r="91" customFormat="false" ht="15" hidden="false" customHeight="false" outlineLevel="0" collapsed="false">
      <c r="A91" s="13" t="str">
        <f aca="false">IF(INDEX(Materials!$A$2:$A$201,87)="","",INDEX(Materials!$A$2:$A$201,87))</f>
        <v/>
      </c>
      <c r="B91" s="19" t="str">
        <f aca="false">IF(A91="","",COUNTIF(C91:BJ91,"&gt;0"))</f>
        <v/>
      </c>
      <c r="C91" s="21" t="n">
        <f aca="false">IF(OR($A91="",C$4=""),0,COUNTIFS(Formulas!$A$2:$A$1501,C$4,Formulas!$B$2:$B$1501,$A91))</f>
        <v>0</v>
      </c>
      <c r="D91" s="21" t="n">
        <f aca="false">IF(OR($A91="",D$4=""),0,COUNTIFS(Formulas!$A$2:$A$1501,D$4,Formulas!$B$2:$B$1501,$A91))</f>
        <v>0</v>
      </c>
      <c r="E91" s="21" t="n">
        <f aca="false">IF(OR($A91="",E$4=""),0,COUNTIFS(Formulas!$A$2:$A$1501,E$4,Formulas!$B$2:$B$1501,$A91))</f>
        <v>0</v>
      </c>
      <c r="F91" s="21" t="n">
        <f aca="false">IF(OR($A91="",F$4=""),0,COUNTIFS(Formulas!$A$2:$A$1501,F$4,Formulas!$B$2:$B$1501,$A91))</f>
        <v>0</v>
      </c>
      <c r="G91" s="21" t="n">
        <f aca="false">IF(OR($A91="",G$4=""),0,COUNTIFS(Formulas!$A$2:$A$1501,G$4,Formulas!$B$2:$B$1501,$A91))</f>
        <v>0</v>
      </c>
      <c r="H91" s="21" t="n">
        <f aca="false">IF(OR($A91="",H$4=""),0,COUNTIFS(Formulas!$A$2:$A$1501,H$4,Formulas!$B$2:$B$1501,$A91))</f>
        <v>0</v>
      </c>
      <c r="I91" s="21" t="n">
        <f aca="false">IF(OR($A91="",I$4=""),0,COUNTIFS(Formulas!$A$2:$A$1501,I$4,Formulas!$B$2:$B$1501,$A91))</f>
        <v>0</v>
      </c>
      <c r="J91" s="21" t="n">
        <f aca="false">IF(OR($A91="",J$4=""),0,COUNTIFS(Formulas!$A$2:$A$1501,J$4,Formulas!$B$2:$B$1501,$A91))</f>
        <v>0</v>
      </c>
      <c r="K91" s="21" t="n">
        <f aca="false">IF(OR($A91="",K$4=""),0,COUNTIFS(Formulas!$A$2:$A$1501,K$4,Formulas!$B$2:$B$1501,$A91))</f>
        <v>0</v>
      </c>
      <c r="L91" s="21" t="n">
        <f aca="false">IF(OR($A91="",L$4=""),0,COUNTIFS(Formulas!$A$2:$A$1501,L$4,Formulas!$B$2:$B$1501,$A91))</f>
        <v>0</v>
      </c>
      <c r="M91" s="21" t="n">
        <f aca="false">IF(OR($A91="",M$4=""),0,COUNTIFS(Formulas!$A$2:$A$1501,M$4,Formulas!$B$2:$B$1501,$A91))</f>
        <v>0</v>
      </c>
      <c r="N91" s="21" t="n">
        <f aca="false">IF(OR($A91="",N$4=""),0,COUNTIFS(Formulas!$A$2:$A$1501,N$4,Formulas!$B$2:$B$1501,$A91))</f>
        <v>0</v>
      </c>
      <c r="O91" s="21" t="n">
        <f aca="false">IF(OR($A91="",O$4=""),0,COUNTIFS(Formulas!$A$2:$A$1501,O$4,Formulas!$B$2:$B$1501,$A91))</f>
        <v>0</v>
      </c>
      <c r="P91" s="21" t="n">
        <f aca="false">IF(OR($A91="",P$4=""),0,COUNTIFS(Formulas!$A$2:$A$1501,P$4,Formulas!$B$2:$B$1501,$A91))</f>
        <v>0</v>
      </c>
      <c r="Q91" s="21" t="n">
        <f aca="false">IF(OR($A91="",Q$4=""),0,COUNTIFS(Formulas!$A$2:$A$1501,Q$4,Formulas!$B$2:$B$1501,$A91))</f>
        <v>0</v>
      </c>
      <c r="R91" s="21" t="n">
        <f aca="false">IF(OR($A91="",R$4=""),0,COUNTIFS(Formulas!$A$2:$A$1501,R$4,Formulas!$B$2:$B$1501,$A91))</f>
        <v>0</v>
      </c>
      <c r="S91" s="21" t="n">
        <f aca="false">IF(OR($A91="",S$4=""),0,COUNTIFS(Formulas!$A$2:$A$1501,S$4,Formulas!$B$2:$B$1501,$A91))</f>
        <v>0</v>
      </c>
      <c r="T91" s="21" t="n">
        <f aca="false">IF(OR($A91="",T$4=""),0,COUNTIFS(Formulas!$A$2:$A$1501,T$4,Formulas!$B$2:$B$1501,$A91))</f>
        <v>0</v>
      </c>
      <c r="U91" s="21" t="n">
        <f aca="false">IF(OR($A91="",U$4=""),0,COUNTIFS(Formulas!$A$2:$A$1501,U$4,Formulas!$B$2:$B$1501,$A91))</f>
        <v>0</v>
      </c>
      <c r="V91" s="21" t="n">
        <f aca="false">IF(OR($A91="",V$4=""),0,COUNTIFS(Formulas!$A$2:$A$1501,V$4,Formulas!$B$2:$B$1501,$A91))</f>
        <v>0</v>
      </c>
      <c r="W91" s="21" t="n">
        <f aca="false">IF(OR($A91="",W$4=""),0,COUNTIFS(Formulas!$A$2:$A$1501,W$4,Formulas!$B$2:$B$1501,$A91))</f>
        <v>0</v>
      </c>
      <c r="X91" s="21" t="n">
        <f aca="false">IF(OR($A91="",X$4=""),0,COUNTIFS(Formulas!$A$2:$A$1501,X$4,Formulas!$B$2:$B$1501,$A91))</f>
        <v>0</v>
      </c>
      <c r="Y91" s="21" t="n">
        <f aca="false">IF(OR($A91="",Y$4=""),0,COUNTIFS(Formulas!$A$2:$A$1501,Y$4,Formulas!$B$2:$B$1501,$A91))</f>
        <v>0</v>
      </c>
      <c r="Z91" s="21" t="n">
        <f aca="false">IF(OR($A91="",Z$4=""),0,COUNTIFS(Formulas!$A$2:$A$1501,Z$4,Formulas!$B$2:$B$1501,$A91))</f>
        <v>0</v>
      </c>
      <c r="AA91" s="21" t="n">
        <f aca="false">IF(OR($A91="",AA$4=""),0,COUNTIFS(Formulas!$A$2:$A$1501,AA$4,Formulas!$B$2:$B$1501,$A91))</f>
        <v>0</v>
      </c>
      <c r="AB91" s="21" t="n">
        <f aca="false">IF(OR($A91="",AB$4=""),0,COUNTIFS(Formulas!$A$2:$A$1501,AB$4,Formulas!$B$2:$B$1501,$A91))</f>
        <v>0</v>
      </c>
      <c r="AC91" s="21" t="n">
        <f aca="false">IF(OR($A91="",AC$4=""),0,COUNTIFS(Formulas!$A$2:$A$1501,AC$4,Formulas!$B$2:$B$1501,$A91))</f>
        <v>0</v>
      </c>
      <c r="AD91" s="21" t="n">
        <f aca="false">IF(OR($A91="",AD$4=""),0,COUNTIFS(Formulas!$A$2:$A$1501,AD$4,Formulas!$B$2:$B$1501,$A91))</f>
        <v>0</v>
      </c>
      <c r="AE91" s="21" t="n">
        <f aca="false">IF(OR($A91="",AE$4=""),0,COUNTIFS(Formulas!$A$2:$A$1501,AE$4,Formulas!$B$2:$B$1501,$A91))</f>
        <v>0</v>
      </c>
      <c r="AF91" s="21" t="n">
        <f aca="false">IF(OR($A91="",AF$4=""),0,COUNTIFS(Formulas!$A$2:$A$1501,AF$4,Formulas!$B$2:$B$1501,$A91))</f>
        <v>0</v>
      </c>
      <c r="AG91" s="21" t="n">
        <f aca="false">IF(OR($A91="",AG$4=""),0,COUNTIFS(Formulas!$A$2:$A$1501,AG$4,Formulas!$B$2:$B$1501,$A91))</f>
        <v>0</v>
      </c>
      <c r="AH91" s="21" t="n">
        <f aca="false">IF(OR($A91="",AH$4=""),0,COUNTIFS(Formulas!$A$2:$A$1501,AH$4,Formulas!$B$2:$B$1501,$A91))</f>
        <v>0</v>
      </c>
      <c r="AI91" s="21" t="n">
        <f aca="false">IF(OR($A91="",AI$4=""),0,COUNTIFS(Formulas!$A$2:$A$1501,AI$4,Formulas!$B$2:$B$1501,$A91))</f>
        <v>0</v>
      </c>
      <c r="AJ91" s="21" t="n">
        <f aca="false">IF(OR($A91="",AJ$4=""),0,COUNTIFS(Formulas!$A$2:$A$1501,AJ$4,Formulas!$B$2:$B$1501,$A91))</f>
        <v>0</v>
      </c>
      <c r="AK91" s="21" t="n">
        <f aca="false">IF(OR($A91="",AK$4=""),0,COUNTIFS(Formulas!$A$2:$A$1501,AK$4,Formulas!$B$2:$B$1501,$A91))</f>
        <v>0</v>
      </c>
      <c r="AL91" s="21" t="n">
        <f aca="false">IF(OR($A91="",AL$4=""),0,COUNTIFS(Formulas!$A$2:$A$1501,AL$4,Formulas!$B$2:$B$1501,$A91))</f>
        <v>0</v>
      </c>
      <c r="AM91" s="21" t="n">
        <f aca="false">IF(OR($A91="",AM$4=""),0,COUNTIFS(Formulas!$A$2:$A$1501,AM$4,Formulas!$B$2:$B$1501,$A91))</f>
        <v>0</v>
      </c>
      <c r="AN91" s="21" t="n">
        <f aca="false">IF(OR($A91="",AN$4=""),0,COUNTIFS(Formulas!$A$2:$A$1501,AN$4,Formulas!$B$2:$B$1501,$A91))</f>
        <v>0</v>
      </c>
      <c r="AO91" s="21" t="n">
        <f aca="false">IF(OR($A91="",AO$4=""),0,COUNTIFS(Formulas!$A$2:$A$1501,AO$4,Formulas!$B$2:$B$1501,$A91))</f>
        <v>0</v>
      </c>
      <c r="AP91" s="21" t="n">
        <f aca="false">IF(OR($A91="",AP$4=""),0,COUNTIFS(Formulas!$A$2:$A$1501,AP$4,Formulas!$B$2:$B$1501,$A91))</f>
        <v>0</v>
      </c>
      <c r="AQ91" s="21" t="n">
        <f aca="false">IF(OR($A91="",AQ$4=""),0,COUNTIFS(Formulas!$A$2:$A$1501,AQ$4,Formulas!$B$2:$B$1501,$A91))</f>
        <v>0</v>
      </c>
      <c r="AR91" s="21" t="n">
        <f aca="false">IF(OR($A91="",AR$4=""),0,COUNTIFS(Formulas!$A$2:$A$1501,AR$4,Formulas!$B$2:$B$1501,$A91))</f>
        <v>0</v>
      </c>
      <c r="AS91" s="21" t="n">
        <f aca="false">IF(OR($A91="",AS$4=""),0,COUNTIFS(Formulas!$A$2:$A$1501,AS$4,Formulas!$B$2:$B$1501,$A91))</f>
        <v>0</v>
      </c>
      <c r="AT91" s="21" t="n">
        <f aca="false">IF(OR($A91="",AT$4=""),0,COUNTIFS(Formulas!$A$2:$A$1501,AT$4,Formulas!$B$2:$B$1501,$A91))</f>
        <v>0</v>
      </c>
      <c r="AU91" s="21" t="n">
        <f aca="false">IF(OR($A91="",AU$4=""),0,COUNTIFS(Formulas!$A$2:$A$1501,AU$4,Formulas!$B$2:$B$1501,$A91))</f>
        <v>0</v>
      </c>
      <c r="AV91" s="21" t="n">
        <f aca="false">IF(OR($A91="",AV$4=""),0,COUNTIFS(Formulas!$A$2:$A$1501,AV$4,Formulas!$B$2:$B$1501,$A91))</f>
        <v>0</v>
      </c>
      <c r="AW91" s="21" t="n">
        <f aca="false">IF(OR($A91="",AW$4=""),0,COUNTIFS(Formulas!$A$2:$A$1501,AW$4,Formulas!$B$2:$B$1501,$A91))</f>
        <v>0</v>
      </c>
      <c r="AX91" s="21" t="n">
        <f aca="false">IF(OR($A91="",AX$4=""),0,COUNTIFS(Formulas!$A$2:$A$1501,AX$4,Formulas!$B$2:$B$1501,$A91))</f>
        <v>0</v>
      </c>
      <c r="AY91" s="21" t="n">
        <f aca="false">IF(OR($A91="",AY$4=""),0,COUNTIFS(Formulas!$A$2:$A$1501,AY$4,Formulas!$B$2:$B$1501,$A91))</f>
        <v>0</v>
      </c>
      <c r="AZ91" s="21" t="n">
        <f aca="false">IF(OR($A91="",AZ$4=""),0,COUNTIFS(Formulas!$A$2:$A$1501,AZ$4,Formulas!$B$2:$B$1501,$A91))</f>
        <v>0</v>
      </c>
      <c r="BA91" s="21" t="n">
        <f aca="false">IF(OR($A91="",BA$4=""),0,COUNTIFS(Formulas!$A$2:$A$1501,BA$4,Formulas!$B$2:$B$1501,$A91))</f>
        <v>0</v>
      </c>
      <c r="BB91" s="21" t="n">
        <f aca="false">IF(OR($A91="",BB$4=""),0,COUNTIFS(Formulas!$A$2:$A$1501,BB$4,Formulas!$B$2:$B$1501,$A91))</f>
        <v>0</v>
      </c>
      <c r="BC91" s="21" t="n">
        <f aca="false">IF(OR($A91="",BC$4=""),0,COUNTIFS(Formulas!$A$2:$A$1501,BC$4,Formulas!$B$2:$B$1501,$A91))</f>
        <v>0</v>
      </c>
      <c r="BD91" s="21" t="n">
        <f aca="false">IF(OR($A91="",BD$4=""),0,COUNTIFS(Formulas!$A$2:$A$1501,BD$4,Formulas!$B$2:$B$1501,$A91))</f>
        <v>0</v>
      </c>
      <c r="BE91" s="21" t="n">
        <f aca="false">IF(OR($A91="",BE$4=""),0,COUNTIFS(Formulas!$A$2:$A$1501,BE$4,Formulas!$B$2:$B$1501,$A91))</f>
        <v>0</v>
      </c>
      <c r="BF91" s="21" t="n">
        <f aca="false">IF(OR($A91="",BF$4=""),0,COUNTIFS(Formulas!$A$2:$A$1501,BF$4,Formulas!$B$2:$B$1501,$A91))</f>
        <v>0</v>
      </c>
      <c r="BG91" s="21" t="n">
        <f aca="false">IF(OR($A91="",BG$4=""),0,COUNTIFS(Formulas!$A$2:$A$1501,BG$4,Formulas!$B$2:$B$1501,$A91))</f>
        <v>0</v>
      </c>
      <c r="BH91" s="21" t="n">
        <f aca="false">IF(OR($A91="",BH$4=""),0,COUNTIFS(Formulas!$A$2:$A$1501,BH$4,Formulas!$B$2:$B$1501,$A91))</f>
        <v>0</v>
      </c>
      <c r="BI91" s="21" t="n">
        <f aca="false">IF(OR($A91="",BI$4=""),0,COUNTIFS(Formulas!$A$2:$A$1501,BI$4,Formulas!$B$2:$B$1501,$A91))</f>
        <v>0</v>
      </c>
      <c r="BJ91" s="21" t="n">
        <f aca="false">IF(OR($A91="",BJ$4=""),0,COUNTIFS(Formulas!$A$2:$A$1501,BJ$4,Formulas!$B$2:$B$1501,$A91))</f>
        <v>0</v>
      </c>
    </row>
    <row r="92" customFormat="false" ht="15" hidden="false" customHeight="false" outlineLevel="0" collapsed="false">
      <c r="A92" s="13" t="str">
        <f aca="false">IF(INDEX(Materials!$A$2:$A$201,88)="","",INDEX(Materials!$A$2:$A$201,88))</f>
        <v/>
      </c>
      <c r="B92" s="19" t="str">
        <f aca="false">IF(A92="","",COUNTIF(C92:BJ92,"&gt;0"))</f>
        <v/>
      </c>
      <c r="C92" s="21" t="n">
        <f aca="false">IF(OR($A92="",C$4=""),0,COUNTIFS(Formulas!$A$2:$A$1501,C$4,Formulas!$B$2:$B$1501,$A92))</f>
        <v>0</v>
      </c>
      <c r="D92" s="21" t="n">
        <f aca="false">IF(OR($A92="",D$4=""),0,COUNTIFS(Formulas!$A$2:$A$1501,D$4,Formulas!$B$2:$B$1501,$A92))</f>
        <v>0</v>
      </c>
      <c r="E92" s="21" t="n">
        <f aca="false">IF(OR($A92="",E$4=""),0,COUNTIFS(Formulas!$A$2:$A$1501,E$4,Formulas!$B$2:$B$1501,$A92))</f>
        <v>0</v>
      </c>
      <c r="F92" s="21" t="n">
        <f aca="false">IF(OR($A92="",F$4=""),0,COUNTIFS(Formulas!$A$2:$A$1501,F$4,Formulas!$B$2:$B$1501,$A92))</f>
        <v>0</v>
      </c>
      <c r="G92" s="21" t="n">
        <f aca="false">IF(OR($A92="",G$4=""),0,COUNTIFS(Formulas!$A$2:$A$1501,G$4,Formulas!$B$2:$B$1501,$A92))</f>
        <v>0</v>
      </c>
      <c r="H92" s="21" t="n">
        <f aca="false">IF(OR($A92="",H$4=""),0,COUNTIFS(Formulas!$A$2:$A$1501,H$4,Formulas!$B$2:$B$1501,$A92))</f>
        <v>0</v>
      </c>
      <c r="I92" s="21" t="n">
        <f aca="false">IF(OR($A92="",I$4=""),0,COUNTIFS(Formulas!$A$2:$A$1501,I$4,Formulas!$B$2:$B$1501,$A92))</f>
        <v>0</v>
      </c>
      <c r="J92" s="21" t="n">
        <f aca="false">IF(OR($A92="",J$4=""),0,COUNTIFS(Formulas!$A$2:$A$1501,J$4,Formulas!$B$2:$B$1501,$A92))</f>
        <v>0</v>
      </c>
      <c r="K92" s="21" t="n">
        <f aca="false">IF(OR($A92="",K$4=""),0,COUNTIFS(Formulas!$A$2:$A$1501,K$4,Formulas!$B$2:$B$1501,$A92))</f>
        <v>0</v>
      </c>
      <c r="L92" s="21" t="n">
        <f aca="false">IF(OR($A92="",L$4=""),0,COUNTIFS(Formulas!$A$2:$A$1501,L$4,Formulas!$B$2:$B$1501,$A92))</f>
        <v>0</v>
      </c>
      <c r="M92" s="21" t="n">
        <f aca="false">IF(OR($A92="",M$4=""),0,COUNTIFS(Formulas!$A$2:$A$1501,M$4,Formulas!$B$2:$B$1501,$A92))</f>
        <v>0</v>
      </c>
      <c r="N92" s="21" t="n">
        <f aca="false">IF(OR($A92="",N$4=""),0,COUNTIFS(Formulas!$A$2:$A$1501,N$4,Formulas!$B$2:$B$1501,$A92))</f>
        <v>0</v>
      </c>
      <c r="O92" s="21" t="n">
        <f aca="false">IF(OR($A92="",O$4=""),0,COUNTIFS(Formulas!$A$2:$A$1501,O$4,Formulas!$B$2:$B$1501,$A92))</f>
        <v>0</v>
      </c>
      <c r="P92" s="21" t="n">
        <f aca="false">IF(OR($A92="",P$4=""),0,COUNTIFS(Formulas!$A$2:$A$1501,P$4,Formulas!$B$2:$B$1501,$A92))</f>
        <v>0</v>
      </c>
      <c r="Q92" s="21" t="n">
        <f aca="false">IF(OR($A92="",Q$4=""),0,COUNTIFS(Formulas!$A$2:$A$1501,Q$4,Formulas!$B$2:$B$1501,$A92))</f>
        <v>0</v>
      </c>
      <c r="R92" s="21" t="n">
        <f aca="false">IF(OR($A92="",R$4=""),0,COUNTIFS(Formulas!$A$2:$A$1501,R$4,Formulas!$B$2:$B$1501,$A92))</f>
        <v>0</v>
      </c>
      <c r="S92" s="21" t="n">
        <f aca="false">IF(OR($A92="",S$4=""),0,COUNTIFS(Formulas!$A$2:$A$1501,S$4,Formulas!$B$2:$B$1501,$A92))</f>
        <v>0</v>
      </c>
      <c r="T92" s="21" t="n">
        <f aca="false">IF(OR($A92="",T$4=""),0,COUNTIFS(Formulas!$A$2:$A$1501,T$4,Formulas!$B$2:$B$1501,$A92))</f>
        <v>0</v>
      </c>
      <c r="U92" s="21" t="n">
        <f aca="false">IF(OR($A92="",U$4=""),0,COUNTIFS(Formulas!$A$2:$A$1501,U$4,Formulas!$B$2:$B$1501,$A92))</f>
        <v>0</v>
      </c>
      <c r="V92" s="21" t="n">
        <f aca="false">IF(OR($A92="",V$4=""),0,COUNTIFS(Formulas!$A$2:$A$1501,V$4,Formulas!$B$2:$B$1501,$A92))</f>
        <v>0</v>
      </c>
      <c r="W92" s="21" t="n">
        <f aca="false">IF(OR($A92="",W$4=""),0,COUNTIFS(Formulas!$A$2:$A$1501,W$4,Formulas!$B$2:$B$1501,$A92))</f>
        <v>0</v>
      </c>
      <c r="X92" s="21" t="n">
        <f aca="false">IF(OR($A92="",X$4=""),0,COUNTIFS(Formulas!$A$2:$A$1501,X$4,Formulas!$B$2:$B$1501,$A92))</f>
        <v>0</v>
      </c>
      <c r="Y92" s="21" t="n">
        <f aca="false">IF(OR($A92="",Y$4=""),0,COUNTIFS(Formulas!$A$2:$A$1501,Y$4,Formulas!$B$2:$B$1501,$A92))</f>
        <v>0</v>
      </c>
      <c r="Z92" s="21" t="n">
        <f aca="false">IF(OR($A92="",Z$4=""),0,COUNTIFS(Formulas!$A$2:$A$1501,Z$4,Formulas!$B$2:$B$1501,$A92))</f>
        <v>0</v>
      </c>
      <c r="AA92" s="21" t="n">
        <f aca="false">IF(OR($A92="",AA$4=""),0,COUNTIFS(Formulas!$A$2:$A$1501,AA$4,Formulas!$B$2:$B$1501,$A92))</f>
        <v>0</v>
      </c>
      <c r="AB92" s="21" t="n">
        <f aca="false">IF(OR($A92="",AB$4=""),0,COUNTIFS(Formulas!$A$2:$A$1501,AB$4,Formulas!$B$2:$B$1501,$A92))</f>
        <v>0</v>
      </c>
      <c r="AC92" s="21" t="n">
        <f aca="false">IF(OR($A92="",AC$4=""),0,COUNTIFS(Formulas!$A$2:$A$1501,AC$4,Formulas!$B$2:$B$1501,$A92))</f>
        <v>0</v>
      </c>
      <c r="AD92" s="21" t="n">
        <f aca="false">IF(OR($A92="",AD$4=""),0,COUNTIFS(Formulas!$A$2:$A$1501,AD$4,Formulas!$B$2:$B$1501,$A92))</f>
        <v>0</v>
      </c>
      <c r="AE92" s="21" t="n">
        <f aca="false">IF(OR($A92="",AE$4=""),0,COUNTIFS(Formulas!$A$2:$A$1501,AE$4,Formulas!$B$2:$B$1501,$A92))</f>
        <v>0</v>
      </c>
      <c r="AF92" s="21" t="n">
        <f aca="false">IF(OR($A92="",AF$4=""),0,COUNTIFS(Formulas!$A$2:$A$1501,AF$4,Formulas!$B$2:$B$1501,$A92))</f>
        <v>0</v>
      </c>
      <c r="AG92" s="21" t="n">
        <f aca="false">IF(OR($A92="",AG$4=""),0,COUNTIFS(Formulas!$A$2:$A$1501,AG$4,Formulas!$B$2:$B$1501,$A92))</f>
        <v>0</v>
      </c>
      <c r="AH92" s="21" t="n">
        <f aca="false">IF(OR($A92="",AH$4=""),0,COUNTIFS(Formulas!$A$2:$A$1501,AH$4,Formulas!$B$2:$B$1501,$A92))</f>
        <v>0</v>
      </c>
      <c r="AI92" s="21" t="n">
        <f aca="false">IF(OR($A92="",AI$4=""),0,COUNTIFS(Formulas!$A$2:$A$1501,AI$4,Formulas!$B$2:$B$1501,$A92))</f>
        <v>0</v>
      </c>
      <c r="AJ92" s="21" t="n">
        <f aca="false">IF(OR($A92="",AJ$4=""),0,COUNTIFS(Formulas!$A$2:$A$1501,AJ$4,Formulas!$B$2:$B$1501,$A92))</f>
        <v>0</v>
      </c>
      <c r="AK92" s="21" t="n">
        <f aca="false">IF(OR($A92="",AK$4=""),0,COUNTIFS(Formulas!$A$2:$A$1501,AK$4,Formulas!$B$2:$B$1501,$A92))</f>
        <v>0</v>
      </c>
      <c r="AL92" s="21" t="n">
        <f aca="false">IF(OR($A92="",AL$4=""),0,COUNTIFS(Formulas!$A$2:$A$1501,AL$4,Formulas!$B$2:$B$1501,$A92))</f>
        <v>0</v>
      </c>
      <c r="AM92" s="21" t="n">
        <f aca="false">IF(OR($A92="",AM$4=""),0,COUNTIFS(Formulas!$A$2:$A$1501,AM$4,Formulas!$B$2:$B$1501,$A92))</f>
        <v>0</v>
      </c>
      <c r="AN92" s="21" t="n">
        <f aca="false">IF(OR($A92="",AN$4=""),0,COUNTIFS(Formulas!$A$2:$A$1501,AN$4,Formulas!$B$2:$B$1501,$A92))</f>
        <v>0</v>
      </c>
      <c r="AO92" s="21" t="n">
        <f aca="false">IF(OR($A92="",AO$4=""),0,COUNTIFS(Formulas!$A$2:$A$1501,AO$4,Formulas!$B$2:$B$1501,$A92))</f>
        <v>0</v>
      </c>
      <c r="AP92" s="21" t="n">
        <f aca="false">IF(OR($A92="",AP$4=""),0,COUNTIFS(Formulas!$A$2:$A$1501,AP$4,Formulas!$B$2:$B$1501,$A92))</f>
        <v>0</v>
      </c>
      <c r="AQ92" s="21" t="n">
        <f aca="false">IF(OR($A92="",AQ$4=""),0,COUNTIFS(Formulas!$A$2:$A$1501,AQ$4,Formulas!$B$2:$B$1501,$A92))</f>
        <v>0</v>
      </c>
      <c r="AR92" s="21" t="n">
        <f aca="false">IF(OR($A92="",AR$4=""),0,COUNTIFS(Formulas!$A$2:$A$1501,AR$4,Formulas!$B$2:$B$1501,$A92))</f>
        <v>0</v>
      </c>
      <c r="AS92" s="21" t="n">
        <f aca="false">IF(OR($A92="",AS$4=""),0,COUNTIFS(Formulas!$A$2:$A$1501,AS$4,Formulas!$B$2:$B$1501,$A92))</f>
        <v>0</v>
      </c>
      <c r="AT92" s="21" t="n">
        <f aca="false">IF(OR($A92="",AT$4=""),0,COUNTIFS(Formulas!$A$2:$A$1501,AT$4,Formulas!$B$2:$B$1501,$A92))</f>
        <v>0</v>
      </c>
      <c r="AU92" s="21" t="n">
        <f aca="false">IF(OR($A92="",AU$4=""),0,COUNTIFS(Formulas!$A$2:$A$1501,AU$4,Formulas!$B$2:$B$1501,$A92))</f>
        <v>0</v>
      </c>
      <c r="AV92" s="21" t="n">
        <f aca="false">IF(OR($A92="",AV$4=""),0,COUNTIFS(Formulas!$A$2:$A$1501,AV$4,Formulas!$B$2:$B$1501,$A92))</f>
        <v>0</v>
      </c>
      <c r="AW92" s="21" t="n">
        <f aca="false">IF(OR($A92="",AW$4=""),0,COUNTIFS(Formulas!$A$2:$A$1501,AW$4,Formulas!$B$2:$B$1501,$A92))</f>
        <v>0</v>
      </c>
      <c r="AX92" s="21" t="n">
        <f aca="false">IF(OR($A92="",AX$4=""),0,COUNTIFS(Formulas!$A$2:$A$1501,AX$4,Formulas!$B$2:$B$1501,$A92))</f>
        <v>0</v>
      </c>
      <c r="AY92" s="21" t="n">
        <f aca="false">IF(OR($A92="",AY$4=""),0,COUNTIFS(Formulas!$A$2:$A$1501,AY$4,Formulas!$B$2:$B$1501,$A92))</f>
        <v>0</v>
      </c>
      <c r="AZ92" s="21" t="n">
        <f aca="false">IF(OR($A92="",AZ$4=""),0,COUNTIFS(Formulas!$A$2:$A$1501,AZ$4,Formulas!$B$2:$B$1501,$A92))</f>
        <v>0</v>
      </c>
      <c r="BA92" s="21" t="n">
        <f aca="false">IF(OR($A92="",BA$4=""),0,COUNTIFS(Formulas!$A$2:$A$1501,BA$4,Formulas!$B$2:$B$1501,$A92))</f>
        <v>0</v>
      </c>
      <c r="BB92" s="21" t="n">
        <f aca="false">IF(OR($A92="",BB$4=""),0,COUNTIFS(Formulas!$A$2:$A$1501,BB$4,Formulas!$B$2:$B$1501,$A92))</f>
        <v>0</v>
      </c>
      <c r="BC92" s="21" t="n">
        <f aca="false">IF(OR($A92="",BC$4=""),0,COUNTIFS(Formulas!$A$2:$A$1501,BC$4,Formulas!$B$2:$B$1501,$A92))</f>
        <v>0</v>
      </c>
      <c r="BD92" s="21" t="n">
        <f aca="false">IF(OR($A92="",BD$4=""),0,COUNTIFS(Formulas!$A$2:$A$1501,BD$4,Formulas!$B$2:$B$1501,$A92))</f>
        <v>0</v>
      </c>
      <c r="BE92" s="21" t="n">
        <f aca="false">IF(OR($A92="",BE$4=""),0,COUNTIFS(Formulas!$A$2:$A$1501,BE$4,Formulas!$B$2:$B$1501,$A92))</f>
        <v>0</v>
      </c>
      <c r="BF92" s="21" t="n">
        <f aca="false">IF(OR($A92="",BF$4=""),0,COUNTIFS(Formulas!$A$2:$A$1501,BF$4,Formulas!$B$2:$B$1501,$A92))</f>
        <v>0</v>
      </c>
      <c r="BG92" s="21" t="n">
        <f aca="false">IF(OR($A92="",BG$4=""),0,COUNTIFS(Formulas!$A$2:$A$1501,BG$4,Formulas!$B$2:$B$1501,$A92))</f>
        <v>0</v>
      </c>
      <c r="BH92" s="21" t="n">
        <f aca="false">IF(OR($A92="",BH$4=""),0,COUNTIFS(Formulas!$A$2:$A$1501,BH$4,Formulas!$B$2:$B$1501,$A92))</f>
        <v>0</v>
      </c>
      <c r="BI92" s="21" t="n">
        <f aca="false">IF(OR($A92="",BI$4=""),0,COUNTIFS(Formulas!$A$2:$A$1501,BI$4,Formulas!$B$2:$B$1501,$A92))</f>
        <v>0</v>
      </c>
      <c r="BJ92" s="21" t="n">
        <f aca="false">IF(OR($A92="",BJ$4=""),0,COUNTIFS(Formulas!$A$2:$A$1501,BJ$4,Formulas!$B$2:$B$1501,$A92))</f>
        <v>0</v>
      </c>
    </row>
    <row r="93" customFormat="false" ht="15" hidden="false" customHeight="false" outlineLevel="0" collapsed="false">
      <c r="A93" s="13" t="str">
        <f aca="false">IF(INDEX(Materials!$A$2:$A$201,89)="","",INDEX(Materials!$A$2:$A$201,89))</f>
        <v/>
      </c>
      <c r="B93" s="19" t="str">
        <f aca="false">IF(A93="","",COUNTIF(C93:BJ93,"&gt;0"))</f>
        <v/>
      </c>
      <c r="C93" s="21" t="n">
        <f aca="false">IF(OR($A93="",C$4=""),0,COUNTIFS(Formulas!$A$2:$A$1501,C$4,Formulas!$B$2:$B$1501,$A93))</f>
        <v>0</v>
      </c>
      <c r="D93" s="21" t="n">
        <f aca="false">IF(OR($A93="",D$4=""),0,COUNTIFS(Formulas!$A$2:$A$1501,D$4,Formulas!$B$2:$B$1501,$A93))</f>
        <v>0</v>
      </c>
      <c r="E93" s="21" t="n">
        <f aca="false">IF(OR($A93="",E$4=""),0,COUNTIFS(Formulas!$A$2:$A$1501,E$4,Formulas!$B$2:$B$1501,$A93))</f>
        <v>0</v>
      </c>
      <c r="F93" s="21" t="n">
        <f aca="false">IF(OR($A93="",F$4=""),0,COUNTIFS(Formulas!$A$2:$A$1501,F$4,Formulas!$B$2:$B$1501,$A93))</f>
        <v>0</v>
      </c>
      <c r="G93" s="21" t="n">
        <f aca="false">IF(OR($A93="",G$4=""),0,COUNTIFS(Formulas!$A$2:$A$1501,G$4,Formulas!$B$2:$B$1501,$A93))</f>
        <v>0</v>
      </c>
      <c r="H93" s="21" t="n">
        <f aca="false">IF(OR($A93="",H$4=""),0,COUNTIFS(Formulas!$A$2:$A$1501,H$4,Formulas!$B$2:$B$1501,$A93))</f>
        <v>0</v>
      </c>
      <c r="I93" s="21" t="n">
        <f aca="false">IF(OR($A93="",I$4=""),0,COUNTIFS(Formulas!$A$2:$A$1501,I$4,Formulas!$B$2:$B$1501,$A93))</f>
        <v>0</v>
      </c>
      <c r="J93" s="21" t="n">
        <f aca="false">IF(OR($A93="",J$4=""),0,COUNTIFS(Formulas!$A$2:$A$1501,J$4,Formulas!$B$2:$B$1501,$A93))</f>
        <v>0</v>
      </c>
      <c r="K93" s="21" t="n">
        <f aca="false">IF(OR($A93="",K$4=""),0,COUNTIFS(Formulas!$A$2:$A$1501,K$4,Formulas!$B$2:$B$1501,$A93))</f>
        <v>0</v>
      </c>
      <c r="L93" s="21" t="n">
        <f aca="false">IF(OR($A93="",L$4=""),0,COUNTIFS(Formulas!$A$2:$A$1501,L$4,Formulas!$B$2:$B$1501,$A93))</f>
        <v>0</v>
      </c>
      <c r="M93" s="21" t="n">
        <f aca="false">IF(OR($A93="",M$4=""),0,COUNTIFS(Formulas!$A$2:$A$1501,M$4,Formulas!$B$2:$B$1501,$A93))</f>
        <v>0</v>
      </c>
      <c r="N93" s="21" t="n">
        <f aca="false">IF(OR($A93="",N$4=""),0,COUNTIFS(Formulas!$A$2:$A$1501,N$4,Formulas!$B$2:$B$1501,$A93))</f>
        <v>0</v>
      </c>
      <c r="O93" s="21" t="n">
        <f aca="false">IF(OR($A93="",O$4=""),0,COUNTIFS(Formulas!$A$2:$A$1501,O$4,Formulas!$B$2:$B$1501,$A93))</f>
        <v>0</v>
      </c>
      <c r="P93" s="21" t="n">
        <f aca="false">IF(OR($A93="",P$4=""),0,COUNTIFS(Formulas!$A$2:$A$1501,P$4,Formulas!$B$2:$B$1501,$A93))</f>
        <v>0</v>
      </c>
      <c r="Q93" s="21" t="n">
        <f aca="false">IF(OR($A93="",Q$4=""),0,COUNTIFS(Formulas!$A$2:$A$1501,Q$4,Formulas!$B$2:$B$1501,$A93))</f>
        <v>0</v>
      </c>
      <c r="R93" s="21" t="n">
        <f aca="false">IF(OR($A93="",R$4=""),0,COUNTIFS(Formulas!$A$2:$A$1501,R$4,Formulas!$B$2:$B$1501,$A93))</f>
        <v>0</v>
      </c>
      <c r="S93" s="21" t="n">
        <f aca="false">IF(OR($A93="",S$4=""),0,COUNTIFS(Formulas!$A$2:$A$1501,S$4,Formulas!$B$2:$B$1501,$A93))</f>
        <v>0</v>
      </c>
      <c r="T93" s="21" t="n">
        <f aca="false">IF(OR($A93="",T$4=""),0,COUNTIFS(Formulas!$A$2:$A$1501,T$4,Formulas!$B$2:$B$1501,$A93))</f>
        <v>0</v>
      </c>
      <c r="U93" s="21" t="n">
        <f aca="false">IF(OR($A93="",U$4=""),0,COUNTIFS(Formulas!$A$2:$A$1501,U$4,Formulas!$B$2:$B$1501,$A93))</f>
        <v>0</v>
      </c>
      <c r="V93" s="21" t="n">
        <f aca="false">IF(OR($A93="",V$4=""),0,COUNTIFS(Formulas!$A$2:$A$1501,V$4,Formulas!$B$2:$B$1501,$A93))</f>
        <v>0</v>
      </c>
      <c r="W93" s="21" t="n">
        <f aca="false">IF(OR($A93="",W$4=""),0,COUNTIFS(Formulas!$A$2:$A$1501,W$4,Formulas!$B$2:$B$1501,$A93))</f>
        <v>0</v>
      </c>
      <c r="X93" s="21" t="n">
        <f aca="false">IF(OR($A93="",X$4=""),0,COUNTIFS(Formulas!$A$2:$A$1501,X$4,Formulas!$B$2:$B$1501,$A93))</f>
        <v>0</v>
      </c>
      <c r="Y93" s="21" t="n">
        <f aca="false">IF(OR($A93="",Y$4=""),0,COUNTIFS(Formulas!$A$2:$A$1501,Y$4,Formulas!$B$2:$B$1501,$A93))</f>
        <v>0</v>
      </c>
      <c r="Z93" s="21" t="n">
        <f aca="false">IF(OR($A93="",Z$4=""),0,COUNTIFS(Formulas!$A$2:$A$1501,Z$4,Formulas!$B$2:$B$1501,$A93))</f>
        <v>0</v>
      </c>
      <c r="AA93" s="21" t="n">
        <f aca="false">IF(OR($A93="",AA$4=""),0,COUNTIFS(Formulas!$A$2:$A$1501,AA$4,Formulas!$B$2:$B$1501,$A93))</f>
        <v>0</v>
      </c>
      <c r="AB93" s="21" t="n">
        <f aca="false">IF(OR($A93="",AB$4=""),0,COUNTIFS(Formulas!$A$2:$A$1501,AB$4,Formulas!$B$2:$B$1501,$A93))</f>
        <v>0</v>
      </c>
      <c r="AC93" s="21" t="n">
        <f aca="false">IF(OR($A93="",AC$4=""),0,COUNTIFS(Formulas!$A$2:$A$1501,AC$4,Formulas!$B$2:$B$1501,$A93))</f>
        <v>0</v>
      </c>
      <c r="AD93" s="21" t="n">
        <f aca="false">IF(OR($A93="",AD$4=""),0,COUNTIFS(Formulas!$A$2:$A$1501,AD$4,Formulas!$B$2:$B$1501,$A93))</f>
        <v>0</v>
      </c>
      <c r="AE93" s="21" t="n">
        <f aca="false">IF(OR($A93="",AE$4=""),0,COUNTIFS(Formulas!$A$2:$A$1501,AE$4,Formulas!$B$2:$B$1501,$A93))</f>
        <v>0</v>
      </c>
      <c r="AF93" s="21" t="n">
        <f aca="false">IF(OR($A93="",AF$4=""),0,COUNTIFS(Formulas!$A$2:$A$1501,AF$4,Formulas!$B$2:$B$1501,$A93))</f>
        <v>0</v>
      </c>
      <c r="AG93" s="21" t="n">
        <f aca="false">IF(OR($A93="",AG$4=""),0,COUNTIFS(Formulas!$A$2:$A$1501,AG$4,Formulas!$B$2:$B$1501,$A93))</f>
        <v>0</v>
      </c>
      <c r="AH93" s="21" t="n">
        <f aca="false">IF(OR($A93="",AH$4=""),0,COUNTIFS(Formulas!$A$2:$A$1501,AH$4,Formulas!$B$2:$B$1501,$A93))</f>
        <v>0</v>
      </c>
      <c r="AI93" s="21" t="n">
        <f aca="false">IF(OR($A93="",AI$4=""),0,COUNTIFS(Formulas!$A$2:$A$1501,AI$4,Formulas!$B$2:$B$1501,$A93))</f>
        <v>0</v>
      </c>
      <c r="AJ93" s="21" t="n">
        <f aca="false">IF(OR($A93="",AJ$4=""),0,COUNTIFS(Formulas!$A$2:$A$1501,AJ$4,Formulas!$B$2:$B$1501,$A93))</f>
        <v>0</v>
      </c>
      <c r="AK93" s="21" t="n">
        <f aca="false">IF(OR($A93="",AK$4=""),0,COUNTIFS(Formulas!$A$2:$A$1501,AK$4,Formulas!$B$2:$B$1501,$A93))</f>
        <v>0</v>
      </c>
      <c r="AL93" s="21" t="n">
        <f aca="false">IF(OR($A93="",AL$4=""),0,COUNTIFS(Formulas!$A$2:$A$1501,AL$4,Formulas!$B$2:$B$1501,$A93))</f>
        <v>0</v>
      </c>
      <c r="AM93" s="21" t="n">
        <f aca="false">IF(OR($A93="",AM$4=""),0,COUNTIFS(Formulas!$A$2:$A$1501,AM$4,Formulas!$B$2:$B$1501,$A93))</f>
        <v>0</v>
      </c>
      <c r="AN93" s="21" t="n">
        <f aca="false">IF(OR($A93="",AN$4=""),0,COUNTIFS(Formulas!$A$2:$A$1501,AN$4,Formulas!$B$2:$B$1501,$A93))</f>
        <v>0</v>
      </c>
      <c r="AO93" s="21" t="n">
        <f aca="false">IF(OR($A93="",AO$4=""),0,COUNTIFS(Formulas!$A$2:$A$1501,AO$4,Formulas!$B$2:$B$1501,$A93))</f>
        <v>0</v>
      </c>
      <c r="AP93" s="21" t="n">
        <f aca="false">IF(OR($A93="",AP$4=""),0,COUNTIFS(Formulas!$A$2:$A$1501,AP$4,Formulas!$B$2:$B$1501,$A93))</f>
        <v>0</v>
      </c>
      <c r="AQ93" s="21" t="n">
        <f aca="false">IF(OR($A93="",AQ$4=""),0,COUNTIFS(Formulas!$A$2:$A$1501,AQ$4,Formulas!$B$2:$B$1501,$A93))</f>
        <v>0</v>
      </c>
      <c r="AR93" s="21" t="n">
        <f aca="false">IF(OR($A93="",AR$4=""),0,COUNTIFS(Formulas!$A$2:$A$1501,AR$4,Formulas!$B$2:$B$1501,$A93))</f>
        <v>0</v>
      </c>
      <c r="AS93" s="21" t="n">
        <f aca="false">IF(OR($A93="",AS$4=""),0,COUNTIFS(Formulas!$A$2:$A$1501,AS$4,Formulas!$B$2:$B$1501,$A93))</f>
        <v>0</v>
      </c>
      <c r="AT93" s="21" t="n">
        <f aca="false">IF(OR($A93="",AT$4=""),0,COUNTIFS(Formulas!$A$2:$A$1501,AT$4,Formulas!$B$2:$B$1501,$A93))</f>
        <v>0</v>
      </c>
      <c r="AU93" s="21" t="n">
        <f aca="false">IF(OR($A93="",AU$4=""),0,COUNTIFS(Formulas!$A$2:$A$1501,AU$4,Formulas!$B$2:$B$1501,$A93))</f>
        <v>0</v>
      </c>
      <c r="AV93" s="21" t="n">
        <f aca="false">IF(OR($A93="",AV$4=""),0,COUNTIFS(Formulas!$A$2:$A$1501,AV$4,Formulas!$B$2:$B$1501,$A93))</f>
        <v>0</v>
      </c>
      <c r="AW93" s="21" t="n">
        <f aca="false">IF(OR($A93="",AW$4=""),0,COUNTIFS(Formulas!$A$2:$A$1501,AW$4,Formulas!$B$2:$B$1501,$A93))</f>
        <v>0</v>
      </c>
      <c r="AX93" s="21" t="n">
        <f aca="false">IF(OR($A93="",AX$4=""),0,COUNTIFS(Formulas!$A$2:$A$1501,AX$4,Formulas!$B$2:$B$1501,$A93))</f>
        <v>0</v>
      </c>
      <c r="AY93" s="21" t="n">
        <f aca="false">IF(OR($A93="",AY$4=""),0,COUNTIFS(Formulas!$A$2:$A$1501,AY$4,Formulas!$B$2:$B$1501,$A93))</f>
        <v>0</v>
      </c>
      <c r="AZ93" s="21" t="n">
        <f aca="false">IF(OR($A93="",AZ$4=""),0,COUNTIFS(Formulas!$A$2:$A$1501,AZ$4,Formulas!$B$2:$B$1501,$A93))</f>
        <v>0</v>
      </c>
      <c r="BA93" s="21" t="n">
        <f aca="false">IF(OR($A93="",BA$4=""),0,COUNTIFS(Formulas!$A$2:$A$1501,BA$4,Formulas!$B$2:$B$1501,$A93))</f>
        <v>0</v>
      </c>
      <c r="BB93" s="21" t="n">
        <f aca="false">IF(OR($A93="",BB$4=""),0,COUNTIFS(Formulas!$A$2:$A$1501,BB$4,Formulas!$B$2:$B$1501,$A93))</f>
        <v>0</v>
      </c>
      <c r="BC93" s="21" t="n">
        <f aca="false">IF(OR($A93="",BC$4=""),0,COUNTIFS(Formulas!$A$2:$A$1501,BC$4,Formulas!$B$2:$B$1501,$A93))</f>
        <v>0</v>
      </c>
      <c r="BD93" s="21" t="n">
        <f aca="false">IF(OR($A93="",BD$4=""),0,COUNTIFS(Formulas!$A$2:$A$1501,BD$4,Formulas!$B$2:$B$1501,$A93))</f>
        <v>0</v>
      </c>
      <c r="BE93" s="21" t="n">
        <f aca="false">IF(OR($A93="",BE$4=""),0,COUNTIFS(Formulas!$A$2:$A$1501,BE$4,Formulas!$B$2:$B$1501,$A93))</f>
        <v>0</v>
      </c>
      <c r="BF93" s="21" t="n">
        <f aca="false">IF(OR($A93="",BF$4=""),0,COUNTIFS(Formulas!$A$2:$A$1501,BF$4,Formulas!$B$2:$B$1501,$A93))</f>
        <v>0</v>
      </c>
      <c r="BG93" s="21" t="n">
        <f aca="false">IF(OR($A93="",BG$4=""),0,COUNTIFS(Formulas!$A$2:$A$1501,BG$4,Formulas!$B$2:$B$1501,$A93))</f>
        <v>0</v>
      </c>
      <c r="BH93" s="21" t="n">
        <f aca="false">IF(OR($A93="",BH$4=""),0,COUNTIFS(Formulas!$A$2:$A$1501,BH$4,Formulas!$B$2:$B$1501,$A93))</f>
        <v>0</v>
      </c>
      <c r="BI93" s="21" t="n">
        <f aca="false">IF(OR($A93="",BI$4=""),0,COUNTIFS(Formulas!$A$2:$A$1501,BI$4,Formulas!$B$2:$B$1501,$A93))</f>
        <v>0</v>
      </c>
      <c r="BJ93" s="21" t="n">
        <f aca="false">IF(OR($A93="",BJ$4=""),0,COUNTIFS(Formulas!$A$2:$A$1501,BJ$4,Formulas!$B$2:$B$1501,$A93))</f>
        <v>0</v>
      </c>
    </row>
    <row r="94" customFormat="false" ht="15" hidden="false" customHeight="false" outlineLevel="0" collapsed="false">
      <c r="A94" s="13" t="str">
        <f aca="false">IF(INDEX(Materials!$A$2:$A$201,90)="","",INDEX(Materials!$A$2:$A$201,90))</f>
        <v/>
      </c>
      <c r="B94" s="19" t="str">
        <f aca="false">IF(A94="","",COUNTIF(C94:BJ94,"&gt;0"))</f>
        <v/>
      </c>
      <c r="C94" s="21" t="n">
        <f aca="false">IF(OR($A94="",C$4=""),0,COUNTIFS(Formulas!$A$2:$A$1501,C$4,Formulas!$B$2:$B$1501,$A94))</f>
        <v>0</v>
      </c>
      <c r="D94" s="21" t="n">
        <f aca="false">IF(OR($A94="",D$4=""),0,COUNTIFS(Formulas!$A$2:$A$1501,D$4,Formulas!$B$2:$B$1501,$A94))</f>
        <v>0</v>
      </c>
      <c r="E94" s="21" t="n">
        <f aca="false">IF(OR($A94="",E$4=""),0,COUNTIFS(Formulas!$A$2:$A$1501,E$4,Formulas!$B$2:$B$1501,$A94))</f>
        <v>0</v>
      </c>
      <c r="F94" s="21" t="n">
        <f aca="false">IF(OR($A94="",F$4=""),0,COUNTIFS(Formulas!$A$2:$A$1501,F$4,Formulas!$B$2:$B$1501,$A94))</f>
        <v>0</v>
      </c>
      <c r="G94" s="21" t="n">
        <f aca="false">IF(OR($A94="",G$4=""),0,COUNTIFS(Formulas!$A$2:$A$1501,G$4,Formulas!$B$2:$B$1501,$A94))</f>
        <v>0</v>
      </c>
      <c r="H94" s="21" t="n">
        <f aca="false">IF(OR($A94="",H$4=""),0,COUNTIFS(Formulas!$A$2:$A$1501,H$4,Formulas!$B$2:$B$1501,$A94))</f>
        <v>0</v>
      </c>
      <c r="I94" s="21" t="n">
        <f aca="false">IF(OR($A94="",I$4=""),0,COUNTIFS(Formulas!$A$2:$A$1501,I$4,Formulas!$B$2:$B$1501,$A94))</f>
        <v>0</v>
      </c>
      <c r="J94" s="21" t="n">
        <f aca="false">IF(OR($A94="",J$4=""),0,COUNTIFS(Formulas!$A$2:$A$1501,J$4,Formulas!$B$2:$B$1501,$A94))</f>
        <v>0</v>
      </c>
      <c r="K94" s="21" t="n">
        <f aca="false">IF(OR($A94="",K$4=""),0,COUNTIFS(Formulas!$A$2:$A$1501,K$4,Formulas!$B$2:$B$1501,$A94))</f>
        <v>0</v>
      </c>
      <c r="L94" s="21" t="n">
        <f aca="false">IF(OR($A94="",L$4=""),0,COUNTIFS(Formulas!$A$2:$A$1501,L$4,Formulas!$B$2:$B$1501,$A94))</f>
        <v>0</v>
      </c>
      <c r="M94" s="21" t="n">
        <f aca="false">IF(OR($A94="",M$4=""),0,COUNTIFS(Formulas!$A$2:$A$1501,M$4,Formulas!$B$2:$B$1501,$A94))</f>
        <v>0</v>
      </c>
      <c r="N94" s="21" t="n">
        <f aca="false">IF(OR($A94="",N$4=""),0,COUNTIFS(Formulas!$A$2:$A$1501,N$4,Formulas!$B$2:$B$1501,$A94))</f>
        <v>0</v>
      </c>
      <c r="O94" s="21" t="n">
        <f aca="false">IF(OR($A94="",O$4=""),0,COUNTIFS(Formulas!$A$2:$A$1501,O$4,Formulas!$B$2:$B$1501,$A94))</f>
        <v>0</v>
      </c>
      <c r="P94" s="21" t="n">
        <f aca="false">IF(OR($A94="",P$4=""),0,COUNTIFS(Formulas!$A$2:$A$1501,P$4,Formulas!$B$2:$B$1501,$A94))</f>
        <v>0</v>
      </c>
      <c r="Q94" s="21" t="n">
        <f aca="false">IF(OR($A94="",Q$4=""),0,COUNTIFS(Formulas!$A$2:$A$1501,Q$4,Formulas!$B$2:$B$1501,$A94))</f>
        <v>0</v>
      </c>
      <c r="R94" s="21" t="n">
        <f aca="false">IF(OR($A94="",R$4=""),0,COUNTIFS(Formulas!$A$2:$A$1501,R$4,Formulas!$B$2:$B$1501,$A94))</f>
        <v>0</v>
      </c>
      <c r="S94" s="21" t="n">
        <f aca="false">IF(OR($A94="",S$4=""),0,COUNTIFS(Formulas!$A$2:$A$1501,S$4,Formulas!$B$2:$B$1501,$A94))</f>
        <v>0</v>
      </c>
      <c r="T94" s="21" t="n">
        <f aca="false">IF(OR($A94="",T$4=""),0,COUNTIFS(Formulas!$A$2:$A$1501,T$4,Formulas!$B$2:$B$1501,$A94))</f>
        <v>0</v>
      </c>
      <c r="U94" s="21" t="n">
        <f aca="false">IF(OR($A94="",U$4=""),0,COUNTIFS(Formulas!$A$2:$A$1501,U$4,Formulas!$B$2:$B$1501,$A94))</f>
        <v>0</v>
      </c>
      <c r="V94" s="21" t="n">
        <f aca="false">IF(OR($A94="",V$4=""),0,COUNTIFS(Formulas!$A$2:$A$1501,V$4,Formulas!$B$2:$B$1501,$A94))</f>
        <v>0</v>
      </c>
      <c r="W94" s="21" t="n">
        <f aca="false">IF(OR($A94="",W$4=""),0,COUNTIFS(Formulas!$A$2:$A$1501,W$4,Formulas!$B$2:$B$1501,$A94))</f>
        <v>0</v>
      </c>
      <c r="X94" s="21" t="n">
        <f aca="false">IF(OR($A94="",X$4=""),0,COUNTIFS(Formulas!$A$2:$A$1501,X$4,Formulas!$B$2:$B$1501,$A94))</f>
        <v>0</v>
      </c>
      <c r="Y94" s="21" t="n">
        <f aca="false">IF(OR($A94="",Y$4=""),0,COUNTIFS(Formulas!$A$2:$A$1501,Y$4,Formulas!$B$2:$B$1501,$A94))</f>
        <v>0</v>
      </c>
      <c r="Z94" s="21" t="n">
        <f aca="false">IF(OR($A94="",Z$4=""),0,COUNTIFS(Formulas!$A$2:$A$1501,Z$4,Formulas!$B$2:$B$1501,$A94))</f>
        <v>0</v>
      </c>
      <c r="AA94" s="21" t="n">
        <f aca="false">IF(OR($A94="",AA$4=""),0,COUNTIFS(Formulas!$A$2:$A$1501,AA$4,Formulas!$B$2:$B$1501,$A94))</f>
        <v>0</v>
      </c>
      <c r="AB94" s="21" t="n">
        <f aca="false">IF(OR($A94="",AB$4=""),0,COUNTIFS(Formulas!$A$2:$A$1501,AB$4,Formulas!$B$2:$B$1501,$A94))</f>
        <v>0</v>
      </c>
      <c r="AC94" s="21" t="n">
        <f aca="false">IF(OR($A94="",AC$4=""),0,COUNTIFS(Formulas!$A$2:$A$1501,AC$4,Formulas!$B$2:$B$1501,$A94))</f>
        <v>0</v>
      </c>
      <c r="AD94" s="21" t="n">
        <f aca="false">IF(OR($A94="",AD$4=""),0,COUNTIFS(Formulas!$A$2:$A$1501,AD$4,Formulas!$B$2:$B$1501,$A94))</f>
        <v>0</v>
      </c>
      <c r="AE94" s="21" t="n">
        <f aca="false">IF(OR($A94="",AE$4=""),0,COUNTIFS(Formulas!$A$2:$A$1501,AE$4,Formulas!$B$2:$B$1501,$A94))</f>
        <v>0</v>
      </c>
      <c r="AF94" s="21" t="n">
        <f aca="false">IF(OR($A94="",AF$4=""),0,COUNTIFS(Formulas!$A$2:$A$1501,AF$4,Formulas!$B$2:$B$1501,$A94))</f>
        <v>0</v>
      </c>
      <c r="AG94" s="21" t="n">
        <f aca="false">IF(OR($A94="",AG$4=""),0,COUNTIFS(Formulas!$A$2:$A$1501,AG$4,Formulas!$B$2:$B$1501,$A94))</f>
        <v>0</v>
      </c>
      <c r="AH94" s="21" t="n">
        <f aca="false">IF(OR($A94="",AH$4=""),0,COUNTIFS(Formulas!$A$2:$A$1501,AH$4,Formulas!$B$2:$B$1501,$A94))</f>
        <v>0</v>
      </c>
      <c r="AI94" s="21" t="n">
        <f aca="false">IF(OR($A94="",AI$4=""),0,COUNTIFS(Formulas!$A$2:$A$1501,AI$4,Formulas!$B$2:$B$1501,$A94))</f>
        <v>0</v>
      </c>
      <c r="AJ94" s="21" t="n">
        <f aca="false">IF(OR($A94="",AJ$4=""),0,COUNTIFS(Formulas!$A$2:$A$1501,AJ$4,Formulas!$B$2:$B$1501,$A94))</f>
        <v>0</v>
      </c>
      <c r="AK94" s="21" t="n">
        <f aca="false">IF(OR($A94="",AK$4=""),0,COUNTIFS(Formulas!$A$2:$A$1501,AK$4,Formulas!$B$2:$B$1501,$A94))</f>
        <v>0</v>
      </c>
      <c r="AL94" s="21" t="n">
        <f aca="false">IF(OR($A94="",AL$4=""),0,COUNTIFS(Formulas!$A$2:$A$1501,AL$4,Formulas!$B$2:$B$1501,$A94))</f>
        <v>0</v>
      </c>
      <c r="AM94" s="21" t="n">
        <f aca="false">IF(OR($A94="",AM$4=""),0,COUNTIFS(Formulas!$A$2:$A$1501,AM$4,Formulas!$B$2:$B$1501,$A94))</f>
        <v>0</v>
      </c>
      <c r="AN94" s="21" t="n">
        <f aca="false">IF(OR($A94="",AN$4=""),0,COUNTIFS(Formulas!$A$2:$A$1501,AN$4,Formulas!$B$2:$B$1501,$A94))</f>
        <v>0</v>
      </c>
      <c r="AO94" s="21" t="n">
        <f aca="false">IF(OR($A94="",AO$4=""),0,COUNTIFS(Formulas!$A$2:$A$1501,AO$4,Formulas!$B$2:$B$1501,$A94))</f>
        <v>0</v>
      </c>
      <c r="AP94" s="21" t="n">
        <f aca="false">IF(OR($A94="",AP$4=""),0,COUNTIFS(Formulas!$A$2:$A$1501,AP$4,Formulas!$B$2:$B$1501,$A94))</f>
        <v>0</v>
      </c>
      <c r="AQ94" s="21" t="n">
        <f aca="false">IF(OR($A94="",AQ$4=""),0,COUNTIFS(Formulas!$A$2:$A$1501,AQ$4,Formulas!$B$2:$B$1501,$A94))</f>
        <v>0</v>
      </c>
      <c r="AR94" s="21" t="n">
        <f aca="false">IF(OR($A94="",AR$4=""),0,COUNTIFS(Formulas!$A$2:$A$1501,AR$4,Formulas!$B$2:$B$1501,$A94))</f>
        <v>0</v>
      </c>
      <c r="AS94" s="21" t="n">
        <f aca="false">IF(OR($A94="",AS$4=""),0,COUNTIFS(Formulas!$A$2:$A$1501,AS$4,Formulas!$B$2:$B$1501,$A94))</f>
        <v>0</v>
      </c>
      <c r="AT94" s="21" t="n">
        <f aca="false">IF(OR($A94="",AT$4=""),0,COUNTIFS(Formulas!$A$2:$A$1501,AT$4,Formulas!$B$2:$B$1501,$A94))</f>
        <v>0</v>
      </c>
      <c r="AU94" s="21" t="n">
        <f aca="false">IF(OR($A94="",AU$4=""),0,COUNTIFS(Formulas!$A$2:$A$1501,AU$4,Formulas!$B$2:$B$1501,$A94))</f>
        <v>0</v>
      </c>
      <c r="AV94" s="21" t="n">
        <f aca="false">IF(OR($A94="",AV$4=""),0,COUNTIFS(Formulas!$A$2:$A$1501,AV$4,Formulas!$B$2:$B$1501,$A94))</f>
        <v>0</v>
      </c>
      <c r="AW94" s="21" t="n">
        <f aca="false">IF(OR($A94="",AW$4=""),0,COUNTIFS(Formulas!$A$2:$A$1501,AW$4,Formulas!$B$2:$B$1501,$A94))</f>
        <v>0</v>
      </c>
      <c r="AX94" s="21" t="n">
        <f aca="false">IF(OR($A94="",AX$4=""),0,COUNTIFS(Formulas!$A$2:$A$1501,AX$4,Formulas!$B$2:$B$1501,$A94))</f>
        <v>0</v>
      </c>
      <c r="AY94" s="21" t="n">
        <f aca="false">IF(OR($A94="",AY$4=""),0,COUNTIFS(Formulas!$A$2:$A$1501,AY$4,Formulas!$B$2:$B$1501,$A94))</f>
        <v>0</v>
      </c>
      <c r="AZ94" s="21" t="n">
        <f aca="false">IF(OR($A94="",AZ$4=""),0,COUNTIFS(Formulas!$A$2:$A$1501,AZ$4,Formulas!$B$2:$B$1501,$A94))</f>
        <v>0</v>
      </c>
      <c r="BA94" s="21" t="n">
        <f aca="false">IF(OR($A94="",BA$4=""),0,COUNTIFS(Formulas!$A$2:$A$1501,BA$4,Formulas!$B$2:$B$1501,$A94))</f>
        <v>0</v>
      </c>
      <c r="BB94" s="21" t="n">
        <f aca="false">IF(OR($A94="",BB$4=""),0,COUNTIFS(Formulas!$A$2:$A$1501,BB$4,Formulas!$B$2:$B$1501,$A94))</f>
        <v>0</v>
      </c>
      <c r="BC94" s="21" t="n">
        <f aca="false">IF(OR($A94="",BC$4=""),0,COUNTIFS(Formulas!$A$2:$A$1501,BC$4,Formulas!$B$2:$B$1501,$A94))</f>
        <v>0</v>
      </c>
      <c r="BD94" s="21" t="n">
        <f aca="false">IF(OR($A94="",BD$4=""),0,COUNTIFS(Formulas!$A$2:$A$1501,BD$4,Formulas!$B$2:$B$1501,$A94))</f>
        <v>0</v>
      </c>
      <c r="BE94" s="21" t="n">
        <f aca="false">IF(OR($A94="",BE$4=""),0,COUNTIFS(Formulas!$A$2:$A$1501,BE$4,Formulas!$B$2:$B$1501,$A94))</f>
        <v>0</v>
      </c>
      <c r="BF94" s="21" t="n">
        <f aca="false">IF(OR($A94="",BF$4=""),0,COUNTIFS(Formulas!$A$2:$A$1501,BF$4,Formulas!$B$2:$B$1501,$A94))</f>
        <v>0</v>
      </c>
      <c r="BG94" s="21" t="n">
        <f aca="false">IF(OR($A94="",BG$4=""),0,COUNTIFS(Formulas!$A$2:$A$1501,BG$4,Formulas!$B$2:$B$1501,$A94))</f>
        <v>0</v>
      </c>
      <c r="BH94" s="21" t="n">
        <f aca="false">IF(OR($A94="",BH$4=""),0,COUNTIFS(Formulas!$A$2:$A$1501,BH$4,Formulas!$B$2:$B$1501,$A94))</f>
        <v>0</v>
      </c>
      <c r="BI94" s="21" t="n">
        <f aca="false">IF(OR($A94="",BI$4=""),0,COUNTIFS(Formulas!$A$2:$A$1501,BI$4,Formulas!$B$2:$B$1501,$A94))</f>
        <v>0</v>
      </c>
      <c r="BJ94" s="21" t="n">
        <f aca="false">IF(OR($A94="",BJ$4=""),0,COUNTIFS(Formulas!$A$2:$A$1501,BJ$4,Formulas!$B$2:$B$1501,$A94))</f>
        <v>0</v>
      </c>
    </row>
    <row r="95" customFormat="false" ht="15" hidden="false" customHeight="false" outlineLevel="0" collapsed="false">
      <c r="A95" s="13" t="str">
        <f aca="false">IF(INDEX(Materials!$A$2:$A$201,91)="","",INDEX(Materials!$A$2:$A$201,91))</f>
        <v/>
      </c>
      <c r="B95" s="19" t="str">
        <f aca="false">IF(A95="","",COUNTIF(C95:BJ95,"&gt;0"))</f>
        <v/>
      </c>
      <c r="C95" s="21" t="n">
        <f aca="false">IF(OR($A95="",C$4=""),0,COUNTIFS(Formulas!$A$2:$A$1501,C$4,Formulas!$B$2:$B$1501,$A95))</f>
        <v>0</v>
      </c>
      <c r="D95" s="21" t="n">
        <f aca="false">IF(OR($A95="",D$4=""),0,COUNTIFS(Formulas!$A$2:$A$1501,D$4,Formulas!$B$2:$B$1501,$A95))</f>
        <v>0</v>
      </c>
      <c r="E95" s="21" t="n">
        <f aca="false">IF(OR($A95="",E$4=""),0,COUNTIFS(Formulas!$A$2:$A$1501,E$4,Formulas!$B$2:$B$1501,$A95))</f>
        <v>0</v>
      </c>
      <c r="F95" s="21" t="n">
        <f aca="false">IF(OR($A95="",F$4=""),0,COUNTIFS(Formulas!$A$2:$A$1501,F$4,Formulas!$B$2:$B$1501,$A95))</f>
        <v>0</v>
      </c>
      <c r="G95" s="21" t="n">
        <f aca="false">IF(OR($A95="",G$4=""),0,COUNTIFS(Formulas!$A$2:$A$1501,G$4,Formulas!$B$2:$B$1501,$A95))</f>
        <v>0</v>
      </c>
      <c r="H95" s="21" t="n">
        <f aca="false">IF(OR($A95="",H$4=""),0,COUNTIFS(Formulas!$A$2:$A$1501,H$4,Formulas!$B$2:$B$1501,$A95))</f>
        <v>0</v>
      </c>
      <c r="I95" s="21" t="n">
        <f aca="false">IF(OR($A95="",I$4=""),0,COUNTIFS(Formulas!$A$2:$A$1501,I$4,Formulas!$B$2:$B$1501,$A95))</f>
        <v>0</v>
      </c>
      <c r="J95" s="21" t="n">
        <f aca="false">IF(OR($A95="",J$4=""),0,COUNTIFS(Formulas!$A$2:$A$1501,J$4,Formulas!$B$2:$B$1501,$A95))</f>
        <v>0</v>
      </c>
      <c r="K95" s="21" t="n">
        <f aca="false">IF(OR($A95="",K$4=""),0,COUNTIFS(Formulas!$A$2:$A$1501,K$4,Formulas!$B$2:$B$1501,$A95))</f>
        <v>0</v>
      </c>
      <c r="L95" s="21" t="n">
        <f aca="false">IF(OR($A95="",L$4=""),0,COUNTIFS(Formulas!$A$2:$A$1501,L$4,Formulas!$B$2:$B$1501,$A95))</f>
        <v>0</v>
      </c>
      <c r="M95" s="21" t="n">
        <f aca="false">IF(OR($A95="",M$4=""),0,COUNTIFS(Formulas!$A$2:$A$1501,M$4,Formulas!$B$2:$B$1501,$A95))</f>
        <v>0</v>
      </c>
      <c r="N95" s="21" t="n">
        <f aca="false">IF(OR($A95="",N$4=""),0,COUNTIFS(Formulas!$A$2:$A$1501,N$4,Formulas!$B$2:$B$1501,$A95))</f>
        <v>0</v>
      </c>
      <c r="O95" s="21" t="n">
        <f aca="false">IF(OR($A95="",O$4=""),0,COUNTIFS(Formulas!$A$2:$A$1501,O$4,Formulas!$B$2:$B$1501,$A95))</f>
        <v>0</v>
      </c>
      <c r="P95" s="21" t="n">
        <f aca="false">IF(OR($A95="",P$4=""),0,COUNTIFS(Formulas!$A$2:$A$1501,P$4,Formulas!$B$2:$B$1501,$A95))</f>
        <v>0</v>
      </c>
      <c r="Q95" s="21" t="n">
        <f aca="false">IF(OR($A95="",Q$4=""),0,COUNTIFS(Formulas!$A$2:$A$1501,Q$4,Formulas!$B$2:$B$1501,$A95))</f>
        <v>0</v>
      </c>
      <c r="R95" s="21" t="n">
        <f aca="false">IF(OR($A95="",R$4=""),0,COUNTIFS(Formulas!$A$2:$A$1501,R$4,Formulas!$B$2:$B$1501,$A95))</f>
        <v>0</v>
      </c>
      <c r="S95" s="21" t="n">
        <f aca="false">IF(OR($A95="",S$4=""),0,COUNTIFS(Formulas!$A$2:$A$1501,S$4,Formulas!$B$2:$B$1501,$A95))</f>
        <v>0</v>
      </c>
      <c r="T95" s="21" t="n">
        <f aca="false">IF(OR($A95="",T$4=""),0,COUNTIFS(Formulas!$A$2:$A$1501,T$4,Formulas!$B$2:$B$1501,$A95))</f>
        <v>0</v>
      </c>
      <c r="U95" s="21" t="n">
        <f aca="false">IF(OR($A95="",U$4=""),0,COUNTIFS(Formulas!$A$2:$A$1501,U$4,Formulas!$B$2:$B$1501,$A95))</f>
        <v>0</v>
      </c>
      <c r="V95" s="21" t="n">
        <f aca="false">IF(OR($A95="",V$4=""),0,COUNTIFS(Formulas!$A$2:$A$1501,V$4,Formulas!$B$2:$B$1501,$A95))</f>
        <v>0</v>
      </c>
      <c r="W95" s="21" t="n">
        <f aca="false">IF(OR($A95="",W$4=""),0,COUNTIFS(Formulas!$A$2:$A$1501,W$4,Formulas!$B$2:$B$1501,$A95))</f>
        <v>0</v>
      </c>
      <c r="X95" s="21" t="n">
        <f aca="false">IF(OR($A95="",X$4=""),0,COUNTIFS(Formulas!$A$2:$A$1501,X$4,Formulas!$B$2:$B$1501,$A95))</f>
        <v>0</v>
      </c>
      <c r="Y95" s="21" t="n">
        <f aca="false">IF(OR($A95="",Y$4=""),0,COUNTIFS(Formulas!$A$2:$A$1501,Y$4,Formulas!$B$2:$B$1501,$A95))</f>
        <v>0</v>
      </c>
      <c r="Z95" s="21" t="n">
        <f aca="false">IF(OR($A95="",Z$4=""),0,COUNTIFS(Formulas!$A$2:$A$1501,Z$4,Formulas!$B$2:$B$1501,$A95))</f>
        <v>0</v>
      </c>
      <c r="AA95" s="21" t="n">
        <f aca="false">IF(OR($A95="",AA$4=""),0,COUNTIFS(Formulas!$A$2:$A$1501,AA$4,Formulas!$B$2:$B$1501,$A95))</f>
        <v>0</v>
      </c>
      <c r="AB95" s="21" t="n">
        <f aca="false">IF(OR($A95="",AB$4=""),0,COUNTIFS(Formulas!$A$2:$A$1501,AB$4,Formulas!$B$2:$B$1501,$A95))</f>
        <v>0</v>
      </c>
      <c r="AC95" s="21" t="n">
        <f aca="false">IF(OR($A95="",AC$4=""),0,COUNTIFS(Formulas!$A$2:$A$1501,AC$4,Formulas!$B$2:$B$1501,$A95))</f>
        <v>0</v>
      </c>
      <c r="AD95" s="21" t="n">
        <f aca="false">IF(OR($A95="",AD$4=""),0,COUNTIFS(Formulas!$A$2:$A$1501,AD$4,Formulas!$B$2:$B$1501,$A95))</f>
        <v>0</v>
      </c>
      <c r="AE95" s="21" t="n">
        <f aca="false">IF(OR($A95="",AE$4=""),0,COUNTIFS(Formulas!$A$2:$A$1501,AE$4,Formulas!$B$2:$B$1501,$A95))</f>
        <v>0</v>
      </c>
      <c r="AF95" s="21" t="n">
        <f aca="false">IF(OR($A95="",AF$4=""),0,COUNTIFS(Formulas!$A$2:$A$1501,AF$4,Formulas!$B$2:$B$1501,$A95))</f>
        <v>0</v>
      </c>
      <c r="AG95" s="21" t="n">
        <f aca="false">IF(OR($A95="",AG$4=""),0,COUNTIFS(Formulas!$A$2:$A$1501,AG$4,Formulas!$B$2:$B$1501,$A95))</f>
        <v>0</v>
      </c>
      <c r="AH95" s="21" t="n">
        <f aca="false">IF(OR($A95="",AH$4=""),0,COUNTIFS(Formulas!$A$2:$A$1501,AH$4,Formulas!$B$2:$B$1501,$A95))</f>
        <v>0</v>
      </c>
      <c r="AI95" s="21" t="n">
        <f aca="false">IF(OR($A95="",AI$4=""),0,COUNTIFS(Formulas!$A$2:$A$1501,AI$4,Formulas!$B$2:$B$1501,$A95))</f>
        <v>0</v>
      </c>
      <c r="AJ95" s="21" t="n">
        <f aca="false">IF(OR($A95="",AJ$4=""),0,COUNTIFS(Formulas!$A$2:$A$1501,AJ$4,Formulas!$B$2:$B$1501,$A95))</f>
        <v>0</v>
      </c>
      <c r="AK95" s="21" t="n">
        <f aca="false">IF(OR($A95="",AK$4=""),0,COUNTIFS(Formulas!$A$2:$A$1501,AK$4,Formulas!$B$2:$B$1501,$A95))</f>
        <v>0</v>
      </c>
      <c r="AL95" s="21" t="n">
        <f aca="false">IF(OR($A95="",AL$4=""),0,COUNTIFS(Formulas!$A$2:$A$1501,AL$4,Formulas!$B$2:$B$1501,$A95))</f>
        <v>0</v>
      </c>
      <c r="AM95" s="21" t="n">
        <f aca="false">IF(OR($A95="",AM$4=""),0,COUNTIFS(Formulas!$A$2:$A$1501,AM$4,Formulas!$B$2:$B$1501,$A95))</f>
        <v>0</v>
      </c>
      <c r="AN95" s="21" t="n">
        <f aca="false">IF(OR($A95="",AN$4=""),0,COUNTIFS(Formulas!$A$2:$A$1501,AN$4,Formulas!$B$2:$B$1501,$A95))</f>
        <v>0</v>
      </c>
      <c r="AO95" s="21" t="n">
        <f aca="false">IF(OR($A95="",AO$4=""),0,COUNTIFS(Formulas!$A$2:$A$1501,AO$4,Formulas!$B$2:$B$1501,$A95))</f>
        <v>0</v>
      </c>
      <c r="AP95" s="21" t="n">
        <f aca="false">IF(OR($A95="",AP$4=""),0,COUNTIFS(Formulas!$A$2:$A$1501,AP$4,Formulas!$B$2:$B$1501,$A95))</f>
        <v>0</v>
      </c>
      <c r="AQ95" s="21" t="n">
        <f aca="false">IF(OR($A95="",AQ$4=""),0,COUNTIFS(Formulas!$A$2:$A$1501,AQ$4,Formulas!$B$2:$B$1501,$A95))</f>
        <v>0</v>
      </c>
      <c r="AR95" s="21" t="n">
        <f aca="false">IF(OR($A95="",AR$4=""),0,COUNTIFS(Formulas!$A$2:$A$1501,AR$4,Formulas!$B$2:$B$1501,$A95))</f>
        <v>0</v>
      </c>
      <c r="AS95" s="21" t="n">
        <f aca="false">IF(OR($A95="",AS$4=""),0,COUNTIFS(Formulas!$A$2:$A$1501,AS$4,Formulas!$B$2:$B$1501,$A95))</f>
        <v>0</v>
      </c>
      <c r="AT95" s="21" t="n">
        <f aca="false">IF(OR($A95="",AT$4=""),0,COUNTIFS(Formulas!$A$2:$A$1501,AT$4,Formulas!$B$2:$B$1501,$A95))</f>
        <v>0</v>
      </c>
      <c r="AU95" s="21" t="n">
        <f aca="false">IF(OR($A95="",AU$4=""),0,COUNTIFS(Formulas!$A$2:$A$1501,AU$4,Formulas!$B$2:$B$1501,$A95))</f>
        <v>0</v>
      </c>
      <c r="AV95" s="21" t="n">
        <f aca="false">IF(OR($A95="",AV$4=""),0,COUNTIFS(Formulas!$A$2:$A$1501,AV$4,Formulas!$B$2:$B$1501,$A95))</f>
        <v>0</v>
      </c>
      <c r="AW95" s="21" t="n">
        <f aca="false">IF(OR($A95="",AW$4=""),0,COUNTIFS(Formulas!$A$2:$A$1501,AW$4,Formulas!$B$2:$B$1501,$A95))</f>
        <v>0</v>
      </c>
      <c r="AX95" s="21" t="n">
        <f aca="false">IF(OR($A95="",AX$4=""),0,COUNTIFS(Formulas!$A$2:$A$1501,AX$4,Formulas!$B$2:$B$1501,$A95))</f>
        <v>0</v>
      </c>
      <c r="AY95" s="21" t="n">
        <f aca="false">IF(OR($A95="",AY$4=""),0,COUNTIFS(Formulas!$A$2:$A$1501,AY$4,Formulas!$B$2:$B$1501,$A95))</f>
        <v>0</v>
      </c>
      <c r="AZ95" s="21" t="n">
        <f aca="false">IF(OR($A95="",AZ$4=""),0,COUNTIFS(Formulas!$A$2:$A$1501,AZ$4,Formulas!$B$2:$B$1501,$A95))</f>
        <v>0</v>
      </c>
      <c r="BA95" s="21" t="n">
        <f aca="false">IF(OR($A95="",BA$4=""),0,COUNTIFS(Formulas!$A$2:$A$1501,BA$4,Formulas!$B$2:$B$1501,$A95))</f>
        <v>0</v>
      </c>
      <c r="BB95" s="21" t="n">
        <f aca="false">IF(OR($A95="",BB$4=""),0,COUNTIFS(Formulas!$A$2:$A$1501,BB$4,Formulas!$B$2:$B$1501,$A95))</f>
        <v>0</v>
      </c>
      <c r="BC95" s="21" t="n">
        <f aca="false">IF(OR($A95="",BC$4=""),0,COUNTIFS(Formulas!$A$2:$A$1501,BC$4,Formulas!$B$2:$B$1501,$A95))</f>
        <v>0</v>
      </c>
      <c r="BD95" s="21" t="n">
        <f aca="false">IF(OR($A95="",BD$4=""),0,COUNTIFS(Formulas!$A$2:$A$1501,BD$4,Formulas!$B$2:$B$1501,$A95))</f>
        <v>0</v>
      </c>
      <c r="BE95" s="21" t="n">
        <f aca="false">IF(OR($A95="",BE$4=""),0,COUNTIFS(Formulas!$A$2:$A$1501,BE$4,Formulas!$B$2:$B$1501,$A95))</f>
        <v>0</v>
      </c>
      <c r="BF95" s="21" t="n">
        <f aca="false">IF(OR($A95="",BF$4=""),0,COUNTIFS(Formulas!$A$2:$A$1501,BF$4,Formulas!$B$2:$B$1501,$A95))</f>
        <v>0</v>
      </c>
      <c r="BG95" s="21" t="n">
        <f aca="false">IF(OR($A95="",BG$4=""),0,COUNTIFS(Formulas!$A$2:$A$1501,BG$4,Formulas!$B$2:$B$1501,$A95))</f>
        <v>0</v>
      </c>
      <c r="BH95" s="21" t="n">
        <f aca="false">IF(OR($A95="",BH$4=""),0,COUNTIFS(Formulas!$A$2:$A$1501,BH$4,Formulas!$B$2:$B$1501,$A95))</f>
        <v>0</v>
      </c>
      <c r="BI95" s="21" t="n">
        <f aca="false">IF(OR($A95="",BI$4=""),0,COUNTIFS(Formulas!$A$2:$A$1501,BI$4,Formulas!$B$2:$B$1501,$A95))</f>
        <v>0</v>
      </c>
      <c r="BJ95" s="21" t="n">
        <f aca="false">IF(OR($A95="",BJ$4=""),0,COUNTIFS(Formulas!$A$2:$A$1501,BJ$4,Formulas!$B$2:$B$1501,$A95))</f>
        <v>0</v>
      </c>
    </row>
    <row r="96" customFormat="false" ht="15" hidden="false" customHeight="false" outlineLevel="0" collapsed="false">
      <c r="A96" s="13" t="str">
        <f aca="false">IF(INDEX(Materials!$A$2:$A$201,92)="","",INDEX(Materials!$A$2:$A$201,92))</f>
        <v/>
      </c>
      <c r="B96" s="19" t="str">
        <f aca="false">IF(A96="","",COUNTIF(C96:BJ96,"&gt;0"))</f>
        <v/>
      </c>
      <c r="C96" s="21" t="n">
        <f aca="false">IF(OR($A96="",C$4=""),0,COUNTIFS(Formulas!$A$2:$A$1501,C$4,Formulas!$B$2:$B$1501,$A96))</f>
        <v>0</v>
      </c>
      <c r="D96" s="21" t="n">
        <f aca="false">IF(OR($A96="",D$4=""),0,COUNTIFS(Formulas!$A$2:$A$1501,D$4,Formulas!$B$2:$B$1501,$A96))</f>
        <v>0</v>
      </c>
      <c r="E96" s="21" t="n">
        <f aca="false">IF(OR($A96="",E$4=""),0,COUNTIFS(Formulas!$A$2:$A$1501,E$4,Formulas!$B$2:$B$1501,$A96))</f>
        <v>0</v>
      </c>
      <c r="F96" s="21" t="n">
        <f aca="false">IF(OR($A96="",F$4=""),0,COUNTIFS(Formulas!$A$2:$A$1501,F$4,Formulas!$B$2:$B$1501,$A96))</f>
        <v>0</v>
      </c>
      <c r="G96" s="21" t="n">
        <f aca="false">IF(OR($A96="",G$4=""),0,COUNTIFS(Formulas!$A$2:$A$1501,G$4,Formulas!$B$2:$B$1501,$A96))</f>
        <v>0</v>
      </c>
      <c r="H96" s="21" t="n">
        <f aca="false">IF(OR($A96="",H$4=""),0,COUNTIFS(Formulas!$A$2:$A$1501,H$4,Formulas!$B$2:$B$1501,$A96))</f>
        <v>0</v>
      </c>
      <c r="I96" s="21" t="n">
        <f aca="false">IF(OR($A96="",I$4=""),0,COUNTIFS(Formulas!$A$2:$A$1501,I$4,Formulas!$B$2:$B$1501,$A96))</f>
        <v>0</v>
      </c>
      <c r="J96" s="21" t="n">
        <f aca="false">IF(OR($A96="",J$4=""),0,COUNTIFS(Formulas!$A$2:$A$1501,J$4,Formulas!$B$2:$B$1501,$A96))</f>
        <v>0</v>
      </c>
      <c r="K96" s="21" t="n">
        <f aca="false">IF(OR($A96="",K$4=""),0,COUNTIFS(Formulas!$A$2:$A$1501,K$4,Formulas!$B$2:$B$1501,$A96))</f>
        <v>0</v>
      </c>
      <c r="L96" s="21" t="n">
        <f aca="false">IF(OR($A96="",L$4=""),0,COUNTIFS(Formulas!$A$2:$A$1501,L$4,Formulas!$B$2:$B$1501,$A96))</f>
        <v>0</v>
      </c>
      <c r="M96" s="21" t="n">
        <f aca="false">IF(OR($A96="",M$4=""),0,COUNTIFS(Formulas!$A$2:$A$1501,M$4,Formulas!$B$2:$B$1501,$A96))</f>
        <v>0</v>
      </c>
      <c r="N96" s="21" t="n">
        <f aca="false">IF(OR($A96="",N$4=""),0,COUNTIFS(Formulas!$A$2:$A$1501,N$4,Formulas!$B$2:$B$1501,$A96))</f>
        <v>0</v>
      </c>
      <c r="O96" s="21" t="n">
        <f aca="false">IF(OR($A96="",O$4=""),0,COUNTIFS(Formulas!$A$2:$A$1501,O$4,Formulas!$B$2:$B$1501,$A96))</f>
        <v>0</v>
      </c>
      <c r="P96" s="21" t="n">
        <f aca="false">IF(OR($A96="",P$4=""),0,COUNTIFS(Formulas!$A$2:$A$1501,P$4,Formulas!$B$2:$B$1501,$A96))</f>
        <v>0</v>
      </c>
      <c r="Q96" s="21" t="n">
        <f aca="false">IF(OR($A96="",Q$4=""),0,COUNTIFS(Formulas!$A$2:$A$1501,Q$4,Formulas!$B$2:$B$1501,$A96))</f>
        <v>0</v>
      </c>
      <c r="R96" s="21" t="n">
        <f aca="false">IF(OR($A96="",R$4=""),0,COUNTIFS(Formulas!$A$2:$A$1501,R$4,Formulas!$B$2:$B$1501,$A96))</f>
        <v>0</v>
      </c>
      <c r="S96" s="21" t="n">
        <f aca="false">IF(OR($A96="",S$4=""),0,COUNTIFS(Formulas!$A$2:$A$1501,S$4,Formulas!$B$2:$B$1501,$A96))</f>
        <v>0</v>
      </c>
      <c r="T96" s="21" t="n">
        <f aca="false">IF(OR($A96="",T$4=""),0,COUNTIFS(Formulas!$A$2:$A$1501,T$4,Formulas!$B$2:$B$1501,$A96))</f>
        <v>0</v>
      </c>
      <c r="U96" s="21" t="n">
        <f aca="false">IF(OR($A96="",U$4=""),0,COUNTIFS(Formulas!$A$2:$A$1501,U$4,Formulas!$B$2:$B$1501,$A96))</f>
        <v>0</v>
      </c>
      <c r="V96" s="21" t="n">
        <f aca="false">IF(OR($A96="",V$4=""),0,COUNTIFS(Formulas!$A$2:$A$1501,V$4,Formulas!$B$2:$B$1501,$A96))</f>
        <v>0</v>
      </c>
      <c r="W96" s="21" t="n">
        <f aca="false">IF(OR($A96="",W$4=""),0,COUNTIFS(Formulas!$A$2:$A$1501,W$4,Formulas!$B$2:$B$1501,$A96))</f>
        <v>0</v>
      </c>
      <c r="X96" s="21" t="n">
        <f aca="false">IF(OR($A96="",X$4=""),0,COUNTIFS(Formulas!$A$2:$A$1501,X$4,Formulas!$B$2:$B$1501,$A96))</f>
        <v>0</v>
      </c>
      <c r="Y96" s="21" t="n">
        <f aca="false">IF(OR($A96="",Y$4=""),0,COUNTIFS(Formulas!$A$2:$A$1501,Y$4,Formulas!$B$2:$B$1501,$A96))</f>
        <v>0</v>
      </c>
      <c r="Z96" s="21" t="n">
        <f aca="false">IF(OR($A96="",Z$4=""),0,COUNTIFS(Formulas!$A$2:$A$1501,Z$4,Formulas!$B$2:$B$1501,$A96))</f>
        <v>0</v>
      </c>
      <c r="AA96" s="21" t="n">
        <f aca="false">IF(OR($A96="",AA$4=""),0,COUNTIFS(Formulas!$A$2:$A$1501,AA$4,Formulas!$B$2:$B$1501,$A96))</f>
        <v>0</v>
      </c>
      <c r="AB96" s="21" t="n">
        <f aca="false">IF(OR($A96="",AB$4=""),0,COUNTIFS(Formulas!$A$2:$A$1501,AB$4,Formulas!$B$2:$B$1501,$A96))</f>
        <v>0</v>
      </c>
      <c r="AC96" s="21" t="n">
        <f aca="false">IF(OR($A96="",AC$4=""),0,COUNTIFS(Formulas!$A$2:$A$1501,AC$4,Formulas!$B$2:$B$1501,$A96))</f>
        <v>0</v>
      </c>
      <c r="AD96" s="21" t="n">
        <f aca="false">IF(OR($A96="",AD$4=""),0,COUNTIFS(Formulas!$A$2:$A$1501,AD$4,Formulas!$B$2:$B$1501,$A96))</f>
        <v>0</v>
      </c>
      <c r="AE96" s="21" t="n">
        <f aca="false">IF(OR($A96="",AE$4=""),0,COUNTIFS(Formulas!$A$2:$A$1501,AE$4,Formulas!$B$2:$B$1501,$A96))</f>
        <v>0</v>
      </c>
      <c r="AF96" s="21" t="n">
        <f aca="false">IF(OR($A96="",AF$4=""),0,COUNTIFS(Formulas!$A$2:$A$1501,AF$4,Formulas!$B$2:$B$1501,$A96))</f>
        <v>0</v>
      </c>
      <c r="AG96" s="21" t="n">
        <f aca="false">IF(OR($A96="",AG$4=""),0,COUNTIFS(Formulas!$A$2:$A$1501,AG$4,Formulas!$B$2:$B$1501,$A96))</f>
        <v>0</v>
      </c>
      <c r="AH96" s="21" t="n">
        <f aca="false">IF(OR($A96="",AH$4=""),0,COUNTIFS(Formulas!$A$2:$A$1501,AH$4,Formulas!$B$2:$B$1501,$A96))</f>
        <v>0</v>
      </c>
      <c r="AI96" s="21" t="n">
        <f aca="false">IF(OR($A96="",AI$4=""),0,COUNTIFS(Formulas!$A$2:$A$1501,AI$4,Formulas!$B$2:$B$1501,$A96))</f>
        <v>0</v>
      </c>
      <c r="AJ96" s="21" t="n">
        <f aca="false">IF(OR($A96="",AJ$4=""),0,COUNTIFS(Formulas!$A$2:$A$1501,AJ$4,Formulas!$B$2:$B$1501,$A96))</f>
        <v>0</v>
      </c>
      <c r="AK96" s="21" t="n">
        <f aca="false">IF(OR($A96="",AK$4=""),0,COUNTIFS(Formulas!$A$2:$A$1501,AK$4,Formulas!$B$2:$B$1501,$A96))</f>
        <v>0</v>
      </c>
      <c r="AL96" s="21" t="n">
        <f aca="false">IF(OR($A96="",AL$4=""),0,COUNTIFS(Formulas!$A$2:$A$1501,AL$4,Formulas!$B$2:$B$1501,$A96))</f>
        <v>0</v>
      </c>
      <c r="AM96" s="21" t="n">
        <f aca="false">IF(OR($A96="",AM$4=""),0,COUNTIFS(Formulas!$A$2:$A$1501,AM$4,Formulas!$B$2:$B$1501,$A96))</f>
        <v>0</v>
      </c>
      <c r="AN96" s="21" t="n">
        <f aca="false">IF(OR($A96="",AN$4=""),0,COUNTIFS(Formulas!$A$2:$A$1501,AN$4,Formulas!$B$2:$B$1501,$A96))</f>
        <v>0</v>
      </c>
      <c r="AO96" s="21" t="n">
        <f aca="false">IF(OR($A96="",AO$4=""),0,COUNTIFS(Formulas!$A$2:$A$1501,AO$4,Formulas!$B$2:$B$1501,$A96))</f>
        <v>0</v>
      </c>
      <c r="AP96" s="21" t="n">
        <f aca="false">IF(OR($A96="",AP$4=""),0,COUNTIFS(Formulas!$A$2:$A$1501,AP$4,Formulas!$B$2:$B$1501,$A96))</f>
        <v>0</v>
      </c>
      <c r="AQ96" s="21" t="n">
        <f aca="false">IF(OR($A96="",AQ$4=""),0,COUNTIFS(Formulas!$A$2:$A$1501,AQ$4,Formulas!$B$2:$B$1501,$A96))</f>
        <v>0</v>
      </c>
      <c r="AR96" s="21" t="n">
        <f aca="false">IF(OR($A96="",AR$4=""),0,COUNTIFS(Formulas!$A$2:$A$1501,AR$4,Formulas!$B$2:$B$1501,$A96))</f>
        <v>0</v>
      </c>
      <c r="AS96" s="21" t="n">
        <f aca="false">IF(OR($A96="",AS$4=""),0,COUNTIFS(Formulas!$A$2:$A$1501,AS$4,Formulas!$B$2:$B$1501,$A96))</f>
        <v>0</v>
      </c>
      <c r="AT96" s="21" t="n">
        <f aca="false">IF(OR($A96="",AT$4=""),0,COUNTIFS(Formulas!$A$2:$A$1501,AT$4,Formulas!$B$2:$B$1501,$A96))</f>
        <v>0</v>
      </c>
      <c r="AU96" s="21" t="n">
        <f aca="false">IF(OR($A96="",AU$4=""),0,COUNTIFS(Formulas!$A$2:$A$1501,AU$4,Formulas!$B$2:$B$1501,$A96))</f>
        <v>0</v>
      </c>
      <c r="AV96" s="21" t="n">
        <f aca="false">IF(OR($A96="",AV$4=""),0,COUNTIFS(Formulas!$A$2:$A$1501,AV$4,Formulas!$B$2:$B$1501,$A96))</f>
        <v>0</v>
      </c>
      <c r="AW96" s="21" t="n">
        <f aca="false">IF(OR($A96="",AW$4=""),0,COUNTIFS(Formulas!$A$2:$A$1501,AW$4,Formulas!$B$2:$B$1501,$A96))</f>
        <v>0</v>
      </c>
      <c r="AX96" s="21" t="n">
        <f aca="false">IF(OR($A96="",AX$4=""),0,COUNTIFS(Formulas!$A$2:$A$1501,AX$4,Formulas!$B$2:$B$1501,$A96))</f>
        <v>0</v>
      </c>
      <c r="AY96" s="21" t="n">
        <f aca="false">IF(OR($A96="",AY$4=""),0,COUNTIFS(Formulas!$A$2:$A$1501,AY$4,Formulas!$B$2:$B$1501,$A96))</f>
        <v>0</v>
      </c>
      <c r="AZ96" s="21" t="n">
        <f aca="false">IF(OR($A96="",AZ$4=""),0,COUNTIFS(Formulas!$A$2:$A$1501,AZ$4,Formulas!$B$2:$B$1501,$A96))</f>
        <v>0</v>
      </c>
      <c r="BA96" s="21" t="n">
        <f aca="false">IF(OR($A96="",BA$4=""),0,COUNTIFS(Formulas!$A$2:$A$1501,BA$4,Formulas!$B$2:$B$1501,$A96))</f>
        <v>0</v>
      </c>
      <c r="BB96" s="21" t="n">
        <f aca="false">IF(OR($A96="",BB$4=""),0,COUNTIFS(Formulas!$A$2:$A$1501,BB$4,Formulas!$B$2:$B$1501,$A96))</f>
        <v>0</v>
      </c>
      <c r="BC96" s="21" t="n">
        <f aca="false">IF(OR($A96="",BC$4=""),0,COUNTIFS(Formulas!$A$2:$A$1501,BC$4,Formulas!$B$2:$B$1501,$A96))</f>
        <v>0</v>
      </c>
      <c r="BD96" s="21" t="n">
        <f aca="false">IF(OR($A96="",BD$4=""),0,COUNTIFS(Formulas!$A$2:$A$1501,BD$4,Formulas!$B$2:$B$1501,$A96))</f>
        <v>0</v>
      </c>
      <c r="BE96" s="21" t="n">
        <f aca="false">IF(OR($A96="",BE$4=""),0,COUNTIFS(Formulas!$A$2:$A$1501,BE$4,Formulas!$B$2:$B$1501,$A96))</f>
        <v>0</v>
      </c>
      <c r="BF96" s="21" t="n">
        <f aca="false">IF(OR($A96="",BF$4=""),0,COUNTIFS(Formulas!$A$2:$A$1501,BF$4,Formulas!$B$2:$B$1501,$A96))</f>
        <v>0</v>
      </c>
      <c r="BG96" s="21" t="n">
        <f aca="false">IF(OR($A96="",BG$4=""),0,COUNTIFS(Formulas!$A$2:$A$1501,BG$4,Formulas!$B$2:$B$1501,$A96))</f>
        <v>0</v>
      </c>
      <c r="BH96" s="21" t="n">
        <f aca="false">IF(OR($A96="",BH$4=""),0,COUNTIFS(Formulas!$A$2:$A$1501,BH$4,Formulas!$B$2:$B$1501,$A96))</f>
        <v>0</v>
      </c>
      <c r="BI96" s="21" t="n">
        <f aca="false">IF(OR($A96="",BI$4=""),0,COUNTIFS(Formulas!$A$2:$A$1501,BI$4,Formulas!$B$2:$B$1501,$A96))</f>
        <v>0</v>
      </c>
      <c r="BJ96" s="21" t="n">
        <f aca="false">IF(OR($A96="",BJ$4=""),0,COUNTIFS(Formulas!$A$2:$A$1501,BJ$4,Formulas!$B$2:$B$1501,$A96))</f>
        <v>0</v>
      </c>
    </row>
    <row r="97" customFormat="false" ht="15" hidden="false" customHeight="false" outlineLevel="0" collapsed="false">
      <c r="A97" s="13" t="str">
        <f aca="false">IF(INDEX(Materials!$A$2:$A$201,93)="","",INDEX(Materials!$A$2:$A$201,93))</f>
        <v/>
      </c>
      <c r="B97" s="19" t="str">
        <f aca="false">IF(A97="","",COUNTIF(C97:BJ97,"&gt;0"))</f>
        <v/>
      </c>
      <c r="C97" s="21" t="n">
        <f aca="false">IF(OR($A97="",C$4=""),0,COUNTIFS(Formulas!$A$2:$A$1501,C$4,Formulas!$B$2:$B$1501,$A97))</f>
        <v>0</v>
      </c>
      <c r="D97" s="21" t="n">
        <f aca="false">IF(OR($A97="",D$4=""),0,COUNTIFS(Formulas!$A$2:$A$1501,D$4,Formulas!$B$2:$B$1501,$A97))</f>
        <v>0</v>
      </c>
      <c r="E97" s="21" t="n">
        <f aca="false">IF(OR($A97="",E$4=""),0,COUNTIFS(Formulas!$A$2:$A$1501,E$4,Formulas!$B$2:$B$1501,$A97))</f>
        <v>0</v>
      </c>
      <c r="F97" s="21" t="n">
        <f aca="false">IF(OR($A97="",F$4=""),0,COUNTIFS(Formulas!$A$2:$A$1501,F$4,Formulas!$B$2:$B$1501,$A97))</f>
        <v>0</v>
      </c>
      <c r="G97" s="21" t="n">
        <f aca="false">IF(OR($A97="",G$4=""),0,COUNTIFS(Formulas!$A$2:$A$1501,G$4,Formulas!$B$2:$B$1501,$A97))</f>
        <v>0</v>
      </c>
      <c r="H97" s="21" t="n">
        <f aca="false">IF(OR($A97="",H$4=""),0,COUNTIFS(Formulas!$A$2:$A$1501,H$4,Formulas!$B$2:$B$1501,$A97))</f>
        <v>0</v>
      </c>
      <c r="I97" s="21" t="n">
        <f aca="false">IF(OR($A97="",I$4=""),0,COUNTIFS(Formulas!$A$2:$A$1501,I$4,Formulas!$B$2:$B$1501,$A97))</f>
        <v>0</v>
      </c>
      <c r="J97" s="21" t="n">
        <f aca="false">IF(OR($A97="",J$4=""),0,COUNTIFS(Formulas!$A$2:$A$1501,J$4,Formulas!$B$2:$B$1501,$A97))</f>
        <v>0</v>
      </c>
      <c r="K97" s="21" t="n">
        <f aca="false">IF(OR($A97="",K$4=""),0,COUNTIFS(Formulas!$A$2:$A$1501,K$4,Formulas!$B$2:$B$1501,$A97))</f>
        <v>0</v>
      </c>
      <c r="L97" s="21" t="n">
        <f aca="false">IF(OR($A97="",L$4=""),0,COUNTIFS(Formulas!$A$2:$A$1501,L$4,Formulas!$B$2:$B$1501,$A97))</f>
        <v>0</v>
      </c>
      <c r="M97" s="21" t="n">
        <f aca="false">IF(OR($A97="",M$4=""),0,COUNTIFS(Formulas!$A$2:$A$1501,M$4,Formulas!$B$2:$B$1501,$A97))</f>
        <v>0</v>
      </c>
      <c r="N97" s="21" t="n">
        <f aca="false">IF(OR($A97="",N$4=""),0,COUNTIFS(Formulas!$A$2:$A$1501,N$4,Formulas!$B$2:$B$1501,$A97))</f>
        <v>0</v>
      </c>
      <c r="O97" s="21" t="n">
        <f aca="false">IF(OR($A97="",O$4=""),0,COUNTIFS(Formulas!$A$2:$A$1501,O$4,Formulas!$B$2:$B$1501,$A97))</f>
        <v>0</v>
      </c>
      <c r="P97" s="21" t="n">
        <f aca="false">IF(OR($A97="",P$4=""),0,COUNTIFS(Formulas!$A$2:$A$1501,P$4,Formulas!$B$2:$B$1501,$A97))</f>
        <v>0</v>
      </c>
      <c r="Q97" s="21" t="n">
        <f aca="false">IF(OR($A97="",Q$4=""),0,COUNTIFS(Formulas!$A$2:$A$1501,Q$4,Formulas!$B$2:$B$1501,$A97))</f>
        <v>0</v>
      </c>
      <c r="R97" s="21" t="n">
        <f aca="false">IF(OR($A97="",R$4=""),0,COUNTIFS(Formulas!$A$2:$A$1501,R$4,Formulas!$B$2:$B$1501,$A97))</f>
        <v>0</v>
      </c>
      <c r="S97" s="21" t="n">
        <f aca="false">IF(OR($A97="",S$4=""),0,COUNTIFS(Formulas!$A$2:$A$1501,S$4,Formulas!$B$2:$B$1501,$A97))</f>
        <v>0</v>
      </c>
      <c r="T97" s="21" t="n">
        <f aca="false">IF(OR($A97="",T$4=""),0,COUNTIFS(Formulas!$A$2:$A$1501,T$4,Formulas!$B$2:$B$1501,$A97))</f>
        <v>0</v>
      </c>
      <c r="U97" s="21" t="n">
        <f aca="false">IF(OR($A97="",U$4=""),0,COUNTIFS(Formulas!$A$2:$A$1501,U$4,Formulas!$B$2:$B$1501,$A97))</f>
        <v>0</v>
      </c>
      <c r="V97" s="21" t="n">
        <f aca="false">IF(OR($A97="",V$4=""),0,COUNTIFS(Formulas!$A$2:$A$1501,V$4,Formulas!$B$2:$B$1501,$A97))</f>
        <v>0</v>
      </c>
      <c r="W97" s="21" t="n">
        <f aca="false">IF(OR($A97="",W$4=""),0,COUNTIFS(Formulas!$A$2:$A$1501,W$4,Formulas!$B$2:$B$1501,$A97))</f>
        <v>0</v>
      </c>
      <c r="X97" s="21" t="n">
        <f aca="false">IF(OR($A97="",X$4=""),0,COUNTIFS(Formulas!$A$2:$A$1501,X$4,Formulas!$B$2:$B$1501,$A97))</f>
        <v>0</v>
      </c>
      <c r="Y97" s="21" t="n">
        <f aca="false">IF(OR($A97="",Y$4=""),0,COUNTIFS(Formulas!$A$2:$A$1501,Y$4,Formulas!$B$2:$B$1501,$A97))</f>
        <v>0</v>
      </c>
      <c r="Z97" s="21" t="n">
        <f aca="false">IF(OR($A97="",Z$4=""),0,COUNTIFS(Formulas!$A$2:$A$1501,Z$4,Formulas!$B$2:$B$1501,$A97))</f>
        <v>0</v>
      </c>
      <c r="AA97" s="21" t="n">
        <f aca="false">IF(OR($A97="",AA$4=""),0,COUNTIFS(Formulas!$A$2:$A$1501,AA$4,Formulas!$B$2:$B$1501,$A97))</f>
        <v>0</v>
      </c>
      <c r="AB97" s="21" t="n">
        <f aca="false">IF(OR($A97="",AB$4=""),0,COUNTIFS(Formulas!$A$2:$A$1501,AB$4,Formulas!$B$2:$B$1501,$A97))</f>
        <v>0</v>
      </c>
      <c r="AC97" s="21" t="n">
        <f aca="false">IF(OR($A97="",AC$4=""),0,COUNTIFS(Formulas!$A$2:$A$1501,AC$4,Formulas!$B$2:$B$1501,$A97))</f>
        <v>0</v>
      </c>
      <c r="AD97" s="21" t="n">
        <f aca="false">IF(OR($A97="",AD$4=""),0,COUNTIFS(Formulas!$A$2:$A$1501,AD$4,Formulas!$B$2:$B$1501,$A97))</f>
        <v>0</v>
      </c>
      <c r="AE97" s="21" t="n">
        <f aca="false">IF(OR($A97="",AE$4=""),0,COUNTIFS(Formulas!$A$2:$A$1501,AE$4,Formulas!$B$2:$B$1501,$A97))</f>
        <v>0</v>
      </c>
      <c r="AF97" s="21" t="n">
        <f aca="false">IF(OR($A97="",AF$4=""),0,COUNTIFS(Formulas!$A$2:$A$1501,AF$4,Formulas!$B$2:$B$1501,$A97))</f>
        <v>0</v>
      </c>
      <c r="AG97" s="21" t="n">
        <f aca="false">IF(OR($A97="",AG$4=""),0,COUNTIFS(Formulas!$A$2:$A$1501,AG$4,Formulas!$B$2:$B$1501,$A97))</f>
        <v>0</v>
      </c>
      <c r="AH97" s="21" t="n">
        <f aca="false">IF(OR($A97="",AH$4=""),0,COUNTIFS(Formulas!$A$2:$A$1501,AH$4,Formulas!$B$2:$B$1501,$A97))</f>
        <v>0</v>
      </c>
      <c r="AI97" s="21" t="n">
        <f aca="false">IF(OR($A97="",AI$4=""),0,COUNTIFS(Formulas!$A$2:$A$1501,AI$4,Formulas!$B$2:$B$1501,$A97))</f>
        <v>0</v>
      </c>
      <c r="AJ97" s="21" t="n">
        <f aca="false">IF(OR($A97="",AJ$4=""),0,COUNTIFS(Formulas!$A$2:$A$1501,AJ$4,Formulas!$B$2:$B$1501,$A97))</f>
        <v>0</v>
      </c>
      <c r="AK97" s="21" t="n">
        <f aca="false">IF(OR($A97="",AK$4=""),0,COUNTIFS(Formulas!$A$2:$A$1501,AK$4,Formulas!$B$2:$B$1501,$A97))</f>
        <v>0</v>
      </c>
      <c r="AL97" s="21" t="n">
        <f aca="false">IF(OR($A97="",AL$4=""),0,COUNTIFS(Formulas!$A$2:$A$1501,AL$4,Formulas!$B$2:$B$1501,$A97))</f>
        <v>0</v>
      </c>
      <c r="AM97" s="21" t="n">
        <f aca="false">IF(OR($A97="",AM$4=""),0,COUNTIFS(Formulas!$A$2:$A$1501,AM$4,Formulas!$B$2:$B$1501,$A97))</f>
        <v>0</v>
      </c>
      <c r="AN97" s="21" t="n">
        <f aca="false">IF(OR($A97="",AN$4=""),0,COUNTIFS(Formulas!$A$2:$A$1501,AN$4,Formulas!$B$2:$B$1501,$A97))</f>
        <v>0</v>
      </c>
      <c r="AO97" s="21" t="n">
        <f aca="false">IF(OR($A97="",AO$4=""),0,COUNTIFS(Formulas!$A$2:$A$1501,AO$4,Formulas!$B$2:$B$1501,$A97))</f>
        <v>0</v>
      </c>
      <c r="AP97" s="21" t="n">
        <f aca="false">IF(OR($A97="",AP$4=""),0,COUNTIFS(Formulas!$A$2:$A$1501,AP$4,Formulas!$B$2:$B$1501,$A97))</f>
        <v>0</v>
      </c>
      <c r="AQ97" s="21" t="n">
        <f aca="false">IF(OR($A97="",AQ$4=""),0,COUNTIFS(Formulas!$A$2:$A$1501,AQ$4,Formulas!$B$2:$B$1501,$A97))</f>
        <v>0</v>
      </c>
      <c r="AR97" s="21" t="n">
        <f aca="false">IF(OR($A97="",AR$4=""),0,COUNTIFS(Formulas!$A$2:$A$1501,AR$4,Formulas!$B$2:$B$1501,$A97))</f>
        <v>0</v>
      </c>
      <c r="AS97" s="21" t="n">
        <f aca="false">IF(OR($A97="",AS$4=""),0,COUNTIFS(Formulas!$A$2:$A$1501,AS$4,Formulas!$B$2:$B$1501,$A97))</f>
        <v>0</v>
      </c>
      <c r="AT97" s="21" t="n">
        <f aca="false">IF(OR($A97="",AT$4=""),0,COUNTIFS(Formulas!$A$2:$A$1501,AT$4,Formulas!$B$2:$B$1501,$A97))</f>
        <v>0</v>
      </c>
      <c r="AU97" s="21" t="n">
        <f aca="false">IF(OR($A97="",AU$4=""),0,COUNTIFS(Formulas!$A$2:$A$1501,AU$4,Formulas!$B$2:$B$1501,$A97))</f>
        <v>0</v>
      </c>
      <c r="AV97" s="21" t="n">
        <f aca="false">IF(OR($A97="",AV$4=""),0,COUNTIFS(Formulas!$A$2:$A$1501,AV$4,Formulas!$B$2:$B$1501,$A97))</f>
        <v>0</v>
      </c>
      <c r="AW97" s="21" t="n">
        <f aca="false">IF(OR($A97="",AW$4=""),0,COUNTIFS(Formulas!$A$2:$A$1501,AW$4,Formulas!$B$2:$B$1501,$A97))</f>
        <v>0</v>
      </c>
      <c r="AX97" s="21" t="n">
        <f aca="false">IF(OR($A97="",AX$4=""),0,COUNTIFS(Formulas!$A$2:$A$1501,AX$4,Formulas!$B$2:$B$1501,$A97))</f>
        <v>0</v>
      </c>
      <c r="AY97" s="21" t="n">
        <f aca="false">IF(OR($A97="",AY$4=""),0,COUNTIFS(Formulas!$A$2:$A$1501,AY$4,Formulas!$B$2:$B$1501,$A97))</f>
        <v>0</v>
      </c>
      <c r="AZ97" s="21" t="n">
        <f aca="false">IF(OR($A97="",AZ$4=""),0,COUNTIFS(Formulas!$A$2:$A$1501,AZ$4,Formulas!$B$2:$B$1501,$A97))</f>
        <v>0</v>
      </c>
      <c r="BA97" s="21" t="n">
        <f aca="false">IF(OR($A97="",BA$4=""),0,COUNTIFS(Formulas!$A$2:$A$1501,BA$4,Formulas!$B$2:$B$1501,$A97))</f>
        <v>0</v>
      </c>
      <c r="BB97" s="21" t="n">
        <f aca="false">IF(OR($A97="",BB$4=""),0,COUNTIFS(Formulas!$A$2:$A$1501,BB$4,Formulas!$B$2:$B$1501,$A97))</f>
        <v>0</v>
      </c>
      <c r="BC97" s="21" t="n">
        <f aca="false">IF(OR($A97="",BC$4=""),0,COUNTIFS(Formulas!$A$2:$A$1501,BC$4,Formulas!$B$2:$B$1501,$A97))</f>
        <v>0</v>
      </c>
      <c r="BD97" s="21" t="n">
        <f aca="false">IF(OR($A97="",BD$4=""),0,COUNTIFS(Formulas!$A$2:$A$1501,BD$4,Formulas!$B$2:$B$1501,$A97))</f>
        <v>0</v>
      </c>
      <c r="BE97" s="21" t="n">
        <f aca="false">IF(OR($A97="",BE$4=""),0,COUNTIFS(Formulas!$A$2:$A$1501,BE$4,Formulas!$B$2:$B$1501,$A97))</f>
        <v>0</v>
      </c>
      <c r="BF97" s="21" t="n">
        <f aca="false">IF(OR($A97="",BF$4=""),0,COUNTIFS(Formulas!$A$2:$A$1501,BF$4,Formulas!$B$2:$B$1501,$A97))</f>
        <v>0</v>
      </c>
      <c r="BG97" s="21" t="n">
        <f aca="false">IF(OR($A97="",BG$4=""),0,COUNTIFS(Formulas!$A$2:$A$1501,BG$4,Formulas!$B$2:$B$1501,$A97))</f>
        <v>0</v>
      </c>
      <c r="BH97" s="21" t="n">
        <f aca="false">IF(OR($A97="",BH$4=""),0,COUNTIFS(Formulas!$A$2:$A$1501,BH$4,Formulas!$B$2:$B$1501,$A97))</f>
        <v>0</v>
      </c>
      <c r="BI97" s="21" t="n">
        <f aca="false">IF(OR($A97="",BI$4=""),0,COUNTIFS(Formulas!$A$2:$A$1501,BI$4,Formulas!$B$2:$B$1501,$A97))</f>
        <v>0</v>
      </c>
      <c r="BJ97" s="21" t="n">
        <f aca="false">IF(OR($A97="",BJ$4=""),0,COUNTIFS(Formulas!$A$2:$A$1501,BJ$4,Formulas!$B$2:$B$1501,$A97))</f>
        <v>0</v>
      </c>
    </row>
    <row r="98" customFormat="false" ht="15" hidden="false" customHeight="false" outlineLevel="0" collapsed="false">
      <c r="A98" s="13" t="str">
        <f aca="false">IF(INDEX(Materials!$A$2:$A$201,94)="","",INDEX(Materials!$A$2:$A$201,94))</f>
        <v/>
      </c>
      <c r="B98" s="19" t="str">
        <f aca="false">IF(A98="","",COUNTIF(C98:BJ98,"&gt;0"))</f>
        <v/>
      </c>
      <c r="C98" s="21" t="n">
        <f aca="false">IF(OR($A98="",C$4=""),0,COUNTIFS(Formulas!$A$2:$A$1501,C$4,Formulas!$B$2:$B$1501,$A98))</f>
        <v>0</v>
      </c>
      <c r="D98" s="21" t="n">
        <f aca="false">IF(OR($A98="",D$4=""),0,COUNTIFS(Formulas!$A$2:$A$1501,D$4,Formulas!$B$2:$B$1501,$A98))</f>
        <v>0</v>
      </c>
      <c r="E98" s="21" t="n">
        <f aca="false">IF(OR($A98="",E$4=""),0,COUNTIFS(Formulas!$A$2:$A$1501,E$4,Formulas!$B$2:$B$1501,$A98))</f>
        <v>0</v>
      </c>
      <c r="F98" s="21" t="n">
        <f aca="false">IF(OR($A98="",F$4=""),0,COUNTIFS(Formulas!$A$2:$A$1501,F$4,Formulas!$B$2:$B$1501,$A98))</f>
        <v>0</v>
      </c>
      <c r="G98" s="21" t="n">
        <f aca="false">IF(OR($A98="",G$4=""),0,COUNTIFS(Formulas!$A$2:$A$1501,G$4,Formulas!$B$2:$B$1501,$A98))</f>
        <v>0</v>
      </c>
      <c r="H98" s="21" t="n">
        <f aca="false">IF(OR($A98="",H$4=""),0,COUNTIFS(Formulas!$A$2:$A$1501,H$4,Formulas!$B$2:$B$1501,$A98))</f>
        <v>0</v>
      </c>
      <c r="I98" s="21" t="n">
        <f aca="false">IF(OR($A98="",I$4=""),0,COUNTIFS(Formulas!$A$2:$A$1501,I$4,Formulas!$B$2:$B$1501,$A98))</f>
        <v>0</v>
      </c>
      <c r="J98" s="21" t="n">
        <f aca="false">IF(OR($A98="",J$4=""),0,COUNTIFS(Formulas!$A$2:$A$1501,J$4,Formulas!$B$2:$B$1501,$A98))</f>
        <v>0</v>
      </c>
      <c r="K98" s="21" t="n">
        <f aca="false">IF(OR($A98="",K$4=""),0,COUNTIFS(Formulas!$A$2:$A$1501,K$4,Formulas!$B$2:$B$1501,$A98))</f>
        <v>0</v>
      </c>
      <c r="L98" s="21" t="n">
        <f aca="false">IF(OR($A98="",L$4=""),0,COUNTIFS(Formulas!$A$2:$A$1501,L$4,Formulas!$B$2:$B$1501,$A98))</f>
        <v>0</v>
      </c>
      <c r="M98" s="21" t="n">
        <f aca="false">IF(OR($A98="",M$4=""),0,COUNTIFS(Formulas!$A$2:$A$1501,M$4,Formulas!$B$2:$B$1501,$A98))</f>
        <v>0</v>
      </c>
      <c r="N98" s="21" t="n">
        <f aca="false">IF(OR($A98="",N$4=""),0,COUNTIFS(Formulas!$A$2:$A$1501,N$4,Formulas!$B$2:$B$1501,$A98))</f>
        <v>0</v>
      </c>
      <c r="O98" s="21" t="n">
        <f aca="false">IF(OR($A98="",O$4=""),0,COUNTIFS(Formulas!$A$2:$A$1501,O$4,Formulas!$B$2:$B$1501,$A98))</f>
        <v>0</v>
      </c>
      <c r="P98" s="21" t="n">
        <f aca="false">IF(OR($A98="",P$4=""),0,COUNTIFS(Formulas!$A$2:$A$1501,P$4,Formulas!$B$2:$B$1501,$A98))</f>
        <v>0</v>
      </c>
      <c r="Q98" s="21" t="n">
        <f aca="false">IF(OR($A98="",Q$4=""),0,COUNTIFS(Formulas!$A$2:$A$1501,Q$4,Formulas!$B$2:$B$1501,$A98))</f>
        <v>0</v>
      </c>
      <c r="R98" s="21" t="n">
        <f aca="false">IF(OR($A98="",R$4=""),0,COUNTIFS(Formulas!$A$2:$A$1501,R$4,Formulas!$B$2:$B$1501,$A98))</f>
        <v>0</v>
      </c>
      <c r="S98" s="21" t="n">
        <f aca="false">IF(OR($A98="",S$4=""),0,COUNTIFS(Formulas!$A$2:$A$1501,S$4,Formulas!$B$2:$B$1501,$A98))</f>
        <v>0</v>
      </c>
      <c r="T98" s="21" t="n">
        <f aca="false">IF(OR($A98="",T$4=""),0,COUNTIFS(Formulas!$A$2:$A$1501,T$4,Formulas!$B$2:$B$1501,$A98))</f>
        <v>0</v>
      </c>
      <c r="U98" s="21" t="n">
        <f aca="false">IF(OR($A98="",U$4=""),0,COUNTIFS(Formulas!$A$2:$A$1501,U$4,Formulas!$B$2:$B$1501,$A98))</f>
        <v>0</v>
      </c>
      <c r="V98" s="21" t="n">
        <f aca="false">IF(OR($A98="",V$4=""),0,COUNTIFS(Formulas!$A$2:$A$1501,V$4,Formulas!$B$2:$B$1501,$A98))</f>
        <v>0</v>
      </c>
      <c r="W98" s="21" t="n">
        <f aca="false">IF(OR($A98="",W$4=""),0,COUNTIFS(Formulas!$A$2:$A$1501,W$4,Formulas!$B$2:$B$1501,$A98))</f>
        <v>0</v>
      </c>
      <c r="X98" s="21" t="n">
        <f aca="false">IF(OR($A98="",X$4=""),0,COUNTIFS(Formulas!$A$2:$A$1501,X$4,Formulas!$B$2:$B$1501,$A98))</f>
        <v>0</v>
      </c>
      <c r="Y98" s="21" t="n">
        <f aca="false">IF(OR($A98="",Y$4=""),0,COUNTIFS(Formulas!$A$2:$A$1501,Y$4,Formulas!$B$2:$B$1501,$A98))</f>
        <v>0</v>
      </c>
      <c r="Z98" s="21" t="n">
        <f aca="false">IF(OR($A98="",Z$4=""),0,COUNTIFS(Formulas!$A$2:$A$1501,Z$4,Formulas!$B$2:$B$1501,$A98))</f>
        <v>0</v>
      </c>
      <c r="AA98" s="21" t="n">
        <f aca="false">IF(OR($A98="",AA$4=""),0,COUNTIFS(Formulas!$A$2:$A$1501,AA$4,Formulas!$B$2:$B$1501,$A98))</f>
        <v>0</v>
      </c>
      <c r="AB98" s="21" t="n">
        <f aca="false">IF(OR($A98="",AB$4=""),0,COUNTIFS(Formulas!$A$2:$A$1501,AB$4,Formulas!$B$2:$B$1501,$A98))</f>
        <v>0</v>
      </c>
      <c r="AC98" s="21" t="n">
        <f aca="false">IF(OR($A98="",AC$4=""),0,COUNTIFS(Formulas!$A$2:$A$1501,AC$4,Formulas!$B$2:$B$1501,$A98))</f>
        <v>0</v>
      </c>
      <c r="AD98" s="21" t="n">
        <f aca="false">IF(OR($A98="",AD$4=""),0,COUNTIFS(Formulas!$A$2:$A$1501,AD$4,Formulas!$B$2:$B$1501,$A98))</f>
        <v>0</v>
      </c>
      <c r="AE98" s="21" t="n">
        <f aca="false">IF(OR($A98="",AE$4=""),0,COUNTIFS(Formulas!$A$2:$A$1501,AE$4,Formulas!$B$2:$B$1501,$A98))</f>
        <v>0</v>
      </c>
      <c r="AF98" s="21" t="n">
        <f aca="false">IF(OR($A98="",AF$4=""),0,COUNTIFS(Formulas!$A$2:$A$1501,AF$4,Formulas!$B$2:$B$1501,$A98))</f>
        <v>0</v>
      </c>
      <c r="AG98" s="21" t="n">
        <f aca="false">IF(OR($A98="",AG$4=""),0,COUNTIFS(Formulas!$A$2:$A$1501,AG$4,Formulas!$B$2:$B$1501,$A98))</f>
        <v>0</v>
      </c>
      <c r="AH98" s="21" t="n">
        <f aca="false">IF(OR($A98="",AH$4=""),0,COUNTIFS(Formulas!$A$2:$A$1501,AH$4,Formulas!$B$2:$B$1501,$A98))</f>
        <v>0</v>
      </c>
      <c r="AI98" s="21" t="n">
        <f aca="false">IF(OR($A98="",AI$4=""),0,COUNTIFS(Formulas!$A$2:$A$1501,AI$4,Formulas!$B$2:$B$1501,$A98))</f>
        <v>0</v>
      </c>
      <c r="AJ98" s="21" t="n">
        <f aca="false">IF(OR($A98="",AJ$4=""),0,COUNTIFS(Formulas!$A$2:$A$1501,AJ$4,Formulas!$B$2:$B$1501,$A98))</f>
        <v>0</v>
      </c>
      <c r="AK98" s="21" t="n">
        <f aca="false">IF(OR($A98="",AK$4=""),0,COUNTIFS(Formulas!$A$2:$A$1501,AK$4,Formulas!$B$2:$B$1501,$A98))</f>
        <v>0</v>
      </c>
      <c r="AL98" s="21" t="n">
        <f aca="false">IF(OR($A98="",AL$4=""),0,COUNTIFS(Formulas!$A$2:$A$1501,AL$4,Formulas!$B$2:$B$1501,$A98))</f>
        <v>0</v>
      </c>
      <c r="AM98" s="21" t="n">
        <f aca="false">IF(OR($A98="",AM$4=""),0,COUNTIFS(Formulas!$A$2:$A$1501,AM$4,Formulas!$B$2:$B$1501,$A98))</f>
        <v>0</v>
      </c>
      <c r="AN98" s="21" t="n">
        <f aca="false">IF(OR($A98="",AN$4=""),0,COUNTIFS(Formulas!$A$2:$A$1501,AN$4,Formulas!$B$2:$B$1501,$A98))</f>
        <v>0</v>
      </c>
      <c r="AO98" s="21" t="n">
        <f aca="false">IF(OR($A98="",AO$4=""),0,COUNTIFS(Formulas!$A$2:$A$1501,AO$4,Formulas!$B$2:$B$1501,$A98))</f>
        <v>0</v>
      </c>
      <c r="AP98" s="21" t="n">
        <f aca="false">IF(OR($A98="",AP$4=""),0,COUNTIFS(Formulas!$A$2:$A$1501,AP$4,Formulas!$B$2:$B$1501,$A98))</f>
        <v>0</v>
      </c>
      <c r="AQ98" s="21" t="n">
        <f aca="false">IF(OR($A98="",AQ$4=""),0,COUNTIFS(Formulas!$A$2:$A$1501,AQ$4,Formulas!$B$2:$B$1501,$A98))</f>
        <v>0</v>
      </c>
      <c r="AR98" s="21" t="n">
        <f aca="false">IF(OR($A98="",AR$4=""),0,COUNTIFS(Formulas!$A$2:$A$1501,AR$4,Formulas!$B$2:$B$1501,$A98))</f>
        <v>0</v>
      </c>
      <c r="AS98" s="21" t="n">
        <f aca="false">IF(OR($A98="",AS$4=""),0,COUNTIFS(Formulas!$A$2:$A$1501,AS$4,Formulas!$B$2:$B$1501,$A98))</f>
        <v>0</v>
      </c>
      <c r="AT98" s="21" t="n">
        <f aca="false">IF(OR($A98="",AT$4=""),0,COUNTIFS(Formulas!$A$2:$A$1501,AT$4,Formulas!$B$2:$B$1501,$A98))</f>
        <v>0</v>
      </c>
      <c r="AU98" s="21" t="n">
        <f aca="false">IF(OR($A98="",AU$4=""),0,COUNTIFS(Formulas!$A$2:$A$1501,AU$4,Formulas!$B$2:$B$1501,$A98))</f>
        <v>0</v>
      </c>
      <c r="AV98" s="21" t="n">
        <f aca="false">IF(OR($A98="",AV$4=""),0,COUNTIFS(Formulas!$A$2:$A$1501,AV$4,Formulas!$B$2:$B$1501,$A98))</f>
        <v>0</v>
      </c>
      <c r="AW98" s="21" t="n">
        <f aca="false">IF(OR($A98="",AW$4=""),0,COUNTIFS(Formulas!$A$2:$A$1501,AW$4,Formulas!$B$2:$B$1501,$A98))</f>
        <v>0</v>
      </c>
      <c r="AX98" s="21" t="n">
        <f aca="false">IF(OR($A98="",AX$4=""),0,COUNTIFS(Formulas!$A$2:$A$1501,AX$4,Formulas!$B$2:$B$1501,$A98))</f>
        <v>0</v>
      </c>
      <c r="AY98" s="21" t="n">
        <f aca="false">IF(OR($A98="",AY$4=""),0,COUNTIFS(Formulas!$A$2:$A$1501,AY$4,Formulas!$B$2:$B$1501,$A98))</f>
        <v>0</v>
      </c>
      <c r="AZ98" s="21" t="n">
        <f aca="false">IF(OR($A98="",AZ$4=""),0,COUNTIFS(Formulas!$A$2:$A$1501,AZ$4,Formulas!$B$2:$B$1501,$A98))</f>
        <v>0</v>
      </c>
      <c r="BA98" s="21" t="n">
        <f aca="false">IF(OR($A98="",BA$4=""),0,COUNTIFS(Formulas!$A$2:$A$1501,BA$4,Formulas!$B$2:$B$1501,$A98))</f>
        <v>0</v>
      </c>
      <c r="BB98" s="21" t="n">
        <f aca="false">IF(OR($A98="",BB$4=""),0,COUNTIFS(Formulas!$A$2:$A$1501,BB$4,Formulas!$B$2:$B$1501,$A98))</f>
        <v>0</v>
      </c>
      <c r="BC98" s="21" t="n">
        <f aca="false">IF(OR($A98="",BC$4=""),0,COUNTIFS(Formulas!$A$2:$A$1501,BC$4,Formulas!$B$2:$B$1501,$A98))</f>
        <v>0</v>
      </c>
      <c r="BD98" s="21" t="n">
        <f aca="false">IF(OR($A98="",BD$4=""),0,COUNTIFS(Formulas!$A$2:$A$1501,BD$4,Formulas!$B$2:$B$1501,$A98))</f>
        <v>0</v>
      </c>
      <c r="BE98" s="21" t="n">
        <f aca="false">IF(OR($A98="",BE$4=""),0,COUNTIFS(Formulas!$A$2:$A$1501,BE$4,Formulas!$B$2:$B$1501,$A98))</f>
        <v>0</v>
      </c>
      <c r="BF98" s="21" t="n">
        <f aca="false">IF(OR($A98="",BF$4=""),0,COUNTIFS(Formulas!$A$2:$A$1501,BF$4,Formulas!$B$2:$B$1501,$A98))</f>
        <v>0</v>
      </c>
      <c r="BG98" s="21" t="n">
        <f aca="false">IF(OR($A98="",BG$4=""),0,COUNTIFS(Formulas!$A$2:$A$1501,BG$4,Formulas!$B$2:$B$1501,$A98))</f>
        <v>0</v>
      </c>
      <c r="BH98" s="21" t="n">
        <f aca="false">IF(OR($A98="",BH$4=""),0,COUNTIFS(Formulas!$A$2:$A$1501,BH$4,Formulas!$B$2:$B$1501,$A98))</f>
        <v>0</v>
      </c>
      <c r="BI98" s="21" t="n">
        <f aca="false">IF(OR($A98="",BI$4=""),0,COUNTIFS(Formulas!$A$2:$A$1501,BI$4,Formulas!$B$2:$B$1501,$A98))</f>
        <v>0</v>
      </c>
      <c r="BJ98" s="21" t="n">
        <f aca="false">IF(OR($A98="",BJ$4=""),0,COUNTIFS(Formulas!$A$2:$A$1501,BJ$4,Formulas!$B$2:$B$1501,$A98))</f>
        <v>0</v>
      </c>
    </row>
    <row r="99" customFormat="false" ht="15" hidden="false" customHeight="false" outlineLevel="0" collapsed="false">
      <c r="A99" s="13" t="str">
        <f aca="false">IF(INDEX(Materials!$A$2:$A$201,95)="","",INDEX(Materials!$A$2:$A$201,95))</f>
        <v/>
      </c>
      <c r="B99" s="19" t="str">
        <f aca="false">IF(A99="","",COUNTIF(C99:BJ99,"&gt;0"))</f>
        <v/>
      </c>
      <c r="C99" s="21" t="n">
        <f aca="false">IF(OR($A99="",C$4=""),0,COUNTIFS(Formulas!$A$2:$A$1501,C$4,Formulas!$B$2:$B$1501,$A99))</f>
        <v>0</v>
      </c>
      <c r="D99" s="21" t="n">
        <f aca="false">IF(OR($A99="",D$4=""),0,COUNTIFS(Formulas!$A$2:$A$1501,D$4,Formulas!$B$2:$B$1501,$A99))</f>
        <v>0</v>
      </c>
      <c r="E99" s="21" t="n">
        <f aca="false">IF(OR($A99="",E$4=""),0,COUNTIFS(Formulas!$A$2:$A$1501,E$4,Formulas!$B$2:$B$1501,$A99))</f>
        <v>0</v>
      </c>
      <c r="F99" s="21" t="n">
        <f aca="false">IF(OR($A99="",F$4=""),0,COUNTIFS(Formulas!$A$2:$A$1501,F$4,Formulas!$B$2:$B$1501,$A99))</f>
        <v>0</v>
      </c>
      <c r="G99" s="21" t="n">
        <f aca="false">IF(OR($A99="",G$4=""),0,COUNTIFS(Formulas!$A$2:$A$1501,G$4,Formulas!$B$2:$B$1501,$A99))</f>
        <v>0</v>
      </c>
      <c r="H99" s="21" t="n">
        <f aca="false">IF(OR($A99="",H$4=""),0,COUNTIFS(Formulas!$A$2:$A$1501,H$4,Formulas!$B$2:$B$1501,$A99))</f>
        <v>0</v>
      </c>
      <c r="I99" s="21" t="n">
        <f aca="false">IF(OR($A99="",I$4=""),0,COUNTIFS(Formulas!$A$2:$A$1501,I$4,Formulas!$B$2:$B$1501,$A99))</f>
        <v>0</v>
      </c>
      <c r="J99" s="21" t="n">
        <f aca="false">IF(OR($A99="",J$4=""),0,COUNTIFS(Formulas!$A$2:$A$1501,J$4,Formulas!$B$2:$B$1501,$A99))</f>
        <v>0</v>
      </c>
      <c r="K99" s="21" t="n">
        <f aca="false">IF(OR($A99="",K$4=""),0,COUNTIFS(Formulas!$A$2:$A$1501,K$4,Formulas!$B$2:$B$1501,$A99))</f>
        <v>0</v>
      </c>
      <c r="L99" s="21" t="n">
        <f aca="false">IF(OR($A99="",L$4=""),0,COUNTIFS(Formulas!$A$2:$A$1501,L$4,Formulas!$B$2:$B$1501,$A99))</f>
        <v>0</v>
      </c>
      <c r="M99" s="21" t="n">
        <f aca="false">IF(OR($A99="",M$4=""),0,COUNTIFS(Formulas!$A$2:$A$1501,M$4,Formulas!$B$2:$B$1501,$A99))</f>
        <v>0</v>
      </c>
      <c r="N99" s="21" t="n">
        <f aca="false">IF(OR($A99="",N$4=""),0,COUNTIFS(Formulas!$A$2:$A$1501,N$4,Formulas!$B$2:$B$1501,$A99))</f>
        <v>0</v>
      </c>
      <c r="O99" s="21" t="n">
        <f aca="false">IF(OR($A99="",O$4=""),0,COUNTIFS(Formulas!$A$2:$A$1501,O$4,Formulas!$B$2:$B$1501,$A99))</f>
        <v>0</v>
      </c>
      <c r="P99" s="21" t="n">
        <f aca="false">IF(OR($A99="",P$4=""),0,COUNTIFS(Formulas!$A$2:$A$1501,P$4,Formulas!$B$2:$B$1501,$A99))</f>
        <v>0</v>
      </c>
      <c r="Q99" s="21" t="n">
        <f aca="false">IF(OR($A99="",Q$4=""),0,COUNTIFS(Formulas!$A$2:$A$1501,Q$4,Formulas!$B$2:$B$1501,$A99))</f>
        <v>0</v>
      </c>
      <c r="R99" s="21" t="n">
        <f aca="false">IF(OR($A99="",R$4=""),0,COUNTIFS(Formulas!$A$2:$A$1501,R$4,Formulas!$B$2:$B$1501,$A99))</f>
        <v>0</v>
      </c>
      <c r="S99" s="21" t="n">
        <f aca="false">IF(OR($A99="",S$4=""),0,COUNTIFS(Formulas!$A$2:$A$1501,S$4,Formulas!$B$2:$B$1501,$A99))</f>
        <v>0</v>
      </c>
      <c r="T99" s="21" t="n">
        <f aca="false">IF(OR($A99="",T$4=""),0,COUNTIFS(Formulas!$A$2:$A$1501,T$4,Formulas!$B$2:$B$1501,$A99))</f>
        <v>0</v>
      </c>
      <c r="U99" s="21" t="n">
        <f aca="false">IF(OR($A99="",U$4=""),0,COUNTIFS(Formulas!$A$2:$A$1501,U$4,Formulas!$B$2:$B$1501,$A99))</f>
        <v>0</v>
      </c>
      <c r="V99" s="21" t="n">
        <f aca="false">IF(OR($A99="",V$4=""),0,COUNTIFS(Formulas!$A$2:$A$1501,V$4,Formulas!$B$2:$B$1501,$A99))</f>
        <v>0</v>
      </c>
      <c r="W99" s="21" t="n">
        <f aca="false">IF(OR($A99="",W$4=""),0,COUNTIFS(Formulas!$A$2:$A$1501,W$4,Formulas!$B$2:$B$1501,$A99))</f>
        <v>0</v>
      </c>
      <c r="X99" s="21" t="n">
        <f aca="false">IF(OR($A99="",X$4=""),0,COUNTIFS(Formulas!$A$2:$A$1501,X$4,Formulas!$B$2:$B$1501,$A99))</f>
        <v>0</v>
      </c>
      <c r="Y99" s="21" t="n">
        <f aca="false">IF(OR($A99="",Y$4=""),0,COUNTIFS(Formulas!$A$2:$A$1501,Y$4,Formulas!$B$2:$B$1501,$A99))</f>
        <v>0</v>
      </c>
      <c r="Z99" s="21" t="n">
        <f aca="false">IF(OR($A99="",Z$4=""),0,COUNTIFS(Formulas!$A$2:$A$1501,Z$4,Formulas!$B$2:$B$1501,$A99))</f>
        <v>0</v>
      </c>
      <c r="AA99" s="21" t="n">
        <f aca="false">IF(OR($A99="",AA$4=""),0,COUNTIFS(Formulas!$A$2:$A$1501,AA$4,Formulas!$B$2:$B$1501,$A99))</f>
        <v>0</v>
      </c>
      <c r="AB99" s="21" t="n">
        <f aca="false">IF(OR($A99="",AB$4=""),0,COUNTIFS(Formulas!$A$2:$A$1501,AB$4,Formulas!$B$2:$B$1501,$A99))</f>
        <v>0</v>
      </c>
      <c r="AC99" s="21" t="n">
        <f aca="false">IF(OR($A99="",AC$4=""),0,COUNTIFS(Formulas!$A$2:$A$1501,AC$4,Formulas!$B$2:$B$1501,$A99))</f>
        <v>0</v>
      </c>
      <c r="AD99" s="21" t="n">
        <f aca="false">IF(OR($A99="",AD$4=""),0,COUNTIFS(Formulas!$A$2:$A$1501,AD$4,Formulas!$B$2:$B$1501,$A99))</f>
        <v>0</v>
      </c>
      <c r="AE99" s="21" t="n">
        <f aca="false">IF(OR($A99="",AE$4=""),0,COUNTIFS(Formulas!$A$2:$A$1501,AE$4,Formulas!$B$2:$B$1501,$A99))</f>
        <v>0</v>
      </c>
      <c r="AF99" s="21" t="n">
        <f aca="false">IF(OR($A99="",AF$4=""),0,COUNTIFS(Formulas!$A$2:$A$1501,AF$4,Formulas!$B$2:$B$1501,$A99))</f>
        <v>0</v>
      </c>
      <c r="AG99" s="21" t="n">
        <f aca="false">IF(OR($A99="",AG$4=""),0,COUNTIFS(Formulas!$A$2:$A$1501,AG$4,Formulas!$B$2:$B$1501,$A99))</f>
        <v>0</v>
      </c>
      <c r="AH99" s="21" t="n">
        <f aca="false">IF(OR($A99="",AH$4=""),0,COUNTIFS(Formulas!$A$2:$A$1501,AH$4,Formulas!$B$2:$B$1501,$A99))</f>
        <v>0</v>
      </c>
      <c r="AI99" s="21" t="n">
        <f aca="false">IF(OR($A99="",AI$4=""),0,COUNTIFS(Formulas!$A$2:$A$1501,AI$4,Formulas!$B$2:$B$1501,$A99))</f>
        <v>0</v>
      </c>
      <c r="AJ99" s="21" t="n">
        <f aca="false">IF(OR($A99="",AJ$4=""),0,COUNTIFS(Formulas!$A$2:$A$1501,AJ$4,Formulas!$B$2:$B$1501,$A99))</f>
        <v>0</v>
      </c>
      <c r="AK99" s="21" t="n">
        <f aca="false">IF(OR($A99="",AK$4=""),0,COUNTIFS(Formulas!$A$2:$A$1501,AK$4,Formulas!$B$2:$B$1501,$A99))</f>
        <v>0</v>
      </c>
      <c r="AL99" s="21" t="n">
        <f aca="false">IF(OR($A99="",AL$4=""),0,COUNTIFS(Formulas!$A$2:$A$1501,AL$4,Formulas!$B$2:$B$1501,$A99))</f>
        <v>0</v>
      </c>
      <c r="AM99" s="21" t="n">
        <f aca="false">IF(OR($A99="",AM$4=""),0,COUNTIFS(Formulas!$A$2:$A$1501,AM$4,Formulas!$B$2:$B$1501,$A99))</f>
        <v>0</v>
      </c>
      <c r="AN99" s="21" t="n">
        <f aca="false">IF(OR($A99="",AN$4=""),0,COUNTIFS(Formulas!$A$2:$A$1501,AN$4,Formulas!$B$2:$B$1501,$A99))</f>
        <v>0</v>
      </c>
      <c r="AO99" s="21" t="n">
        <f aca="false">IF(OR($A99="",AO$4=""),0,COUNTIFS(Formulas!$A$2:$A$1501,AO$4,Formulas!$B$2:$B$1501,$A99))</f>
        <v>0</v>
      </c>
      <c r="AP99" s="21" t="n">
        <f aca="false">IF(OR($A99="",AP$4=""),0,COUNTIFS(Formulas!$A$2:$A$1501,AP$4,Formulas!$B$2:$B$1501,$A99))</f>
        <v>0</v>
      </c>
      <c r="AQ99" s="21" t="n">
        <f aca="false">IF(OR($A99="",AQ$4=""),0,COUNTIFS(Formulas!$A$2:$A$1501,AQ$4,Formulas!$B$2:$B$1501,$A99))</f>
        <v>0</v>
      </c>
      <c r="AR99" s="21" t="n">
        <f aca="false">IF(OR($A99="",AR$4=""),0,COUNTIFS(Formulas!$A$2:$A$1501,AR$4,Formulas!$B$2:$B$1501,$A99))</f>
        <v>0</v>
      </c>
      <c r="AS99" s="21" t="n">
        <f aca="false">IF(OR($A99="",AS$4=""),0,COUNTIFS(Formulas!$A$2:$A$1501,AS$4,Formulas!$B$2:$B$1501,$A99))</f>
        <v>0</v>
      </c>
      <c r="AT99" s="21" t="n">
        <f aca="false">IF(OR($A99="",AT$4=""),0,COUNTIFS(Formulas!$A$2:$A$1501,AT$4,Formulas!$B$2:$B$1501,$A99))</f>
        <v>0</v>
      </c>
      <c r="AU99" s="21" t="n">
        <f aca="false">IF(OR($A99="",AU$4=""),0,COUNTIFS(Formulas!$A$2:$A$1501,AU$4,Formulas!$B$2:$B$1501,$A99))</f>
        <v>0</v>
      </c>
      <c r="AV99" s="21" t="n">
        <f aca="false">IF(OR($A99="",AV$4=""),0,COUNTIFS(Formulas!$A$2:$A$1501,AV$4,Formulas!$B$2:$B$1501,$A99))</f>
        <v>0</v>
      </c>
      <c r="AW99" s="21" t="n">
        <f aca="false">IF(OR($A99="",AW$4=""),0,COUNTIFS(Formulas!$A$2:$A$1501,AW$4,Formulas!$B$2:$B$1501,$A99))</f>
        <v>0</v>
      </c>
      <c r="AX99" s="21" t="n">
        <f aca="false">IF(OR($A99="",AX$4=""),0,COUNTIFS(Formulas!$A$2:$A$1501,AX$4,Formulas!$B$2:$B$1501,$A99))</f>
        <v>0</v>
      </c>
      <c r="AY99" s="21" t="n">
        <f aca="false">IF(OR($A99="",AY$4=""),0,COUNTIFS(Formulas!$A$2:$A$1501,AY$4,Formulas!$B$2:$B$1501,$A99))</f>
        <v>0</v>
      </c>
      <c r="AZ99" s="21" t="n">
        <f aca="false">IF(OR($A99="",AZ$4=""),0,COUNTIFS(Formulas!$A$2:$A$1501,AZ$4,Formulas!$B$2:$B$1501,$A99))</f>
        <v>0</v>
      </c>
      <c r="BA99" s="21" t="n">
        <f aca="false">IF(OR($A99="",BA$4=""),0,COUNTIFS(Formulas!$A$2:$A$1501,BA$4,Formulas!$B$2:$B$1501,$A99))</f>
        <v>0</v>
      </c>
      <c r="BB99" s="21" t="n">
        <f aca="false">IF(OR($A99="",BB$4=""),0,COUNTIFS(Formulas!$A$2:$A$1501,BB$4,Formulas!$B$2:$B$1501,$A99))</f>
        <v>0</v>
      </c>
      <c r="BC99" s="21" t="n">
        <f aca="false">IF(OR($A99="",BC$4=""),0,COUNTIFS(Formulas!$A$2:$A$1501,BC$4,Formulas!$B$2:$B$1501,$A99))</f>
        <v>0</v>
      </c>
      <c r="BD99" s="21" t="n">
        <f aca="false">IF(OR($A99="",BD$4=""),0,COUNTIFS(Formulas!$A$2:$A$1501,BD$4,Formulas!$B$2:$B$1501,$A99))</f>
        <v>0</v>
      </c>
      <c r="BE99" s="21" t="n">
        <f aca="false">IF(OR($A99="",BE$4=""),0,COUNTIFS(Formulas!$A$2:$A$1501,BE$4,Formulas!$B$2:$B$1501,$A99))</f>
        <v>0</v>
      </c>
      <c r="BF99" s="21" t="n">
        <f aca="false">IF(OR($A99="",BF$4=""),0,COUNTIFS(Formulas!$A$2:$A$1501,BF$4,Formulas!$B$2:$B$1501,$A99))</f>
        <v>0</v>
      </c>
      <c r="BG99" s="21" t="n">
        <f aca="false">IF(OR($A99="",BG$4=""),0,COUNTIFS(Formulas!$A$2:$A$1501,BG$4,Formulas!$B$2:$B$1501,$A99))</f>
        <v>0</v>
      </c>
      <c r="BH99" s="21" t="n">
        <f aca="false">IF(OR($A99="",BH$4=""),0,COUNTIFS(Formulas!$A$2:$A$1501,BH$4,Formulas!$B$2:$B$1501,$A99))</f>
        <v>0</v>
      </c>
      <c r="BI99" s="21" t="n">
        <f aca="false">IF(OR($A99="",BI$4=""),0,COUNTIFS(Formulas!$A$2:$A$1501,BI$4,Formulas!$B$2:$B$1501,$A99))</f>
        <v>0</v>
      </c>
      <c r="BJ99" s="21" t="n">
        <f aca="false">IF(OR($A99="",BJ$4=""),0,COUNTIFS(Formulas!$A$2:$A$1501,BJ$4,Formulas!$B$2:$B$1501,$A99))</f>
        <v>0</v>
      </c>
    </row>
    <row r="100" customFormat="false" ht="15" hidden="false" customHeight="false" outlineLevel="0" collapsed="false">
      <c r="A100" s="13" t="str">
        <f aca="false">IF(INDEX(Materials!$A$2:$A$201,96)="","",INDEX(Materials!$A$2:$A$201,96))</f>
        <v/>
      </c>
      <c r="B100" s="19" t="str">
        <f aca="false">IF(A100="","",COUNTIF(C100:BJ100,"&gt;0"))</f>
        <v/>
      </c>
      <c r="C100" s="21" t="n">
        <f aca="false">IF(OR($A100="",C$4=""),0,COUNTIFS(Formulas!$A$2:$A$1501,C$4,Formulas!$B$2:$B$1501,$A100))</f>
        <v>0</v>
      </c>
      <c r="D100" s="21" t="n">
        <f aca="false">IF(OR($A100="",D$4=""),0,COUNTIFS(Formulas!$A$2:$A$1501,D$4,Formulas!$B$2:$B$1501,$A100))</f>
        <v>0</v>
      </c>
      <c r="E100" s="21" t="n">
        <f aca="false">IF(OR($A100="",E$4=""),0,COUNTIFS(Formulas!$A$2:$A$1501,E$4,Formulas!$B$2:$B$1501,$A100))</f>
        <v>0</v>
      </c>
      <c r="F100" s="21" t="n">
        <f aca="false">IF(OR($A100="",F$4=""),0,COUNTIFS(Formulas!$A$2:$A$1501,F$4,Formulas!$B$2:$B$1501,$A100))</f>
        <v>0</v>
      </c>
      <c r="G100" s="21" t="n">
        <f aca="false">IF(OR($A100="",G$4=""),0,COUNTIFS(Formulas!$A$2:$A$1501,G$4,Formulas!$B$2:$B$1501,$A100))</f>
        <v>0</v>
      </c>
      <c r="H100" s="21" t="n">
        <f aca="false">IF(OR($A100="",H$4=""),0,COUNTIFS(Formulas!$A$2:$A$1501,H$4,Formulas!$B$2:$B$1501,$A100))</f>
        <v>0</v>
      </c>
      <c r="I100" s="21" t="n">
        <f aca="false">IF(OR($A100="",I$4=""),0,COUNTIFS(Formulas!$A$2:$A$1501,I$4,Formulas!$B$2:$B$1501,$A100))</f>
        <v>0</v>
      </c>
      <c r="J100" s="21" t="n">
        <f aca="false">IF(OR($A100="",J$4=""),0,COUNTIFS(Formulas!$A$2:$A$1501,J$4,Formulas!$B$2:$B$1501,$A100))</f>
        <v>0</v>
      </c>
      <c r="K100" s="21" t="n">
        <f aca="false">IF(OR($A100="",K$4=""),0,COUNTIFS(Formulas!$A$2:$A$1501,K$4,Formulas!$B$2:$B$1501,$A100))</f>
        <v>0</v>
      </c>
      <c r="L100" s="21" t="n">
        <f aca="false">IF(OR($A100="",L$4=""),0,COUNTIFS(Formulas!$A$2:$A$1501,L$4,Formulas!$B$2:$B$1501,$A100))</f>
        <v>0</v>
      </c>
      <c r="M100" s="21" t="n">
        <f aca="false">IF(OR($A100="",M$4=""),0,COUNTIFS(Formulas!$A$2:$A$1501,M$4,Formulas!$B$2:$B$1501,$A100))</f>
        <v>0</v>
      </c>
      <c r="N100" s="21" t="n">
        <f aca="false">IF(OR($A100="",N$4=""),0,COUNTIFS(Formulas!$A$2:$A$1501,N$4,Formulas!$B$2:$B$1501,$A100))</f>
        <v>0</v>
      </c>
      <c r="O100" s="21" t="n">
        <f aca="false">IF(OR($A100="",O$4=""),0,COUNTIFS(Formulas!$A$2:$A$1501,O$4,Formulas!$B$2:$B$1501,$A100))</f>
        <v>0</v>
      </c>
      <c r="P100" s="21" t="n">
        <f aca="false">IF(OR($A100="",P$4=""),0,COUNTIFS(Formulas!$A$2:$A$1501,P$4,Formulas!$B$2:$B$1501,$A100))</f>
        <v>0</v>
      </c>
      <c r="Q100" s="21" t="n">
        <f aca="false">IF(OR($A100="",Q$4=""),0,COUNTIFS(Formulas!$A$2:$A$1501,Q$4,Formulas!$B$2:$B$1501,$A100))</f>
        <v>0</v>
      </c>
      <c r="R100" s="21" t="n">
        <f aca="false">IF(OR($A100="",R$4=""),0,COUNTIFS(Formulas!$A$2:$A$1501,R$4,Formulas!$B$2:$B$1501,$A100))</f>
        <v>0</v>
      </c>
      <c r="S100" s="21" t="n">
        <f aca="false">IF(OR($A100="",S$4=""),0,COUNTIFS(Formulas!$A$2:$A$1501,S$4,Formulas!$B$2:$B$1501,$A100))</f>
        <v>0</v>
      </c>
      <c r="T100" s="21" t="n">
        <f aca="false">IF(OR($A100="",T$4=""),0,COUNTIFS(Formulas!$A$2:$A$1501,T$4,Formulas!$B$2:$B$1501,$A100))</f>
        <v>0</v>
      </c>
      <c r="U100" s="21" t="n">
        <f aca="false">IF(OR($A100="",U$4=""),0,COUNTIFS(Formulas!$A$2:$A$1501,U$4,Formulas!$B$2:$B$1501,$A100))</f>
        <v>0</v>
      </c>
      <c r="V100" s="21" t="n">
        <f aca="false">IF(OR($A100="",V$4=""),0,COUNTIFS(Formulas!$A$2:$A$1501,V$4,Formulas!$B$2:$B$1501,$A100))</f>
        <v>0</v>
      </c>
      <c r="W100" s="21" t="n">
        <f aca="false">IF(OR($A100="",W$4=""),0,COUNTIFS(Formulas!$A$2:$A$1501,W$4,Formulas!$B$2:$B$1501,$A100))</f>
        <v>0</v>
      </c>
      <c r="X100" s="21" t="n">
        <f aca="false">IF(OR($A100="",X$4=""),0,COUNTIFS(Formulas!$A$2:$A$1501,X$4,Formulas!$B$2:$B$1501,$A100))</f>
        <v>0</v>
      </c>
      <c r="Y100" s="21" t="n">
        <f aca="false">IF(OR($A100="",Y$4=""),0,COUNTIFS(Formulas!$A$2:$A$1501,Y$4,Formulas!$B$2:$B$1501,$A100))</f>
        <v>0</v>
      </c>
      <c r="Z100" s="21" t="n">
        <f aca="false">IF(OR($A100="",Z$4=""),0,COUNTIFS(Formulas!$A$2:$A$1501,Z$4,Formulas!$B$2:$B$1501,$A100))</f>
        <v>0</v>
      </c>
      <c r="AA100" s="21" t="n">
        <f aca="false">IF(OR($A100="",AA$4=""),0,COUNTIFS(Formulas!$A$2:$A$1501,AA$4,Formulas!$B$2:$B$1501,$A100))</f>
        <v>0</v>
      </c>
      <c r="AB100" s="21" t="n">
        <f aca="false">IF(OR($A100="",AB$4=""),0,COUNTIFS(Formulas!$A$2:$A$1501,AB$4,Formulas!$B$2:$B$1501,$A100))</f>
        <v>0</v>
      </c>
      <c r="AC100" s="21" t="n">
        <f aca="false">IF(OR($A100="",AC$4=""),0,COUNTIFS(Formulas!$A$2:$A$1501,AC$4,Formulas!$B$2:$B$1501,$A100))</f>
        <v>0</v>
      </c>
      <c r="AD100" s="21" t="n">
        <f aca="false">IF(OR($A100="",AD$4=""),0,COUNTIFS(Formulas!$A$2:$A$1501,AD$4,Formulas!$B$2:$B$1501,$A100))</f>
        <v>0</v>
      </c>
      <c r="AE100" s="21" t="n">
        <f aca="false">IF(OR($A100="",AE$4=""),0,COUNTIFS(Formulas!$A$2:$A$1501,AE$4,Formulas!$B$2:$B$1501,$A100))</f>
        <v>0</v>
      </c>
      <c r="AF100" s="21" t="n">
        <f aca="false">IF(OR($A100="",AF$4=""),0,COUNTIFS(Formulas!$A$2:$A$1501,AF$4,Formulas!$B$2:$B$1501,$A100))</f>
        <v>0</v>
      </c>
      <c r="AG100" s="21" t="n">
        <f aca="false">IF(OR($A100="",AG$4=""),0,COUNTIFS(Formulas!$A$2:$A$1501,AG$4,Formulas!$B$2:$B$1501,$A100))</f>
        <v>0</v>
      </c>
      <c r="AH100" s="21" t="n">
        <f aca="false">IF(OR($A100="",AH$4=""),0,COUNTIFS(Formulas!$A$2:$A$1501,AH$4,Formulas!$B$2:$B$1501,$A100))</f>
        <v>0</v>
      </c>
      <c r="AI100" s="21" t="n">
        <f aca="false">IF(OR($A100="",AI$4=""),0,COUNTIFS(Formulas!$A$2:$A$1501,AI$4,Formulas!$B$2:$B$1501,$A100))</f>
        <v>0</v>
      </c>
      <c r="AJ100" s="21" t="n">
        <f aca="false">IF(OR($A100="",AJ$4=""),0,COUNTIFS(Formulas!$A$2:$A$1501,AJ$4,Formulas!$B$2:$B$1501,$A100))</f>
        <v>0</v>
      </c>
      <c r="AK100" s="21" t="n">
        <f aca="false">IF(OR($A100="",AK$4=""),0,COUNTIFS(Formulas!$A$2:$A$1501,AK$4,Formulas!$B$2:$B$1501,$A100))</f>
        <v>0</v>
      </c>
      <c r="AL100" s="21" t="n">
        <f aca="false">IF(OR($A100="",AL$4=""),0,COUNTIFS(Formulas!$A$2:$A$1501,AL$4,Formulas!$B$2:$B$1501,$A100))</f>
        <v>0</v>
      </c>
      <c r="AM100" s="21" t="n">
        <f aca="false">IF(OR($A100="",AM$4=""),0,COUNTIFS(Formulas!$A$2:$A$1501,AM$4,Formulas!$B$2:$B$1501,$A100))</f>
        <v>0</v>
      </c>
      <c r="AN100" s="21" t="n">
        <f aca="false">IF(OR($A100="",AN$4=""),0,COUNTIFS(Formulas!$A$2:$A$1501,AN$4,Formulas!$B$2:$B$1501,$A100))</f>
        <v>0</v>
      </c>
      <c r="AO100" s="21" t="n">
        <f aca="false">IF(OR($A100="",AO$4=""),0,COUNTIFS(Formulas!$A$2:$A$1501,AO$4,Formulas!$B$2:$B$1501,$A100))</f>
        <v>0</v>
      </c>
      <c r="AP100" s="21" t="n">
        <f aca="false">IF(OR($A100="",AP$4=""),0,COUNTIFS(Formulas!$A$2:$A$1501,AP$4,Formulas!$B$2:$B$1501,$A100))</f>
        <v>0</v>
      </c>
      <c r="AQ100" s="21" t="n">
        <f aca="false">IF(OR($A100="",AQ$4=""),0,COUNTIFS(Formulas!$A$2:$A$1501,AQ$4,Formulas!$B$2:$B$1501,$A100))</f>
        <v>0</v>
      </c>
      <c r="AR100" s="21" t="n">
        <f aca="false">IF(OR($A100="",AR$4=""),0,COUNTIFS(Formulas!$A$2:$A$1501,AR$4,Formulas!$B$2:$B$1501,$A100))</f>
        <v>0</v>
      </c>
      <c r="AS100" s="21" t="n">
        <f aca="false">IF(OR($A100="",AS$4=""),0,COUNTIFS(Formulas!$A$2:$A$1501,AS$4,Formulas!$B$2:$B$1501,$A100))</f>
        <v>0</v>
      </c>
      <c r="AT100" s="21" t="n">
        <f aca="false">IF(OR($A100="",AT$4=""),0,COUNTIFS(Formulas!$A$2:$A$1501,AT$4,Formulas!$B$2:$B$1501,$A100))</f>
        <v>0</v>
      </c>
      <c r="AU100" s="21" t="n">
        <f aca="false">IF(OR($A100="",AU$4=""),0,COUNTIFS(Formulas!$A$2:$A$1501,AU$4,Formulas!$B$2:$B$1501,$A100))</f>
        <v>0</v>
      </c>
      <c r="AV100" s="21" t="n">
        <f aca="false">IF(OR($A100="",AV$4=""),0,COUNTIFS(Formulas!$A$2:$A$1501,AV$4,Formulas!$B$2:$B$1501,$A100))</f>
        <v>0</v>
      </c>
      <c r="AW100" s="21" t="n">
        <f aca="false">IF(OR($A100="",AW$4=""),0,COUNTIFS(Formulas!$A$2:$A$1501,AW$4,Formulas!$B$2:$B$1501,$A100))</f>
        <v>0</v>
      </c>
      <c r="AX100" s="21" t="n">
        <f aca="false">IF(OR($A100="",AX$4=""),0,COUNTIFS(Formulas!$A$2:$A$1501,AX$4,Formulas!$B$2:$B$1501,$A100))</f>
        <v>0</v>
      </c>
      <c r="AY100" s="21" t="n">
        <f aca="false">IF(OR($A100="",AY$4=""),0,COUNTIFS(Formulas!$A$2:$A$1501,AY$4,Formulas!$B$2:$B$1501,$A100))</f>
        <v>0</v>
      </c>
      <c r="AZ100" s="21" t="n">
        <f aca="false">IF(OR($A100="",AZ$4=""),0,COUNTIFS(Formulas!$A$2:$A$1501,AZ$4,Formulas!$B$2:$B$1501,$A100))</f>
        <v>0</v>
      </c>
      <c r="BA100" s="21" t="n">
        <f aca="false">IF(OR($A100="",BA$4=""),0,COUNTIFS(Formulas!$A$2:$A$1501,BA$4,Formulas!$B$2:$B$1501,$A100))</f>
        <v>0</v>
      </c>
      <c r="BB100" s="21" t="n">
        <f aca="false">IF(OR($A100="",BB$4=""),0,COUNTIFS(Formulas!$A$2:$A$1501,BB$4,Formulas!$B$2:$B$1501,$A100))</f>
        <v>0</v>
      </c>
      <c r="BC100" s="21" t="n">
        <f aca="false">IF(OR($A100="",BC$4=""),0,COUNTIFS(Formulas!$A$2:$A$1501,BC$4,Formulas!$B$2:$B$1501,$A100))</f>
        <v>0</v>
      </c>
      <c r="BD100" s="21" t="n">
        <f aca="false">IF(OR($A100="",BD$4=""),0,COUNTIFS(Formulas!$A$2:$A$1501,BD$4,Formulas!$B$2:$B$1501,$A100))</f>
        <v>0</v>
      </c>
      <c r="BE100" s="21" t="n">
        <f aca="false">IF(OR($A100="",BE$4=""),0,COUNTIFS(Formulas!$A$2:$A$1501,BE$4,Formulas!$B$2:$B$1501,$A100))</f>
        <v>0</v>
      </c>
      <c r="BF100" s="21" t="n">
        <f aca="false">IF(OR($A100="",BF$4=""),0,COUNTIFS(Formulas!$A$2:$A$1501,BF$4,Formulas!$B$2:$B$1501,$A100))</f>
        <v>0</v>
      </c>
      <c r="BG100" s="21" t="n">
        <f aca="false">IF(OR($A100="",BG$4=""),0,COUNTIFS(Formulas!$A$2:$A$1501,BG$4,Formulas!$B$2:$B$1501,$A100))</f>
        <v>0</v>
      </c>
      <c r="BH100" s="21" t="n">
        <f aca="false">IF(OR($A100="",BH$4=""),0,COUNTIFS(Formulas!$A$2:$A$1501,BH$4,Formulas!$B$2:$B$1501,$A100))</f>
        <v>0</v>
      </c>
      <c r="BI100" s="21" t="n">
        <f aca="false">IF(OR($A100="",BI$4=""),0,COUNTIFS(Formulas!$A$2:$A$1501,BI$4,Formulas!$B$2:$B$1501,$A100))</f>
        <v>0</v>
      </c>
      <c r="BJ100" s="21" t="n">
        <f aca="false">IF(OR($A100="",BJ$4=""),0,COUNTIFS(Formulas!$A$2:$A$1501,BJ$4,Formulas!$B$2:$B$1501,$A100))</f>
        <v>0</v>
      </c>
    </row>
    <row r="101" customFormat="false" ht="15" hidden="false" customHeight="false" outlineLevel="0" collapsed="false">
      <c r="A101" s="13" t="str">
        <f aca="false">IF(INDEX(Materials!$A$2:$A$201,97)="","",INDEX(Materials!$A$2:$A$201,97))</f>
        <v/>
      </c>
      <c r="B101" s="19" t="str">
        <f aca="false">IF(A101="","",COUNTIF(C101:BJ101,"&gt;0"))</f>
        <v/>
      </c>
      <c r="C101" s="21" t="n">
        <f aca="false">IF(OR($A101="",C$4=""),0,COUNTIFS(Formulas!$A$2:$A$1501,C$4,Formulas!$B$2:$B$1501,$A101))</f>
        <v>0</v>
      </c>
      <c r="D101" s="21" t="n">
        <f aca="false">IF(OR($A101="",D$4=""),0,COUNTIFS(Formulas!$A$2:$A$1501,D$4,Formulas!$B$2:$B$1501,$A101))</f>
        <v>0</v>
      </c>
      <c r="E101" s="21" t="n">
        <f aca="false">IF(OR($A101="",E$4=""),0,COUNTIFS(Formulas!$A$2:$A$1501,E$4,Formulas!$B$2:$B$1501,$A101))</f>
        <v>0</v>
      </c>
      <c r="F101" s="21" t="n">
        <f aca="false">IF(OR($A101="",F$4=""),0,COUNTIFS(Formulas!$A$2:$A$1501,F$4,Formulas!$B$2:$B$1501,$A101))</f>
        <v>0</v>
      </c>
      <c r="G101" s="21" t="n">
        <f aca="false">IF(OR($A101="",G$4=""),0,COUNTIFS(Formulas!$A$2:$A$1501,G$4,Formulas!$B$2:$B$1501,$A101))</f>
        <v>0</v>
      </c>
      <c r="H101" s="21" t="n">
        <f aca="false">IF(OR($A101="",H$4=""),0,COUNTIFS(Formulas!$A$2:$A$1501,H$4,Formulas!$B$2:$B$1501,$A101))</f>
        <v>0</v>
      </c>
      <c r="I101" s="21" t="n">
        <f aca="false">IF(OR($A101="",I$4=""),0,COUNTIFS(Formulas!$A$2:$A$1501,I$4,Formulas!$B$2:$B$1501,$A101))</f>
        <v>0</v>
      </c>
      <c r="J101" s="21" t="n">
        <f aca="false">IF(OR($A101="",J$4=""),0,COUNTIFS(Formulas!$A$2:$A$1501,J$4,Formulas!$B$2:$B$1501,$A101))</f>
        <v>0</v>
      </c>
      <c r="K101" s="21" t="n">
        <f aca="false">IF(OR($A101="",K$4=""),0,COUNTIFS(Formulas!$A$2:$A$1501,K$4,Formulas!$B$2:$B$1501,$A101))</f>
        <v>0</v>
      </c>
      <c r="L101" s="21" t="n">
        <f aca="false">IF(OR($A101="",L$4=""),0,COUNTIFS(Formulas!$A$2:$A$1501,L$4,Formulas!$B$2:$B$1501,$A101))</f>
        <v>0</v>
      </c>
      <c r="M101" s="21" t="n">
        <f aca="false">IF(OR($A101="",M$4=""),0,COUNTIFS(Formulas!$A$2:$A$1501,M$4,Formulas!$B$2:$B$1501,$A101))</f>
        <v>0</v>
      </c>
      <c r="N101" s="21" t="n">
        <f aca="false">IF(OR($A101="",N$4=""),0,COUNTIFS(Formulas!$A$2:$A$1501,N$4,Formulas!$B$2:$B$1501,$A101))</f>
        <v>0</v>
      </c>
      <c r="O101" s="21" t="n">
        <f aca="false">IF(OR($A101="",O$4=""),0,COUNTIFS(Formulas!$A$2:$A$1501,O$4,Formulas!$B$2:$B$1501,$A101))</f>
        <v>0</v>
      </c>
      <c r="P101" s="21" t="n">
        <f aca="false">IF(OR($A101="",P$4=""),0,COUNTIFS(Formulas!$A$2:$A$1501,P$4,Formulas!$B$2:$B$1501,$A101))</f>
        <v>0</v>
      </c>
      <c r="Q101" s="21" t="n">
        <f aca="false">IF(OR($A101="",Q$4=""),0,COUNTIFS(Formulas!$A$2:$A$1501,Q$4,Formulas!$B$2:$B$1501,$A101))</f>
        <v>0</v>
      </c>
      <c r="R101" s="21" t="n">
        <f aca="false">IF(OR($A101="",R$4=""),0,COUNTIFS(Formulas!$A$2:$A$1501,R$4,Formulas!$B$2:$B$1501,$A101))</f>
        <v>0</v>
      </c>
      <c r="S101" s="21" t="n">
        <f aca="false">IF(OR($A101="",S$4=""),0,COUNTIFS(Formulas!$A$2:$A$1501,S$4,Formulas!$B$2:$B$1501,$A101))</f>
        <v>0</v>
      </c>
      <c r="T101" s="21" t="n">
        <f aca="false">IF(OR($A101="",T$4=""),0,COUNTIFS(Formulas!$A$2:$A$1501,T$4,Formulas!$B$2:$B$1501,$A101))</f>
        <v>0</v>
      </c>
      <c r="U101" s="21" t="n">
        <f aca="false">IF(OR($A101="",U$4=""),0,COUNTIFS(Formulas!$A$2:$A$1501,U$4,Formulas!$B$2:$B$1501,$A101))</f>
        <v>0</v>
      </c>
      <c r="V101" s="21" t="n">
        <f aca="false">IF(OR($A101="",V$4=""),0,COUNTIFS(Formulas!$A$2:$A$1501,V$4,Formulas!$B$2:$B$1501,$A101))</f>
        <v>0</v>
      </c>
      <c r="W101" s="21" t="n">
        <f aca="false">IF(OR($A101="",W$4=""),0,COUNTIFS(Formulas!$A$2:$A$1501,W$4,Formulas!$B$2:$B$1501,$A101))</f>
        <v>0</v>
      </c>
      <c r="X101" s="21" t="n">
        <f aca="false">IF(OR($A101="",X$4=""),0,COUNTIFS(Formulas!$A$2:$A$1501,X$4,Formulas!$B$2:$B$1501,$A101))</f>
        <v>0</v>
      </c>
      <c r="Y101" s="21" t="n">
        <f aca="false">IF(OR($A101="",Y$4=""),0,COUNTIFS(Formulas!$A$2:$A$1501,Y$4,Formulas!$B$2:$B$1501,$A101))</f>
        <v>0</v>
      </c>
      <c r="Z101" s="21" t="n">
        <f aca="false">IF(OR($A101="",Z$4=""),0,COUNTIFS(Formulas!$A$2:$A$1501,Z$4,Formulas!$B$2:$B$1501,$A101))</f>
        <v>0</v>
      </c>
      <c r="AA101" s="21" t="n">
        <f aca="false">IF(OR($A101="",AA$4=""),0,COUNTIFS(Formulas!$A$2:$A$1501,AA$4,Formulas!$B$2:$B$1501,$A101))</f>
        <v>0</v>
      </c>
      <c r="AB101" s="21" t="n">
        <f aca="false">IF(OR($A101="",AB$4=""),0,COUNTIFS(Formulas!$A$2:$A$1501,AB$4,Formulas!$B$2:$B$1501,$A101))</f>
        <v>0</v>
      </c>
      <c r="AC101" s="21" t="n">
        <f aca="false">IF(OR($A101="",AC$4=""),0,COUNTIFS(Formulas!$A$2:$A$1501,AC$4,Formulas!$B$2:$B$1501,$A101))</f>
        <v>0</v>
      </c>
      <c r="AD101" s="21" t="n">
        <f aca="false">IF(OR($A101="",AD$4=""),0,COUNTIFS(Formulas!$A$2:$A$1501,AD$4,Formulas!$B$2:$B$1501,$A101))</f>
        <v>0</v>
      </c>
      <c r="AE101" s="21" t="n">
        <f aca="false">IF(OR($A101="",AE$4=""),0,COUNTIFS(Formulas!$A$2:$A$1501,AE$4,Formulas!$B$2:$B$1501,$A101))</f>
        <v>0</v>
      </c>
      <c r="AF101" s="21" t="n">
        <f aca="false">IF(OR($A101="",AF$4=""),0,COUNTIFS(Formulas!$A$2:$A$1501,AF$4,Formulas!$B$2:$B$1501,$A101))</f>
        <v>0</v>
      </c>
      <c r="AG101" s="21" t="n">
        <f aca="false">IF(OR($A101="",AG$4=""),0,COUNTIFS(Formulas!$A$2:$A$1501,AG$4,Formulas!$B$2:$B$1501,$A101))</f>
        <v>0</v>
      </c>
      <c r="AH101" s="21" t="n">
        <f aca="false">IF(OR($A101="",AH$4=""),0,COUNTIFS(Formulas!$A$2:$A$1501,AH$4,Formulas!$B$2:$B$1501,$A101))</f>
        <v>0</v>
      </c>
      <c r="AI101" s="21" t="n">
        <f aca="false">IF(OR($A101="",AI$4=""),0,COUNTIFS(Formulas!$A$2:$A$1501,AI$4,Formulas!$B$2:$B$1501,$A101))</f>
        <v>0</v>
      </c>
      <c r="AJ101" s="21" t="n">
        <f aca="false">IF(OR($A101="",AJ$4=""),0,COUNTIFS(Formulas!$A$2:$A$1501,AJ$4,Formulas!$B$2:$B$1501,$A101))</f>
        <v>0</v>
      </c>
      <c r="AK101" s="21" t="n">
        <f aca="false">IF(OR($A101="",AK$4=""),0,COUNTIFS(Formulas!$A$2:$A$1501,AK$4,Formulas!$B$2:$B$1501,$A101))</f>
        <v>0</v>
      </c>
      <c r="AL101" s="21" t="n">
        <f aca="false">IF(OR($A101="",AL$4=""),0,COUNTIFS(Formulas!$A$2:$A$1501,AL$4,Formulas!$B$2:$B$1501,$A101))</f>
        <v>0</v>
      </c>
      <c r="AM101" s="21" t="n">
        <f aca="false">IF(OR($A101="",AM$4=""),0,COUNTIFS(Formulas!$A$2:$A$1501,AM$4,Formulas!$B$2:$B$1501,$A101))</f>
        <v>0</v>
      </c>
      <c r="AN101" s="21" t="n">
        <f aca="false">IF(OR($A101="",AN$4=""),0,COUNTIFS(Formulas!$A$2:$A$1501,AN$4,Formulas!$B$2:$B$1501,$A101))</f>
        <v>0</v>
      </c>
      <c r="AO101" s="21" t="n">
        <f aca="false">IF(OR($A101="",AO$4=""),0,COUNTIFS(Formulas!$A$2:$A$1501,AO$4,Formulas!$B$2:$B$1501,$A101))</f>
        <v>0</v>
      </c>
      <c r="AP101" s="21" t="n">
        <f aca="false">IF(OR($A101="",AP$4=""),0,COUNTIFS(Formulas!$A$2:$A$1501,AP$4,Formulas!$B$2:$B$1501,$A101))</f>
        <v>0</v>
      </c>
      <c r="AQ101" s="21" t="n">
        <f aca="false">IF(OR($A101="",AQ$4=""),0,COUNTIFS(Formulas!$A$2:$A$1501,AQ$4,Formulas!$B$2:$B$1501,$A101))</f>
        <v>0</v>
      </c>
      <c r="AR101" s="21" t="n">
        <f aca="false">IF(OR($A101="",AR$4=""),0,COUNTIFS(Formulas!$A$2:$A$1501,AR$4,Formulas!$B$2:$B$1501,$A101))</f>
        <v>0</v>
      </c>
      <c r="AS101" s="21" t="n">
        <f aca="false">IF(OR($A101="",AS$4=""),0,COUNTIFS(Formulas!$A$2:$A$1501,AS$4,Formulas!$B$2:$B$1501,$A101))</f>
        <v>0</v>
      </c>
      <c r="AT101" s="21" t="n">
        <f aca="false">IF(OR($A101="",AT$4=""),0,COUNTIFS(Formulas!$A$2:$A$1501,AT$4,Formulas!$B$2:$B$1501,$A101))</f>
        <v>0</v>
      </c>
      <c r="AU101" s="21" t="n">
        <f aca="false">IF(OR($A101="",AU$4=""),0,COUNTIFS(Formulas!$A$2:$A$1501,AU$4,Formulas!$B$2:$B$1501,$A101))</f>
        <v>0</v>
      </c>
      <c r="AV101" s="21" t="n">
        <f aca="false">IF(OR($A101="",AV$4=""),0,COUNTIFS(Formulas!$A$2:$A$1501,AV$4,Formulas!$B$2:$B$1501,$A101))</f>
        <v>0</v>
      </c>
      <c r="AW101" s="21" t="n">
        <f aca="false">IF(OR($A101="",AW$4=""),0,COUNTIFS(Formulas!$A$2:$A$1501,AW$4,Formulas!$B$2:$B$1501,$A101))</f>
        <v>0</v>
      </c>
      <c r="AX101" s="21" t="n">
        <f aca="false">IF(OR($A101="",AX$4=""),0,COUNTIFS(Formulas!$A$2:$A$1501,AX$4,Formulas!$B$2:$B$1501,$A101))</f>
        <v>0</v>
      </c>
      <c r="AY101" s="21" t="n">
        <f aca="false">IF(OR($A101="",AY$4=""),0,COUNTIFS(Formulas!$A$2:$A$1501,AY$4,Formulas!$B$2:$B$1501,$A101))</f>
        <v>0</v>
      </c>
      <c r="AZ101" s="21" t="n">
        <f aca="false">IF(OR($A101="",AZ$4=""),0,COUNTIFS(Formulas!$A$2:$A$1501,AZ$4,Formulas!$B$2:$B$1501,$A101))</f>
        <v>0</v>
      </c>
      <c r="BA101" s="21" t="n">
        <f aca="false">IF(OR($A101="",BA$4=""),0,COUNTIFS(Formulas!$A$2:$A$1501,BA$4,Formulas!$B$2:$B$1501,$A101))</f>
        <v>0</v>
      </c>
      <c r="BB101" s="21" t="n">
        <f aca="false">IF(OR($A101="",BB$4=""),0,COUNTIFS(Formulas!$A$2:$A$1501,BB$4,Formulas!$B$2:$B$1501,$A101))</f>
        <v>0</v>
      </c>
      <c r="BC101" s="21" t="n">
        <f aca="false">IF(OR($A101="",BC$4=""),0,COUNTIFS(Formulas!$A$2:$A$1501,BC$4,Formulas!$B$2:$B$1501,$A101))</f>
        <v>0</v>
      </c>
      <c r="BD101" s="21" t="n">
        <f aca="false">IF(OR($A101="",BD$4=""),0,COUNTIFS(Formulas!$A$2:$A$1501,BD$4,Formulas!$B$2:$B$1501,$A101))</f>
        <v>0</v>
      </c>
      <c r="BE101" s="21" t="n">
        <f aca="false">IF(OR($A101="",BE$4=""),0,COUNTIFS(Formulas!$A$2:$A$1501,BE$4,Formulas!$B$2:$B$1501,$A101))</f>
        <v>0</v>
      </c>
      <c r="BF101" s="21" t="n">
        <f aca="false">IF(OR($A101="",BF$4=""),0,COUNTIFS(Formulas!$A$2:$A$1501,BF$4,Formulas!$B$2:$B$1501,$A101))</f>
        <v>0</v>
      </c>
      <c r="BG101" s="21" t="n">
        <f aca="false">IF(OR($A101="",BG$4=""),0,COUNTIFS(Formulas!$A$2:$A$1501,BG$4,Formulas!$B$2:$B$1501,$A101))</f>
        <v>0</v>
      </c>
      <c r="BH101" s="21" t="n">
        <f aca="false">IF(OR($A101="",BH$4=""),0,COUNTIFS(Formulas!$A$2:$A$1501,BH$4,Formulas!$B$2:$B$1501,$A101))</f>
        <v>0</v>
      </c>
      <c r="BI101" s="21" t="n">
        <f aca="false">IF(OR($A101="",BI$4=""),0,COUNTIFS(Formulas!$A$2:$A$1501,BI$4,Formulas!$B$2:$B$1501,$A101))</f>
        <v>0</v>
      </c>
      <c r="BJ101" s="21" t="n">
        <f aca="false">IF(OR($A101="",BJ$4=""),0,COUNTIFS(Formulas!$A$2:$A$1501,BJ$4,Formulas!$B$2:$B$1501,$A101))</f>
        <v>0</v>
      </c>
    </row>
    <row r="102" customFormat="false" ht="15" hidden="false" customHeight="false" outlineLevel="0" collapsed="false">
      <c r="A102" s="13" t="str">
        <f aca="false">IF(INDEX(Materials!$A$2:$A$201,98)="","",INDEX(Materials!$A$2:$A$201,98))</f>
        <v/>
      </c>
      <c r="B102" s="19" t="str">
        <f aca="false">IF(A102="","",COUNTIF(C102:BJ102,"&gt;0"))</f>
        <v/>
      </c>
      <c r="C102" s="21" t="n">
        <f aca="false">IF(OR($A102="",C$4=""),0,COUNTIFS(Formulas!$A$2:$A$1501,C$4,Formulas!$B$2:$B$1501,$A102))</f>
        <v>0</v>
      </c>
      <c r="D102" s="21" t="n">
        <f aca="false">IF(OR($A102="",D$4=""),0,COUNTIFS(Formulas!$A$2:$A$1501,D$4,Formulas!$B$2:$B$1501,$A102))</f>
        <v>0</v>
      </c>
      <c r="E102" s="21" t="n">
        <f aca="false">IF(OR($A102="",E$4=""),0,COUNTIFS(Formulas!$A$2:$A$1501,E$4,Formulas!$B$2:$B$1501,$A102))</f>
        <v>0</v>
      </c>
      <c r="F102" s="21" t="n">
        <f aca="false">IF(OR($A102="",F$4=""),0,COUNTIFS(Formulas!$A$2:$A$1501,F$4,Formulas!$B$2:$B$1501,$A102))</f>
        <v>0</v>
      </c>
      <c r="G102" s="21" t="n">
        <f aca="false">IF(OR($A102="",G$4=""),0,COUNTIFS(Formulas!$A$2:$A$1501,G$4,Formulas!$B$2:$B$1501,$A102))</f>
        <v>0</v>
      </c>
      <c r="H102" s="21" t="n">
        <f aca="false">IF(OR($A102="",H$4=""),0,COUNTIFS(Formulas!$A$2:$A$1501,H$4,Formulas!$B$2:$B$1501,$A102))</f>
        <v>0</v>
      </c>
      <c r="I102" s="21" t="n">
        <f aca="false">IF(OR($A102="",I$4=""),0,COUNTIFS(Formulas!$A$2:$A$1501,I$4,Formulas!$B$2:$B$1501,$A102))</f>
        <v>0</v>
      </c>
      <c r="J102" s="21" t="n">
        <f aca="false">IF(OR($A102="",J$4=""),0,COUNTIFS(Formulas!$A$2:$A$1501,J$4,Formulas!$B$2:$B$1501,$A102))</f>
        <v>0</v>
      </c>
      <c r="K102" s="21" t="n">
        <f aca="false">IF(OR($A102="",K$4=""),0,COUNTIFS(Formulas!$A$2:$A$1501,K$4,Formulas!$B$2:$B$1501,$A102))</f>
        <v>0</v>
      </c>
      <c r="L102" s="21" t="n">
        <f aca="false">IF(OR($A102="",L$4=""),0,COUNTIFS(Formulas!$A$2:$A$1501,L$4,Formulas!$B$2:$B$1501,$A102))</f>
        <v>0</v>
      </c>
      <c r="M102" s="21" t="n">
        <f aca="false">IF(OR($A102="",M$4=""),0,COUNTIFS(Formulas!$A$2:$A$1501,M$4,Formulas!$B$2:$B$1501,$A102))</f>
        <v>0</v>
      </c>
      <c r="N102" s="21" t="n">
        <f aca="false">IF(OR($A102="",N$4=""),0,COUNTIFS(Formulas!$A$2:$A$1501,N$4,Formulas!$B$2:$B$1501,$A102))</f>
        <v>0</v>
      </c>
      <c r="O102" s="21" t="n">
        <f aca="false">IF(OR($A102="",O$4=""),0,COUNTIFS(Formulas!$A$2:$A$1501,O$4,Formulas!$B$2:$B$1501,$A102))</f>
        <v>0</v>
      </c>
      <c r="P102" s="21" t="n">
        <f aca="false">IF(OR($A102="",P$4=""),0,COUNTIFS(Formulas!$A$2:$A$1501,P$4,Formulas!$B$2:$B$1501,$A102))</f>
        <v>0</v>
      </c>
      <c r="Q102" s="21" t="n">
        <f aca="false">IF(OR($A102="",Q$4=""),0,COUNTIFS(Formulas!$A$2:$A$1501,Q$4,Formulas!$B$2:$B$1501,$A102))</f>
        <v>0</v>
      </c>
      <c r="R102" s="21" t="n">
        <f aca="false">IF(OR($A102="",R$4=""),0,COUNTIFS(Formulas!$A$2:$A$1501,R$4,Formulas!$B$2:$B$1501,$A102))</f>
        <v>0</v>
      </c>
      <c r="S102" s="21" t="n">
        <f aca="false">IF(OR($A102="",S$4=""),0,COUNTIFS(Formulas!$A$2:$A$1501,S$4,Formulas!$B$2:$B$1501,$A102))</f>
        <v>0</v>
      </c>
      <c r="T102" s="21" t="n">
        <f aca="false">IF(OR($A102="",T$4=""),0,COUNTIFS(Formulas!$A$2:$A$1501,T$4,Formulas!$B$2:$B$1501,$A102))</f>
        <v>0</v>
      </c>
      <c r="U102" s="21" t="n">
        <f aca="false">IF(OR($A102="",U$4=""),0,COUNTIFS(Formulas!$A$2:$A$1501,U$4,Formulas!$B$2:$B$1501,$A102))</f>
        <v>0</v>
      </c>
      <c r="V102" s="21" t="n">
        <f aca="false">IF(OR($A102="",V$4=""),0,COUNTIFS(Formulas!$A$2:$A$1501,V$4,Formulas!$B$2:$B$1501,$A102))</f>
        <v>0</v>
      </c>
      <c r="W102" s="21" t="n">
        <f aca="false">IF(OR($A102="",W$4=""),0,COUNTIFS(Formulas!$A$2:$A$1501,W$4,Formulas!$B$2:$B$1501,$A102))</f>
        <v>0</v>
      </c>
      <c r="X102" s="21" t="n">
        <f aca="false">IF(OR($A102="",X$4=""),0,COUNTIFS(Formulas!$A$2:$A$1501,X$4,Formulas!$B$2:$B$1501,$A102))</f>
        <v>0</v>
      </c>
      <c r="Y102" s="21" t="n">
        <f aca="false">IF(OR($A102="",Y$4=""),0,COUNTIFS(Formulas!$A$2:$A$1501,Y$4,Formulas!$B$2:$B$1501,$A102))</f>
        <v>0</v>
      </c>
      <c r="Z102" s="21" t="n">
        <f aca="false">IF(OR($A102="",Z$4=""),0,COUNTIFS(Formulas!$A$2:$A$1501,Z$4,Formulas!$B$2:$B$1501,$A102))</f>
        <v>0</v>
      </c>
      <c r="AA102" s="21" t="n">
        <f aca="false">IF(OR($A102="",AA$4=""),0,COUNTIFS(Formulas!$A$2:$A$1501,AA$4,Formulas!$B$2:$B$1501,$A102))</f>
        <v>0</v>
      </c>
      <c r="AB102" s="21" t="n">
        <f aca="false">IF(OR($A102="",AB$4=""),0,COUNTIFS(Formulas!$A$2:$A$1501,AB$4,Formulas!$B$2:$B$1501,$A102))</f>
        <v>0</v>
      </c>
      <c r="AC102" s="21" t="n">
        <f aca="false">IF(OR($A102="",AC$4=""),0,COUNTIFS(Formulas!$A$2:$A$1501,AC$4,Formulas!$B$2:$B$1501,$A102))</f>
        <v>0</v>
      </c>
      <c r="AD102" s="21" t="n">
        <f aca="false">IF(OR($A102="",AD$4=""),0,COUNTIFS(Formulas!$A$2:$A$1501,AD$4,Formulas!$B$2:$B$1501,$A102))</f>
        <v>0</v>
      </c>
      <c r="AE102" s="21" t="n">
        <f aca="false">IF(OR($A102="",AE$4=""),0,COUNTIFS(Formulas!$A$2:$A$1501,AE$4,Formulas!$B$2:$B$1501,$A102))</f>
        <v>0</v>
      </c>
      <c r="AF102" s="21" t="n">
        <f aca="false">IF(OR($A102="",AF$4=""),0,COUNTIFS(Formulas!$A$2:$A$1501,AF$4,Formulas!$B$2:$B$1501,$A102))</f>
        <v>0</v>
      </c>
      <c r="AG102" s="21" t="n">
        <f aca="false">IF(OR($A102="",AG$4=""),0,COUNTIFS(Formulas!$A$2:$A$1501,AG$4,Formulas!$B$2:$B$1501,$A102))</f>
        <v>0</v>
      </c>
      <c r="AH102" s="21" t="n">
        <f aca="false">IF(OR($A102="",AH$4=""),0,COUNTIFS(Formulas!$A$2:$A$1501,AH$4,Formulas!$B$2:$B$1501,$A102))</f>
        <v>0</v>
      </c>
      <c r="AI102" s="21" t="n">
        <f aca="false">IF(OR($A102="",AI$4=""),0,COUNTIFS(Formulas!$A$2:$A$1501,AI$4,Formulas!$B$2:$B$1501,$A102))</f>
        <v>0</v>
      </c>
      <c r="AJ102" s="21" t="n">
        <f aca="false">IF(OR($A102="",AJ$4=""),0,COUNTIFS(Formulas!$A$2:$A$1501,AJ$4,Formulas!$B$2:$B$1501,$A102))</f>
        <v>0</v>
      </c>
      <c r="AK102" s="21" t="n">
        <f aca="false">IF(OR($A102="",AK$4=""),0,COUNTIFS(Formulas!$A$2:$A$1501,AK$4,Formulas!$B$2:$B$1501,$A102))</f>
        <v>0</v>
      </c>
      <c r="AL102" s="21" t="n">
        <f aca="false">IF(OR($A102="",AL$4=""),0,COUNTIFS(Formulas!$A$2:$A$1501,AL$4,Formulas!$B$2:$B$1501,$A102))</f>
        <v>0</v>
      </c>
      <c r="AM102" s="21" t="n">
        <f aca="false">IF(OR($A102="",AM$4=""),0,COUNTIFS(Formulas!$A$2:$A$1501,AM$4,Formulas!$B$2:$B$1501,$A102))</f>
        <v>0</v>
      </c>
      <c r="AN102" s="21" t="n">
        <f aca="false">IF(OR($A102="",AN$4=""),0,COUNTIFS(Formulas!$A$2:$A$1501,AN$4,Formulas!$B$2:$B$1501,$A102))</f>
        <v>0</v>
      </c>
      <c r="AO102" s="21" t="n">
        <f aca="false">IF(OR($A102="",AO$4=""),0,COUNTIFS(Formulas!$A$2:$A$1501,AO$4,Formulas!$B$2:$B$1501,$A102))</f>
        <v>0</v>
      </c>
      <c r="AP102" s="21" t="n">
        <f aca="false">IF(OR($A102="",AP$4=""),0,COUNTIFS(Formulas!$A$2:$A$1501,AP$4,Formulas!$B$2:$B$1501,$A102))</f>
        <v>0</v>
      </c>
      <c r="AQ102" s="21" t="n">
        <f aca="false">IF(OR($A102="",AQ$4=""),0,COUNTIFS(Formulas!$A$2:$A$1501,AQ$4,Formulas!$B$2:$B$1501,$A102))</f>
        <v>0</v>
      </c>
      <c r="AR102" s="21" t="n">
        <f aca="false">IF(OR($A102="",AR$4=""),0,COUNTIFS(Formulas!$A$2:$A$1501,AR$4,Formulas!$B$2:$B$1501,$A102))</f>
        <v>0</v>
      </c>
      <c r="AS102" s="21" t="n">
        <f aca="false">IF(OR($A102="",AS$4=""),0,COUNTIFS(Formulas!$A$2:$A$1501,AS$4,Formulas!$B$2:$B$1501,$A102))</f>
        <v>0</v>
      </c>
      <c r="AT102" s="21" t="n">
        <f aca="false">IF(OR($A102="",AT$4=""),0,COUNTIFS(Formulas!$A$2:$A$1501,AT$4,Formulas!$B$2:$B$1501,$A102))</f>
        <v>0</v>
      </c>
      <c r="AU102" s="21" t="n">
        <f aca="false">IF(OR($A102="",AU$4=""),0,COUNTIFS(Formulas!$A$2:$A$1501,AU$4,Formulas!$B$2:$B$1501,$A102))</f>
        <v>0</v>
      </c>
      <c r="AV102" s="21" t="n">
        <f aca="false">IF(OR($A102="",AV$4=""),0,COUNTIFS(Formulas!$A$2:$A$1501,AV$4,Formulas!$B$2:$B$1501,$A102))</f>
        <v>0</v>
      </c>
      <c r="AW102" s="21" t="n">
        <f aca="false">IF(OR($A102="",AW$4=""),0,COUNTIFS(Formulas!$A$2:$A$1501,AW$4,Formulas!$B$2:$B$1501,$A102))</f>
        <v>0</v>
      </c>
      <c r="AX102" s="21" t="n">
        <f aca="false">IF(OR($A102="",AX$4=""),0,COUNTIFS(Formulas!$A$2:$A$1501,AX$4,Formulas!$B$2:$B$1501,$A102))</f>
        <v>0</v>
      </c>
      <c r="AY102" s="21" t="n">
        <f aca="false">IF(OR($A102="",AY$4=""),0,COUNTIFS(Formulas!$A$2:$A$1501,AY$4,Formulas!$B$2:$B$1501,$A102))</f>
        <v>0</v>
      </c>
      <c r="AZ102" s="21" t="n">
        <f aca="false">IF(OR($A102="",AZ$4=""),0,COUNTIFS(Formulas!$A$2:$A$1501,AZ$4,Formulas!$B$2:$B$1501,$A102))</f>
        <v>0</v>
      </c>
      <c r="BA102" s="21" t="n">
        <f aca="false">IF(OR($A102="",BA$4=""),0,COUNTIFS(Formulas!$A$2:$A$1501,BA$4,Formulas!$B$2:$B$1501,$A102))</f>
        <v>0</v>
      </c>
      <c r="BB102" s="21" t="n">
        <f aca="false">IF(OR($A102="",BB$4=""),0,COUNTIFS(Formulas!$A$2:$A$1501,BB$4,Formulas!$B$2:$B$1501,$A102))</f>
        <v>0</v>
      </c>
      <c r="BC102" s="21" t="n">
        <f aca="false">IF(OR($A102="",BC$4=""),0,COUNTIFS(Formulas!$A$2:$A$1501,BC$4,Formulas!$B$2:$B$1501,$A102))</f>
        <v>0</v>
      </c>
      <c r="BD102" s="21" t="n">
        <f aca="false">IF(OR($A102="",BD$4=""),0,COUNTIFS(Formulas!$A$2:$A$1501,BD$4,Formulas!$B$2:$B$1501,$A102))</f>
        <v>0</v>
      </c>
      <c r="BE102" s="21" t="n">
        <f aca="false">IF(OR($A102="",BE$4=""),0,COUNTIFS(Formulas!$A$2:$A$1501,BE$4,Formulas!$B$2:$B$1501,$A102))</f>
        <v>0</v>
      </c>
      <c r="BF102" s="21" t="n">
        <f aca="false">IF(OR($A102="",BF$4=""),0,COUNTIFS(Formulas!$A$2:$A$1501,BF$4,Formulas!$B$2:$B$1501,$A102))</f>
        <v>0</v>
      </c>
      <c r="BG102" s="21" t="n">
        <f aca="false">IF(OR($A102="",BG$4=""),0,COUNTIFS(Formulas!$A$2:$A$1501,BG$4,Formulas!$B$2:$B$1501,$A102))</f>
        <v>0</v>
      </c>
      <c r="BH102" s="21" t="n">
        <f aca="false">IF(OR($A102="",BH$4=""),0,COUNTIFS(Formulas!$A$2:$A$1501,BH$4,Formulas!$B$2:$B$1501,$A102))</f>
        <v>0</v>
      </c>
      <c r="BI102" s="21" t="n">
        <f aca="false">IF(OR($A102="",BI$4=""),0,COUNTIFS(Formulas!$A$2:$A$1501,BI$4,Formulas!$B$2:$B$1501,$A102))</f>
        <v>0</v>
      </c>
      <c r="BJ102" s="21" t="n">
        <f aca="false">IF(OR($A102="",BJ$4=""),0,COUNTIFS(Formulas!$A$2:$A$1501,BJ$4,Formulas!$B$2:$B$1501,$A102))</f>
        <v>0</v>
      </c>
    </row>
    <row r="103" customFormat="false" ht="15" hidden="false" customHeight="false" outlineLevel="0" collapsed="false">
      <c r="A103" s="13" t="str">
        <f aca="false">IF(INDEX(Materials!$A$2:$A$201,99)="","",INDEX(Materials!$A$2:$A$201,99))</f>
        <v/>
      </c>
      <c r="B103" s="19" t="str">
        <f aca="false">IF(A103="","",COUNTIF(C103:BJ103,"&gt;0"))</f>
        <v/>
      </c>
      <c r="C103" s="21" t="n">
        <f aca="false">IF(OR($A103="",C$4=""),0,COUNTIFS(Formulas!$A$2:$A$1501,C$4,Formulas!$B$2:$B$1501,$A103))</f>
        <v>0</v>
      </c>
      <c r="D103" s="21" t="n">
        <f aca="false">IF(OR($A103="",D$4=""),0,COUNTIFS(Formulas!$A$2:$A$1501,D$4,Formulas!$B$2:$B$1501,$A103))</f>
        <v>0</v>
      </c>
      <c r="E103" s="21" t="n">
        <f aca="false">IF(OR($A103="",E$4=""),0,COUNTIFS(Formulas!$A$2:$A$1501,E$4,Formulas!$B$2:$B$1501,$A103))</f>
        <v>0</v>
      </c>
      <c r="F103" s="21" t="n">
        <f aca="false">IF(OR($A103="",F$4=""),0,COUNTIFS(Formulas!$A$2:$A$1501,F$4,Formulas!$B$2:$B$1501,$A103))</f>
        <v>0</v>
      </c>
      <c r="G103" s="21" t="n">
        <f aca="false">IF(OR($A103="",G$4=""),0,COUNTIFS(Formulas!$A$2:$A$1501,G$4,Formulas!$B$2:$B$1501,$A103))</f>
        <v>0</v>
      </c>
      <c r="H103" s="21" t="n">
        <f aca="false">IF(OR($A103="",H$4=""),0,COUNTIFS(Formulas!$A$2:$A$1501,H$4,Formulas!$B$2:$B$1501,$A103))</f>
        <v>0</v>
      </c>
      <c r="I103" s="21" t="n">
        <f aca="false">IF(OR($A103="",I$4=""),0,COUNTIFS(Formulas!$A$2:$A$1501,I$4,Formulas!$B$2:$B$1501,$A103))</f>
        <v>0</v>
      </c>
      <c r="J103" s="21" t="n">
        <f aca="false">IF(OR($A103="",J$4=""),0,COUNTIFS(Formulas!$A$2:$A$1501,J$4,Formulas!$B$2:$B$1501,$A103))</f>
        <v>0</v>
      </c>
      <c r="K103" s="21" t="n">
        <f aca="false">IF(OR($A103="",K$4=""),0,COUNTIFS(Formulas!$A$2:$A$1501,K$4,Formulas!$B$2:$B$1501,$A103))</f>
        <v>0</v>
      </c>
      <c r="L103" s="21" t="n">
        <f aca="false">IF(OR($A103="",L$4=""),0,COUNTIFS(Formulas!$A$2:$A$1501,L$4,Formulas!$B$2:$B$1501,$A103))</f>
        <v>0</v>
      </c>
      <c r="M103" s="21" t="n">
        <f aca="false">IF(OR($A103="",M$4=""),0,COUNTIFS(Formulas!$A$2:$A$1501,M$4,Formulas!$B$2:$B$1501,$A103))</f>
        <v>0</v>
      </c>
      <c r="N103" s="21" t="n">
        <f aca="false">IF(OR($A103="",N$4=""),0,COUNTIFS(Formulas!$A$2:$A$1501,N$4,Formulas!$B$2:$B$1501,$A103))</f>
        <v>0</v>
      </c>
      <c r="O103" s="21" t="n">
        <f aca="false">IF(OR($A103="",O$4=""),0,COUNTIFS(Formulas!$A$2:$A$1501,O$4,Formulas!$B$2:$B$1501,$A103))</f>
        <v>0</v>
      </c>
      <c r="P103" s="21" t="n">
        <f aca="false">IF(OR($A103="",P$4=""),0,COUNTIFS(Formulas!$A$2:$A$1501,P$4,Formulas!$B$2:$B$1501,$A103))</f>
        <v>0</v>
      </c>
      <c r="Q103" s="21" t="n">
        <f aca="false">IF(OR($A103="",Q$4=""),0,COUNTIFS(Formulas!$A$2:$A$1501,Q$4,Formulas!$B$2:$B$1501,$A103))</f>
        <v>0</v>
      </c>
      <c r="R103" s="21" t="n">
        <f aca="false">IF(OR($A103="",R$4=""),0,COUNTIFS(Formulas!$A$2:$A$1501,R$4,Formulas!$B$2:$B$1501,$A103))</f>
        <v>0</v>
      </c>
      <c r="S103" s="21" t="n">
        <f aca="false">IF(OR($A103="",S$4=""),0,COUNTIFS(Formulas!$A$2:$A$1501,S$4,Formulas!$B$2:$B$1501,$A103))</f>
        <v>0</v>
      </c>
      <c r="T103" s="21" t="n">
        <f aca="false">IF(OR($A103="",T$4=""),0,COUNTIFS(Formulas!$A$2:$A$1501,T$4,Formulas!$B$2:$B$1501,$A103))</f>
        <v>0</v>
      </c>
      <c r="U103" s="21" t="n">
        <f aca="false">IF(OR($A103="",U$4=""),0,COUNTIFS(Formulas!$A$2:$A$1501,U$4,Formulas!$B$2:$B$1501,$A103))</f>
        <v>0</v>
      </c>
      <c r="V103" s="21" t="n">
        <f aca="false">IF(OR($A103="",V$4=""),0,COUNTIFS(Formulas!$A$2:$A$1501,V$4,Formulas!$B$2:$B$1501,$A103))</f>
        <v>0</v>
      </c>
      <c r="W103" s="21" t="n">
        <f aca="false">IF(OR($A103="",W$4=""),0,COUNTIFS(Formulas!$A$2:$A$1501,W$4,Formulas!$B$2:$B$1501,$A103))</f>
        <v>0</v>
      </c>
      <c r="X103" s="21" t="n">
        <f aca="false">IF(OR($A103="",X$4=""),0,COUNTIFS(Formulas!$A$2:$A$1501,X$4,Formulas!$B$2:$B$1501,$A103))</f>
        <v>0</v>
      </c>
      <c r="Y103" s="21" t="n">
        <f aca="false">IF(OR($A103="",Y$4=""),0,COUNTIFS(Formulas!$A$2:$A$1501,Y$4,Formulas!$B$2:$B$1501,$A103))</f>
        <v>0</v>
      </c>
      <c r="Z103" s="21" t="n">
        <f aca="false">IF(OR($A103="",Z$4=""),0,COUNTIFS(Formulas!$A$2:$A$1501,Z$4,Formulas!$B$2:$B$1501,$A103))</f>
        <v>0</v>
      </c>
      <c r="AA103" s="21" t="n">
        <f aca="false">IF(OR($A103="",AA$4=""),0,COUNTIFS(Formulas!$A$2:$A$1501,AA$4,Formulas!$B$2:$B$1501,$A103))</f>
        <v>0</v>
      </c>
      <c r="AB103" s="21" t="n">
        <f aca="false">IF(OR($A103="",AB$4=""),0,COUNTIFS(Formulas!$A$2:$A$1501,AB$4,Formulas!$B$2:$B$1501,$A103))</f>
        <v>0</v>
      </c>
      <c r="AC103" s="21" t="n">
        <f aca="false">IF(OR($A103="",AC$4=""),0,COUNTIFS(Formulas!$A$2:$A$1501,AC$4,Formulas!$B$2:$B$1501,$A103))</f>
        <v>0</v>
      </c>
      <c r="AD103" s="21" t="n">
        <f aca="false">IF(OR($A103="",AD$4=""),0,COUNTIFS(Formulas!$A$2:$A$1501,AD$4,Formulas!$B$2:$B$1501,$A103))</f>
        <v>0</v>
      </c>
      <c r="AE103" s="21" t="n">
        <f aca="false">IF(OR($A103="",AE$4=""),0,COUNTIFS(Formulas!$A$2:$A$1501,AE$4,Formulas!$B$2:$B$1501,$A103))</f>
        <v>0</v>
      </c>
      <c r="AF103" s="21" t="n">
        <f aca="false">IF(OR($A103="",AF$4=""),0,COUNTIFS(Formulas!$A$2:$A$1501,AF$4,Formulas!$B$2:$B$1501,$A103))</f>
        <v>0</v>
      </c>
      <c r="AG103" s="21" t="n">
        <f aca="false">IF(OR($A103="",AG$4=""),0,COUNTIFS(Formulas!$A$2:$A$1501,AG$4,Formulas!$B$2:$B$1501,$A103))</f>
        <v>0</v>
      </c>
      <c r="AH103" s="21" t="n">
        <f aca="false">IF(OR($A103="",AH$4=""),0,COUNTIFS(Formulas!$A$2:$A$1501,AH$4,Formulas!$B$2:$B$1501,$A103))</f>
        <v>0</v>
      </c>
      <c r="AI103" s="21" t="n">
        <f aca="false">IF(OR($A103="",AI$4=""),0,COUNTIFS(Formulas!$A$2:$A$1501,AI$4,Formulas!$B$2:$B$1501,$A103))</f>
        <v>0</v>
      </c>
      <c r="AJ103" s="21" t="n">
        <f aca="false">IF(OR($A103="",AJ$4=""),0,COUNTIFS(Formulas!$A$2:$A$1501,AJ$4,Formulas!$B$2:$B$1501,$A103))</f>
        <v>0</v>
      </c>
      <c r="AK103" s="21" t="n">
        <f aca="false">IF(OR($A103="",AK$4=""),0,COUNTIFS(Formulas!$A$2:$A$1501,AK$4,Formulas!$B$2:$B$1501,$A103))</f>
        <v>0</v>
      </c>
      <c r="AL103" s="21" t="n">
        <f aca="false">IF(OR($A103="",AL$4=""),0,COUNTIFS(Formulas!$A$2:$A$1501,AL$4,Formulas!$B$2:$B$1501,$A103))</f>
        <v>0</v>
      </c>
      <c r="AM103" s="21" t="n">
        <f aca="false">IF(OR($A103="",AM$4=""),0,COUNTIFS(Formulas!$A$2:$A$1501,AM$4,Formulas!$B$2:$B$1501,$A103))</f>
        <v>0</v>
      </c>
      <c r="AN103" s="21" t="n">
        <f aca="false">IF(OR($A103="",AN$4=""),0,COUNTIFS(Formulas!$A$2:$A$1501,AN$4,Formulas!$B$2:$B$1501,$A103))</f>
        <v>0</v>
      </c>
      <c r="AO103" s="21" t="n">
        <f aca="false">IF(OR($A103="",AO$4=""),0,COUNTIFS(Formulas!$A$2:$A$1501,AO$4,Formulas!$B$2:$B$1501,$A103))</f>
        <v>0</v>
      </c>
      <c r="AP103" s="21" t="n">
        <f aca="false">IF(OR($A103="",AP$4=""),0,COUNTIFS(Formulas!$A$2:$A$1501,AP$4,Formulas!$B$2:$B$1501,$A103))</f>
        <v>0</v>
      </c>
      <c r="AQ103" s="21" t="n">
        <f aca="false">IF(OR($A103="",AQ$4=""),0,COUNTIFS(Formulas!$A$2:$A$1501,AQ$4,Formulas!$B$2:$B$1501,$A103))</f>
        <v>0</v>
      </c>
      <c r="AR103" s="21" t="n">
        <f aca="false">IF(OR($A103="",AR$4=""),0,COUNTIFS(Formulas!$A$2:$A$1501,AR$4,Formulas!$B$2:$B$1501,$A103))</f>
        <v>0</v>
      </c>
      <c r="AS103" s="21" t="n">
        <f aca="false">IF(OR($A103="",AS$4=""),0,COUNTIFS(Formulas!$A$2:$A$1501,AS$4,Formulas!$B$2:$B$1501,$A103))</f>
        <v>0</v>
      </c>
      <c r="AT103" s="21" t="n">
        <f aca="false">IF(OR($A103="",AT$4=""),0,COUNTIFS(Formulas!$A$2:$A$1501,AT$4,Formulas!$B$2:$B$1501,$A103))</f>
        <v>0</v>
      </c>
      <c r="AU103" s="21" t="n">
        <f aca="false">IF(OR($A103="",AU$4=""),0,COUNTIFS(Formulas!$A$2:$A$1501,AU$4,Formulas!$B$2:$B$1501,$A103))</f>
        <v>0</v>
      </c>
      <c r="AV103" s="21" t="n">
        <f aca="false">IF(OR($A103="",AV$4=""),0,COUNTIFS(Formulas!$A$2:$A$1501,AV$4,Formulas!$B$2:$B$1501,$A103))</f>
        <v>0</v>
      </c>
      <c r="AW103" s="21" t="n">
        <f aca="false">IF(OR($A103="",AW$4=""),0,COUNTIFS(Formulas!$A$2:$A$1501,AW$4,Formulas!$B$2:$B$1501,$A103))</f>
        <v>0</v>
      </c>
      <c r="AX103" s="21" t="n">
        <f aca="false">IF(OR($A103="",AX$4=""),0,COUNTIFS(Formulas!$A$2:$A$1501,AX$4,Formulas!$B$2:$B$1501,$A103))</f>
        <v>0</v>
      </c>
      <c r="AY103" s="21" t="n">
        <f aca="false">IF(OR($A103="",AY$4=""),0,COUNTIFS(Formulas!$A$2:$A$1501,AY$4,Formulas!$B$2:$B$1501,$A103))</f>
        <v>0</v>
      </c>
      <c r="AZ103" s="21" t="n">
        <f aca="false">IF(OR($A103="",AZ$4=""),0,COUNTIFS(Formulas!$A$2:$A$1501,AZ$4,Formulas!$B$2:$B$1501,$A103))</f>
        <v>0</v>
      </c>
      <c r="BA103" s="21" t="n">
        <f aca="false">IF(OR($A103="",BA$4=""),0,COUNTIFS(Formulas!$A$2:$A$1501,BA$4,Formulas!$B$2:$B$1501,$A103))</f>
        <v>0</v>
      </c>
      <c r="BB103" s="21" t="n">
        <f aca="false">IF(OR($A103="",BB$4=""),0,COUNTIFS(Formulas!$A$2:$A$1501,BB$4,Formulas!$B$2:$B$1501,$A103))</f>
        <v>0</v>
      </c>
      <c r="BC103" s="21" t="n">
        <f aca="false">IF(OR($A103="",BC$4=""),0,COUNTIFS(Formulas!$A$2:$A$1501,BC$4,Formulas!$B$2:$B$1501,$A103))</f>
        <v>0</v>
      </c>
      <c r="BD103" s="21" t="n">
        <f aca="false">IF(OR($A103="",BD$4=""),0,COUNTIFS(Formulas!$A$2:$A$1501,BD$4,Formulas!$B$2:$B$1501,$A103))</f>
        <v>0</v>
      </c>
      <c r="BE103" s="21" t="n">
        <f aca="false">IF(OR($A103="",BE$4=""),0,COUNTIFS(Formulas!$A$2:$A$1501,BE$4,Formulas!$B$2:$B$1501,$A103))</f>
        <v>0</v>
      </c>
      <c r="BF103" s="21" t="n">
        <f aca="false">IF(OR($A103="",BF$4=""),0,COUNTIFS(Formulas!$A$2:$A$1501,BF$4,Formulas!$B$2:$B$1501,$A103))</f>
        <v>0</v>
      </c>
      <c r="BG103" s="21" t="n">
        <f aca="false">IF(OR($A103="",BG$4=""),0,COUNTIFS(Formulas!$A$2:$A$1501,BG$4,Formulas!$B$2:$B$1501,$A103))</f>
        <v>0</v>
      </c>
      <c r="BH103" s="21" t="n">
        <f aca="false">IF(OR($A103="",BH$4=""),0,COUNTIFS(Formulas!$A$2:$A$1501,BH$4,Formulas!$B$2:$B$1501,$A103))</f>
        <v>0</v>
      </c>
      <c r="BI103" s="21" t="n">
        <f aca="false">IF(OR($A103="",BI$4=""),0,COUNTIFS(Formulas!$A$2:$A$1501,BI$4,Formulas!$B$2:$B$1501,$A103))</f>
        <v>0</v>
      </c>
      <c r="BJ103" s="21" t="n">
        <f aca="false">IF(OR($A103="",BJ$4=""),0,COUNTIFS(Formulas!$A$2:$A$1501,BJ$4,Formulas!$B$2:$B$1501,$A103))</f>
        <v>0</v>
      </c>
    </row>
    <row r="104" customFormat="false" ht="15" hidden="false" customHeight="false" outlineLevel="0" collapsed="false">
      <c r="A104" s="13" t="str">
        <f aca="false">IF(INDEX(Materials!$A$2:$A$201,100)="","",INDEX(Materials!$A$2:$A$201,100))</f>
        <v/>
      </c>
      <c r="B104" s="19" t="str">
        <f aca="false">IF(A104="","",COUNTIF(C104:BJ104,"&gt;0"))</f>
        <v/>
      </c>
      <c r="C104" s="21" t="n">
        <f aca="false">IF(OR($A104="",C$4=""),0,COUNTIFS(Formulas!$A$2:$A$1501,C$4,Formulas!$B$2:$B$1501,$A104))</f>
        <v>0</v>
      </c>
      <c r="D104" s="21" t="n">
        <f aca="false">IF(OR($A104="",D$4=""),0,COUNTIFS(Formulas!$A$2:$A$1501,D$4,Formulas!$B$2:$B$1501,$A104))</f>
        <v>0</v>
      </c>
      <c r="E104" s="21" t="n">
        <f aca="false">IF(OR($A104="",E$4=""),0,COUNTIFS(Formulas!$A$2:$A$1501,E$4,Formulas!$B$2:$B$1501,$A104))</f>
        <v>0</v>
      </c>
      <c r="F104" s="21" t="n">
        <f aca="false">IF(OR($A104="",F$4=""),0,COUNTIFS(Formulas!$A$2:$A$1501,F$4,Formulas!$B$2:$B$1501,$A104))</f>
        <v>0</v>
      </c>
      <c r="G104" s="21" t="n">
        <f aca="false">IF(OR($A104="",G$4=""),0,COUNTIFS(Formulas!$A$2:$A$1501,G$4,Formulas!$B$2:$B$1501,$A104))</f>
        <v>0</v>
      </c>
      <c r="H104" s="21" t="n">
        <f aca="false">IF(OR($A104="",H$4=""),0,COUNTIFS(Formulas!$A$2:$A$1501,H$4,Formulas!$B$2:$B$1501,$A104))</f>
        <v>0</v>
      </c>
      <c r="I104" s="21" t="n">
        <f aca="false">IF(OR($A104="",I$4=""),0,COUNTIFS(Formulas!$A$2:$A$1501,I$4,Formulas!$B$2:$B$1501,$A104))</f>
        <v>0</v>
      </c>
      <c r="J104" s="21" t="n">
        <f aca="false">IF(OR($A104="",J$4=""),0,COUNTIFS(Formulas!$A$2:$A$1501,J$4,Formulas!$B$2:$B$1501,$A104))</f>
        <v>0</v>
      </c>
      <c r="K104" s="21" t="n">
        <f aca="false">IF(OR($A104="",K$4=""),0,COUNTIFS(Formulas!$A$2:$A$1501,K$4,Formulas!$B$2:$B$1501,$A104))</f>
        <v>0</v>
      </c>
      <c r="L104" s="21" t="n">
        <f aca="false">IF(OR($A104="",L$4=""),0,COUNTIFS(Formulas!$A$2:$A$1501,L$4,Formulas!$B$2:$B$1501,$A104))</f>
        <v>0</v>
      </c>
      <c r="M104" s="21" t="n">
        <f aca="false">IF(OR($A104="",M$4=""),0,COUNTIFS(Formulas!$A$2:$A$1501,M$4,Formulas!$B$2:$B$1501,$A104))</f>
        <v>0</v>
      </c>
      <c r="N104" s="21" t="n">
        <f aca="false">IF(OR($A104="",N$4=""),0,COUNTIFS(Formulas!$A$2:$A$1501,N$4,Formulas!$B$2:$B$1501,$A104))</f>
        <v>0</v>
      </c>
      <c r="O104" s="21" t="n">
        <f aca="false">IF(OR($A104="",O$4=""),0,COUNTIFS(Formulas!$A$2:$A$1501,O$4,Formulas!$B$2:$B$1501,$A104))</f>
        <v>0</v>
      </c>
      <c r="P104" s="21" t="n">
        <f aca="false">IF(OR($A104="",P$4=""),0,COUNTIFS(Formulas!$A$2:$A$1501,P$4,Formulas!$B$2:$B$1501,$A104))</f>
        <v>0</v>
      </c>
      <c r="Q104" s="21" t="n">
        <f aca="false">IF(OR($A104="",Q$4=""),0,COUNTIFS(Formulas!$A$2:$A$1501,Q$4,Formulas!$B$2:$B$1501,$A104))</f>
        <v>0</v>
      </c>
      <c r="R104" s="21" t="n">
        <f aca="false">IF(OR($A104="",R$4=""),0,COUNTIFS(Formulas!$A$2:$A$1501,R$4,Formulas!$B$2:$B$1501,$A104))</f>
        <v>0</v>
      </c>
      <c r="S104" s="21" t="n">
        <f aca="false">IF(OR($A104="",S$4=""),0,COUNTIFS(Formulas!$A$2:$A$1501,S$4,Formulas!$B$2:$B$1501,$A104))</f>
        <v>0</v>
      </c>
      <c r="T104" s="21" t="n">
        <f aca="false">IF(OR($A104="",T$4=""),0,COUNTIFS(Formulas!$A$2:$A$1501,T$4,Formulas!$B$2:$B$1501,$A104))</f>
        <v>0</v>
      </c>
      <c r="U104" s="21" t="n">
        <f aca="false">IF(OR($A104="",U$4=""),0,COUNTIFS(Formulas!$A$2:$A$1501,U$4,Formulas!$B$2:$B$1501,$A104))</f>
        <v>0</v>
      </c>
      <c r="V104" s="21" t="n">
        <f aca="false">IF(OR($A104="",V$4=""),0,COUNTIFS(Formulas!$A$2:$A$1501,V$4,Formulas!$B$2:$B$1501,$A104))</f>
        <v>0</v>
      </c>
      <c r="W104" s="21" t="n">
        <f aca="false">IF(OR($A104="",W$4=""),0,COUNTIFS(Formulas!$A$2:$A$1501,W$4,Formulas!$B$2:$B$1501,$A104))</f>
        <v>0</v>
      </c>
      <c r="X104" s="21" t="n">
        <f aca="false">IF(OR($A104="",X$4=""),0,COUNTIFS(Formulas!$A$2:$A$1501,X$4,Formulas!$B$2:$B$1501,$A104))</f>
        <v>0</v>
      </c>
      <c r="Y104" s="21" t="n">
        <f aca="false">IF(OR($A104="",Y$4=""),0,COUNTIFS(Formulas!$A$2:$A$1501,Y$4,Formulas!$B$2:$B$1501,$A104))</f>
        <v>0</v>
      </c>
      <c r="Z104" s="21" t="n">
        <f aca="false">IF(OR($A104="",Z$4=""),0,COUNTIFS(Formulas!$A$2:$A$1501,Z$4,Formulas!$B$2:$B$1501,$A104))</f>
        <v>0</v>
      </c>
      <c r="AA104" s="21" t="n">
        <f aca="false">IF(OR($A104="",AA$4=""),0,COUNTIFS(Formulas!$A$2:$A$1501,AA$4,Formulas!$B$2:$B$1501,$A104))</f>
        <v>0</v>
      </c>
      <c r="AB104" s="21" t="n">
        <f aca="false">IF(OR($A104="",AB$4=""),0,COUNTIFS(Formulas!$A$2:$A$1501,AB$4,Formulas!$B$2:$B$1501,$A104))</f>
        <v>0</v>
      </c>
      <c r="AC104" s="21" t="n">
        <f aca="false">IF(OR($A104="",AC$4=""),0,COUNTIFS(Formulas!$A$2:$A$1501,AC$4,Formulas!$B$2:$B$1501,$A104))</f>
        <v>0</v>
      </c>
      <c r="AD104" s="21" t="n">
        <f aca="false">IF(OR($A104="",AD$4=""),0,COUNTIFS(Formulas!$A$2:$A$1501,AD$4,Formulas!$B$2:$B$1501,$A104))</f>
        <v>0</v>
      </c>
      <c r="AE104" s="21" t="n">
        <f aca="false">IF(OR($A104="",AE$4=""),0,COUNTIFS(Formulas!$A$2:$A$1501,AE$4,Formulas!$B$2:$B$1501,$A104))</f>
        <v>0</v>
      </c>
      <c r="AF104" s="21" t="n">
        <f aca="false">IF(OR($A104="",AF$4=""),0,COUNTIFS(Formulas!$A$2:$A$1501,AF$4,Formulas!$B$2:$B$1501,$A104))</f>
        <v>0</v>
      </c>
      <c r="AG104" s="21" t="n">
        <f aca="false">IF(OR($A104="",AG$4=""),0,COUNTIFS(Formulas!$A$2:$A$1501,AG$4,Formulas!$B$2:$B$1501,$A104))</f>
        <v>0</v>
      </c>
      <c r="AH104" s="21" t="n">
        <f aca="false">IF(OR($A104="",AH$4=""),0,COUNTIFS(Formulas!$A$2:$A$1501,AH$4,Formulas!$B$2:$B$1501,$A104))</f>
        <v>0</v>
      </c>
      <c r="AI104" s="21" t="n">
        <f aca="false">IF(OR($A104="",AI$4=""),0,COUNTIFS(Formulas!$A$2:$A$1501,AI$4,Formulas!$B$2:$B$1501,$A104))</f>
        <v>0</v>
      </c>
      <c r="AJ104" s="21" t="n">
        <f aca="false">IF(OR($A104="",AJ$4=""),0,COUNTIFS(Formulas!$A$2:$A$1501,AJ$4,Formulas!$B$2:$B$1501,$A104))</f>
        <v>0</v>
      </c>
      <c r="AK104" s="21" t="n">
        <f aca="false">IF(OR($A104="",AK$4=""),0,COUNTIFS(Formulas!$A$2:$A$1501,AK$4,Formulas!$B$2:$B$1501,$A104))</f>
        <v>0</v>
      </c>
      <c r="AL104" s="21" t="n">
        <f aca="false">IF(OR($A104="",AL$4=""),0,COUNTIFS(Formulas!$A$2:$A$1501,AL$4,Formulas!$B$2:$B$1501,$A104))</f>
        <v>0</v>
      </c>
      <c r="AM104" s="21" t="n">
        <f aca="false">IF(OR($A104="",AM$4=""),0,COUNTIFS(Formulas!$A$2:$A$1501,AM$4,Formulas!$B$2:$B$1501,$A104))</f>
        <v>0</v>
      </c>
      <c r="AN104" s="21" t="n">
        <f aca="false">IF(OR($A104="",AN$4=""),0,COUNTIFS(Formulas!$A$2:$A$1501,AN$4,Formulas!$B$2:$B$1501,$A104))</f>
        <v>0</v>
      </c>
      <c r="AO104" s="21" t="n">
        <f aca="false">IF(OR($A104="",AO$4=""),0,COUNTIFS(Formulas!$A$2:$A$1501,AO$4,Formulas!$B$2:$B$1501,$A104))</f>
        <v>0</v>
      </c>
      <c r="AP104" s="21" t="n">
        <f aca="false">IF(OR($A104="",AP$4=""),0,COUNTIFS(Formulas!$A$2:$A$1501,AP$4,Formulas!$B$2:$B$1501,$A104))</f>
        <v>0</v>
      </c>
      <c r="AQ104" s="21" t="n">
        <f aca="false">IF(OR($A104="",AQ$4=""),0,COUNTIFS(Formulas!$A$2:$A$1501,AQ$4,Formulas!$B$2:$B$1501,$A104))</f>
        <v>0</v>
      </c>
      <c r="AR104" s="21" t="n">
        <f aca="false">IF(OR($A104="",AR$4=""),0,COUNTIFS(Formulas!$A$2:$A$1501,AR$4,Formulas!$B$2:$B$1501,$A104))</f>
        <v>0</v>
      </c>
      <c r="AS104" s="21" t="n">
        <f aca="false">IF(OR($A104="",AS$4=""),0,COUNTIFS(Formulas!$A$2:$A$1501,AS$4,Formulas!$B$2:$B$1501,$A104))</f>
        <v>0</v>
      </c>
      <c r="AT104" s="21" t="n">
        <f aca="false">IF(OR($A104="",AT$4=""),0,COUNTIFS(Formulas!$A$2:$A$1501,AT$4,Formulas!$B$2:$B$1501,$A104))</f>
        <v>0</v>
      </c>
      <c r="AU104" s="21" t="n">
        <f aca="false">IF(OR($A104="",AU$4=""),0,COUNTIFS(Formulas!$A$2:$A$1501,AU$4,Formulas!$B$2:$B$1501,$A104))</f>
        <v>0</v>
      </c>
      <c r="AV104" s="21" t="n">
        <f aca="false">IF(OR($A104="",AV$4=""),0,COUNTIFS(Formulas!$A$2:$A$1501,AV$4,Formulas!$B$2:$B$1501,$A104))</f>
        <v>0</v>
      </c>
      <c r="AW104" s="21" t="n">
        <f aca="false">IF(OR($A104="",AW$4=""),0,COUNTIFS(Formulas!$A$2:$A$1501,AW$4,Formulas!$B$2:$B$1501,$A104))</f>
        <v>0</v>
      </c>
      <c r="AX104" s="21" t="n">
        <f aca="false">IF(OR($A104="",AX$4=""),0,COUNTIFS(Formulas!$A$2:$A$1501,AX$4,Formulas!$B$2:$B$1501,$A104))</f>
        <v>0</v>
      </c>
      <c r="AY104" s="21" t="n">
        <f aca="false">IF(OR($A104="",AY$4=""),0,COUNTIFS(Formulas!$A$2:$A$1501,AY$4,Formulas!$B$2:$B$1501,$A104))</f>
        <v>0</v>
      </c>
      <c r="AZ104" s="21" t="n">
        <f aca="false">IF(OR($A104="",AZ$4=""),0,COUNTIFS(Formulas!$A$2:$A$1501,AZ$4,Formulas!$B$2:$B$1501,$A104))</f>
        <v>0</v>
      </c>
      <c r="BA104" s="21" t="n">
        <f aca="false">IF(OR($A104="",BA$4=""),0,COUNTIFS(Formulas!$A$2:$A$1501,BA$4,Formulas!$B$2:$B$1501,$A104))</f>
        <v>0</v>
      </c>
      <c r="BB104" s="21" t="n">
        <f aca="false">IF(OR($A104="",BB$4=""),0,COUNTIFS(Formulas!$A$2:$A$1501,BB$4,Formulas!$B$2:$B$1501,$A104))</f>
        <v>0</v>
      </c>
      <c r="BC104" s="21" t="n">
        <f aca="false">IF(OR($A104="",BC$4=""),0,COUNTIFS(Formulas!$A$2:$A$1501,BC$4,Formulas!$B$2:$B$1501,$A104))</f>
        <v>0</v>
      </c>
      <c r="BD104" s="21" t="n">
        <f aca="false">IF(OR($A104="",BD$4=""),0,COUNTIFS(Formulas!$A$2:$A$1501,BD$4,Formulas!$B$2:$B$1501,$A104))</f>
        <v>0</v>
      </c>
      <c r="BE104" s="21" t="n">
        <f aca="false">IF(OR($A104="",BE$4=""),0,COUNTIFS(Formulas!$A$2:$A$1501,BE$4,Formulas!$B$2:$B$1501,$A104))</f>
        <v>0</v>
      </c>
      <c r="BF104" s="21" t="n">
        <f aca="false">IF(OR($A104="",BF$4=""),0,COUNTIFS(Formulas!$A$2:$A$1501,BF$4,Formulas!$B$2:$B$1501,$A104))</f>
        <v>0</v>
      </c>
      <c r="BG104" s="21" t="n">
        <f aca="false">IF(OR($A104="",BG$4=""),0,COUNTIFS(Formulas!$A$2:$A$1501,BG$4,Formulas!$B$2:$B$1501,$A104))</f>
        <v>0</v>
      </c>
      <c r="BH104" s="21" t="n">
        <f aca="false">IF(OR($A104="",BH$4=""),0,COUNTIFS(Formulas!$A$2:$A$1501,BH$4,Formulas!$B$2:$B$1501,$A104))</f>
        <v>0</v>
      </c>
      <c r="BI104" s="21" t="n">
        <f aca="false">IF(OR($A104="",BI$4=""),0,COUNTIFS(Formulas!$A$2:$A$1501,BI$4,Formulas!$B$2:$B$1501,$A104))</f>
        <v>0</v>
      </c>
      <c r="BJ104" s="21" t="n">
        <f aca="false">IF(OR($A104="",BJ$4=""),0,COUNTIFS(Formulas!$A$2:$A$1501,BJ$4,Formulas!$B$2:$B$1501,$A104))</f>
        <v>0</v>
      </c>
    </row>
    <row r="105" customFormat="false" ht="15" hidden="false" customHeight="false" outlineLevel="0" collapsed="false">
      <c r="A105" s="13" t="str">
        <f aca="false">IF(INDEX(Materials!$A$2:$A$201,101)="","",INDEX(Materials!$A$2:$A$201,101))</f>
        <v/>
      </c>
      <c r="B105" s="19" t="str">
        <f aca="false">IF(A105="","",COUNTIF(C105:BJ105,"&gt;0"))</f>
        <v/>
      </c>
      <c r="C105" s="21" t="n">
        <f aca="false">IF(OR($A105="",C$4=""),0,COUNTIFS(Formulas!$A$2:$A$1501,C$4,Formulas!$B$2:$B$1501,$A105))</f>
        <v>0</v>
      </c>
      <c r="D105" s="21" t="n">
        <f aca="false">IF(OR($A105="",D$4=""),0,COUNTIFS(Formulas!$A$2:$A$1501,D$4,Formulas!$B$2:$B$1501,$A105))</f>
        <v>0</v>
      </c>
      <c r="E105" s="21" t="n">
        <f aca="false">IF(OR($A105="",E$4=""),0,COUNTIFS(Formulas!$A$2:$A$1501,E$4,Formulas!$B$2:$B$1501,$A105))</f>
        <v>0</v>
      </c>
      <c r="F105" s="21" t="n">
        <f aca="false">IF(OR($A105="",F$4=""),0,COUNTIFS(Formulas!$A$2:$A$1501,F$4,Formulas!$B$2:$B$1501,$A105))</f>
        <v>0</v>
      </c>
      <c r="G105" s="21" t="n">
        <f aca="false">IF(OR($A105="",G$4=""),0,COUNTIFS(Formulas!$A$2:$A$1501,G$4,Formulas!$B$2:$B$1501,$A105))</f>
        <v>0</v>
      </c>
      <c r="H105" s="21" t="n">
        <f aca="false">IF(OR($A105="",H$4=""),0,COUNTIFS(Formulas!$A$2:$A$1501,H$4,Formulas!$B$2:$B$1501,$A105))</f>
        <v>0</v>
      </c>
      <c r="I105" s="21" t="n">
        <f aca="false">IF(OR($A105="",I$4=""),0,COUNTIFS(Formulas!$A$2:$A$1501,I$4,Formulas!$B$2:$B$1501,$A105))</f>
        <v>0</v>
      </c>
      <c r="J105" s="21" t="n">
        <f aca="false">IF(OR($A105="",J$4=""),0,COUNTIFS(Formulas!$A$2:$A$1501,J$4,Formulas!$B$2:$B$1501,$A105))</f>
        <v>0</v>
      </c>
      <c r="K105" s="21" t="n">
        <f aca="false">IF(OR($A105="",K$4=""),0,COUNTIFS(Formulas!$A$2:$A$1501,K$4,Formulas!$B$2:$B$1501,$A105))</f>
        <v>0</v>
      </c>
      <c r="L105" s="21" t="n">
        <f aca="false">IF(OR($A105="",L$4=""),0,COUNTIFS(Formulas!$A$2:$A$1501,L$4,Formulas!$B$2:$B$1501,$A105))</f>
        <v>0</v>
      </c>
      <c r="M105" s="21" t="n">
        <f aca="false">IF(OR($A105="",M$4=""),0,COUNTIFS(Formulas!$A$2:$A$1501,M$4,Formulas!$B$2:$B$1501,$A105))</f>
        <v>0</v>
      </c>
      <c r="N105" s="21" t="n">
        <f aca="false">IF(OR($A105="",N$4=""),0,COUNTIFS(Formulas!$A$2:$A$1501,N$4,Formulas!$B$2:$B$1501,$A105))</f>
        <v>0</v>
      </c>
      <c r="O105" s="21" t="n">
        <f aca="false">IF(OR($A105="",O$4=""),0,COUNTIFS(Formulas!$A$2:$A$1501,O$4,Formulas!$B$2:$B$1501,$A105))</f>
        <v>0</v>
      </c>
      <c r="P105" s="21" t="n">
        <f aca="false">IF(OR($A105="",P$4=""),0,COUNTIFS(Formulas!$A$2:$A$1501,P$4,Formulas!$B$2:$B$1501,$A105))</f>
        <v>0</v>
      </c>
      <c r="Q105" s="21" t="n">
        <f aca="false">IF(OR($A105="",Q$4=""),0,COUNTIFS(Formulas!$A$2:$A$1501,Q$4,Formulas!$B$2:$B$1501,$A105))</f>
        <v>0</v>
      </c>
      <c r="R105" s="21" t="n">
        <f aca="false">IF(OR($A105="",R$4=""),0,COUNTIFS(Formulas!$A$2:$A$1501,R$4,Formulas!$B$2:$B$1501,$A105))</f>
        <v>0</v>
      </c>
      <c r="S105" s="21" t="n">
        <f aca="false">IF(OR($A105="",S$4=""),0,COUNTIFS(Formulas!$A$2:$A$1501,S$4,Formulas!$B$2:$B$1501,$A105))</f>
        <v>0</v>
      </c>
      <c r="T105" s="21" t="n">
        <f aca="false">IF(OR($A105="",T$4=""),0,COUNTIFS(Formulas!$A$2:$A$1501,T$4,Formulas!$B$2:$B$1501,$A105))</f>
        <v>0</v>
      </c>
      <c r="U105" s="21" t="n">
        <f aca="false">IF(OR($A105="",U$4=""),0,COUNTIFS(Formulas!$A$2:$A$1501,U$4,Formulas!$B$2:$B$1501,$A105))</f>
        <v>0</v>
      </c>
      <c r="V105" s="21" t="n">
        <f aca="false">IF(OR($A105="",V$4=""),0,COUNTIFS(Formulas!$A$2:$A$1501,V$4,Formulas!$B$2:$B$1501,$A105))</f>
        <v>0</v>
      </c>
      <c r="W105" s="21" t="n">
        <f aca="false">IF(OR($A105="",W$4=""),0,COUNTIFS(Formulas!$A$2:$A$1501,W$4,Formulas!$B$2:$B$1501,$A105))</f>
        <v>0</v>
      </c>
      <c r="X105" s="21" t="n">
        <f aca="false">IF(OR($A105="",X$4=""),0,COUNTIFS(Formulas!$A$2:$A$1501,X$4,Formulas!$B$2:$B$1501,$A105))</f>
        <v>0</v>
      </c>
      <c r="Y105" s="21" t="n">
        <f aca="false">IF(OR($A105="",Y$4=""),0,COUNTIFS(Formulas!$A$2:$A$1501,Y$4,Formulas!$B$2:$B$1501,$A105))</f>
        <v>0</v>
      </c>
      <c r="Z105" s="21" t="n">
        <f aca="false">IF(OR($A105="",Z$4=""),0,COUNTIFS(Formulas!$A$2:$A$1501,Z$4,Formulas!$B$2:$B$1501,$A105))</f>
        <v>0</v>
      </c>
      <c r="AA105" s="21" t="n">
        <f aca="false">IF(OR($A105="",AA$4=""),0,COUNTIFS(Formulas!$A$2:$A$1501,AA$4,Formulas!$B$2:$B$1501,$A105))</f>
        <v>0</v>
      </c>
      <c r="AB105" s="21" t="n">
        <f aca="false">IF(OR($A105="",AB$4=""),0,COUNTIFS(Formulas!$A$2:$A$1501,AB$4,Formulas!$B$2:$B$1501,$A105))</f>
        <v>0</v>
      </c>
      <c r="AC105" s="21" t="n">
        <f aca="false">IF(OR($A105="",AC$4=""),0,COUNTIFS(Formulas!$A$2:$A$1501,AC$4,Formulas!$B$2:$B$1501,$A105))</f>
        <v>0</v>
      </c>
      <c r="AD105" s="21" t="n">
        <f aca="false">IF(OR($A105="",AD$4=""),0,COUNTIFS(Formulas!$A$2:$A$1501,AD$4,Formulas!$B$2:$B$1501,$A105))</f>
        <v>0</v>
      </c>
      <c r="AE105" s="21" t="n">
        <f aca="false">IF(OR($A105="",AE$4=""),0,COUNTIFS(Formulas!$A$2:$A$1501,AE$4,Formulas!$B$2:$B$1501,$A105))</f>
        <v>0</v>
      </c>
      <c r="AF105" s="21" t="n">
        <f aca="false">IF(OR($A105="",AF$4=""),0,COUNTIFS(Formulas!$A$2:$A$1501,AF$4,Formulas!$B$2:$B$1501,$A105))</f>
        <v>0</v>
      </c>
      <c r="AG105" s="21" t="n">
        <f aca="false">IF(OR($A105="",AG$4=""),0,COUNTIFS(Formulas!$A$2:$A$1501,AG$4,Formulas!$B$2:$B$1501,$A105))</f>
        <v>0</v>
      </c>
      <c r="AH105" s="21" t="n">
        <f aca="false">IF(OR($A105="",AH$4=""),0,COUNTIFS(Formulas!$A$2:$A$1501,AH$4,Formulas!$B$2:$B$1501,$A105))</f>
        <v>0</v>
      </c>
      <c r="AI105" s="21" t="n">
        <f aca="false">IF(OR($A105="",AI$4=""),0,COUNTIFS(Formulas!$A$2:$A$1501,AI$4,Formulas!$B$2:$B$1501,$A105))</f>
        <v>0</v>
      </c>
      <c r="AJ105" s="21" t="n">
        <f aca="false">IF(OR($A105="",AJ$4=""),0,COUNTIFS(Formulas!$A$2:$A$1501,AJ$4,Formulas!$B$2:$B$1501,$A105))</f>
        <v>0</v>
      </c>
      <c r="AK105" s="21" t="n">
        <f aca="false">IF(OR($A105="",AK$4=""),0,COUNTIFS(Formulas!$A$2:$A$1501,AK$4,Formulas!$B$2:$B$1501,$A105))</f>
        <v>0</v>
      </c>
      <c r="AL105" s="21" t="n">
        <f aca="false">IF(OR($A105="",AL$4=""),0,COUNTIFS(Formulas!$A$2:$A$1501,AL$4,Formulas!$B$2:$B$1501,$A105))</f>
        <v>0</v>
      </c>
      <c r="AM105" s="21" t="n">
        <f aca="false">IF(OR($A105="",AM$4=""),0,COUNTIFS(Formulas!$A$2:$A$1501,AM$4,Formulas!$B$2:$B$1501,$A105))</f>
        <v>0</v>
      </c>
      <c r="AN105" s="21" t="n">
        <f aca="false">IF(OR($A105="",AN$4=""),0,COUNTIFS(Formulas!$A$2:$A$1501,AN$4,Formulas!$B$2:$B$1501,$A105))</f>
        <v>0</v>
      </c>
      <c r="AO105" s="21" t="n">
        <f aca="false">IF(OR($A105="",AO$4=""),0,COUNTIFS(Formulas!$A$2:$A$1501,AO$4,Formulas!$B$2:$B$1501,$A105))</f>
        <v>0</v>
      </c>
      <c r="AP105" s="21" t="n">
        <f aca="false">IF(OR($A105="",AP$4=""),0,COUNTIFS(Formulas!$A$2:$A$1501,AP$4,Formulas!$B$2:$B$1501,$A105))</f>
        <v>0</v>
      </c>
      <c r="AQ105" s="21" t="n">
        <f aca="false">IF(OR($A105="",AQ$4=""),0,COUNTIFS(Formulas!$A$2:$A$1501,AQ$4,Formulas!$B$2:$B$1501,$A105))</f>
        <v>0</v>
      </c>
      <c r="AR105" s="21" t="n">
        <f aca="false">IF(OR($A105="",AR$4=""),0,COUNTIFS(Formulas!$A$2:$A$1501,AR$4,Formulas!$B$2:$B$1501,$A105))</f>
        <v>0</v>
      </c>
      <c r="AS105" s="21" t="n">
        <f aca="false">IF(OR($A105="",AS$4=""),0,COUNTIFS(Formulas!$A$2:$A$1501,AS$4,Formulas!$B$2:$B$1501,$A105))</f>
        <v>0</v>
      </c>
      <c r="AT105" s="21" t="n">
        <f aca="false">IF(OR($A105="",AT$4=""),0,COUNTIFS(Formulas!$A$2:$A$1501,AT$4,Formulas!$B$2:$B$1501,$A105))</f>
        <v>0</v>
      </c>
      <c r="AU105" s="21" t="n">
        <f aca="false">IF(OR($A105="",AU$4=""),0,COUNTIFS(Formulas!$A$2:$A$1501,AU$4,Formulas!$B$2:$B$1501,$A105))</f>
        <v>0</v>
      </c>
      <c r="AV105" s="21" t="n">
        <f aca="false">IF(OR($A105="",AV$4=""),0,COUNTIFS(Formulas!$A$2:$A$1501,AV$4,Formulas!$B$2:$B$1501,$A105))</f>
        <v>0</v>
      </c>
      <c r="AW105" s="21" t="n">
        <f aca="false">IF(OR($A105="",AW$4=""),0,COUNTIFS(Formulas!$A$2:$A$1501,AW$4,Formulas!$B$2:$B$1501,$A105))</f>
        <v>0</v>
      </c>
      <c r="AX105" s="21" t="n">
        <f aca="false">IF(OR($A105="",AX$4=""),0,COUNTIFS(Formulas!$A$2:$A$1501,AX$4,Formulas!$B$2:$B$1501,$A105))</f>
        <v>0</v>
      </c>
      <c r="AY105" s="21" t="n">
        <f aca="false">IF(OR($A105="",AY$4=""),0,COUNTIFS(Formulas!$A$2:$A$1501,AY$4,Formulas!$B$2:$B$1501,$A105))</f>
        <v>0</v>
      </c>
      <c r="AZ105" s="21" t="n">
        <f aca="false">IF(OR($A105="",AZ$4=""),0,COUNTIFS(Formulas!$A$2:$A$1501,AZ$4,Formulas!$B$2:$B$1501,$A105))</f>
        <v>0</v>
      </c>
      <c r="BA105" s="21" t="n">
        <f aca="false">IF(OR($A105="",BA$4=""),0,COUNTIFS(Formulas!$A$2:$A$1501,BA$4,Formulas!$B$2:$B$1501,$A105))</f>
        <v>0</v>
      </c>
      <c r="BB105" s="21" t="n">
        <f aca="false">IF(OR($A105="",BB$4=""),0,COUNTIFS(Formulas!$A$2:$A$1501,BB$4,Formulas!$B$2:$B$1501,$A105))</f>
        <v>0</v>
      </c>
      <c r="BC105" s="21" t="n">
        <f aca="false">IF(OR($A105="",BC$4=""),0,COUNTIFS(Formulas!$A$2:$A$1501,BC$4,Formulas!$B$2:$B$1501,$A105))</f>
        <v>0</v>
      </c>
      <c r="BD105" s="21" t="n">
        <f aca="false">IF(OR($A105="",BD$4=""),0,COUNTIFS(Formulas!$A$2:$A$1501,BD$4,Formulas!$B$2:$B$1501,$A105))</f>
        <v>0</v>
      </c>
      <c r="BE105" s="21" t="n">
        <f aca="false">IF(OR($A105="",BE$4=""),0,COUNTIFS(Formulas!$A$2:$A$1501,BE$4,Formulas!$B$2:$B$1501,$A105))</f>
        <v>0</v>
      </c>
      <c r="BF105" s="21" t="n">
        <f aca="false">IF(OR($A105="",BF$4=""),0,COUNTIFS(Formulas!$A$2:$A$1501,BF$4,Formulas!$B$2:$B$1501,$A105))</f>
        <v>0</v>
      </c>
      <c r="BG105" s="21" t="n">
        <f aca="false">IF(OR($A105="",BG$4=""),0,COUNTIFS(Formulas!$A$2:$A$1501,BG$4,Formulas!$B$2:$B$1501,$A105))</f>
        <v>0</v>
      </c>
      <c r="BH105" s="21" t="n">
        <f aca="false">IF(OR($A105="",BH$4=""),0,COUNTIFS(Formulas!$A$2:$A$1501,BH$4,Formulas!$B$2:$B$1501,$A105))</f>
        <v>0</v>
      </c>
      <c r="BI105" s="21" t="n">
        <f aca="false">IF(OR($A105="",BI$4=""),0,COUNTIFS(Formulas!$A$2:$A$1501,BI$4,Formulas!$B$2:$B$1501,$A105))</f>
        <v>0</v>
      </c>
      <c r="BJ105" s="21" t="n">
        <f aca="false">IF(OR($A105="",BJ$4=""),0,COUNTIFS(Formulas!$A$2:$A$1501,BJ$4,Formulas!$B$2:$B$1501,$A105))</f>
        <v>0</v>
      </c>
    </row>
    <row r="106" customFormat="false" ht="15" hidden="false" customHeight="false" outlineLevel="0" collapsed="false">
      <c r="A106" s="13" t="str">
        <f aca="false">IF(INDEX(Materials!$A$2:$A$201,102)="","",INDEX(Materials!$A$2:$A$201,102))</f>
        <v/>
      </c>
      <c r="B106" s="19" t="str">
        <f aca="false">IF(A106="","",COUNTIF(C106:BJ106,"&gt;0"))</f>
        <v/>
      </c>
      <c r="C106" s="21" t="n">
        <f aca="false">IF(OR($A106="",C$4=""),0,COUNTIFS(Formulas!$A$2:$A$1501,C$4,Formulas!$B$2:$B$1501,$A106))</f>
        <v>0</v>
      </c>
      <c r="D106" s="21" t="n">
        <f aca="false">IF(OR($A106="",D$4=""),0,COUNTIFS(Formulas!$A$2:$A$1501,D$4,Formulas!$B$2:$B$1501,$A106))</f>
        <v>0</v>
      </c>
      <c r="E106" s="21" t="n">
        <f aca="false">IF(OR($A106="",E$4=""),0,COUNTIFS(Formulas!$A$2:$A$1501,E$4,Formulas!$B$2:$B$1501,$A106))</f>
        <v>0</v>
      </c>
      <c r="F106" s="21" t="n">
        <f aca="false">IF(OR($A106="",F$4=""),0,COUNTIFS(Formulas!$A$2:$A$1501,F$4,Formulas!$B$2:$B$1501,$A106))</f>
        <v>0</v>
      </c>
      <c r="G106" s="21" t="n">
        <f aca="false">IF(OR($A106="",G$4=""),0,COUNTIFS(Formulas!$A$2:$A$1501,G$4,Formulas!$B$2:$B$1501,$A106))</f>
        <v>0</v>
      </c>
      <c r="H106" s="21" t="n">
        <f aca="false">IF(OR($A106="",H$4=""),0,COUNTIFS(Formulas!$A$2:$A$1501,H$4,Formulas!$B$2:$B$1501,$A106))</f>
        <v>0</v>
      </c>
      <c r="I106" s="21" t="n">
        <f aca="false">IF(OR($A106="",I$4=""),0,COUNTIFS(Formulas!$A$2:$A$1501,I$4,Formulas!$B$2:$B$1501,$A106))</f>
        <v>0</v>
      </c>
      <c r="J106" s="21" t="n">
        <f aca="false">IF(OR($A106="",J$4=""),0,COUNTIFS(Formulas!$A$2:$A$1501,J$4,Formulas!$B$2:$B$1501,$A106))</f>
        <v>0</v>
      </c>
      <c r="K106" s="21" t="n">
        <f aca="false">IF(OR($A106="",K$4=""),0,COUNTIFS(Formulas!$A$2:$A$1501,K$4,Formulas!$B$2:$B$1501,$A106))</f>
        <v>0</v>
      </c>
      <c r="L106" s="21" t="n">
        <f aca="false">IF(OR($A106="",L$4=""),0,COUNTIFS(Formulas!$A$2:$A$1501,L$4,Formulas!$B$2:$B$1501,$A106))</f>
        <v>0</v>
      </c>
      <c r="M106" s="21" t="n">
        <f aca="false">IF(OR($A106="",M$4=""),0,COUNTIFS(Formulas!$A$2:$A$1501,M$4,Formulas!$B$2:$B$1501,$A106))</f>
        <v>0</v>
      </c>
      <c r="N106" s="21" t="n">
        <f aca="false">IF(OR($A106="",N$4=""),0,COUNTIFS(Formulas!$A$2:$A$1501,N$4,Formulas!$B$2:$B$1501,$A106))</f>
        <v>0</v>
      </c>
      <c r="O106" s="21" t="n">
        <f aca="false">IF(OR($A106="",O$4=""),0,COUNTIFS(Formulas!$A$2:$A$1501,O$4,Formulas!$B$2:$B$1501,$A106))</f>
        <v>0</v>
      </c>
      <c r="P106" s="21" t="n">
        <f aca="false">IF(OR($A106="",P$4=""),0,COUNTIFS(Formulas!$A$2:$A$1501,P$4,Formulas!$B$2:$B$1501,$A106))</f>
        <v>0</v>
      </c>
      <c r="Q106" s="21" t="n">
        <f aca="false">IF(OR($A106="",Q$4=""),0,COUNTIFS(Formulas!$A$2:$A$1501,Q$4,Formulas!$B$2:$B$1501,$A106))</f>
        <v>0</v>
      </c>
      <c r="R106" s="21" t="n">
        <f aca="false">IF(OR($A106="",R$4=""),0,COUNTIFS(Formulas!$A$2:$A$1501,R$4,Formulas!$B$2:$B$1501,$A106))</f>
        <v>0</v>
      </c>
      <c r="S106" s="21" t="n">
        <f aca="false">IF(OR($A106="",S$4=""),0,COUNTIFS(Formulas!$A$2:$A$1501,S$4,Formulas!$B$2:$B$1501,$A106))</f>
        <v>0</v>
      </c>
      <c r="T106" s="21" t="n">
        <f aca="false">IF(OR($A106="",T$4=""),0,COUNTIFS(Formulas!$A$2:$A$1501,T$4,Formulas!$B$2:$B$1501,$A106))</f>
        <v>0</v>
      </c>
      <c r="U106" s="21" t="n">
        <f aca="false">IF(OR($A106="",U$4=""),0,COUNTIFS(Formulas!$A$2:$A$1501,U$4,Formulas!$B$2:$B$1501,$A106))</f>
        <v>0</v>
      </c>
      <c r="V106" s="21" t="n">
        <f aca="false">IF(OR($A106="",V$4=""),0,COUNTIFS(Formulas!$A$2:$A$1501,V$4,Formulas!$B$2:$B$1501,$A106))</f>
        <v>0</v>
      </c>
      <c r="W106" s="21" t="n">
        <f aca="false">IF(OR($A106="",W$4=""),0,COUNTIFS(Formulas!$A$2:$A$1501,W$4,Formulas!$B$2:$B$1501,$A106))</f>
        <v>0</v>
      </c>
      <c r="X106" s="21" t="n">
        <f aca="false">IF(OR($A106="",X$4=""),0,COUNTIFS(Formulas!$A$2:$A$1501,X$4,Formulas!$B$2:$B$1501,$A106))</f>
        <v>0</v>
      </c>
      <c r="Y106" s="21" t="n">
        <f aca="false">IF(OR($A106="",Y$4=""),0,COUNTIFS(Formulas!$A$2:$A$1501,Y$4,Formulas!$B$2:$B$1501,$A106))</f>
        <v>0</v>
      </c>
      <c r="Z106" s="21" t="n">
        <f aca="false">IF(OR($A106="",Z$4=""),0,COUNTIFS(Formulas!$A$2:$A$1501,Z$4,Formulas!$B$2:$B$1501,$A106))</f>
        <v>0</v>
      </c>
      <c r="AA106" s="21" t="n">
        <f aca="false">IF(OR($A106="",AA$4=""),0,COUNTIFS(Formulas!$A$2:$A$1501,AA$4,Formulas!$B$2:$B$1501,$A106))</f>
        <v>0</v>
      </c>
      <c r="AB106" s="21" t="n">
        <f aca="false">IF(OR($A106="",AB$4=""),0,COUNTIFS(Formulas!$A$2:$A$1501,AB$4,Formulas!$B$2:$B$1501,$A106))</f>
        <v>0</v>
      </c>
      <c r="AC106" s="21" t="n">
        <f aca="false">IF(OR($A106="",AC$4=""),0,COUNTIFS(Formulas!$A$2:$A$1501,AC$4,Formulas!$B$2:$B$1501,$A106))</f>
        <v>0</v>
      </c>
      <c r="AD106" s="21" t="n">
        <f aca="false">IF(OR($A106="",AD$4=""),0,COUNTIFS(Formulas!$A$2:$A$1501,AD$4,Formulas!$B$2:$B$1501,$A106))</f>
        <v>0</v>
      </c>
      <c r="AE106" s="21" t="n">
        <f aca="false">IF(OR($A106="",AE$4=""),0,COUNTIFS(Formulas!$A$2:$A$1501,AE$4,Formulas!$B$2:$B$1501,$A106))</f>
        <v>0</v>
      </c>
      <c r="AF106" s="21" t="n">
        <f aca="false">IF(OR($A106="",AF$4=""),0,COUNTIFS(Formulas!$A$2:$A$1501,AF$4,Formulas!$B$2:$B$1501,$A106))</f>
        <v>0</v>
      </c>
      <c r="AG106" s="21" t="n">
        <f aca="false">IF(OR($A106="",AG$4=""),0,COUNTIFS(Formulas!$A$2:$A$1501,AG$4,Formulas!$B$2:$B$1501,$A106))</f>
        <v>0</v>
      </c>
      <c r="AH106" s="21" t="n">
        <f aca="false">IF(OR($A106="",AH$4=""),0,COUNTIFS(Formulas!$A$2:$A$1501,AH$4,Formulas!$B$2:$B$1501,$A106))</f>
        <v>0</v>
      </c>
      <c r="AI106" s="21" t="n">
        <f aca="false">IF(OR($A106="",AI$4=""),0,COUNTIFS(Formulas!$A$2:$A$1501,AI$4,Formulas!$B$2:$B$1501,$A106))</f>
        <v>0</v>
      </c>
      <c r="AJ106" s="21" t="n">
        <f aca="false">IF(OR($A106="",AJ$4=""),0,COUNTIFS(Formulas!$A$2:$A$1501,AJ$4,Formulas!$B$2:$B$1501,$A106))</f>
        <v>0</v>
      </c>
      <c r="AK106" s="21" t="n">
        <f aca="false">IF(OR($A106="",AK$4=""),0,COUNTIFS(Formulas!$A$2:$A$1501,AK$4,Formulas!$B$2:$B$1501,$A106))</f>
        <v>0</v>
      </c>
      <c r="AL106" s="21" t="n">
        <f aca="false">IF(OR($A106="",AL$4=""),0,COUNTIFS(Formulas!$A$2:$A$1501,AL$4,Formulas!$B$2:$B$1501,$A106))</f>
        <v>0</v>
      </c>
      <c r="AM106" s="21" t="n">
        <f aca="false">IF(OR($A106="",AM$4=""),0,COUNTIFS(Formulas!$A$2:$A$1501,AM$4,Formulas!$B$2:$B$1501,$A106))</f>
        <v>0</v>
      </c>
      <c r="AN106" s="21" t="n">
        <f aca="false">IF(OR($A106="",AN$4=""),0,COUNTIFS(Formulas!$A$2:$A$1501,AN$4,Formulas!$B$2:$B$1501,$A106))</f>
        <v>0</v>
      </c>
      <c r="AO106" s="21" t="n">
        <f aca="false">IF(OR($A106="",AO$4=""),0,COUNTIFS(Formulas!$A$2:$A$1501,AO$4,Formulas!$B$2:$B$1501,$A106))</f>
        <v>0</v>
      </c>
      <c r="AP106" s="21" t="n">
        <f aca="false">IF(OR($A106="",AP$4=""),0,COUNTIFS(Formulas!$A$2:$A$1501,AP$4,Formulas!$B$2:$B$1501,$A106))</f>
        <v>0</v>
      </c>
      <c r="AQ106" s="21" t="n">
        <f aca="false">IF(OR($A106="",AQ$4=""),0,COUNTIFS(Formulas!$A$2:$A$1501,AQ$4,Formulas!$B$2:$B$1501,$A106))</f>
        <v>0</v>
      </c>
      <c r="AR106" s="21" t="n">
        <f aca="false">IF(OR($A106="",AR$4=""),0,COUNTIFS(Formulas!$A$2:$A$1501,AR$4,Formulas!$B$2:$B$1501,$A106))</f>
        <v>0</v>
      </c>
      <c r="AS106" s="21" t="n">
        <f aca="false">IF(OR($A106="",AS$4=""),0,COUNTIFS(Formulas!$A$2:$A$1501,AS$4,Formulas!$B$2:$B$1501,$A106))</f>
        <v>0</v>
      </c>
      <c r="AT106" s="21" t="n">
        <f aca="false">IF(OR($A106="",AT$4=""),0,COUNTIFS(Formulas!$A$2:$A$1501,AT$4,Formulas!$B$2:$B$1501,$A106))</f>
        <v>0</v>
      </c>
      <c r="AU106" s="21" t="n">
        <f aca="false">IF(OR($A106="",AU$4=""),0,COUNTIFS(Formulas!$A$2:$A$1501,AU$4,Formulas!$B$2:$B$1501,$A106))</f>
        <v>0</v>
      </c>
      <c r="AV106" s="21" t="n">
        <f aca="false">IF(OR($A106="",AV$4=""),0,COUNTIFS(Formulas!$A$2:$A$1501,AV$4,Formulas!$B$2:$B$1501,$A106))</f>
        <v>0</v>
      </c>
      <c r="AW106" s="21" t="n">
        <f aca="false">IF(OR($A106="",AW$4=""),0,COUNTIFS(Formulas!$A$2:$A$1501,AW$4,Formulas!$B$2:$B$1501,$A106))</f>
        <v>0</v>
      </c>
      <c r="AX106" s="21" t="n">
        <f aca="false">IF(OR($A106="",AX$4=""),0,COUNTIFS(Formulas!$A$2:$A$1501,AX$4,Formulas!$B$2:$B$1501,$A106))</f>
        <v>0</v>
      </c>
      <c r="AY106" s="21" t="n">
        <f aca="false">IF(OR($A106="",AY$4=""),0,COUNTIFS(Formulas!$A$2:$A$1501,AY$4,Formulas!$B$2:$B$1501,$A106))</f>
        <v>0</v>
      </c>
      <c r="AZ106" s="21" t="n">
        <f aca="false">IF(OR($A106="",AZ$4=""),0,COUNTIFS(Formulas!$A$2:$A$1501,AZ$4,Formulas!$B$2:$B$1501,$A106))</f>
        <v>0</v>
      </c>
      <c r="BA106" s="21" t="n">
        <f aca="false">IF(OR($A106="",BA$4=""),0,COUNTIFS(Formulas!$A$2:$A$1501,BA$4,Formulas!$B$2:$B$1501,$A106))</f>
        <v>0</v>
      </c>
      <c r="BB106" s="21" t="n">
        <f aca="false">IF(OR($A106="",BB$4=""),0,COUNTIFS(Formulas!$A$2:$A$1501,BB$4,Formulas!$B$2:$B$1501,$A106))</f>
        <v>0</v>
      </c>
      <c r="BC106" s="21" t="n">
        <f aca="false">IF(OR($A106="",BC$4=""),0,COUNTIFS(Formulas!$A$2:$A$1501,BC$4,Formulas!$B$2:$B$1501,$A106))</f>
        <v>0</v>
      </c>
      <c r="BD106" s="21" t="n">
        <f aca="false">IF(OR($A106="",BD$4=""),0,COUNTIFS(Formulas!$A$2:$A$1501,BD$4,Formulas!$B$2:$B$1501,$A106))</f>
        <v>0</v>
      </c>
      <c r="BE106" s="21" t="n">
        <f aca="false">IF(OR($A106="",BE$4=""),0,COUNTIFS(Formulas!$A$2:$A$1501,BE$4,Formulas!$B$2:$B$1501,$A106))</f>
        <v>0</v>
      </c>
      <c r="BF106" s="21" t="n">
        <f aca="false">IF(OR($A106="",BF$4=""),0,COUNTIFS(Formulas!$A$2:$A$1501,BF$4,Formulas!$B$2:$B$1501,$A106))</f>
        <v>0</v>
      </c>
      <c r="BG106" s="21" t="n">
        <f aca="false">IF(OR($A106="",BG$4=""),0,COUNTIFS(Formulas!$A$2:$A$1501,BG$4,Formulas!$B$2:$B$1501,$A106))</f>
        <v>0</v>
      </c>
      <c r="BH106" s="21" t="n">
        <f aca="false">IF(OR($A106="",BH$4=""),0,COUNTIFS(Formulas!$A$2:$A$1501,BH$4,Formulas!$B$2:$B$1501,$A106))</f>
        <v>0</v>
      </c>
      <c r="BI106" s="21" t="n">
        <f aca="false">IF(OR($A106="",BI$4=""),0,COUNTIFS(Formulas!$A$2:$A$1501,BI$4,Formulas!$B$2:$B$1501,$A106))</f>
        <v>0</v>
      </c>
      <c r="BJ106" s="21" t="n">
        <f aca="false">IF(OR($A106="",BJ$4=""),0,COUNTIFS(Formulas!$A$2:$A$1501,BJ$4,Formulas!$B$2:$B$1501,$A106))</f>
        <v>0</v>
      </c>
    </row>
    <row r="107" customFormat="false" ht="15" hidden="false" customHeight="false" outlineLevel="0" collapsed="false">
      <c r="A107" s="13" t="str">
        <f aca="false">IF(INDEX(Materials!$A$2:$A$201,103)="","",INDEX(Materials!$A$2:$A$201,103))</f>
        <v/>
      </c>
      <c r="B107" s="19" t="str">
        <f aca="false">IF(A107="","",COUNTIF(C107:BJ107,"&gt;0"))</f>
        <v/>
      </c>
      <c r="C107" s="21" t="n">
        <f aca="false">IF(OR($A107="",C$4=""),0,COUNTIFS(Formulas!$A$2:$A$1501,C$4,Formulas!$B$2:$B$1501,$A107))</f>
        <v>0</v>
      </c>
      <c r="D107" s="21" t="n">
        <f aca="false">IF(OR($A107="",D$4=""),0,COUNTIFS(Formulas!$A$2:$A$1501,D$4,Formulas!$B$2:$B$1501,$A107))</f>
        <v>0</v>
      </c>
      <c r="E107" s="21" t="n">
        <f aca="false">IF(OR($A107="",E$4=""),0,COUNTIFS(Formulas!$A$2:$A$1501,E$4,Formulas!$B$2:$B$1501,$A107))</f>
        <v>0</v>
      </c>
      <c r="F107" s="21" t="n">
        <f aca="false">IF(OR($A107="",F$4=""),0,COUNTIFS(Formulas!$A$2:$A$1501,F$4,Formulas!$B$2:$B$1501,$A107))</f>
        <v>0</v>
      </c>
      <c r="G107" s="21" t="n">
        <f aca="false">IF(OR($A107="",G$4=""),0,COUNTIFS(Formulas!$A$2:$A$1501,G$4,Formulas!$B$2:$B$1501,$A107))</f>
        <v>0</v>
      </c>
      <c r="H107" s="21" t="n">
        <f aca="false">IF(OR($A107="",H$4=""),0,COUNTIFS(Formulas!$A$2:$A$1501,H$4,Formulas!$B$2:$B$1501,$A107))</f>
        <v>0</v>
      </c>
      <c r="I107" s="21" t="n">
        <f aca="false">IF(OR($A107="",I$4=""),0,COUNTIFS(Formulas!$A$2:$A$1501,I$4,Formulas!$B$2:$B$1501,$A107))</f>
        <v>0</v>
      </c>
      <c r="J107" s="21" t="n">
        <f aca="false">IF(OR($A107="",J$4=""),0,COUNTIFS(Formulas!$A$2:$A$1501,J$4,Formulas!$B$2:$B$1501,$A107))</f>
        <v>0</v>
      </c>
      <c r="K107" s="21" t="n">
        <f aca="false">IF(OR($A107="",K$4=""),0,COUNTIFS(Formulas!$A$2:$A$1501,K$4,Formulas!$B$2:$B$1501,$A107))</f>
        <v>0</v>
      </c>
      <c r="L107" s="21" t="n">
        <f aca="false">IF(OR($A107="",L$4=""),0,COUNTIFS(Formulas!$A$2:$A$1501,L$4,Formulas!$B$2:$B$1501,$A107))</f>
        <v>0</v>
      </c>
      <c r="M107" s="21" t="n">
        <f aca="false">IF(OR($A107="",M$4=""),0,COUNTIFS(Formulas!$A$2:$A$1501,M$4,Formulas!$B$2:$B$1501,$A107))</f>
        <v>0</v>
      </c>
      <c r="N107" s="21" t="n">
        <f aca="false">IF(OR($A107="",N$4=""),0,COUNTIFS(Formulas!$A$2:$A$1501,N$4,Formulas!$B$2:$B$1501,$A107))</f>
        <v>0</v>
      </c>
      <c r="O107" s="21" t="n">
        <f aca="false">IF(OR($A107="",O$4=""),0,COUNTIFS(Formulas!$A$2:$A$1501,O$4,Formulas!$B$2:$B$1501,$A107))</f>
        <v>0</v>
      </c>
      <c r="P107" s="21" t="n">
        <f aca="false">IF(OR($A107="",P$4=""),0,COUNTIFS(Formulas!$A$2:$A$1501,P$4,Formulas!$B$2:$B$1501,$A107))</f>
        <v>0</v>
      </c>
      <c r="Q107" s="21" t="n">
        <f aca="false">IF(OR($A107="",Q$4=""),0,COUNTIFS(Formulas!$A$2:$A$1501,Q$4,Formulas!$B$2:$B$1501,$A107))</f>
        <v>0</v>
      </c>
      <c r="R107" s="21" t="n">
        <f aca="false">IF(OR($A107="",R$4=""),0,COUNTIFS(Formulas!$A$2:$A$1501,R$4,Formulas!$B$2:$B$1501,$A107))</f>
        <v>0</v>
      </c>
      <c r="S107" s="21" t="n">
        <f aca="false">IF(OR($A107="",S$4=""),0,COUNTIFS(Formulas!$A$2:$A$1501,S$4,Formulas!$B$2:$B$1501,$A107))</f>
        <v>0</v>
      </c>
      <c r="T107" s="21" t="n">
        <f aca="false">IF(OR($A107="",T$4=""),0,COUNTIFS(Formulas!$A$2:$A$1501,T$4,Formulas!$B$2:$B$1501,$A107))</f>
        <v>0</v>
      </c>
      <c r="U107" s="21" t="n">
        <f aca="false">IF(OR($A107="",U$4=""),0,COUNTIFS(Formulas!$A$2:$A$1501,U$4,Formulas!$B$2:$B$1501,$A107))</f>
        <v>0</v>
      </c>
      <c r="V107" s="21" t="n">
        <f aca="false">IF(OR($A107="",V$4=""),0,COUNTIFS(Formulas!$A$2:$A$1501,V$4,Formulas!$B$2:$B$1501,$A107))</f>
        <v>0</v>
      </c>
      <c r="W107" s="21" t="n">
        <f aca="false">IF(OR($A107="",W$4=""),0,COUNTIFS(Formulas!$A$2:$A$1501,W$4,Formulas!$B$2:$B$1501,$A107))</f>
        <v>0</v>
      </c>
      <c r="X107" s="21" t="n">
        <f aca="false">IF(OR($A107="",X$4=""),0,COUNTIFS(Formulas!$A$2:$A$1501,X$4,Formulas!$B$2:$B$1501,$A107))</f>
        <v>0</v>
      </c>
      <c r="Y107" s="21" t="n">
        <f aca="false">IF(OR($A107="",Y$4=""),0,COUNTIFS(Formulas!$A$2:$A$1501,Y$4,Formulas!$B$2:$B$1501,$A107))</f>
        <v>0</v>
      </c>
      <c r="Z107" s="21" t="n">
        <f aca="false">IF(OR($A107="",Z$4=""),0,COUNTIFS(Formulas!$A$2:$A$1501,Z$4,Formulas!$B$2:$B$1501,$A107))</f>
        <v>0</v>
      </c>
      <c r="AA107" s="21" t="n">
        <f aca="false">IF(OR($A107="",AA$4=""),0,COUNTIFS(Formulas!$A$2:$A$1501,AA$4,Formulas!$B$2:$B$1501,$A107))</f>
        <v>0</v>
      </c>
      <c r="AB107" s="21" t="n">
        <f aca="false">IF(OR($A107="",AB$4=""),0,COUNTIFS(Formulas!$A$2:$A$1501,AB$4,Formulas!$B$2:$B$1501,$A107))</f>
        <v>0</v>
      </c>
      <c r="AC107" s="21" t="n">
        <f aca="false">IF(OR($A107="",AC$4=""),0,COUNTIFS(Formulas!$A$2:$A$1501,AC$4,Formulas!$B$2:$B$1501,$A107))</f>
        <v>0</v>
      </c>
      <c r="AD107" s="21" t="n">
        <f aca="false">IF(OR($A107="",AD$4=""),0,COUNTIFS(Formulas!$A$2:$A$1501,AD$4,Formulas!$B$2:$B$1501,$A107))</f>
        <v>0</v>
      </c>
      <c r="AE107" s="21" t="n">
        <f aca="false">IF(OR($A107="",AE$4=""),0,COUNTIFS(Formulas!$A$2:$A$1501,AE$4,Formulas!$B$2:$B$1501,$A107))</f>
        <v>0</v>
      </c>
      <c r="AF107" s="21" t="n">
        <f aca="false">IF(OR($A107="",AF$4=""),0,COUNTIFS(Formulas!$A$2:$A$1501,AF$4,Formulas!$B$2:$B$1501,$A107))</f>
        <v>0</v>
      </c>
      <c r="AG107" s="21" t="n">
        <f aca="false">IF(OR($A107="",AG$4=""),0,COUNTIFS(Formulas!$A$2:$A$1501,AG$4,Formulas!$B$2:$B$1501,$A107))</f>
        <v>0</v>
      </c>
      <c r="AH107" s="21" t="n">
        <f aca="false">IF(OR($A107="",AH$4=""),0,COUNTIFS(Formulas!$A$2:$A$1501,AH$4,Formulas!$B$2:$B$1501,$A107))</f>
        <v>0</v>
      </c>
      <c r="AI107" s="21" t="n">
        <f aca="false">IF(OR($A107="",AI$4=""),0,COUNTIFS(Formulas!$A$2:$A$1501,AI$4,Formulas!$B$2:$B$1501,$A107))</f>
        <v>0</v>
      </c>
      <c r="AJ107" s="21" t="n">
        <f aca="false">IF(OR($A107="",AJ$4=""),0,COUNTIFS(Formulas!$A$2:$A$1501,AJ$4,Formulas!$B$2:$B$1501,$A107))</f>
        <v>0</v>
      </c>
      <c r="AK107" s="21" t="n">
        <f aca="false">IF(OR($A107="",AK$4=""),0,COUNTIFS(Formulas!$A$2:$A$1501,AK$4,Formulas!$B$2:$B$1501,$A107))</f>
        <v>0</v>
      </c>
      <c r="AL107" s="21" t="n">
        <f aca="false">IF(OR($A107="",AL$4=""),0,COUNTIFS(Formulas!$A$2:$A$1501,AL$4,Formulas!$B$2:$B$1501,$A107))</f>
        <v>0</v>
      </c>
      <c r="AM107" s="21" t="n">
        <f aca="false">IF(OR($A107="",AM$4=""),0,COUNTIFS(Formulas!$A$2:$A$1501,AM$4,Formulas!$B$2:$B$1501,$A107))</f>
        <v>0</v>
      </c>
      <c r="AN107" s="21" t="n">
        <f aca="false">IF(OR($A107="",AN$4=""),0,COUNTIFS(Formulas!$A$2:$A$1501,AN$4,Formulas!$B$2:$B$1501,$A107))</f>
        <v>0</v>
      </c>
      <c r="AO107" s="21" t="n">
        <f aca="false">IF(OR($A107="",AO$4=""),0,COUNTIFS(Formulas!$A$2:$A$1501,AO$4,Formulas!$B$2:$B$1501,$A107))</f>
        <v>0</v>
      </c>
      <c r="AP107" s="21" t="n">
        <f aca="false">IF(OR($A107="",AP$4=""),0,COUNTIFS(Formulas!$A$2:$A$1501,AP$4,Formulas!$B$2:$B$1501,$A107))</f>
        <v>0</v>
      </c>
      <c r="AQ107" s="21" t="n">
        <f aca="false">IF(OR($A107="",AQ$4=""),0,COUNTIFS(Formulas!$A$2:$A$1501,AQ$4,Formulas!$B$2:$B$1501,$A107))</f>
        <v>0</v>
      </c>
      <c r="AR107" s="21" t="n">
        <f aca="false">IF(OR($A107="",AR$4=""),0,COUNTIFS(Formulas!$A$2:$A$1501,AR$4,Formulas!$B$2:$B$1501,$A107))</f>
        <v>0</v>
      </c>
      <c r="AS107" s="21" t="n">
        <f aca="false">IF(OR($A107="",AS$4=""),0,COUNTIFS(Formulas!$A$2:$A$1501,AS$4,Formulas!$B$2:$B$1501,$A107))</f>
        <v>0</v>
      </c>
      <c r="AT107" s="21" t="n">
        <f aca="false">IF(OR($A107="",AT$4=""),0,COUNTIFS(Formulas!$A$2:$A$1501,AT$4,Formulas!$B$2:$B$1501,$A107))</f>
        <v>0</v>
      </c>
      <c r="AU107" s="21" t="n">
        <f aca="false">IF(OR($A107="",AU$4=""),0,COUNTIFS(Formulas!$A$2:$A$1501,AU$4,Formulas!$B$2:$B$1501,$A107))</f>
        <v>0</v>
      </c>
      <c r="AV107" s="21" t="n">
        <f aca="false">IF(OR($A107="",AV$4=""),0,COUNTIFS(Formulas!$A$2:$A$1501,AV$4,Formulas!$B$2:$B$1501,$A107))</f>
        <v>0</v>
      </c>
      <c r="AW107" s="21" t="n">
        <f aca="false">IF(OR($A107="",AW$4=""),0,COUNTIFS(Formulas!$A$2:$A$1501,AW$4,Formulas!$B$2:$B$1501,$A107))</f>
        <v>0</v>
      </c>
      <c r="AX107" s="21" t="n">
        <f aca="false">IF(OR($A107="",AX$4=""),0,COUNTIFS(Formulas!$A$2:$A$1501,AX$4,Formulas!$B$2:$B$1501,$A107))</f>
        <v>0</v>
      </c>
      <c r="AY107" s="21" t="n">
        <f aca="false">IF(OR($A107="",AY$4=""),0,COUNTIFS(Formulas!$A$2:$A$1501,AY$4,Formulas!$B$2:$B$1501,$A107))</f>
        <v>0</v>
      </c>
      <c r="AZ107" s="21" t="n">
        <f aca="false">IF(OR($A107="",AZ$4=""),0,COUNTIFS(Formulas!$A$2:$A$1501,AZ$4,Formulas!$B$2:$B$1501,$A107))</f>
        <v>0</v>
      </c>
      <c r="BA107" s="21" t="n">
        <f aca="false">IF(OR($A107="",BA$4=""),0,COUNTIFS(Formulas!$A$2:$A$1501,BA$4,Formulas!$B$2:$B$1501,$A107))</f>
        <v>0</v>
      </c>
      <c r="BB107" s="21" t="n">
        <f aca="false">IF(OR($A107="",BB$4=""),0,COUNTIFS(Formulas!$A$2:$A$1501,BB$4,Formulas!$B$2:$B$1501,$A107))</f>
        <v>0</v>
      </c>
      <c r="BC107" s="21" t="n">
        <f aca="false">IF(OR($A107="",BC$4=""),0,COUNTIFS(Formulas!$A$2:$A$1501,BC$4,Formulas!$B$2:$B$1501,$A107))</f>
        <v>0</v>
      </c>
      <c r="BD107" s="21" t="n">
        <f aca="false">IF(OR($A107="",BD$4=""),0,COUNTIFS(Formulas!$A$2:$A$1501,BD$4,Formulas!$B$2:$B$1501,$A107))</f>
        <v>0</v>
      </c>
      <c r="BE107" s="21" t="n">
        <f aca="false">IF(OR($A107="",BE$4=""),0,COUNTIFS(Formulas!$A$2:$A$1501,BE$4,Formulas!$B$2:$B$1501,$A107))</f>
        <v>0</v>
      </c>
      <c r="BF107" s="21" t="n">
        <f aca="false">IF(OR($A107="",BF$4=""),0,COUNTIFS(Formulas!$A$2:$A$1501,BF$4,Formulas!$B$2:$B$1501,$A107))</f>
        <v>0</v>
      </c>
      <c r="BG107" s="21" t="n">
        <f aca="false">IF(OR($A107="",BG$4=""),0,COUNTIFS(Formulas!$A$2:$A$1501,BG$4,Formulas!$B$2:$B$1501,$A107))</f>
        <v>0</v>
      </c>
      <c r="BH107" s="21" t="n">
        <f aca="false">IF(OR($A107="",BH$4=""),0,COUNTIFS(Formulas!$A$2:$A$1501,BH$4,Formulas!$B$2:$B$1501,$A107))</f>
        <v>0</v>
      </c>
      <c r="BI107" s="21" t="n">
        <f aca="false">IF(OR($A107="",BI$4=""),0,COUNTIFS(Formulas!$A$2:$A$1501,BI$4,Formulas!$B$2:$B$1501,$A107))</f>
        <v>0</v>
      </c>
      <c r="BJ107" s="21" t="n">
        <f aca="false">IF(OR($A107="",BJ$4=""),0,COUNTIFS(Formulas!$A$2:$A$1501,BJ$4,Formulas!$B$2:$B$1501,$A107))</f>
        <v>0</v>
      </c>
    </row>
    <row r="108" customFormat="false" ht="15" hidden="false" customHeight="false" outlineLevel="0" collapsed="false">
      <c r="A108" s="13" t="str">
        <f aca="false">IF(INDEX(Materials!$A$2:$A$201,104)="","",INDEX(Materials!$A$2:$A$201,104))</f>
        <v/>
      </c>
      <c r="B108" s="19" t="str">
        <f aca="false">IF(A108="","",COUNTIF(C108:BJ108,"&gt;0"))</f>
        <v/>
      </c>
      <c r="C108" s="21" t="n">
        <f aca="false">IF(OR($A108="",C$4=""),0,COUNTIFS(Formulas!$A$2:$A$1501,C$4,Formulas!$B$2:$B$1501,$A108))</f>
        <v>0</v>
      </c>
      <c r="D108" s="21" t="n">
        <f aca="false">IF(OR($A108="",D$4=""),0,COUNTIFS(Formulas!$A$2:$A$1501,D$4,Formulas!$B$2:$B$1501,$A108))</f>
        <v>0</v>
      </c>
      <c r="E108" s="21" t="n">
        <f aca="false">IF(OR($A108="",E$4=""),0,COUNTIFS(Formulas!$A$2:$A$1501,E$4,Formulas!$B$2:$B$1501,$A108))</f>
        <v>0</v>
      </c>
      <c r="F108" s="21" t="n">
        <f aca="false">IF(OR($A108="",F$4=""),0,COUNTIFS(Formulas!$A$2:$A$1501,F$4,Formulas!$B$2:$B$1501,$A108))</f>
        <v>0</v>
      </c>
      <c r="G108" s="21" t="n">
        <f aca="false">IF(OR($A108="",G$4=""),0,COUNTIFS(Formulas!$A$2:$A$1501,G$4,Formulas!$B$2:$B$1501,$A108))</f>
        <v>0</v>
      </c>
      <c r="H108" s="21" t="n">
        <f aca="false">IF(OR($A108="",H$4=""),0,COUNTIFS(Formulas!$A$2:$A$1501,H$4,Formulas!$B$2:$B$1501,$A108))</f>
        <v>0</v>
      </c>
      <c r="I108" s="21" t="n">
        <f aca="false">IF(OR($A108="",I$4=""),0,COUNTIFS(Formulas!$A$2:$A$1501,I$4,Formulas!$B$2:$B$1501,$A108))</f>
        <v>0</v>
      </c>
      <c r="J108" s="21" t="n">
        <f aca="false">IF(OR($A108="",J$4=""),0,COUNTIFS(Formulas!$A$2:$A$1501,J$4,Formulas!$B$2:$B$1501,$A108))</f>
        <v>0</v>
      </c>
      <c r="K108" s="21" t="n">
        <f aca="false">IF(OR($A108="",K$4=""),0,COUNTIFS(Formulas!$A$2:$A$1501,K$4,Formulas!$B$2:$B$1501,$A108))</f>
        <v>0</v>
      </c>
      <c r="L108" s="21" t="n">
        <f aca="false">IF(OR($A108="",L$4=""),0,COUNTIFS(Formulas!$A$2:$A$1501,L$4,Formulas!$B$2:$B$1501,$A108))</f>
        <v>0</v>
      </c>
      <c r="M108" s="21" t="n">
        <f aca="false">IF(OR($A108="",M$4=""),0,COUNTIFS(Formulas!$A$2:$A$1501,M$4,Formulas!$B$2:$B$1501,$A108))</f>
        <v>0</v>
      </c>
      <c r="N108" s="21" t="n">
        <f aca="false">IF(OR($A108="",N$4=""),0,COUNTIFS(Formulas!$A$2:$A$1501,N$4,Formulas!$B$2:$B$1501,$A108))</f>
        <v>0</v>
      </c>
      <c r="O108" s="21" t="n">
        <f aca="false">IF(OR($A108="",O$4=""),0,COUNTIFS(Formulas!$A$2:$A$1501,O$4,Formulas!$B$2:$B$1501,$A108))</f>
        <v>0</v>
      </c>
      <c r="P108" s="21" t="n">
        <f aca="false">IF(OR($A108="",P$4=""),0,COUNTIFS(Formulas!$A$2:$A$1501,P$4,Formulas!$B$2:$B$1501,$A108))</f>
        <v>0</v>
      </c>
      <c r="Q108" s="21" t="n">
        <f aca="false">IF(OR($A108="",Q$4=""),0,COUNTIFS(Formulas!$A$2:$A$1501,Q$4,Formulas!$B$2:$B$1501,$A108))</f>
        <v>0</v>
      </c>
      <c r="R108" s="21" t="n">
        <f aca="false">IF(OR($A108="",R$4=""),0,COUNTIFS(Formulas!$A$2:$A$1501,R$4,Formulas!$B$2:$B$1501,$A108))</f>
        <v>0</v>
      </c>
      <c r="S108" s="21" t="n">
        <f aca="false">IF(OR($A108="",S$4=""),0,COUNTIFS(Formulas!$A$2:$A$1501,S$4,Formulas!$B$2:$B$1501,$A108))</f>
        <v>0</v>
      </c>
      <c r="T108" s="21" t="n">
        <f aca="false">IF(OR($A108="",T$4=""),0,COUNTIFS(Formulas!$A$2:$A$1501,T$4,Formulas!$B$2:$B$1501,$A108))</f>
        <v>0</v>
      </c>
      <c r="U108" s="21" t="n">
        <f aca="false">IF(OR($A108="",U$4=""),0,COUNTIFS(Formulas!$A$2:$A$1501,U$4,Formulas!$B$2:$B$1501,$A108))</f>
        <v>0</v>
      </c>
      <c r="V108" s="21" t="n">
        <f aca="false">IF(OR($A108="",V$4=""),0,COUNTIFS(Formulas!$A$2:$A$1501,V$4,Formulas!$B$2:$B$1501,$A108))</f>
        <v>0</v>
      </c>
      <c r="W108" s="21" t="n">
        <f aca="false">IF(OR($A108="",W$4=""),0,COUNTIFS(Formulas!$A$2:$A$1501,W$4,Formulas!$B$2:$B$1501,$A108))</f>
        <v>0</v>
      </c>
      <c r="X108" s="21" t="n">
        <f aca="false">IF(OR($A108="",X$4=""),0,COUNTIFS(Formulas!$A$2:$A$1501,X$4,Formulas!$B$2:$B$1501,$A108))</f>
        <v>0</v>
      </c>
      <c r="Y108" s="21" t="n">
        <f aca="false">IF(OR($A108="",Y$4=""),0,COUNTIFS(Formulas!$A$2:$A$1501,Y$4,Formulas!$B$2:$B$1501,$A108))</f>
        <v>0</v>
      </c>
      <c r="Z108" s="21" t="n">
        <f aca="false">IF(OR($A108="",Z$4=""),0,COUNTIFS(Formulas!$A$2:$A$1501,Z$4,Formulas!$B$2:$B$1501,$A108))</f>
        <v>0</v>
      </c>
      <c r="AA108" s="21" t="n">
        <f aca="false">IF(OR($A108="",AA$4=""),0,COUNTIFS(Formulas!$A$2:$A$1501,AA$4,Formulas!$B$2:$B$1501,$A108))</f>
        <v>0</v>
      </c>
      <c r="AB108" s="21" t="n">
        <f aca="false">IF(OR($A108="",AB$4=""),0,COUNTIFS(Formulas!$A$2:$A$1501,AB$4,Formulas!$B$2:$B$1501,$A108))</f>
        <v>0</v>
      </c>
      <c r="AC108" s="21" t="n">
        <f aca="false">IF(OR($A108="",AC$4=""),0,COUNTIFS(Formulas!$A$2:$A$1501,AC$4,Formulas!$B$2:$B$1501,$A108))</f>
        <v>0</v>
      </c>
      <c r="AD108" s="21" t="n">
        <f aca="false">IF(OR($A108="",AD$4=""),0,COUNTIFS(Formulas!$A$2:$A$1501,AD$4,Formulas!$B$2:$B$1501,$A108))</f>
        <v>0</v>
      </c>
      <c r="AE108" s="21" t="n">
        <f aca="false">IF(OR($A108="",AE$4=""),0,COUNTIFS(Formulas!$A$2:$A$1501,AE$4,Formulas!$B$2:$B$1501,$A108))</f>
        <v>0</v>
      </c>
      <c r="AF108" s="21" t="n">
        <f aca="false">IF(OR($A108="",AF$4=""),0,COUNTIFS(Formulas!$A$2:$A$1501,AF$4,Formulas!$B$2:$B$1501,$A108))</f>
        <v>0</v>
      </c>
      <c r="AG108" s="21" t="n">
        <f aca="false">IF(OR($A108="",AG$4=""),0,COUNTIFS(Formulas!$A$2:$A$1501,AG$4,Formulas!$B$2:$B$1501,$A108))</f>
        <v>0</v>
      </c>
      <c r="AH108" s="21" t="n">
        <f aca="false">IF(OR($A108="",AH$4=""),0,COUNTIFS(Formulas!$A$2:$A$1501,AH$4,Formulas!$B$2:$B$1501,$A108))</f>
        <v>0</v>
      </c>
      <c r="AI108" s="21" t="n">
        <f aca="false">IF(OR($A108="",AI$4=""),0,COUNTIFS(Formulas!$A$2:$A$1501,AI$4,Formulas!$B$2:$B$1501,$A108))</f>
        <v>0</v>
      </c>
      <c r="AJ108" s="21" t="n">
        <f aca="false">IF(OR($A108="",AJ$4=""),0,COUNTIFS(Formulas!$A$2:$A$1501,AJ$4,Formulas!$B$2:$B$1501,$A108))</f>
        <v>0</v>
      </c>
      <c r="AK108" s="21" t="n">
        <f aca="false">IF(OR($A108="",AK$4=""),0,COUNTIFS(Formulas!$A$2:$A$1501,AK$4,Formulas!$B$2:$B$1501,$A108))</f>
        <v>0</v>
      </c>
      <c r="AL108" s="21" t="n">
        <f aca="false">IF(OR($A108="",AL$4=""),0,COUNTIFS(Formulas!$A$2:$A$1501,AL$4,Formulas!$B$2:$B$1501,$A108))</f>
        <v>0</v>
      </c>
      <c r="AM108" s="21" t="n">
        <f aca="false">IF(OR($A108="",AM$4=""),0,COUNTIFS(Formulas!$A$2:$A$1501,AM$4,Formulas!$B$2:$B$1501,$A108))</f>
        <v>0</v>
      </c>
      <c r="AN108" s="21" t="n">
        <f aca="false">IF(OR($A108="",AN$4=""),0,COUNTIFS(Formulas!$A$2:$A$1501,AN$4,Formulas!$B$2:$B$1501,$A108))</f>
        <v>0</v>
      </c>
      <c r="AO108" s="21" t="n">
        <f aca="false">IF(OR($A108="",AO$4=""),0,COUNTIFS(Formulas!$A$2:$A$1501,AO$4,Formulas!$B$2:$B$1501,$A108))</f>
        <v>0</v>
      </c>
      <c r="AP108" s="21" t="n">
        <f aca="false">IF(OR($A108="",AP$4=""),0,COUNTIFS(Formulas!$A$2:$A$1501,AP$4,Formulas!$B$2:$B$1501,$A108))</f>
        <v>0</v>
      </c>
      <c r="AQ108" s="21" t="n">
        <f aca="false">IF(OR($A108="",AQ$4=""),0,COUNTIFS(Formulas!$A$2:$A$1501,AQ$4,Formulas!$B$2:$B$1501,$A108))</f>
        <v>0</v>
      </c>
      <c r="AR108" s="21" t="n">
        <f aca="false">IF(OR($A108="",AR$4=""),0,COUNTIFS(Formulas!$A$2:$A$1501,AR$4,Formulas!$B$2:$B$1501,$A108))</f>
        <v>0</v>
      </c>
      <c r="AS108" s="21" t="n">
        <f aca="false">IF(OR($A108="",AS$4=""),0,COUNTIFS(Formulas!$A$2:$A$1501,AS$4,Formulas!$B$2:$B$1501,$A108))</f>
        <v>0</v>
      </c>
      <c r="AT108" s="21" t="n">
        <f aca="false">IF(OR($A108="",AT$4=""),0,COUNTIFS(Formulas!$A$2:$A$1501,AT$4,Formulas!$B$2:$B$1501,$A108))</f>
        <v>0</v>
      </c>
      <c r="AU108" s="21" t="n">
        <f aca="false">IF(OR($A108="",AU$4=""),0,COUNTIFS(Formulas!$A$2:$A$1501,AU$4,Formulas!$B$2:$B$1501,$A108))</f>
        <v>0</v>
      </c>
      <c r="AV108" s="21" t="n">
        <f aca="false">IF(OR($A108="",AV$4=""),0,COUNTIFS(Formulas!$A$2:$A$1501,AV$4,Formulas!$B$2:$B$1501,$A108))</f>
        <v>0</v>
      </c>
      <c r="AW108" s="21" t="n">
        <f aca="false">IF(OR($A108="",AW$4=""),0,COUNTIFS(Formulas!$A$2:$A$1501,AW$4,Formulas!$B$2:$B$1501,$A108))</f>
        <v>0</v>
      </c>
      <c r="AX108" s="21" t="n">
        <f aca="false">IF(OR($A108="",AX$4=""),0,COUNTIFS(Formulas!$A$2:$A$1501,AX$4,Formulas!$B$2:$B$1501,$A108))</f>
        <v>0</v>
      </c>
      <c r="AY108" s="21" t="n">
        <f aca="false">IF(OR($A108="",AY$4=""),0,COUNTIFS(Formulas!$A$2:$A$1501,AY$4,Formulas!$B$2:$B$1501,$A108))</f>
        <v>0</v>
      </c>
      <c r="AZ108" s="21" t="n">
        <f aca="false">IF(OR($A108="",AZ$4=""),0,COUNTIFS(Formulas!$A$2:$A$1501,AZ$4,Formulas!$B$2:$B$1501,$A108))</f>
        <v>0</v>
      </c>
      <c r="BA108" s="21" t="n">
        <f aca="false">IF(OR($A108="",BA$4=""),0,COUNTIFS(Formulas!$A$2:$A$1501,BA$4,Formulas!$B$2:$B$1501,$A108))</f>
        <v>0</v>
      </c>
      <c r="BB108" s="21" t="n">
        <f aca="false">IF(OR($A108="",BB$4=""),0,COUNTIFS(Formulas!$A$2:$A$1501,BB$4,Formulas!$B$2:$B$1501,$A108))</f>
        <v>0</v>
      </c>
      <c r="BC108" s="21" t="n">
        <f aca="false">IF(OR($A108="",BC$4=""),0,COUNTIFS(Formulas!$A$2:$A$1501,BC$4,Formulas!$B$2:$B$1501,$A108))</f>
        <v>0</v>
      </c>
      <c r="BD108" s="21" t="n">
        <f aca="false">IF(OR($A108="",BD$4=""),0,COUNTIFS(Formulas!$A$2:$A$1501,BD$4,Formulas!$B$2:$B$1501,$A108))</f>
        <v>0</v>
      </c>
      <c r="BE108" s="21" t="n">
        <f aca="false">IF(OR($A108="",BE$4=""),0,COUNTIFS(Formulas!$A$2:$A$1501,BE$4,Formulas!$B$2:$B$1501,$A108))</f>
        <v>0</v>
      </c>
      <c r="BF108" s="21" t="n">
        <f aca="false">IF(OR($A108="",BF$4=""),0,COUNTIFS(Formulas!$A$2:$A$1501,BF$4,Formulas!$B$2:$B$1501,$A108))</f>
        <v>0</v>
      </c>
      <c r="BG108" s="21" t="n">
        <f aca="false">IF(OR($A108="",BG$4=""),0,COUNTIFS(Formulas!$A$2:$A$1501,BG$4,Formulas!$B$2:$B$1501,$A108))</f>
        <v>0</v>
      </c>
      <c r="BH108" s="21" t="n">
        <f aca="false">IF(OR($A108="",BH$4=""),0,COUNTIFS(Formulas!$A$2:$A$1501,BH$4,Formulas!$B$2:$B$1501,$A108))</f>
        <v>0</v>
      </c>
      <c r="BI108" s="21" t="n">
        <f aca="false">IF(OR($A108="",BI$4=""),0,COUNTIFS(Formulas!$A$2:$A$1501,BI$4,Formulas!$B$2:$B$1501,$A108))</f>
        <v>0</v>
      </c>
      <c r="BJ108" s="21" t="n">
        <f aca="false">IF(OR($A108="",BJ$4=""),0,COUNTIFS(Formulas!$A$2:$A$1501,BJ$4,Formulas!$B$2:$B$1501,$A108))</f>
        <v>0</v>
      </c>
    </row>
    <row r="109" customFormat="false" ht="15" hidden="false" customHeight="false" outlineLevel="0" collapsed="false">
      <c r="A109" s="13" t="str">
        <f aca="false">IF(INDEX(Materials!$A$2:$A$201,105)="","",INDEX(Materials!$A$2:$A$201,105))</f>
        <v/>
      </c>
      <c r="B109" s="19" t="str">
        <f aca="false">IF(A109="","",COUNTIF(C109:BJ109,"&gt;0"))</f>
        <v/>
      </c>
      <c r="C109" s="21" t="n">
        <f aca="false">IF(OR($A109="",C$4=""),0,COUNTIFS(Formulas!$A$2:$A$1501,C$4,Formulas!$B$2:$B$1501,$A109))</f>
        <v>0</v>
      </c>
      <c r="D109" s="21" t="n">
        <f aca="false">IF(OR($A109="",D$4=""),0,COUNTIFS(Formulas!$A$2:$A$1501,D$4,Formulas!$B$2:$B$1501,$A109))</f>
        <v>0</v>
      </c>
      <c r="E109" s="21" t="n">
        <f aca="false">IF(OR($A109="",E$4=""),0,COUNTIFS(Formulas!$A$2:$A$1501,E$4,Formulas!$B$2:$B$1501,$A109))</f>
        <v>0</v>
      </c>
      <c r="F109" s="21" t="n">
        <f aca="false">IF(OR($A109="",F$4=""),0,COUNTIFS(Formulas!$A$2:$A$1501,F$4,Formulas!$B$2:$B$1501,$A109))</f>
        <v>0</v>
      </c>
      <c r="G109" s="21" t="n">
        <f aca="false">IF(OR($A109="",G$4=""),0,COUNTIFS(Formulas!$A$2:$A$1501,G$4,Formulas!$B$2:$B$1501,$A109))</f>
        <v>0</v>
      </c>
      <c r="H109" s="21" t="n">
        <f aca="false">IF(OR($A109="",H$4=""),0,COUNTIFS(Formulas!$A$2:$A$1501,H$4,Formulas!$B$2:$B$1501,$A109))</f>
        <v>0</v>
      </c>
      <c r="I109" s="21" t="n">
        <f aca="false">IF(OR($A109="",I$4=""),0,COUNTIFS(Formulas!$A$2:$A$1501,I$4,Formulas!$B$2:$B$1501,$A109))</f>
        <v>0</v>
      </c>
      <c r="J109" s="21" t="n">
        <f aca="false">IF(OR($A109="",J$4=""),0,COUNTIFS(Formulas!$A$2:$A$1501,J$4,Formulas!$B$2:$B$1501,$A109))</f>
        <v>0</v>
      </c>
      <c r="K109" s="21" t="n">
        <f aca="false">IF(OR($A109="",K$4=""),0,COUNTIFS(Formulas!$A$2:$A$1501,K$4,Formulas!$B$2:$B$1501,$A109))</f>
        <v>0</v>
      </c>
      <c r="L109" s="21" t="n">
        <f aca="false">IF(OR($A109="",L$4=""),0,COUNTIFS(Formulas!$A$2:$A$1501,L$4,Formulas!$B$2:$B$1501,$A109))</f>
        <v>0</v>
      </c>
      <c r="M109" s="21" t="n">
        <f aca="false">IF(OR($A109="",M$4=""),0,COUNTIFS(Formulas!$A$2:$A$1501,M$4,Formulas!$B$2:$B$1501,$A109))</f>
        <v>0</v>
      </c>
      <c r="N109" s="21" t="n">
        <f aca="false">IF(OR($A109="",N$4=""),0,COUNTIFS(Formulas!$A$2:$A$1501,N$4,Formulas!$B$2:$B$1501,$A109))</f>
        <v>0</v>
      </c>
      <c r="O109" s="21" t="n">
        <f aca="false">IF(OR($A109="",O$4=""),0,COUNTIFS(Formulas!$A$2:$A$1501,O$4,Formulas!$B$2:$B$1501,$A109))</f>
        <v>0</v>
      </c>
      <c r="P109" s="21" t="n">
        <f aca="false">IF(OR($A109="",P$4=""),0,COUNTIFS(Formulas!$A$2:$A$1501,P$4,Formulas!$B$2:$B$1501,$A109))</f>
        <v>0</v>
      </c>
      <c r="Q109" s="21" t="n">
        <f aca="false">IF(OR($A109="",Q$4=""),0,COUNTIFS(Formulas!$A$2:$A$1501,Q$4,Formulas!$B$2:$B$1501,$A109))</f>
        <v>0</v>
      </c>
      <c r="R109" s="21" t="n">
        <f aca="false">IF(OR($A109="",R$4=""),0,COUNTIFS(Formulas!$A$2:$A$1501,R$4,Formulas!$B$2:$B$1501,$A109))</f>
        <v>0</v>
      </c>
      <c r="S109" s="21" t="n">
        <f aca="false">IF(OR($A109="",S$4=""),0,COUNTIFS(Formulas!$A$2:$A$1501,S$4,Formulas!$B$2:$B$1501,$A109))</f>
        <v>0</v>
      </c>
      <c r="T109" s="21" t="n">
        <f aca="false">IF(OR($A109="",T$4=""),0,COUNTIFS(Formulas!$A$2:$A$1501,T$4,Formulas!$B$2:$B$1501,$A109))</f>
        <v>0</v>
      </c>
      <c r="U109" s="21" t="n">
        <f aca="false">IF(OR($A109="",U$4=""),0,COUNTIFS(Formulas!$A$2:$A$1501,U$4,Formulas!$B$2:$B$1501,$A109))</f>
        <v>0</v>
      </c>
      <c r="V109" s="21" t="n">
        <f aca="false">IF(OR($A109="",V$4=""),0,COUNTIFS(Formulas!$A$2:$A$1501,V$4,Formulas!$B$2:$B$1501,$A109))</f>
        <v>0</v>
      </c>
      <c r="W109" s="21" t="n">
        <f aca="false">IF(OR($A109="",W$4=""),0,COUNTIFS(Formulas!$A$2:$A$1501,W$4,Formulas!$B$2:$B$1501,$A109))</f>
        <v>0</v>
      </c>
      <c r="X109" s="21" t="n">
        <f aca="false">IF(OR($A109="",X$4=""),0,COUNTIFS(Formulas!$A$2:$A$1501,X$4,Formulas!$B$2:$B$1501,$A109))</f>
        <v>0</v>
      </c>
      <c r="Y109" s="21" t="n">
        <f aca="false">IF(OR($A109="",Y$4=""),0,COUNTIFS(Formulas!$A$2:$A$1501,Y$4,Formulas!$B$2:$B$1501,$A109))</f>
        <v>0</v>
      </c>
      <c r="Z109" s="21" t="n">
        <f aca="false">IF(OR($A109="",Z$4=""),0,COUNTIFS(Formulas!$A$2:$A$1501,Z$4,Formulas!$B$2:$B$1501,$A109))</f>
        <v>0</v>
      </c>
      <c r="AA109" s="21" t="n">
        <f aca="false">IF(OR($A109="",AA$4=""),0,COUNTIFS(Formulas!$A$2:$A$1501,AA$4,Formulas!$B$2:$B$1501,$A109))</f>
        <v>0</v>
      </c>
      <c r="AB109" s="21" t="n">
        <f aca="false">IF(OR($A109="",AB$4=""),0,COUNTIFS(Formulas!$A$2:$A$1501,AB$4,Formulas!$B$2:$B$1501,$A109))</f>
        <v>0</v>
      </c>
      <c r="AC109" s="21" t="n">
        <f aca="false">IF(OR($A109="",AC$4=""),0,COUNTIFS(Formulas!$A$2:$A$1501,AC$4,Formulas!$B$2:$B$1501,$A109))</f>
        <v>0</v>
      </c>
      <c r="AD109" s="21" t="n">
        <f aca="false">IF(OR($A109="",AD$4=""),0,COUNTIFS(Formulas!$A$2:$A$1501,AD$4,Formulas!$B$2:$B$1501,$A109))</f>
        <v>0</v>
      </c>
      <c r="AE109" s="21" t="n">
        <f aca="false">IF(OR($A109="",AE$4=""),0,COUNTIFS(Formulas!$A$2:$A$1501,AE$4,Formulas!$B$2:$B$1501,$A109))</f>
        <v>0</v>
      </c>
      <c r="AF109" s="21" t="n">
        <f aca="false">IF(OR($A109="",AF$4=""),0,COUNTIFS(Formulas!$A$2:$A$1501,AF$4,Formulas!$B$2:$B$1501,$A109))</f>
        <v>0</v>
      </c>
      <c r="AG109" s="21" t="n">
        <f aca="false">IF(OR($A109="",AG$4=""),0,COUNTIFS(Formulas!$A$2:$A$1501,AG$4,Formulas!$B$2:$B$1501,$A109))</f>
        <v>0</v>
      </c>
      <c r="AH109" s="21" t="n">
        <f aca="false">IF(OR($A109="",AH$4=""),0,COUNTIFS(Formulas!$A$2:$A$1501,AH$4,Formulas!$B$2:$B$1501,$A109))</f>
        <v>0</v>
      </c>
      <c r="AI109" s="21" t="n">
        <f aca="false">IF(OR($A109="",AI$4=""),0,COUNTIFS(Formulas!$A$2:$A$1501,AI$4,Formulas!$B$2:$B$1501,$A109))</f>
        <v>0</v>
      </c>
      <c r="AJ109" s="21" t="n">
        <f aca="false">IF(OR($A109="",AJ$4=""),0,COUNTIFS(Formulas!$A$2:$A$1501,AJ$4,Formulas!$B$2:$B$1501,$A109))</f>
        <v>0</v>
      </c>
      <c r="AK109" s="21" t="n">
        <f aca="false">IF(OR($A109="",AK$4=""),0,COUNTIFS(Formulas!$A$2:$A$1501,AK$4,Formulas!$B$2:$B$1501,$A109))</f>
        <v>0</v>
      </c>
      <c r="AL109" s="21" t="n">
        <f aca="false">IF(OR($A109="",AL$4=""),0,COUNTIFS(Formulas!$A$2:$A$1501,AL$4,Formulas!$B$2:$B$1501,$A109))</f>
        <v>0</v>
      </c>
      <c r="AM109" s="21" t="n">
        <f aca="false">IF(OR($A109="",AM$4=""),0,COUNTIFS(Formulas!$A$2:$A$1501,AM$4,Formulas!$B$2:$B$1501,$A109))</f>
        <v>0</v>
      </c>
      <c r="AN109" s="21" t="n">
        <f aca="false">IF(OR($A109="",AN$4=""),0,COUNTIFS(Formulas!$A$2:$A$1501,AN$4,Formulas!$B$2:$B$1501,$A109))</f>
        <v>0</v>
      </c>
      <c r="AO109" s="21" t="n">
        <f aca="false">IF(OR($A109="",AO$4=""),0,COUNTIFS(Formulas!$A$2:$A$1501,AO$4,Formulas!$B$2:$B$1501,$A109))</f>
        <v>0</v>
      </c>
      <c r="AP109" s="21" t="n">
        <f aca="false">IF(OR($A109="",AP$4=""),0,COUNTIFS(Formulas!$A$2:$A$1501,AP$4,Formulas!$B$2:$B$1501,$A109))</f>
        <v>0</v>
      </c>
      <c r="AQ109" s="21" t="n">
        <f aca="false">IF(OR($A109="",AQ$4=""),0,COUNTIFS(Formulas!$A$2:$A$1501,AQ$4,Formulas!$B$2:$B$1501,$A109))</f>
        <v>0</v>
      </c>
      <c r="AR109" s="21" t="n">
        <f aca="false">IF(OR($A109="",AR$4=""),0,COUNTIFS(Formulas!$A$2:$A$1501,AR$4,Formulas!$B$2:$B$1501,$A109))</f>
        <v>0</v>
      </c>
      <c r="AS109" s="21" t="n">
        <f aca="false">IF(OR($A109="",AS$4=""),0,COUNTIFS(Formulas!$A$2:$A$1501,AS$4,Formulas!$B$2:$B$1501,$A109))</f>
        <v>0</v>
      </c>
      <c r="AT109" s="21" t="n">
        <f aca="false">IF(OR($A109="",AT$4=""),0,COUNTIFS(Formulas!$A$2:$A$1501,AT$4,Formulas!$B$2:$B$1501,$A109))</f>
        <v>0</v>
      </c>
      <c r="AU109" s="21" t="n">
        <f aca="false">IF(OR($A109="",AU$4=""),0,COUNTIFS(Formulas!$A$2:$A$1501,AU$4,Formulas!$B$2:$B$1501,$A109))</f>
        <v>0</v>
      </c>
      <c r="AV109" s="21" t="n">
        <f aca="false">IF(OR($A109="",AV$4=""),0,COUNTIFS(Formulas!$A$2:$A$1501,AV$4,Formulas!$B$2:$B$1501,$A109))</f>
        <v>0</v>
      </c>
      <c r="AW109" s="21" t="n">
        <f aca="false">IF(OR($A109="",AW$4=""),0,COUNTIFS(Formulas!$A$2:$A$1501,AW$4,Formulas!$B$2:$B$1501,$A109))</f>
        <v>0</v>
      </c>
      <c r="AX109" s="21" t="n">
        <f aca="false">IF(OR($A109="",AX$4=""),0,COUNTIFS(Formulas!$A$2:$A$1501,AX$4,Formulas!$B$2:$B$1501,$A109))</f>
        <v>0</v>
      </c>
      <c r="AY109" s="21" t="n">
        <f aca="false">IF(OR($A109="",AY$4=""),0,COUNTIFS(Formulas!$A$2:$A$1501,AY$4,Formulas!$B$2:$B$1501,$A109))</f>
        <v>0</v>
      </c>
      <c r="AZ109" s="21" t="n">
        <f aca="false">IF(OR($A109="",AZ$4=""),0,COUNTIFS(Formulas!$A$2:$A$1501,AZ$4,Formulas!$B$2:$B$1501,$A109))</f>
        <v>0</v>
      </c>
      <c r="BA109" s="21" t="n">
        <f aca="false">IF(OR($A109="",BA$4=""),0,COUNTIFS(Formulas!$A$2:$A$1501,BA$4,Formulas!$B$2:$B$1501,$A109))</f>
        <v>0</v>
      </c>
      <c r="BB109" s="21" t="n">
        <f aca="false">IF(OR($A109="",BB$4=""),0,COUNTIFS(Formulas!$A$2:$A$1501,BB$4,Formulas!$B$2:$B$1501,$A109))</f>
        <v>0</v>
      </c>
      <c r="BC109" s="21" t="n">
        <f aca="false">IF(OR($A109="",BC$4=""),0,COUNTIFS(Formulas!$A$2:$A$1501,BC$4,Formulas!$B$2:$B$1501,$A109))</f>
        <v>0</v>
      </c>
      <c r="BD109" s="21" t="n">
        <f aca="false">IF(OR($A109="",BD$4=""),0,COUNTIFS(Formulas!$A$2:$A$1501,BD$4,Formulas!$B$2:$B$1501,$A109))</f>
        <v>0</v>
      </c>
      <c r="BE109" s="21" t="n">
        <f aca="false">IF(OR($A109="",BE$4=""),0,COUNTIFS(Formulas!$A$2:$A$1501,BE$4,Formulas!$B$2:$B$1501,$A109))</f>
        <v>0</v>
      </c>
      <c r="BF109" s="21" t="n">
        <f aca="false">IF(OR($A109="",BF$4=""),0,COUNTIFS(Formulas!$A$2:$A$1501,BF$4,Formulas!$B$2:$B$1501,$A109))</f>
        <v>0</v>
      </c>
      <c r="BG109" s="21" t="n">
        <f aca="false">IF(OR($A109="",BG$4=""),0,COUNTIFS(Formulas!$A$2:$A$1501,BG$4,Formulas!$B$2:$B$1501,$A109))</f>
        <v>0</v>
      </c>
      <c r="BH109" s="21" t="n">
        <f aca="false">IF(OR($A109="",BH$4=""),0,COUNTIFS(Formulas!$A$2:$A$1501,BH$4,Formulas!$B$2:$B$1501,$A109))</f>
        <v>0</v>
      </c>
      <c r="BI109" s="21" t="n">
        <f aca="false">IF(OR($A109="",BI$4=""),0,COUNTIFS(Formulas!$A$2:$A$1501,BI$4,Formulas!$B$2:$B$1501,$A109))</f>
        <v>0</v>
      </c>
      <c r="BJ109" s="21" t="n">
        <f aca="false">IF(OR($A109="",BJ$4=""),0,COUNTIFS(Formulas!$A$2:$A$1501,BJ$4,Formulas!$B$2:$B$1501,$A109))</f>
        <v>0</v>
      </c>
    </row>
    <row r="110" customFormat="false" ht="15" hidden="false" customHeight="false" outlineLevel="0" collapsed="false">
      <c r="A110" s="13" t="str">
        <f aca="false">IF(INDEX(Materials!$A$2:$A$201,106)="","",INDEX(Materials!$A$2:$A$201,106))</f>
        <v/>
      </c>
      <c r="B110" s="19" t="str">
        <f aca="false">IF(A110="","",COUNTIF(C110:BJ110,"&gt;0"))</f>
        <v/>
      </c>
      <c r="C110" s="21" t="n">
        <f aca="false">IF(OR($A110="",C$4=""),0,COUNTIFS(Formulas!$A$2:$A$1501,C$4,Formulas!$B$2:$B$1501,$A110))</f>
        <v>0</v>
      </c>
      <c r="D110" s="21" t="n">
        <f aca="false">IF(OR($A110="",D$4=""),0,COUNTIFS(Formulas!$A$2:$A$1501,D$4,Formulas!$B$2:$B$1501,$A110))</f>
        <v>0</v>
      </c>
      <c r="E110" s="21" t="n">
        <f aca="false">IF(OR($A110="",E$4=""),0,COUNTIFS(Formulas!$A$2:$A$1501,E$4,Formulas!$B$2:$B$1501,$A110))</f>
        <v>0</v>
      </c>
      <c r="F110" s="21" t="n">
        <f aca="false">IF(OR($A110="",F$4=""),0,COUNTIFS(Formulas!$A$2:$A$1501,F$4,Formulas!$B$2:$B$1501,$A110))</f>
        <v>0</v>
      </c>
      <c r="G110" s="21" t="n">
        <f aca="false">IF(OR($A110="",G$4=""),0,COUNTIFS(Formulas!$A$2:$A$1501,G$4,Formulas!$B$2:$B$1501,$A110))</f>
        <v>0</v>
      </c>
      <c r="H110" s="21" t="n">
        <f aca="false">IF(OR($A110="",H$4=""),0,COUNTIFS(Formulas!$A$2:$A$1501,H$4,Formulas!$B$2:$B$1501,$A110))</f>
        <v>0</v>
      </c>
      <c r="I110" s="21" t="n">
        <f aca="false">IF(OR($A110="",I$4=""),0,COUNTIFS(Formulas!$A$2:$A$1501,I$4,Formulas!$B$2:$B$1501,$A110))</f>
        <v>0</v>
      </c>
      <c r="J110" s="21" t="n">
        <f aca="false">IF(OR($A110="",J$4=""),0,COUNTIFS(Formulas!$A$2:$A$1501,J$4,Formulas!$B$2:$B$1501,$A110))</f>
        <v>0</v>
      </c>
      <c r="K110" s="21" t="n">
        <f aca="false">IF(OR($A110="",K$4=""),0,COUNTIFS(Formulas!$A$2:$A$1501,K$4,Formulas!$B$2:$B$1501,$A110))</f>
        <v>0</v>
      </c>
      <c r="L110" s="21" t="n">
        <f aca="false">IF(OR($A110="",L$4=""),0,COUNTIFS(Formulas!$A$2:$A$1501,L$4,Formulas!$B$2:$B$1501,$A110))</f>
        <v>0</v>
      </c>
      <c r="M110" s="21" t="n">
        <f aca="false">IF(OR($A110="",M$4=""),0,COUNTIFS(Formulas!$A$2:$A$1501,M$4,Formulas!$B$2:$B$1501,$A110))</f>
        <v>0</v>
      </c>
      <c r="N110" s="21" t="n">
        <f aca="false">IF(OR($A110="",N$4=""),0,COUNTIFS(Formulas!$A$2:$A$1501,N$4,Formulas!$B$2:$B$1501,$A110))</f>
        <v>0</v>
      </c>
      <c r="O110" s="21" t="n">
        <f aca="false">IF(OR($A110="",O$4=""),0,COUNTIFS(Formulas!$A$2:$A$1501,O$4,Formulas!$B$2:$B$1501,$A110))</f>
        <v>0</v>
      </c>
      <c r="P110" s="21" t="n">
        <f aca="false">IF(OR($A110="",P$4=""),0,COUNTIFS(Formulas!$A$2:$A$1501,P$4,Formulas!$B$2:$B$1501,$A110))</f>
        <v>0</v>
      </c>
      <c r="Q110" s="21" t="n">
        <f aca="false">IF(OR($A110="",Q$4=""),0,COUNTIFS(Formulas!$A$2:$A$1501,Q$4,Formulas!$B$2:$B$1501,$A110))</f>
        <v>0</v>
      </c>
      <c r="R110" s="21" t="n">
        <f aca="false">IF(OR($A110="",R$4=""),0,COUNTIFS(Formulas!$A$2:$A$1501,R$4,Formulas!$B$2:$B$1501,$A110))</f>
        <v>0</v>
      </c>
      <c r="S110" s="21" t="n">
        <f aca="false">IF(OR($A110="",S$4=""),0,COUNTIFS(Formulas!$A$2:$A$1501,S$4,Formulas!$B$2:$B$1501,$A110))</f>
        <v>0</v>
      </c>
      <c r="T110" s="21" t="n">
        <f aca="false">IF(OR($A110="",T$4=""),0,COUNTIFS(Formulas!$A$2:$A$1501,T$4,Formulas!$B$2:$B$1501,$A110))</f>
        <v>0</v>
      </c>
      <c r="U110" s="21" t="n">
        <f aca="false">IF(OR($A110="",U$4=""),0,COUNTIFS(Formulas!$A$2:$A$1501,U$4,Formulas!$B$2:$B$1501,$A110))</f>
        <v>0</v>
      </c>
      <c r="V110" s="21" t="n">
        <f aca="false">IF(OR($A110="",V$4=""),0,COUNTIFS(Formulas!$A$2:$A$1501,V$4,Formulas!$B$2:$B$1501,$A110))</f>
        <v>0</v>
      </c>
      <c r="W110" s="21" t="n">
        <f aca="false">IF(OR($A110="",W$4=""),0,COUNTIFS(Formulas!$A$2:$A$1501,W$4,Formulas!$B$2:$B$1501,$A110))</f>
        <v>0</v>
      </c>
      <c r="X110" s="21" t="n">
        <f aca="false">IF(OR($A110="",X$4=""),0,COUNTIFS(Formulas!$A$2:$A$1501,X$4,Formulas!$B$2:$B$1501,$A110))</f>
        <v>0</v>
      </c>
      <c r="Y110" s="21" t="n">
        <f aca="false">IF(OR($A110="",Y$4=""),0,COUNTIFS(Formulas!$A$2:$A$1501,Y$4,Formulas!$B$2:$B$1501,$A110))</f>
        <v>0</v>
      </c>
      <c r="Z110" s="21" t="n">
        <f aca="false">IF(OR($A110="",Z$4=""),0,COUNTIFS(Formulas!$A$2:$A$1501,Z$4,Formulas!$B$2:$B$1501,$A110))</f>
        <v>0</v>
      </c>
      <c r="AA110" s="21" t="n">
        <f aca="false">IF(OR($A110="",AA$4=""),0,COUNTIFS(Formulas!$A$2:$A$1501,AA$4,Formulas!$B$2:$B$1501,$A110))</f>
        <v>0</v>
      </c>
      <c r="AB110" s="21" t="n">
        <f aca="false">IF(OR($A110="",AB$4=""),0,COUNTIFS(Formulas!$A$2:$A$1501,AB$4,Formulas!$B$2:$B$1501,$A110))</f>
        <v>0</v>
      </c>
      <c r="AC110" s="21" t="n">
        <f aca="false">IF(OR($A110="",AC$4=""),0,COUNTIFS(Formulas!$A$2:$A$1501,AC$4,Formulas!$B$2:$B$1501,$A110))</f>
        <v>0</v>
      </c>
      <c r="AD110" s="21" t="n">
        <f aca="false">IF(OR($A110="",AD$4=""),0,COUNTIFS(Formulas!$A$2:$A$1501,AD$4,Formulas!$B$2:$B$1501,$A110))</f>
        <v>0</v>
      </c>
      <c r="AE110" s="21" t="n">
        <f aca="false">IF(OR($A110="",AE$4=""),0,COUNTIFS(Formulas!$A$2:$A$1501,AE$4,Formulas!$B$2:$B$1501,$A110))</f>
        <v>0</v>
      </c>
      <c r="AF110" s="21" t="n">
        <f aca="false">IF(OR($A110="",AF$4=""),0,COUNTIFS(Formulas!$A$2:$A$1501,AF$4,Formulas!$B$2:$B$1501,$A110))</f>
        <v>0</v>
      </c>
      <c r="AG110" s="21" t="n">
        <f aca="false">IF(OR($A110="",AG$4=""),0,COUNTIFS(Formulas!$A$2:$A$1501,AG$4,Formulas!$B$2:$B$1501,$A110))</f>
        <v>0</v>
      </c>
      <c r="AH110" s="21" t="n">
        <f aca="false">IF(OR($A110="",AH$4=""),0,COUNTIFS(Formulas!$A$2:$A$1501,AH$4,Formulas!$B$2:$B$1501,$A110))</f>
        <v>0</v>
      </c>
      <c r="AI110" s="21" t="n">
        <f aca="false">IF(OR($A110="",AI$4=""),0,COUNTIFS(Formulas!$A$2:$A$1501,AI$4,Formulas!$B$2:$B$1501,$A110))</f>
        <v>0</v>
      </c>
      <c r="AJ110" s="21" t="n">
        <f aca="false">IF(OR($A110="",AJ$4=""),0,COUNTIFS(Formulas!$A$2:$A$1501,AJ$4,Formulas!$B$2:$B$1501,$A110))</f>
        <v>0</v>
      </c>
      <c r="AK110" s="21" t="n">
        <f aca="false">IF(OR($A110="",AK$4=""),0,COUNTIFS(Formulas!$A$2:$A$1501,AK$4,Formulas!$B$2:$B$1501,$A110))</f>
        <v>0</v>
      </c>
      <c r="AL110" s="21" t="n">
        <f aca="false">IF(OR($A110="",AL$4=""),0,COUNTIFS(Formulas!$A$2:$A$1501,AL$4,Formulas!$B$2:$B$1501,$A110))</f>
        <v>0</v>
      </c>
      <c r="AM110" s="21" t="n">
        <f aca="false">IF(OR($A110="",AM$4=""),0,COUNTIFS(Formulas!$A$2:$A$1501,AM$4,Formulas!$B$2:$B$1501,$A110))</f>
        <v>0</v>
      </c>
      <c r="AN110" s="21" t="n">
        <f aca="false">IF(OR($A110="",AN$4=""),0,COUNTIFS(Formulas!$A$2:$A$1501,AN$4,Formulas!$B$2:$B$1501,$A110))</f>
        <v>0</v>
      </c>
      <c r="AO110" s="21" t="n">
        <f aca="false">IF(OR($A110="",AO$4=""),0,COUNTIFS(Formulas!$A$2:$A$1501,AO$4,Formulas!$B$2:$B$1501,$A110))</f>
        <v>0</v>
      </c>
      <c r="AP110" s="21" t="n">
        <f aca="false">IF(OR($A110="",AP$4=""),0,COUNTIFS(Formulas!$A$2:$A$1501,AP$4,Formulas!$B$2:$B$1501,$A110))</f>
        <v>0</v>
      </c>
      <c r="AQ110" s="21" t="n">
        <f aca="false">IF(OR($A110="",AQ$4=""),0,COUNTIFS(Formulas!$A$2:$A$1501,AQ$4,Formulas!$B$2:$B$1501,$A110))</f>
        <v>0</v>
      </c>
      <c r="AR110" s="21" t="n">
        <f aca="false">IF(OR($A110="",AR$4=""),0,COUNTIFS(Formulas!$A$2:$A$1501,AR$4,Formulas!$B$2:$B$1501,$A110))</f>
        <v>0</v>
      </c>
      <c r="AS110" s="21" t="n">
        <f aca="false">IF(OR($A110="",AS$4=""),0,COUNTIFS(Formulas!$A$2:$A$1501,AS$4,Formulas!$B$2:$B$1501,$A110))</f>
        <v>0</v>
      </c>
      <c r="AT110" s="21" t="n">
        <f aca="false">IF(OR($A110="",AT$4=""),0,COUNTIFS(Formulas!$A$2:$A$1501,AT$4,Formulas!$B$2:$B$1501,$A110))</f>
        <v>0</v>
      </c>
      <c r="AU110" s="21" t="n">
        <f aca="false">IF(OR($A110="",AU$4=""),0,COUNTIFS(Formulas!$A$2:$A$1501,AU$4,Formulas!$B$2:$B$1501,$A110))</f>
        <v>0</v>
      </c>
      <c r="AV110" s="21" t="n">
        <f aca="false">IF(OR($A110="",AV$4=""),0,COUNTIFS(Formulas!$A$2:$A$1501,AV$4,Formulas!$B$2:$B$1501,$A110))</f>
        <v>0</v>
      </c>
      <c r="AW110" s="21" t="n">
        <f aca="false">IF(OR($A110="",AW$4=""),0,COUNTIFS(Formulas!$A$2:$A$1501,AW$4,Formulas!$B$2:$B$1501,$A110))</f>
        <v>0</v>
      </c>
      <c r="AX110" s="21" t="n">
        <f aca="false">IF(OR($A110="",AX$4=""),0,COUNTIFS(Formulas!$A$2:$A$1501,AX$4,Formulas!$B$2:$B$1501,$A110))</f>
        <v>0</v>
      </c>
      <c r="AY110" s="21" t="n">
        <f aca="false">IF(OR($A110="",AY$4=""),0,COUNTIFS(Formulas!$A$2:$A$1501,AY$4,Formulas!$B$2:$B$1501,$A110))</f>
        <v>0</v>
      </c>
      <c r="AZ110" s="21" t="n">
        <f aca="false">IF(OR($A110="",AZ$4=""),0,COUNTIFS(Formulas!$A$2:$A$1501,AZ$4,Formulas!$B$2:$B$1501,$A110))</f>
        <v>0</v>
      </c>
      <c r="BA110" s="21" t="n">
        <f aca="false">IF(OR($A110="",BA$4=""),0,COUNTIFS(Formulas!$A$2:$A$1501,BA$4,Formulas!$B$2:$B$1501,$A110))</f>
        <v>0</v>
      </c>
      <c r="BB110" s="21" t="n">
        <f aca="false">IF(OR($A110="",BB$4=""),0,COUNTIFS(Formulas!$A$2:$A$1501,BB$4,Formulas!$B$2:$B$1501,$A110))</f>
        <v>0</v>
      </c>
      <c r="BC110" s="21" t="n">
        <f aca="false">IF(OR($A110="",BC$4=""),0,COUNTIFS(Formulas!$A$2:$A$1501,BC$4,Formulas!$B$2:$B$1501,$A110))</f>
        <v>0</v>
      </c>
      <c r="BD110" s="21" t="n">
        <f aca="false">IF(OR($A110="",BD$4=""),0,COUNTIFS(Formulas!$A$2:$A$1501,BD$4,Formulas!$B$2:$B$1501,$A110))</f>
        <v>0</v>
      </c>
      <c r="BE110" s="21" t="n">
        <f aca="false">IF(OR($A110="",BE$4=""),0,COUNTIFS(Formulas!$A$2:$A$1501,BE$4,Formulas!$B$2:$B$1501,$A110))</f>
        <v>0</v>
      </c>
      <c r="BF110" s="21" t="n">
        <f aca="false">IF(OR($A110="",BF$4=""),0,COUNTIFS(Formulas!$A$2:$A$1501,BF$4,Formulas!$B$2:$B$1501,$A110))</f>
        <v>0</v>
      </c>
      <c r="BG110" s="21" t="n">
        <f aca="false">IF(OR($A110="",BG$4=""),0,COUNTIFS(Formulas!$A$2:$A$1501,BG$4,Formulas!$B$2:$B$1501,$A110))</f>
        <v>0</v>
      </c>
      <c r="BH110" s="21" t="n">
        <f aca="false">IF(OR($A110="",BH$4=""),0,COUNTIFS(Formulas!$A$2:$A$1501,BH$4,Formulas!$B$2:$B$1501,$A110))</f>
        <v>0</v>
      </c>
      <c r="BI110" s="21" t="n">
        <f aca="false">IF(OR($A110="",BI$4=""),0,COUNTIFS(Formulas!$A$2:$A$1501,BI$4,Formulas!$B$2:$B$1501,$A110))</f>
        <v>0</v>
      </c>
      <c r="BJ110" s="21" t="n">
        <f aca="false">IF(OR($A110="",BJ$4=""),0,COUNTIFS(Formulas!$A$2:$A$1501,BJ$4,Formulas!$B$2:$B$1501,$A110))</f>
        <v>0</v>
      </c>
    </row>
    <row r="111" customFormat="false" ht="15" hidden="false" customHeight="false" outlineLevel="0" collapsed="false">
      <c r="A111" s="13" t="str">
        <f aca="false">IF(INDEX(Materials!$A$2:$A$201,107)="","",INDEX(Materials!$A$2:$A$201,107))</f>
        <v/>
      </c>
      <c r="B111" s="19" t="str">
        <f aca="false">IF(A111="","",COUNTIF(C111:BJ111,"&gt;0"))</f>
        <v/>
      </c>
      <c r="C111" s="21" t="n">
        <f aca="false">IF(OR($A111="",C$4=""),0,COUNTIFS(Formulas!$A$2:$A$1501,C$4,Formulas!$B$2:$B$1501,$A111))</f>
        <v>0</v>
      </c>
      <c r="D111" s="21" t="n">
        <f aca="false">IF(OR($A111="",D$4=""),0,COUNTIFS(Formulas!$A$2:$A$1501,D$4,Formulas!$B$2:$B$1501,$A111))</f>
        <v>0</v>
      </c>
      <c r="E111" s="21" t="n">
        <f aca="false">IF(OR($A111="",E$4=""),0,COUNTIFS(Formulas!$A$2:$A$1501,E$4,Formulas!$B$2:$B$1501,$A111))</f>
        <v>0</v>
      </c>
      <c r="F111" s="21" t="n">
        <f aca="false">IF(OR($A111="",F$4=""),0,COUNTIFS(Formulas!$A$2:$A$1501,F$4,Formulas!$B$2:$B$1501,$A111))</f>
        <v>0</v>
      </c>
      <c r="G111" s="21" t="n">
        <f aca="false">IF(OR($A111="",G$4=""),0,COUNTIFS(Formulas!$A$2:$A$1501,G$4,Formulas!$B$2:$B$1501,$A111))</f>
        <v>0</v>
      </c>
      <c r="H111" s="21" t="n">
        <f aca="false">IF(OR($A111="",H$4=""),0,COUNTIFS(Formulas!$A$2:$A$1501,H$4,Formulas!$B$2:$B$1501,$A111))</f>
        <v>0</v>
      </c>
      <c r="I111" s="21" t="n">
        <f aca="false">IF(OR($A111="",I$4=""),0,COUNTIFS(Formulas!$A$2:$A$1501,I$4,Formulas!$B$2:$B$1501,$A111))</f>
        <v>0</v>
      </c>
      <c r="J111" s="21" t="n">
        <f aca="false">IF(OR($A111="",J$4=""),0,COUNTIFS(Formulas!$A$2:$A$1501,J$4,Formulas!$B$2:$B$1501,$A111))</f>
        <v>0</v>
      </c>
      <c r="K111" s="21" t="n">
        <f aca="false">IF(OR($A111="",K$4=""),0,COUNTIFS(Formulas!$A$2:$A$1501,K$4,Formulas!$B$2:$B$1501,$A111))</f>
        <v>0</v>
      </c>
      <c r="L111" s="21" t="n">
        <f aca="false">IF(OR($A111="",L$4=""),0,COUNTIFS(Formulas!$A$2:$A$1501,L$4,Formulas!$B$2:$B$1501,$A111))</f>
        <v>0</v>
      </c>
      <c r="M111" s="21" t="n">
        <f aca="false">IF(OR($A111="",M$4=""),0,COUNTIFS(Formulas!$A$2:$A$1501,M$4,Formulas!$B$2:$B$1501,$A111))</f>
        <v>0</v>
      </c>
      <c r="N111" s="21" t="n">
        <f aca="false">IF(OR($A111="",N$4=""),0,COUNTIFS(Formulas!$A$2:$A$1501,N$4,Formulas!$B$2:$B$1501,$A111))</f>
        <v>0</v>
      </c>
      <c r="O111" s="21" t="n">
        <f aca="false">IF(OR($A111="",O$4=""),0,COUNTIFS(Formulas!$A$2:$A$1501,O$4,Formulas!$B$2:$B$1501,$A111))</f>
        <v>0</v>
      </c>
      <c r="P111" s="21" t="n">
        <f aca="false">IF(OR($A111="",P$4=""),0,COUNTIFS(Formulas!$A$2:$A$1501,P$4,Formulas!$B$2:$B$1501,$A111))</f>
        <v>0</v>
      </c>
      <c r="Q111" s="21" t="n">
        <f aca="false">IF(OR($A111="",Q$4=""),0,COUNTIFS(Formulas!$A$2:$A$1501,Q$4,Formulas!$B$2:$B$1501,$A111))</f>
        <v>0</v>
      </c>
      <c r="R111" s="21" t="n">
        <f aca="false">IF(OR($A111="",R$4=""),0,COUNTIFS(Formulas!$A$2:$A$1501,R$4,Formulas!$B$2:$B$1501,$A111))</f>
        <v>0</v>
      </c>
      <c r="S111" s="21" t="n">
        <f aca="false">IF(OR($A111="",S$4=""),0,COUNTIFS(Formulas!$A$2:$A$1501,S$4,Formulas!$B$2:$B$1501,$A111))</f>
        <v>0</v>
      </c>
      <c r="T111" s="21" t="n">
        <f aca="false">IF(OR($A111="",T$4=""),0,COUNTIFS(Formulas!$A$2:$A$1501,T$4,Formulas!$B$2:$B$1501,$A111))</f>
        <v>0</v>
      </c>
      <c r="U111" s="21" t="n">
        <f aca="false">IF(OR($A111="",U$4=""),0,COUNTIFS(Formulas!$A$2:$A$1501,U$4,Formulas!$B$2:$B$1501,$A111))</f>
        <v>0</v>
      </c>
      <c r="V111" s="21" t="n">
        <f aca="false">IF(OR($A111="",V$4=""),0,COUNTIFS(Formulas!$A$2:$A$1501,V$4,Formulas!$B$2:$B$1501,$A111))</f>
        <v>0</v>
      </c>
      <c r="W111" s="21" t="n">
        <f aca="false">IF(OR($A111="",W$4=""),0,COUNTIFS(Formulas!$A$2:$A$1501,W$4,Formulas!$B$2:$B$1501,$A111))</f>
        <v>0</v>
      </c>
      <c r="X111" s="21" t="n">
        <f aca="false">IF(OR($A111="",X$4=""),0,COUNTIFS(Formulas!$A$2:$A$1501,X$4,Formulas!$B$2:$B$1501,$A111))</f>
        <v>0</v>
      </c>
      <c r="Y111" s="21" t="n">
        <f aca="false">IF(OR($A111="",Y$4=""),0,COUNTIFS(Formulas!$A$2:$A$1501,Y$4,Formulas!$B$2:$B$1501,$A111))</f>
        <v>0</v>
      </c>
      <c r="Z111" s="21" t="n">
        <f aca="false">IF(OR($A111="",Z$4=""),0,COUNTIFS(Formulas!$A$2:$A$1501,Z$4,Formulas!$B$2:$B$1501,$A111))</f>
        <v>0</v>
      </c>
      <c r="AA111" s="21" t="n">
        <f aca="false">IF(OR($A111="",AA$4=""),0,COUNTIFS(Formulas!$A$2:$A$1501,AA$4,Formulas!$B$2:$B$1501,$A111))</f>
        <v>0</v>
      </c>
      <c r="AB111" s="21" t="n">
        <f aca="false">IF(OR($A111="",AB$4=""),0,COUNTIFS(Formulas!$A$2:$A$1501,AB$4,Formulas!$B$2:$B$1501,$A111))</f>
        <v>0</v>
      </c>
      <c r="AC111" s="21" t="n">
        <f aca="false">IF(OR($A111="",AC$4=""),0,COUNTIFS(Formulas!$A$2:$A$1501,AC$4,Formulas!$B$2:$B$1501,$A111))</f>
        <v>0</v>
      </c>
      <c r="AD111" s="21" t="n">
        <f aca="false">IF(OR($A111="",AD$4=""),0,COUNTIFS(Formulas!$A$2:$A$1501,AD$4,Formulas!$B$2:$B$1501,$A111))</f>
        <v>0</v>
      </c>
      <c r="AE111" s="21" t="n">
        <f aca="false">IF(OR($A111="",AE$4=""),0,COUNTIFS(Formulas!$A$2:$A$1501,AE$4,Formulas!$B$2:$B$1501,$A111))</f>
        <v>0</v>
      </c>
      <c r="AF111" s="21" t="n">
        <f aca="false">IF(OR($A111="",AF$4=""),0,COUNTIFS(Formulas!$A$2:$A$1501,AF$4,Formulas!$B$2:$B$1501,$A111))</f>
        <v>0</v>
      </c>
      <c r="AG111" s="21" t="n">
        <f aca="false">IF(OR($A111="",AG$4=""),0,COUNTIFS(Formulas!$A$2:$A$1501,AG$4,Formulas!$B$2:$B$1501,$A111))</f>
        <v>0</v>
      </c>
      <c r="AH111" s="21" t="n">
        <f aca="false">IF(OR($A111="",AH$4=""),0,COUNTIFS(Formulas!$A$2:$A$1501,AH$4,Formulas!$B$2:$B$1501,$A111))</f>
        <v>0</v>
      </c>
      <c r="AI111" s="21" t="n">
        <f aca="false">IF(OR($A111="",AI$4=""),0,COUNTIFS(Formulas!$A$2:$A$1501,AI$4,Formulas!$B$2:$B$1501,$A111))</f>
        <v>0</v>
      </c>
      <c r="AJ111" s="21" t="n">
        <f aca="false">IF(OR($A111="",AJ$4=""),0,COUNTIFS(Formulas!$A$2:$A$1501,AJ$4,Formulas!$B$2:$B$1501,$A111))</f>
        <v>0</v>
      </c>
      <c r="AK111" s="21" t="n">
        <f aca="false">IF(OR($A111="",AK$4=""),0,COUNTIFS(Formulas!$A$2:$A$1501,AK$4,Formulas!$B$2:$B$1501,$A111))</f>
        <v>0</v>
      </c>
      <c r="AL111" s="21" t="n">
        <f aca="false">IF(OR($A111="",AL$4=""),0,COUNTIFS(Formulas!$A$2:$A$1501,AL$4,Formulas!$B$2:$B$1501,$A111))</f>
        <v>0</v>
      </c>
      <c r="AM111" s="21" t="n">
        <f aca="false">IF(OR($A111="",AM$4=""),0,COUNTIFS(Formulas!$A$2:$A$1501,AM$4,Formulas!$B$2:$B$1501,$A111))</f>
        <v>0</v>
      </c>
      <c r="AN111" s="21" t="n">
        <f aca="false">IF(OR($A111="",AN$4=""),0,COUNTIFS(Formulas!$A$2:$A$1501,AN$4,Formulas!$B$2:$B$1501,$A111))</f>
        <v>0</v>
      </c>
      <c r="AO111" s="21" t="n">
        <f aca="false">IF(OR($A111="",AO$4=""),0,COUNTIFS(Formulas!$A$2:$A$1501,AO$4,Formulas!$B$2:$B$1501,$A111))</f>
        <v>0</v>
      </c>
      <c r="AP111" s="21" t="n">
        <f aca="false">IF(OR($A111="",AP$4=""),0,COUNTIFS(Formulas!$A$2:$A$1501,AP$4,Formulas!$B$2:$B$1501,$A111))</f>
        <v>0</v>
      </c>
      <c r="AQ111" s="21" t="n">
        <f aca="false">IF(OR($A111="",AQ$4=""),0,COUNTIFS(Formulas!$A$2:$A$1501,AQ$4,Formulas!$B$2:$B$1501,$A111))</f>
        <v>0</v>
      </c>
      <c r="AR111" s="21" t="n">
        <f aca="false">IF(OR($A111="",AR$4=""),0,COUNTIFS(Formulas!$A$2:$A$1501,AR$4,Formulas!$B$2:$B$1501,$A111))</f>
        <v>0</v>
      </c>
      <c r="AS111" s="21" t="n">
        <f aca="false">IF(OR($A111="",AS$4=""),0,COUNTIFS(Formulas!$A$2:$A$1501,AS$4,Formulas!$B$2:$B$1501,$A111))</f>
        <v>0</v>
      </c>
      <c r="AT111" s="21" t="n">
        <f aca="false">IF(OR($A111="",AT$4=""),0,COUNTIFS(Formulas!$A$2:$A$1501,AT$4,Formulas!$B$2:$B$1501,$A111))</f>
        <v>0</v>
      </c>
      <c r="AU111" s="21" t="n">
        <f aca="false">IF(OR($A111="",AU$4=""),0,COUNTIFS(Formulas!$A$2:$A$1501,AU$4,Formulas!$B$2:$B$1501,$A111))</f>
        <v>0</v>
      </c>
      <c r="AV111" s="21" t="n">
        <f aca="false">IF(OR($A111="",AV$4=""),0,COUNTIFS(Formulas!$A$2:$A$1501,AV$4,Formulas!$B$2:$B$1501,$A111))</f>
        <v>0</v>
      </c>
      <c r="AW111" s="21" t="n">
        <f aca="false">IF(OR($A111="",AW$4=""),0,COUNTIFS(Formulas!$A$2:$A$1501,AW$4,Formulas!$B$2:$B$1501,$A111))</f>
        <v>0</v>
      </c>
      <c r="AX111" s="21" t="n">
        <f aca="false">IF(OR($A111="",AX$4=""),0,COUNTIFS(Formulas!$A$2:$A$1501,AX$4,Formulas!$B$2:$B$1501,$A111))</f>
        <v>0</v>
      </c>
      <c r="AY111" s="21" t="n">
        <f aca="false">IF(OR($A111="",AY$4=""),0,COUNTIFS(Formulas!$A$2:$A$1501,AY$4,Formulas!$B$2:$B$1501,$A111))</f>
        <v>0</v>
      </c>
      <c r="AZ111" s="21" t="n">
        <f aca="false">IF(OR($A111="",AZ$4=""),0,COUNTIFS(Formulas!$A$2:$A$1501,AZ$4,Formulas!$B$2:$B$1501,$A111))</f>
        <v>0</v>
      </c>
      <c r="BA111" s="21" t="n">
        <f aca="false">IF(OR($A111="",BA$4=""),0,COUNTIFS(Formulas!$A$2:$A$1501,BA$4,Formulas!$B$2:$B$1501,$A111))</f>
        <v>0</v>
      </c>
      <c r="BB111" s="21" t="n">
        <f aca="false">IF(OR($A111="",BB$4=""),0,COUNTIFS(Formulas!$A$2:$A$1501,BB$4,Formulas!$B$2:$B$1501,$A111))</f>
        <v>0</v>
      </c>
      <c r="BC111" s="21" t="n">
        <f aca="false">IF(OR($A111="",BC$4=""),0,COUNTIFS(Formulas!$A$2:$A$1501,BC$4,Formulas!$B$2:$B$1501,$A111))</f>
        <v>0</v>
      </c>
      <c r="BD111" s="21" t="n">
        <f aca="false">IF(OR($A111="",BD$4=""),0,COUNTIFS(Formulas!$A$2:$A$1501,BD$4,Formulas!$B$2:$B$1501,$A111))</f>
        <v>0</v>
      </c>
      <c r="BE111" s="21" t="n">
        <f aca="false">IF(OR($A111="",BE$4=""),0,COUNTIFS(Formulas!$A$2:$A$1501,BE$4,Formulas!$B$2:$B$1501,$A111))</f>
        <v>0</v>
      </c>
      <c r="BF111" s="21" t="n">
        <f aca="false">IF(OR($A111="",BF$4=""),0,COUNTIFS(Formulas!$A$2:$A$1501,BF$4,Formulas!$B$2:$B$1501,$A111))</f>
        <v>0</v>
      </c>
      <c r="BG111" s="21" t="n">
        <f aca="false">IF(OR($A111="",BG$4=""),0,COUNTIFS(Formulas!$A$2:$A$1501,BG$4,Formulas!$B$2:$B$1501,$A111))</f>
        <v>0</v>
      </c>
      <c r="BH111" s="21" t="n">
        <f aca="false">IF(OR($A111="",BH$4=""),0,COUNTIFS(Formulas!$A$2:$A$1501,BH$4,Formulas!$B$2:$B$1501,$A111))</f>
        <v>0</v>
      </c>
      <c r="BI111" s="21" t="n">
        <f aca="false">IF(OR($A111="",BI$4=""),0,COUNTIFS(Formulas!$A$2:$A$1501,BI$4,Formulas!$B$2:$B$1501,$A111))</f>
        <v>0</v>
      </c>
      <c r="BJ111" s="21" t="n">
        <f aca="false">IF(OR($A111="",BJ$4=""),0,COUNTIFS(Formulas!$A$2:$A$1501,BJ$4,Formulas!$B$2:$B$1501,$A111))</f>
        <v>0</v>
      </c>
    </row>
    <row r="112" customFormat="false" ht="15" hidden="false" customHeight="false" outlineLevel="0" collapsed="false">
      <c r="A112" s="13" t="str">
        <f aca="false">IF(INDEX(Materials!$A$2:$A$201,108)="","",INDEX(Materials!$A$2:$A$201,108))</f>
        <v/>
      </c>
      <c r="B112" s="19" t="str">
        <f aca="false">IF(A112="","",COUNTIF(C112:BJ112,"&gt;0"))</f>
        <v/>
      </c>
      <c r="C112" s="21" t="n">
        <f aca="false">IF(OR($A112="",C$4=""),0,COUNTIFS(Formulas!$A$2:$A$1501,C$4,Formulas!$B$2:$B$1501,$A112))</f>
        <v>0</v>
      </c>
      <c r="D112" s="21" t="n">
        <f aca="false">IF(OR($A112="",D$4=""),0,COUNTIFS(Formulas!$A$2:$A$1501,D$4,Formulas!$B$2:$B$1501,$A112))</f>
        <v>0</v>
      </c>
      <c r="E112" s="21" t="n">
        <f aca="false">IF(OR($A112="",E$4=""),0,COUNTIFS(Formulas!$A$2:$A$1501,E$4,Formulas!$B$2:$B$1501,$A112))</f>
        <v>0</v>
      </c>
      <c r="F112" s="21" t="n">
        <f aca="false">IF(OR($A112="",F$4=""),0,COUNTIFS(Formulas!$A$2:$A$1501,F$4,Formulas!$B$2:$B$1501,$A112))</f>
        <v>0</v>
      </c>
      <c r="G112" s="21" t="n">
        <f aca="false">IF(OR($A112="",G$4=""),0,COUNTIFS(Formulas!$A$2:$A$1501,G$4,Formulas!$B$2:$B$1501,$A112))</f>
        <v>0</v>
      </c>
      <c r="H112" s="21" t="n">
        <f aca="false">IF(OR($A112="",H$4=""),0,COUNTIFS(Formulas!$A$2:$A$1501,H$4,Formulas!$B$2:$B$1501,$A112))</f>
        <v>0</v>
      </c>
      <c r="I112" s="21" t="n">
        <f aca="false">IF(OR($A112="",I$4=""),0,COUNTIFS(Formulas!$A$2:$A$1501,I$4,Formulas!$B$2:$B$1501,$A112))</f>
        <v>0</v>
      </c>
      <c r="J112" s="21" t="n">
        <f aca="false">IF(OR($A112="",J$4=""),0,COUNTIFS(Formulas!$A$2:$A$1501,J$4,Formulas!$B$2:$B$1501,$A112))</f>
        <v>0</v>
      </c>
      <c r="K112" s="21" t="n">
        <f aca="false">IF(OR($A112="",K$4=""),0,COUNTIFS(Formulas!$A$2:$A$1501,K$4,Formulas!$B$2:$B$1501,$A112))</f>
        <v>0</v>
      </c>
      <c r="L112" s="21" t="n">
        <f aca="false">IF(OR($A112="",L$4=""),0,COUNTIFS(Formulas!$A$2:$A$1501,L$4,Formulas!$B$2:$B$1501,$A112))</f>
        <v>0</v>
      </c>
      <c r="M112" s="21" t="n">
        <f aca="false">IF(OR($A112="",M$4=""),0,COUNTIFS(Formulas!$A$2:$A$1501,M$4,Formulas!$B$2:$B$1501,$A112))</f>
        <v>0</v>
      </c>
      <c r="N112" s="21" t="n">
        <f aca="false">IF(OR($A112="",N$4=""),0,COUNTIFS(Formulas!$A$2:$A$1501,N$4,Formulas!$B$2:$B$1501,$A112))</f>
        <v>0</v>
      </c>
      <c r="O112" s="21" t="n">
        <f aca="false">IF(OR($A112="",O$4=""),0,COUNTIFS(Formulas!$A$2:$A$1501,O$4,Formulas!$B$2:$B$1501,$A112))</f>
        <v>0</v>
      </c>
      <c r="P112" s="21" t="n">
        <f aca="false">IF(OR($A112="",P$4=""),0,COUNTIFS(Formulas!$A$2:$A$1501,P$4,Formulas!$B$2:$B$1501,$A112))</f>
        <v>0</v>
      </c>
      <c r="Q112" s="21" t="n">
        <f aca="false">IF(OR($A112="",Q$4=""),0,COUNTIFS(Formulas!$A$2:$A$1501,Q$4,Formulas!$B$2:$B$1501,$A112))</f>
        <v>0</v>
      </c>
      <c r="R112" s="21" t="n">
        <f aca="false">IF(OR($A112="",R$4=""),0,COUNTIFS(Formulas!$A$2:$A$1501,R$4,Formulas!$B$2:$B$1501,$A112))</f>
        <v>0</v>
      </c>
      <c r="S112" s="21" t="n">
        <f aca="false">IF(OR($A112="",S$4=""),0,COUNTIFS(Formulas!$A$2:$A$1501,S$4,Formulas!$B$2:$B$1501,$A112))</f>
        <v>0</v>
      </c>
      <c r="T112" s="21" t="n">
        <f aca="false">IF(OR($A112="",T$4=""),0,COUNTIFS(Formulas!$A$2:$A$1501,T$4,Formulas!$B$2:$B$1501,$A112))</f>
        <v>0</v>
      </c>
      <c r="U112" s="21" t="n">
        <f aca="false">IF(OR($A112="",U$4=""),0,COUNTIFS(Formulas!$A$2:$A$1501,U$4,Formulas!$B$2:$B$1501,$A112))</f>
        <v>0</v>
      </c>
      <c r="V112" s="21" t="n">
        <f aca="false">IF(OR($A112="",V$4=""),0,COUNTIFS(Formulas!$A$2:$A$1501,V$4,Formulas!$B$2:$B$1501,$A112))</f>
        <v>0</v>
      </c>
      <c r="W112" s="21" t="n">
        <f aca="false">IF(OR($A112="",W$4=""),0,COUNTIFS(Formulas!$A$2:$A$1501,W$4,Formulas!$B$2:$B$1501,$A112))</f>
        <v>0</v>
      </c>
      <c r="X112" s="21" t="n">
        <f aca="false">IF(OR($A112="",X$4=""),0,COUNTIFS(Formulas!$A$2:$A$1501,X$4,Formulas!$B$2:$B$1501,$A112))</f>
        <v>0</v>
      </c>
      <c r="Y112" s="21" t="n">
        <f aca="false">IF(OR($A112="",Y$4=""),0,COUNTIFS(Formulas!$A$2:$A$1501,Y$4,Formulas!$B$2:$B$1501,$A112))</f>
        <v>0</v>
      </c>
      <c r="Z112" s="21" t="n">
        <f aca="false">IF(OR($A112="",Z$4=""),0,COUNTIFS(Formulas!$A$2:$A$1501,Z$4,Formulas!$B$2:$B$1501,$A112))</f>
        <v>0</v>
      </c>
      <c r="AA112" s="21" t="n">
        <f aca="false">IF(OR($A112="",AA$4=""),0,COUNTIFS(Formulas!$A$2:$A$1501,AA$4,Formulas!$B$2:$B$1501,$A112))</f>
        <v>0</v>
      </c>
      <c r="AB112" s="21" t="n">
        <f aca="false">IF(OR($A112="",AB$4=""),0,COUNTIFS(Formulas!$A$2:$A$1501,AB$4,Formulas!$B$2:$B$1501,$A112))</f>
        <v>0</v>
      </c>
      <c r="AC112" s="21" t="n">
        <f aca="false">IF(OR($A112="",AC$4=""),0,COUNTIFS(Formulas!$A$2:$A$1501,AC$4,Formulas!$B$2:$B$1501,$A112))</f>
        <v>0</v>
      </c>
      <c r="AD112" s="21" t="n">
        <f aca="false">IF(OR($A112="",AD$4=""),0,COUNTIFS(Formulas!$A$2:$A$1501,AD$4,Formulas!$B$2:$B$1501,$A112))</f>
        <v>0</v>
      </c>
      <c r="AE112" s="21" t="n">
        <f aca="false">IF(OR($A112="",AE$4=""),0,COUNTIFS(Formulas!$A$2:$A$1501,AE$4,Formulas!$B$2:$B$1501,$A112))</f>
        <v>0</v>
      </c>
      <c r="AF112" s="21" t="n">
        <f aca="false">IF(OR($A112="",AF$4=""),0,COUNTIFS(Formulas!$A$2:$A$1501,AF$4,Formulas!$B$2:$B$1501,$A112))</f>
        <v>0</v>
      </c>
      <c r="AG112" s="21" t="n">
        <f aca="false">IF(OR($A112="",AG$4=""),0,COUNTIFS(Formulas!$A$2:$A$1501,AG$4,Formulas!$B$2:$B$1501,$A112))</f>
        <v>0</v>
      </c>
      <c r="AH112" s="21" t="n">
        <f aca="false">IF(OR($A112="",AH$4=""),0,COUNTIFS(Formulas!$A$2:$A$1501,AH$4,Formulas!$B$2:$B$1501,$A112))</f>
        <v>0</v>
      </c>
      <c r="AI112" s="21" t="n">
        <f aca="false">IF(OR($A112="",AI$4=""),0,COUNTIFS(Formulas!$A$2:$A$1501,AI$4,Formulas!$B$2:$B$1501,$A112))</f>
        <v>0</v>
      </c>
      <c r="AJ112" s="21" t="n">
        <f aca="false">IF(OR($A112="",AJ$4=""),0,COUNTIFS(Formulas!$A$2:$A$1501,AJ$4,Formulas!$B$2:$B$1501,$A112))</f>
        <v>0</v>
      </c>
      <c r="AK112" s="21" t="n">
        <f aca="false">IF(OR($A112="",AK$4=""),0,COUNTIFS(Formulas!$A$2:$A$1501,AK$4,Formulas!$B$2:$B$1501,$A112))</f>
        <v>0</v>
      </c>
      <c r="AL112" s="21" t="n">
        <f aca="false">IF(OR($A112="",AL$4=""),0,COUNTIFS(Formulas!$A$2:$A$1501,AL$4,Formulas!$B$2:$B$1501,$A112))</f>
        <v>0</v>
      </c>
      <c r="AM112" s="21" t="n">
        <f aca="false">IF(OR($A112="",AM$4=""),0,COUNTIFS(Formulas!$A$2:$A$1501,AM$4,Formulas!$B$2:$B$1501,$A112))</f>
        <v>0</v>
      </c>
      <c r="AN112" s="21" t="n">
        <f aca="false">IF(OR($A112="",AN$4=""),0,COUNTIFS(Formulas!$A$2:$A$1501,AN$4,Formulas!$B$2:$B$1501,$A112))</f>
        <v>0</v>
      </c>
      <c r="AO112" s="21" t="n">
        <f aca="false">IF(OR($A112="",AO$4=""),0,COUNTIFS(Formulas!$A$2:$A$1501,AO$4,Formulas!$B$2:$B$1501,$A112))</f>
        <v>0</v>
      </c>
      <c r="AP112" s="21" t="n">
        <f aca="false">IF(OR($A112="",AP$4=""),0,COUNTIFS(Formulas!$A$2:$A$1501,AP$4,Formulas!$B$2:$B$1501,$A112))</f>
        <v>0</v>
      </c>
      <c r="AQ112" s="21" t="n">
        <f aca="false">IF(OR($A112="",AQ$4=""),0,COUNTIFS(Formulas!$A$2:$A$1501,AQ$4,Formulas!$B$2:$B$1501,$A112))</f>
        <v>0</v>
      </c>
      <c r="AR112" s="21" t="n">
        <f aca="false">IF(OR($A112="",AR$4=""),0,COUNTIFS(Formulas!$A$2:$A$1501,AR$4,Formulas!$B$2:$B$1501,$A112))</f>
        <v>0</v>
      </c>
      <c r="AS112" s="21" t="n">
        <f aca="false">IF(OR($A112="",AS$4=""),0,COUNTIFS(Formulas!$A$2:$A$1501,AS$4,Formulas!$B$2:$B$1501,$A112))</f>
        <v>0</v>
      </c>
      <c r="AT112" s="21" t="n">
        <f aca="false">IF(OR($A112="",AT$4=""),0,COUNTIFS(Formulas!$A$2:$A$1501,AT$4,Formulas!$B$2:$B$1501,$A112))</f>
        <v>0</v>
      </c>
      <c r="AU112" s="21" t="n">
        <f aca="false">IF(OR($A112="",AU$4=""),0,COUNTIFS(Formulas!$A$2:$A$1501,AU$4,Formulas!$B$2:$B$1501,$A112))</f>
        <v>0</v>
      </c>
      <c r="AV112" s="21" t="n">
        <f aca="false">IF(OR($A112="",AV$4=""),0,COUNTIFS(Formulas!$A$2:$A$1501,AV$4,Formulas!$B$2:$B$1501,$A112))</f>
        <v>0</v>
      </c>
      <c r="AW112" s="21" t="n">
        <f aca="false">IF(OR($A112="",AW$4=""),0,COUNTIFS(Formulas!$A$2:$A$1501,AW$4,Formulas!$B$2:$B$1501,$A112))</f>
        <v>0</v>
      </c>
      <c r="AX112" s="21" t="n">
        <f aca="false">IF(OR($A112="",AX$4=""),0,COUNTIFS(Formulas!$A$2:$A$1501,AX$4,Formulas!$B$2:$B$1501,$A112))</f>
        <v>0</v>
      </c>
      <c r="AY112" s="21" t="n">
        <f aca="false">IF(OR($A112="",AY$4=""),0,COUNTIFS(Formulas!$A$2:$A$1501,AY$4,Formulas!$B$2:$B$1501,$A112))</f>
        <v>0</v>
      </c>
      <c r="AZ112" s="21" t="n">
        <f aca="false">IF(OR($A112="",AZ$4=""),0,COUNTIFS(Formulas!$A$2:$A$1501,AZ$4,Formulas!$B$2:$B$1501,$A112))</f>
        <v>0</v>
      </c>
      <c r="BA112" s="21" t="n">
        <f aca="false">IF(OR($A112="",BA$4=""),0,COUNTIFS(Formulas!$A$2:$A$1501,BA$4,Formulas!$B$2:$B$1501,$A112))</f>
        <v>0</v>
      </c>
      <c r="BB112" s="21" t="n">
        <f aca="false">IF(OR($A112="",BB$4=""),0,COUNTIFS(Formulas!$A$2:$A$1501,BB$4,Formulas!$B$2:$B$1501,$A112))</f>
        <v>0</v>
      </c>
      <c r="BC112" s="21" t="n">
        <f aca="false">IF(OR($A112="",BC$4=""),0,COUNTIFS(Formulas!$A$2:$A$1501,BC$4,Formulas!$B$2:$B$1501,$A112))</f>
        <v>0</v>
      </c>
      <c r="BD112" s="21" t="n">
        <f aca="false">IF(OR($A112="",BD$4=""),0,COUNTIFS(Formulas!$A$2:$A$1501,BD$4,Formulas!$B$2:$B$1501,$A112))</f>
        <v>0</v>
      </c>
      <c r="BE112" s="21" t="n">
        <f aca="false">IF(OR($A112="",BE$4=""),0,COUNTIFS(Formulas!$A$2:$A$1501,BE$4,Formulas!$B$2:$B$1501,$A112))</f>
        <v>0</v>
      </c>
      <c r="BF112" s="21" t="n">
        <f aca="false">IF(OR($A112="",BF$4=""),0,COUNTIFS(Formulas!$A$2:$A$1501,BF$4,Formulas!$B$2:$B$1501,$A112))</f>
        <v>0</v>
      </c>
      <c r="BG112" s="21" t="n">
        <f aca="false">IF(OR($A112="",BG$4=""),0,COUNTIFS(Formulas!$A$2:$A$1501,BG$4,Formulas!$B$2:$B$1501,$A112))</f>
        <v>0</v>
      </c>
      <c r="BH112" s="21" t="n">
        <f aca="false">IF(OR($A112="",BH$4=""),0,COUNTIFS(Formulas!$A$2:$A$1501,BH$4,Formulas!$B$2:$B$1501,$A112))</f>
        <v>0</v>
      </c>
      <c r="BI112" s="21" t="n">
        <f aca="false">IF(OR($A112="",BI$4=""),0,COUNTIFS(Formulas!$A$2:$A$1501,BI$4,Formulas!$B$2:$B$1501,$A112))</f>
        <v>0</v>
      </c>
      <c r="BJ112" s="21" t="n">
        <f aca="false">IF(OR($A112="",BJ$4=""),0,COUNTIFS(Formulas!$A$2:$A$1501,BJ$4,Formulas!$B$2:$B$1501,$A112))</f>
        <v>0</v>
      </c>
    </row>
    <row r="113" customFormat="false" ht="15" hidden="false" customHeight="false" outlineLevel="0" collapsed="false">
      <c r="A113" s="13" t="str">
        <f aca="false">IF(INDEX(Materials!$A$2:$A$201,109)="","",INDEX(Materials!$A$2:$A$201,109))</f>
        <v/>
      </c>
      <c r="B113" s="19" t="str">
        <f aca="false">IF(A113="","",COUNTIF(C113:BJ113,"&gt;0"))</f>
        <v/>
      </c>
      <c r="C113" s="21" t="n">
        <f aca="false">IF(OR($A113="",C$4=""),0,COUNTIFS(Formulas!$A$2:$A$1501,C$4,Formulas!$B$2:$B$1501,$A113))</f>
        <v>0</v>
      </c>
      <c r="D113" s="21" t="n">
        <f aca="false">IF(OR($A113="",D$4=""),0,COUNTIFS(Formulas!$A$2:$A$1501,D$4,Formulas!$B$2:$B$1501,$A113))</f>
        <v>0</v>
      </c>
      <c r="E113" s="21" t="n">
        <f aca="false">IF(OR($A113="",E$4=""),0,COUNTIFS(Formulas!$A$2:$A$1501,E$4,Formulas!$B$2:$B$1501,$A113))</f>
        <v>0</v>
      </c>
      <c r="F113" s="21" t="n">
        <f aca="false">IF(OR($A113="",F$4=""),0,COUNTIFS(Formulas!$A$2:$A$1501,F$4,Formulas!$B$2:$B$1501,$A113))</f>
        <v>0</v>
      </c>
      <c r="G113" s="21" t="n">
        <f aca="false">IF(OR($A113="",G$4=""),0,COUNTIFS(Formulas!$A$2:$A$1501,G$4,Formulas!$B$2:$B$1501,$A113))</f>
        <v>0</v>
      </c>
      <c r="H113" s="21" t="n">
        <f aca="false">IF(OR($A113="",H$4=""),0,COUNTIFS(Formulas!$A$2:$A$1501,H$4,Formulas!$B$2:$B$1501,$A113))</f>
        <v>0</v>
      </c>
      <c r="I113" s="21" t="n">
        <f aca="false">IF(OR($A113="",I$4=""),0,COUNTIFS(Formulas!$A$2:$A$1501,I$4,Formulas!$B$2:$B$1501,$A113))</f>
        <v>0</v>
      </c>
      <c r="J113" s="21" t="n">
        <f aca="false">IF(OR($A113="",J$4=""),0,COUNTIFS(Formulas!$A$2:$A$1501,J$4,Formulas!$B$2:$B$1501,$A113))</f>
        <v>0</v>
      </c>
      <c r="K113" s="21" t="n">
        <f aca="false">IF(OR($A113="",K$4=""),0,COUNTIFS(Formulas!$A$2:$A$1501,K$4,Formulas!$B$2:$B$1501,$A113))</f>
        <v>0</v>
      </c>
      <c r="L113" s="21" t="n">
        <f aca="false">IF(OR($A113="",L$4=""),0,COUNTIFS(Formulas!$A$2:$A$1501,L$4,Formulas!$B$2:$B$1501,$A113))</f>
        <v>0</v>
      </c>
      <c r="M113" s="21" t="n">
        <f aca="false">IF(OR($A113="",M$4=""),0,COUNTIFS(Formulas!$A$2:$A$1501,M$4,Formulas!$B$2:$B$1501,$A113))</f>
        <v>0</v>
      </c>
      <c r="N113" s="21" t="n">
        <f aca="false">IF(OR($A113="",N$4=""),0,COUNTIFS(Formulas!$A$2:$A$1501,N$4,Formulas!$B$2:$B$1501,$A113))</f>
        <v>0</v>
      </c>
      <c r="O113" s="21" t="n">
        <f aca="false">IF(OR($A113="",O$4=""),0,COUNTIFS(Formulas!$A$2:$A$1501,O$4,Formulas!$B$2:$B$1501,$A113))</f>
        <v>0</v>
      </c>
      <c r="P113" s="21" t="n">
        <f aca="false">IF(OR($A113="",P$4=""),0,COUNTIFS(Formulas!$A$2:$A$1501,P$4,Formulas!$B$2:$B$1501,$A113))</f>
        <v>0</v>
      </c>
      <c r="Q113" s="21" t="n">
        <f aca="false">IF(OR($A113="",Q$4=""),0,COUNTIFS(Formulas!$A$2:$A$1501,Q$4,Formulas!$B$2:$B$1501,$A113))</f>
        <v>0</v>
      </c>
      <c r="R113" s="21" t="n">
        <f aca="false">IF(OR($A113="",R$4=""),0,COUNTIFS(Formulas!$A$2:$A$1501,R$4,Formulas!$B$2:$B$1501,$A113))</f>
        <v>0</v>
      </c>
      <c r="S113" s="21" t="n">
        <f aca="false">IF(OR($A113="",S$4=""),0,COUNTIFS(Formulas!$A$2:$A$1501,S$4,Formulas!$B$2:$B$1501,$A113))</f>
        <v>0</v>
      </c>
      <c r="T113" s="21" t="n">
        <f aca="false">IF(OR($A113="",T$4=""),0,COUNTIFS(Formulas!$A$2:$A$1501,T$4,Formulas!$B$2:$B$1501,$A113))</f>
        <v>0</v>
      </c>
      <c r="U113" s="21" t="n">
        <f aca="false">IF(OR($A113="",U$4=""),0,COUNTIFS(Formulas!$A$2:$A$1501,U$4,Formulas!$B$2:$B$1501,$A113))</f>
        <v>0</v>
      </c>
      <c r="V113" s="21" t="n">
        <f aca="false">IF(OR($A113="",V$4=""),0,COUNTIFS(Formulas!$A$2:$A$1501,V$4,Formulas!$B$2:$B$1501,$A113))</f>
        <v>0</v>
      </c>
      <c r="W113" s="21" t="n">
        <f aca="false">IF(OR($A113="",W$4=""),0,COUNTIFS(Formulas!$A$2:$A$1501,W$4,Formulas!$B$2:$B$1501,$A113))</f>
        <v>0</v>
      </c>
      <c r="X113" s="21" t="n">
        <f aca="false">IF(OR($A113="",X$4=""),0,COUNTIFS(Formulas!$A$2:$A$1501,X$4,Formulas!$B$2:$B$1501,$A113))</f>
        <v>0</v>
      </c>
      <c r="Y113" s="21" t="n">
        <f aca="false">IF(OR($A113="",Y$4=""),0,COUNTIFS(Formulas!$A$2:$A$1501,Y$4,Formulas!$B$2:$B$1501,$A113))</f>
        <v>0</v>
      </c>
      <c r="Z113" s="21" t="n">
        <f aca="false">IF(OR($A113="",Z$4=""),0,COUNTIFS(Formulas!$A$2:$A$1501,Z$4,Formulas!$B$2:$B$1501,$A113))</f>
        <v>0</v>
      </c>
      <c r="AA113" s="21" t="n">
        <f aca="false">IF(OR($A113="",AA$4=""),0,COUNTIFS(Formulas!$A$2:$A$1501,AA$4,Formulas!$B$2:$B$1501,$A113))</f>
        <v>0</v>
      </c>
      <c r="AB113" s="21" t="n">
        <f aca="false">IF(OR($A113="",AB$4=""),0,COUNTIFS(Formulas!$A$2:$A$1501,AB$4,Formulas!$B$2:$B$1501,$A113))</f>
        <v>0</v>
      </c>
      <c r="AC113" s="21" t="n">
        <f aca="false">IF(OR($A113="",AC$4=""),0,COUNTIFS(Formulas!$A$2:$A$1501,AC$4,Formulas!$B$2:$B$1501,$A113))</f>
        <v>0</v>
      </c>
      <c r="AD113" s="21" t="n">
        <f aca="false">IF(OR($A113="",AD$4=""),0,COUNTIFS(Formulas!$A$2:$A$1501,AD$4,Formulas!$B$2:$B$1501,$A113))</f>
        <v>0</v>
      </c>
      <c r="AE113" s="21" t="n">
        <f aca="false">IF(OR($A113="",AE$4=""),0,COUNTIFS(Formulas!$A$2:$A$1501,AE$4,Formulas!$B$2:$B$1501,$A113))</f>
        <v>0</v>
      </c>
      <c r="AF113" s="21" t="n">
        <f aca="false">IF(OR($A113="",AF$4=""),0,COUNTIFS(Formulas!$A$2:$A$1501,AF$4,Formulas!$B$2:$B$1501,$A113))</f>
        <v>0</v>
      </c>
      <c r="AG113" s="21" t="n">
        <f aca="false">IF(OR($A113="",AG$4=""),0,COUNTIFS(Formulas!$A$2:$A$1501,AG$4,Formulas!$B$2:$B$1501,$A113))</f>
        <v>0</v>
      </c>
      <c r="AH113" s="21" t="n">
        <f aca="false">IF(OR($A113="",AH$4=""),0,COUNTIFS(Formulas!$A$2:$A$1501,AH$4,Formulas!$B$2:$B$1501,$A113))</f>
        <v>0</v>
      </c>
      <c r="AI113" s="21" t="n">
        <f aca="false">IF(OR($A113="",AI$4=""),0,COUNTIFS(Formulas!$A$2:$A$1501,AI$4,Formulas!$B$2:$B$1501,$A113))</f>
        <v>0</v>
      </c>
      <c r="AJ113" s="21" t="n">
        <f aca="false">IF(OR($A113="",AJ$4=""),0,COUNTIFS(Formulas!$A$2:$A$1501,AJ$4,Formulas!$B$2:$B$1501,$A113))</f>
        <v>0</v>
      </c>
      <c r="AK113" s="21" t="n">
        <f aca="false">IF(OR($A113="",AK$4=""),0,COUNTIFS(Formulas!$A$2:$A$1501,AK$4,Formulas!$B$2:$B$1501,$A113))</f>
        <v>0</v>
      </c>
      <c r="AL113" s="21" t="n">
        <f aca="false">IF(OR($A113="",AL$4=""),0,COUNTIFS(Formulas!$A$2:$A$1501,AL$4,Formulas!$B$2:$B$1501,$A113))</f>
        <v>0</v>
      </c>
      <c r="AM113" s="21" t="n">
        <f aca="false">IF(OR($A113="",AM$4=""),0,COUNTIFS(Formulas!$A$2:$A$1501,AM$4,Formulas!$B$2:$B$1501,$A113))</f>
        <v>0</v>
      </c>
      <c r="AN113" s="21" t="n">
        <f aca="false">IF(OR($A113="",AN$4=""),0,COUNTIFS(Formulas!$A$2:$A$1501,AN$4,Formulas!$B$2:$B$1501,$A113))</f>
        <v>0</v>
      </c>
      <c r="AO113" s="21" t="n">
        <f aca="false">IF(OR($A113="",AO$4=""),0,COUNTIFS(Formulas!$A$2:$A$1501,AO$4,Formulas!$B$2:$B$1501,$A113))</f>
        <v>0</v>
      </c>
      <c r="AP113" s="21" t="n">
        <f aca="false">IF(OR($A113="",AP$4=""),0,COUNTIFS(Formulas!$A$2:$A$1501,AP$4,Formulas!$B$2:$B$1501,$A113))</f>
        <v>0</v>
      </c>
      <c r="AQ113" s="21" t="n">
        <f aca="false">IF(OR($A113="",AQ$4=""),0,COUNTIFS(Formulas!$A$2:$A$1501,AQ$4,Formulas!$B$2:$B$1501,$A113))</f>
        <v>0</v>
      </c>
      <c r="AR113" s="21" t="n">
        <f aca="false">IF(OR($A113="",AR$4=""),0,COUNTIFS(Formulas!$A$2:$A$1501,AR$4,Formulas!$B$2:$B$1501,$A113))</f>
        <v>0</v>
      </c>
      <c r="AS113" s="21" t="n">
        <f aca="false">IF(OR($A113="",AS$4=""),0,COUNTIFS(Formulas!$A$2:$A$1501,AS$4,Formulas!$B$2:$B$1501,$A113))</f>
        <v>0</v>
      </c>
      <c r="AT113" s="21" t="n">
        <f aca="false">IF(OR($A113="",AT$4=""),0,COUNTIFS(Formulas!$A$2:$A$1501,AT$4,Formulas!$B$2:$B$1501,$A113))</f>
        <v>0</v>
      </c>
      <c r="AU113" s="21" t="n">
        <f aca="false">IF(OR($A113="",AU$4=""),0,COUNTIFS(Formulas!$A$2:$A$1501,AU$4,Formulas!$B$2:$B$1501,$A113))</f>
        <v>0</v>
      </c>
      <c r="AV113" s="21" t="n">
        <f aca="false">IF(OR($A113="",AV$4=""),0,COUNTIFS(Formulas!$A$2:$A$1501,AV$4,Formulas!$B$2:$B$1501,$A113))</f>
        <v>0</v>
      </c>
      <c r="AW113" s="21" t="n">
        <f aca="false">IF(OR($A113="",AW$4=""),0,COUNTIFS(Formulas!$A$2:$A$1501,AW$4,Formulas!$B$2:$B$1501,$A113))</f>
        <v>0</v>
      </c>
      <c r="AX113" s="21" t="n">
        <f aca="false">IF(OR($A113="",AX$4=""),0,COUNTIFS(Formulas!$A$2:$A$1501,AX$4,Formulas!$B$2:$B$1501,$A113))</f>
        <v>0</v>
      </c>
      <c r="AY113" s="21" t="n">
        <f aca="false">IF(OR($A113="",AY$4=""),0,COUNTIFS(Formulas!$A$2:$A$1501,AY$4,Formulas!$B$2:$B$1501,$A113))</f>
        <v>0</v>
      </c>
      <c r="AZ113" s="21" t="n">
        <f aca="false">IF(OR($A113="",AZ$4=""),0,COUNTIFS(Formulas!$A$2:$A$1501,AZ$4,Formulas!$B$2:$B$1501,$A113))</f>
        <v>0</v>
      </c>
      <c r="BA113" s="21" t="n">
        <f aca="false">IF(OR($A113="",BA$4=""),0,COUNTIFS(Formulas!$A$2:$A$1501,BA$4,Formulas!$B$2:$B$1501,$A113))</f>
        <v>0</v>
      </c>
      <c r="BB113" s="21" t="n">
        <f aca="false">IF(OR($A113="",BB$4=""),0,COUNTIFS(Formulas!$A$2:$A$1501,BB$4,Formulas!$B$2:$B$1501,$A113))</f>
        <v>0</v>
      </c>
      <c r="BC113" s="21" t="n">
        <f aca="false">IF(OR($A113="",BC$4=""),0,COUNTIFS(Formulas!$A$2:$A$1501,BC$4,Formulas!$B$2:$B$1501,$A113))</f>
        <v>0</v>
      </c>
      <c r="BD113" s="21" t="n">
        <f aca="false">IF(OR($A113="",BD$4=""),0,COUNTIFS(Formulas!$A$2:$A$1501,BD$4,Formulas!$B$2:$B$1501,$A113))</f>
        <v>0</v>
      </c>
      <c r="BE113" s="21" t="n">
        <f aca="false">IF(OR($A113="",BE$4=""),0,COUNTIFS(Formulas!$A$2:$A$1501,BE$4,Formulas!$B$2:$B$1501,$A113))</f>
        <v>0</v>
      </c>
      <c r="BF113" s="21" t="n">
        <f aca="false">IF(OR($A113="",BF$4=""),0,COUNTIFS(Formulas!$A$2:$A$1501,BF$4,Formulas!$B$2:$B$1501,$A113))</f>
        <v>0</v>
      </c>
      <c r="BG113" s="21" t="n">
        <f aca="false">IF(OR($A113="",BG$4=""),0,COUNTIFS(Formulas!$A$2:$A$1501,BG$4,Formulas!$B$2:$B$1501,$A113))</f>
        <v>0</v>
      </c>
      <c r="BH113" s="21" t="n">
        <f aca="false">IF(OR($A113="",BH$4=""),0,COUNTIFS(Formulas!$A$2:$A$1501,BH$4,Formulas!$B$2:$B$1501,$A113))</f>
        <v>0</v>
      </c>
      <c r="BI113" s="21" t="n">
        <f aca="false">IF(OR($A113="",BI$4=""),0,COUNTIFS(Formulas!$A$2:$A$1501,BI$4,Formulas!$B$2:$B$1501,$A113))</f>
        <v>0</v>
      </c>
      <c r="BJ113" s="21" t="n">
        <f aca="false">IF(OR($A113="",BJ$4=""),0,COUNTIFS(Formulas!$A$2:$A$1501,BJ$4,Formulas!$B$2:$B$1501,$A113))</f>
        <v>0</v>
      </c>
    </row>
    <row r="114" customFormat="false" ht="15" hidden="false" customHeight="false" outlineLevel="0" collapsed="false">
      <c r="A114" s="13" t="str">
        <f aca="false">IF(INDEX(Materials!$A$2:$A$201,110)="","",INDEX(Materials!$A$2:$A$201,110))</f>
        <v/>
      </c>
      <c r="B114" s="19" t="str">
        <f aca="false">IF(A114="","",COUNTIF(C114:BJ114,"&gt;0"))</f>
        <v/>
      </c>
      <c r="C114" s="21" t="n">
        <f aca="false">IF(OR($A114="",C$4=""),0,COUNTIFS(Formulas!$A$2:$A$1501,C$4,Formulas!$B$2:$B$1501,$A114))</f>
        <v>0</v>
      </c>
      <c r="D114" s="21" t="n">
        <f aca="false">IF(OR($A114="",D$4=""),0,COUNTIFS(Formulas!$A$2:$A$1501,D$4,Formulas!$B$2:$B$1501,$A114))</f>
        <v>0</v>
      </c>
      <c r="E114" s="21" t="n">
        <f aca="false">IF(OR($A114="",E$4=""),0,COUNTIFS(Formulas!$A$2:$A$1501,E$4,Formulas!$B$2:$B$1501,$A114))</f>
        <v>0</v>
      </c>
      <c r="F114" s="21" t="n">
        <f aca="false">IF(OR($A114="",F$4=""),0,COUNTIFS(Formulas!$A$2:$A$1501,F$4,Formulas!$B$2:$B$1501,$A114))</f>
        <v>0</v>
      </c>
      <c r="G114" s="21" t="n">
        <f aca="false">IF(OR($A114="",G$4=""),0,COUNTIFS(Formulas!$A$2:$A$1501,G$4,Formulas!$B$2:$B$1501,$A114))</f>
        <v>0</v>
      </c>
      <c r="H114" s="21" t="n">
        <f aca="false">IF(OR($A114="",H$4=""),0,COUNTIFS(Formulas!$A$2:$A$1501,H$4,Formulas!$B$2:$B$1501,$A114))</f>
        <v>0</v>
      </c>
      <c r="I114" s="21" t="n">
        <f aca="false">IF(OR($A114="",I$4=""),0,COUNTIFS(Formulas!$A$2:$A$1501,I$4,Formulas!$B$2:$B$1501,$A114))</f>
        <v>0</v>
      </c>
      <c r="J114" s="21" t="n">
        <f aca="false">IF(OR($A114="",J$4=""),0,COUNTIFS(Formulas!$A$2:$A$1501,J$4,Formulas!$B$2:$B$1501,$A114))</f>
        <v>0</v>
      </c>
      <c r="K114" s="21" t="n">
        <f aca="false">IF(OR($A114="",K$4=""),0,COUNTIFS(Formulas!$A$2:$A$1501,K$4,Formulas!$B$2:$B$1501,$A114))</f>
        <v>0</v>
      </c>
      <c r="L114" s="21" t="n">
        <f aca="false">IF(OR($A114="",L$4=""),0,COUNTIFS(Formulas!$A$2:$A$1501,L$4,Formulas!$B$2:$B$1501,$A114))</f>
        <v>0</v>
      </c>
      <c r="M114" s="21" t="n">
        <f aca="false">IF(OR($A114="",M$4=""),0,COUNTIFS(Formulas!$A$2:$A$1501,M$4,Formulas!$B$2:$B$1501,$A114))</f>
        <v>0</v>
      </c>
      <c r="N114" s="21" t="n">
        <f aca="false">IF(OR($A114="",N$4=""),0,COUNTIFS(Formulas!$A$2:$A$1501,N$4,Formulas!$B$2:$B$1501,$A114))</f>
        <v>0</v>
      </c>
      <c r="O114" s="21" t="n">
        <f aca="false">IF(OR($A114="",O$4=""),0,COUNTIFS(Formulas!$A$2:$A$1501,O$4,Formulas!$B$2:$B$1501,$A114))</f>
        <v>0</v>
      </c>
      <c r="P114" s="21" t="n">
        <f aca="false">IF(OR($A114="",P$4=""),0,COUNTIFS(Formulas!$A$2:$A$1501,P$4,Formulas!$B$2:$B$1501,$A114))</f>
        <v>0</v>
      </c>
      <c r="Q114" s="21" t="n">
        <f aca="false">IF(OR($A114="",Q$4=""),0,COUNTIFS(Formulas!$A$2:$A$1501,Q$4,Formulas!$B$2:$B$1501,$A114))</f>
        <v>0</v>
      </c>
      <c r="R114" s="21" t="n">
        <f aca="false">IF(OR($A114="",R$4=""),0,COUNTIFS(Formulas!$A$2:$A$1501,R$4,Formulas!$B$2:$B$1501,$A114))</f>
        <v>0</v>
      </c>
      <c r="S114" s="21" t="n">
        <f aca="false">IF(OR($A114="",S$4=""),0,COUNTIFS(Formulas!$A$2:$A$1501,S$4,Formulas!$B$2:$B$1501,$A114))</f>
        <v>0</v>
      </c>
      <c r="T114" s="21" t="n">
        <f aca="false">IF(OR($A114="",T$4=""),0,COUNTIFS(Formulas!$A$2:$A$1501,T$4,Formulas!$B$2:$B$1501,$A114))</f>
        <v>0</v>
      </c>
      <c r="U114" s="21" t="n">
        <f aca="false">IF(OR($A114="",U$4=""),0,COUNTIFS(Formulas!$A$2:$A$1501,U$4,Formulas!$B$2:$B$1501,$A114))</f>
        <v>0</v>
      </c>
      <c r="V114" s="21" t="n">
        <f aca="false">IF(OR($A114="",V$4=""),0,COUNTIFS(Formulas!$A$2:$A$1501,V$4,Formulas!$B$2:$B$1501,$A114))</f>
        <v>0</v>
      </c>
      <c r="W114" s="21" t="n">
        <f aca="false">IF(OR($A114="",W$4=""),0,COUNTIFS(Formulas!$A$2:$A$1501,W$4,Formulas!$B$2:$B$1501,$A114))</f>
        <v>0</v>
      </c>
      <c r="X114" s="21" t="n">
        <f aca="false">IF(OR($A114="",X$4=""),0,COUNTIFS(Formulas!$A$2:$A$1501,X$4,Formulas!$B$2:$B$1501,$A114))</f>
        <v>0</v>
      </c>
      <c r="Y114" s="21" t="n">
        <f aca="false">IF(OR($A114="",Y$4=""),0,COUNTIFS(Formulas!$A$2:$A$1501,Y$4,Formulas!$B$2:$B$1501,$A114))</f>
        <v>0</v>
      </c>
      <c r="Z114" s="21" t="n">
        <f aca="false">IF(OR($A114="",Z$4=""),0,COUNTIFS(Formulas!$A$2:$A$1501,Z$4,Formulas!$B$2:$B$1501,$A114))</f>
        <v>0</v>
      </c>
      <c r="AA114" s="21" t="n">
        <f aca="false">IF(OR($A114="",AA$4=""),0,COUNTIFS(Formulas!$A$2:$A$1501,AA$4,Formulas!$B$2:$B$1501,$A114))</f>
        <v>0</v>
      </c>
      <c r="AB114" s="21" t="n">
        <f aca="false">IF(OR($A114="",AB$4=""),0,COUNTIFS(Formulas!$A$2:$A$1501,AB$4,Formulas!$B$2:$B$1501,$A114))</f>
        <v>0</v>
      </c>
      <c r="AC114" s="21" t="n">
        <f aca="false">IF(OR($A114="",AC$4=""),0,COUNTIFS(Formulas!$A$2:$A$1501,AC$4,Formulas!$B$2:$B$1501,$A114))</f>
        <v>0</v>
      </c>
      <c r="AD114" s="21" t="n">
        <f aca="false">IF(OR($A114="",AD$4=""),0,COUNTIFS(Formulas!$A$2:$A$1501,AD$4,Formulas!$B$2:$B$1501,$A114))</f>
        <v>0</v>
      </c>
      <c r="AE114" s="21" t="n">
        <f aca="false">IF(OR($A114="",AE$4=""),0,COUNTIFS(Formulas!$A$2:$A$1501,AE$4,Formulas!$B$2:$B$1501,$A114))</f>
        <v>0</v>
      </c>
      <c r="AF114" s="21" t="n">
        <f aca="false">IF(OR($A114="",AF$4=""),0,COUNTIFS(Formulas!$A$2:$A$1501,AF$4,Formulas!$B$2:$B$1501,$A114))</f>
        <v>0</v>
      </c>
      <c r="AG114" s="21" t="n">
        <f aca="false">IF(OR($A114="",AG$4=""),0,COUNTIFS(Formulas!$A$2:$A$1501,AG$4,Formulas!$B$2:$B$1501,$A114))</f>
        <v>0</v>
      </c>
      <c r="AH114" s="21" t="n">
        <f aca="false">IF(OR($A114="",AH$4=""),0,COUNTIFS(Formulas!$A$2:$A$1501,AH$4,Formulas!$B$2:$B$1501,$A114))</f>
        <v>0</v>
      </c>
      <c r="AI114" s="21" t="n">
        <f aca="false">IF(OR($A114="",AI$4=""),0,COUNTIFS(Formulas!$A$2:$A$1501,AI$4,Formulas!$B$2:$B$1501,$A114))</f>
        <v>0</v>
      </c>
      <c r="AJ114" s="21" t="n">
        <f aca="false">IF(OR($A114="",AJ$4=""),0,COUNTIFS(Formulas!$A$2:$A$1501,AJ$4,Formulas!$B$2:$B$1501,$A114))</f>
        <v>0</v>
      </c>
      <c r="AK114" s="21" t="n">
        <f aca="false">IF(OR($A114="",AK$4=""),0,COUNTIFS(Formulas!$A$2:$A$1501,AK$4,Formulas!$B$2:$B$1501,$A114))</f>
        <v>0</v>
      </c>
      <c r="AL114" s="21" t="n">
        <f aca="false">IF(OR($A114="",AL$4=""),0,COUNTIFS(Formulas!$A$2:$A$1501,AL$4,Formulas!$B$2:$B$1501,$A114))</f>
        <v>0</v>
      </c>
      <c r="AM114" s="21" t="n">
        <f aca="false">IF(OR($A114="",AM$4=""),0,COUNTIFS(Formulas!$A$2:$A$1501,AM$4,Formulas!$B$2:$B$1501,$A114))</f>
        <v>0</v>
      </c>
      <c r="AN114" s="21" t="n">
        <f aca="false">IF(OR($A114="",AN$4=""),0,COUNTIFS(Formulas!$A$2:$A$1501,AN$4,Formulas!$B$2:$B$1501,$A114))</f>
        <v>0</v>
      </c>
      <c r="AO114" s="21" t="n">
        <f aca="false">IF(OR($A114="",AO$4=""),0,COUNTIFS(Formulas!$A$2:$A$1501,AO$4,Formulas!$B$2:$B$1501,$A114))</f>
        <v>0</v>
      </c>
      <c r="AP114" s="21" t="n">
        <f aca="false">IF(OR($A114="",AP$4=""),0,COUNTIFS(Formulas!$A$2:$A$1501,AP$4,Formulas!$B$2:$B$1501,$A114))</f>
        <v>0</v>
      </c>
      <c r="AQ114" s="21" t="n">
        <f aca="false">IF(OR($A114="",AQ$4=""),0,COUNTIFS(Formulas!$A$2:$A$1501,AQ$4,Formulas!$B$2:$B$1501,$A114))</f>
        <v>0</v>
      </c>
      <c r="AR114" s="21" t="n">
        <f aca="false">IF(OR($A114="",AR$4=""),0,COUNTIFS(Formulas!$A$2:$A$1501,AR$4,Formulas!$B$2:$B$1501,$A114))</f>
        <v>0</v>
      </c>
      <c r="AS114" s="21" t="n">
        <f aca="false">IF(OR($A114="",AS$4=""),0,COUNTIFS(Formulas!$A$2:$A$1501,AS$4,Formulas!$B$2:$B$1501,$A114))</f>
        <v>0</v>
      </c>
      <c r="AT114" s="21" t="n">
        <f aca="false">IF(OR($A114="",AT$4=""),0,COUNTIFS(Formulas!$A$2:$A$1501,AT$4,Formulas!$B$2:$B$1501,$A114))</f>
        <v>0</v>
      </c>
      <c r="AU114" s="21" t="n">
        <f aca="false">IF(OR($A114="",AU$4=""),0,COUNTIFS(Formulas!$A$2:$A$1501,AU$4,Formulas!$B$2:$B$1501,$A114))</f>
        <v>0</v>
      </c>
      <c r="AV114" s="21" t="n">
        <f aca="false">IF(OR($A114="",AV$4=""),0,COUNTIFS(Formulas!$A$2:$A$1501,AV$4,Formulas!$B$2:$B$1501,$A114))</f>
        <v>0</v>
      </c>
      <c r="AW114" s="21" t="n">
        <f aca="false">IF(OR($A114="",AW$4=""),0,COUNTIFS(Formulas!$A$2:$A$1501,AW$4,Formulas!$B$2:$B$1501,$A114))</f>
        <v>0</v>
      </c>
      <c r="AX114" s="21" t="n">
        <f aca="false">IF(OR($A114="",AX$4=""),0,COUNTIFS(Formulas!$A$2:$A$1501,AX$4,Formulas!$B$2:$B$1501,$A114))</f>
        <v>0</v>
      </c>
      <c r="AY114" s="21" t="n">
        <f aca="false">IF(OR($A114="",AY$4=""),0,COUNTIFS(Formulas!$A$2:$A$1501,AY$4,Formulas!$B$2:$B$1501,$A114))</f>
        <v>0</v>
      </c>
      <c r="AZ114" s="21" t="n">
        <f aca="false">IF(OR($A114="",AZ$4=""),0,COUNTIFS(Formulas!$A$2:$A$1501,AZ$4,Formulas!$B$2:$B$1501,$A114))</f>
        <v>0</v>
      </c>
      <c r="BA114" s="21" t="n">
        <f aca="false">IF(OR($A114="",BA$4=""),0,COUNTIFS(Formulas!$A$2:$A$1501,BA$4,Formulas!$B$2:$B$1501,$A114))</f>
        <v>0</v>
      </c>
      <c r="BB114" s="21" t="n">
        <f aca="false">IF(OR($A114="",BB$4=""),0,COUNTIFS(Formulas!$A$2:$A$1501,BB$4,Formulas!$B$2:$B$1501,$A114))</f>
        <v>0</v>
      </c>
      <c r="BC114" s="21" t="n">
        <f aca="false">IF(OR($A114="",BC$4=""),0,COUNTIFS(Formulas!$A$2:$A$1501,BC$4,Formulas!$B$2:$B$1501,$A114))</f>
        <v>0</v>
      </c>
      <c r="BD114" s="21" t="n">
        <f aca="false">IF(OR($A114="",BD$4=""),0,COUNTIFS(Formulas!$A$2:$A$1501,BD$4,Formulas!$B$2:$B$1501,$A114))</f>
        <v>0</v>
      </c>
      <c r="BE114" s="21" t="n">
        <f aca="false">IF(OR($A114="",BE$4=""),0,COUNTIFS(Formulas!$A$2:$A$1501,BE$4,Formulas!$B$2:$B$1501,$A114))</f>
        <v>0</v>
      </c>
      <c r="BF114" s="21" t="n">
        <f aca="false">IF(OR($A114="",BF$4=""),0,COUNTIFS(Formulas!$A$2:$A$1501,BF$4,Formulas!$B$2:$B$1501,$A114))</f>
        <v>0</v>
      </c>
      <c r="BG114" s="21" t="n">
        <f aca="false">IF(OR($A114="",BG$4=""),0,COUNTIFS(Formulas!$A$2:$A$1501,BG$4,Formulas!$B$2:$B$1501,$A114))</f>
        <v>0</v>
      </c>
      <c r="BH114" s="21" t="n">
        <f aca="false">IF(OR($A114="",BH$4=""),0,COUNTIFS(Formulas!$A$2:$A$1501,BH$4,Formulas!$B$2:$B$1501,$A114))</f>
        <v>0</v>
      </c>
      <c r="BI114" s="21" t="n">
        <f aca="false">IF(OR($A114="",BI$4=""),0,COUNTIFS(Formulas!$A$2:$A$1501,BI$4,Formulas!$B$2:$B$1501,$A114))</f>
        <v>0</v>
      </c>
      <c r="BJ114" s="21" t="n">
        <f aca="false">IF(OR($A114="",BJ$4=""),0,COUNTIFS(Formulas!$A$2:$A$1501,BJ$4,Formulas!$B$2:$B$1501,$A114))</f>
        <v>0</v>
      </c>
    </row>
    <row r="115" customFormat="false" ht="15" hidden="false" customHeight="false" outlineLevel="0" collapsed="false">
      <c r="A115" s="13" t="str">
        <f aca="false">IF(INDEX(Materials!$A$2:$A$201,111)="","",INDEX(Materials!$A$2:$A$201,111))</f>
        <v/>
      </c>
      <c r="B115" s="19" t="str">
        <f aca="false">IF(A115="","",COUNTIF(C115:BJ115,"&gt;0"))</f>
        <v/>
      </c>
      <c r="C115" s="21" t="n">
        <f aca="false">IF(OR($A115="",C$4=""),0,COUNTIFS(Formulas!$A$2:$A$1501,C$4,Formulas!$B$2:$B$1501,$A115))</f>
        <v>0</v>
      </c>
      <c r="D115" s="21" t="n">
        <f aca="false">IF(OR($A115="",D$4=""),0,COUNTIFS(Formulas!$A$2:$A$1501,D$4,Formulas!$B$2:$B$1501,$A115))</f>
        <v>0</v>
      </c>
      <c r="E115" s="21" t="n">
        <f aca="false">IF(OR($A115="",E$4=""),0,COUNTIFS(Formulas!$A$2:$A$1501,E$4,Formulas!$B$2:$B$1501,$A115))</f>
        <v>0</v>
      </c>
      <c r="F115" s="21" t="n">
        <f aca="false">IF(OR($A115="",F$4=""),0,COUNTIFS(Formulas!$A$2:$A$1501,F$4,Formulas!$B$2:$B$1501,$A115))</f>
        <v>0</v>
      </c>
      <c r="G115" s="21" t="n">
        <f aca="false">IF(OR($A115="",G$4=""),0,COUNTIFS(Formulas!$A$2:$A$1501,G$4,Formulas!$B$2:$B$1501,$A115))</f>
        <v>0</v>
      </c>
      <c r="H115" s="21" t="n">
        <f aca="false">IF(OR($A115="",H$4=""),0,COUNTIFS(Formulas!$A$2:$A$1501,H$4,Formulas!$B$2:$B$1501,$A115))</f>
        <v>0</v>
      </c>
      <c r="I115" s="21" t="n">
        <f aca="false">IF(OR($A115="",I$4=""),0,COUNTIFS(Formulas!$A$2:$A$1501,I$4,Formulas!$B$2:$B$1501,$A115))</f>
        <v>0</v>
      </c>
      <c r="J115" s="21" t="n">
        <f aca="false">IF(OR($A115="",J$4=""),0,COUNTIFS(Formulas!$A$2:$A$1501,J$4,Formulas!$B$2:$B$1501,$A115))</f>
        <v>0</v>
      </c>
      <c r="K115" s="21" t="n">
        <f aca="false">IF(OR($A115="",K$4=""),0,COUNTIFS(Formulas!$A$2:$A$1501,K$4,Formulas!$B$2:$B$1501,$A115))</f>
        <v>0</v>
      </c>
      <c r="L115" s="21" t="n">
        <f aca="false">IF(OR($A115="",L$4=""),0,COUNTIFS(Formulas!$A$2:$A$1501,L$4,Formulas!$B$2:$B$1501,$A115))</f>
        <v>0</v>
      </c>
      <c r="M115" s="21" t="n">
        <f aca="false">IF(OR($A115="",M$4=""),0,COUNTIFS(Formulas!$A$2:$A$1501,M$4,Formulas!$B$2:$B$1501,$A115))</f>
        <v>0</v>
      </c>
      <c r="N115" s="21" t="n">
        <f aca="false">IF(OR($A115="",N$4=""),0,COUNTIFS(Formulas!$A$2:$A$1501,N$4,Formulas!$B$2:$B$1501,$A115))</f>
        <v>0</v>
      </c>
      <c r="O115" s="21" t="n">
        <f aca="false">IF(OR($A115="",O$4=""),0,COUNTIFS(Formulas!$A$2:$A$1501,O$4,Formulas!$B$2:$B$1501,$A115))</f>
        <v>0</v>
      </c>
      <c r="P115" s="21" t="n">
        <f aca="false">IF(OR($A115="",P$4=""),0,COUNTIFS(Formulas!$A$2:$A$1501,P$4,Formulas!$B$2:$B$1501,$A115))</f>
        <v>0</v>
      </c>
      <c r="Q115" s="21" t="n">
        <f aca="false">IF(OR($A115="",Q$4=""),0,COUNTIFS(Formulas!$A$2:$A$1501,Q$4,Formulas!$B$2:$B$1501,$A115))</f>
        <v>0</v>
      </c>
      <c r="R115" s="21" t="n">
        <f aca="false">IF(OR($A115="",R$4=""),0,COUNTIFS(Formulas!$A$2:$A$1501,R$4,Formulas!$B$2:$B$1501,$A115))</f>
        <v>0</v>
      </c>
      <c r="S115" s="21" t="n">
        <f aca="false">IF(OR($A115="",S$4=""),0,COUNTIFS(Formulas!$A$2:$A$1501,S$4,Formulas!$B$2:$B$1501,$A115))</f>
        <v>0</v>
      </c>
      <c r="T115" s="21" t="n">
        <f aca="false">IF(OR($A115="",T$4=""),0,COUNTIFS(Formulas!$A$2:$A$1501,T$4,Formulas!$B$2:$B$1501,$A115))</f>
        <v>0</v>
      </c>
      <c r="U115" s="21" t="n">
        <f aca="false">IF(OR($A115="",U$4=""),0,COUNTIFS(Formulas!$A$2:$A$1501,U$4,Formulas!$B$2:$B$1501,$A115))</f>
        <v>0</v>
      </c>
      <c r="V115" s="21" t="n">
        <f aca="false">IF(OR($A115="",V$4=""),0,COUNTIFS(Formulas!$A$2:$A$1501,V$4,Formulas!$B$2:$B$1501,$A115))</f>
        <v>0</v>
      </c>
      <c r="W115" s="21" t="n">
        <f aca="false">IF(OR($A115="",W$4=""),0,COUNTIFS(Formulas!$A$2:$A$1501,W$4,Formulas!$B$2:$B$1501,$A115))</f>
        <v>0</v>
      </c>
      <c r="X115" s="21" t="n">
        <f aca="false">IF(OR($A115="",X$4=""),0,COUNTIFS(Formulas!$A$2:$A$1501,X$4,Formulas!$B$2:$B$1501,$A115))</f>
        <v>0</v>
      </c>
      <c r="Y115" s="21" t="n">
        <f aca="false">IF(OR($A115="",Y$4=""),0,COUNTIFS(Formulas!$A$2:$A$1501,Y$4,Formulas!$B$2:$B$1501,$A115))</f>
        <v>0</v>
      </c>
      <c r="Z115" s="21" t="n">
        <f aca="false">IF(OR($A115="",Z$4=""),0,COUNTIFS(Formulas!$A$2:$A$1501,Z$4,Formulas!$B$2:$B$1501,$A115))</f>
        <v>0</v>
      </c>
      <c r="AA115" s="21" t="n">
        <f aca="false">IF(OR($A115="",AA$4=""),0,COUNTIFS(Formulas!$A$2:$A$1501,AA$4,Formulas!$B$2:$B$1501,$A115))</f>
        <v>0</v>
      </c>
      <c r="AB115" s="21" t="n">
        <f aca="false">IF(OR($A115="",AB$4=""),0,COUNTIFS(Formulas!$A$2:$A$1501,AB$4,Formulas!$B$2:$B$1501,$A115))</f>
        <v>0</v>
      </c>
      <c r="AC115" s="21" t="n">
        <f aca="false">IF(OR($A115="",AC$4=""),0,COUNTIFS(Formulas!$A$2:$A$1501,AC$4,Formulas!$B$2:$B$1501,$A115))</f>
        <v>0</v>
      </c>
      <c r="AD115" s="21" t="n">
        <f aca="false">IF(OR($A115="",AD$4=""),0,COUNTIFS(Formulas!$A$2:$A$1501,AD$4,Formulas!$B$2:$B$1501,$A115))</f>
        <v>0</v>
      </c>
      <c r="AE115" s="21" t="n">
        <f aca="false">IF(OR($A115="",AE$4=""),0,COUNTIFS(Formulas!$A$2:$A$1501,AE$4,Formulas!$B$2:$B$1501,$A115))</f>
        <v>0</v>
      </c>
      <c r="AF115" s="21" t="n">
        <f aca="false">IF(OR($A115="",AF$4=""),0,COUNTIFS(Formulas!$A$2:$A$1501,AF$4,Formulas!$B$2:$B$1501,$A115))</f>
        <v>0</v>
      </c>
      <c r="AG115" s="21" t="n">
        <f aca="false">IF(OR($A115="",AG$4=""),0,COUNTIFS(Formulas!$A$2:$A$1501,AG$4,Formulas!$B$2:$B$1501,$A115))</f>
        <v>0</v>
      </c>
      <c r="AH115" s="21" t="n">
        <f aca="false">IF(OR($A115="",AH$4=""),0,COUNTIFS(Formulas!$A$2:$A$1501,AH$4,Formulas!$B$2:$B$1501,$A115))</f>
        <v>0</v>
      </c>
      <c r="AI115" s="21" t="n">
        <f aca="false">IF(OR($A115="",AI$4=""),0,COUNTIFS(Formulas!$A$2:$A$1501,AI$4,Formulas!$B$2:$B$1501,$A115))</f>
        <v>0</v>
      </c>
      <c r="AJ115" s="21" t="n">
        <f aca="false">IF(OR($A115="",AJ$4=""),0,COUNTIFS(Formulas!$A$2:$A$1501,AJ$4,Formulas!$B$2:$B$1501,$A115))</f>
        <v>0</v>
      </c>
      <c r="AK115" s="21" t="n">
        <f aca="false">IF(OR($A115="",AK$4=""),0,COUNTIFS(Formulas!$A$2:$A$1501,AK$4,Formulas!$B$2:$B$1501,$A115))</f>
        <v>0</v>
      </c>
      <c r="AL115" s="21" t="n">
        <f aca="false">IF(OR($A115="",AL$4=""),0,COUNTIFS(Formulas!$A$2:$A$1501,AL$4,Formulas!$B$2:$B$1501,$A115))</f>
        <v>0</v>
      </c>
      <c r="AM115" s="21" t="n">
        <f aca="false">IF(OR($A115="",AM$4=""),0,COUNTIFS(Formulas!$A$2:$A$1501,AM$4,Formulas!$B$2:$B$1501,$A115))</f>
        <v>0</v>
      </c>
      <c r="AN115" s="21" t="n">
        <f aca="false">IF(OR($A115="",AN$4=""),0,COUNTIFS(Formulas!$A$2:$A$1501,AN$4,Formulas!$B$2:$B$1501,$A115))</f>
        <v>0</v>
      </c>
      <c r="AO115" s="21" t="n">
        <f aca="false">IF(OR($A115="",AO$4=""),0,COUNTIFS(Formulas!$A$2:$A$1501,AO$4,Formulas!$B$2:$B$1501,$A115))</f>
        <v>0</v>
      </c>
      <c r="AP115" s="21" t="n">
        <f aca="false">IF(OR($A115="",AP$4=""),0,COUNTIFS(Formulas!$A$2:$A$1501,AP$4,Formulas!$B$2:$B$1501,$A115))</f>
        <v>0</v>
      </c>
      <c r="AQ115" s="21" t="n">
        <f aca="false">IF(OR($A115="",AQ$4=""),0,COUNTIFS(Formulas!$A$2:$A$1501,AQ$4,Formulas!$B$2:$B$1501,$A115))</f>
        <v>0</v>
      </c>
      <c r="AR115" s="21" t="n">
        <f aca="false">IF(OR($A115="",AR$4=""),0,COUNTIFS(Formulas!$A$2:$A$1501,AR$4,Formulas!$B$2:$B$1501,$A115))</f>
        <v>0</v>
      </c>
      <c r="AS115" s="21" t="n">
        <f aca="false">IF(OR($A115="",AS$4=""),0,COUNTIFS(Formulas!$A$2:$A$1501,AS$4,Formulas!$B$2:$B$1501,$A115))</f>
        <v>0</v>
      </c>
      <c r="AT115" s="21" t="n">
        <f aca="false">IF(OR($A115="",AT$4=""),0,COUNTIFS(Formulas!$A$2:$A$1501,AT$4,Formulas!$B$2:$B$1501,$A115))</f>
        <v>0</v>
      </c>
      <c r="AU115" s="21" t="n">
        <f aca="false">IF(OR($A115="",AU$4=""),0,COUNTIFS(Formulas!$A$2:$A$1501,AU$4,Formulas!$B$2:$B$1501,$A115))</f>
        <v>0</v>
      </c>
      <c r="AV115" s="21" t="n">
        <f aca="false">IF(OR($A115="",AV$4=""),0,COUNTIFS(Formulas!$A$2:$A$1501,AV$4,Formulas!$B$2:$B$1501,$A115))</f>
        <v>0</v>
      </c>
      <c r="AW115" s="21" t="n">
        <f aca="false">IF(OR($A115="",AW$4=""),0,COUNTIFS(Formulas!$A$2:$A$1501,AW$4,Formulas!$B$2:$B$1501,$A115))</f>
        <v>0</v>
      </c>
      <c r="AX115" s="21" t="n">
        <f aca="false">IF(OR($A115="",AX$4=""),0,COUNTIFS(Formulas!$A$2:$A$1501,AX$4,Formulas!$B$2:$B$1501,$A115))</f>
        <v>0</v>
      </c>
      <c r="AY115" s="21" t="n">
        <f aca="false">IF(OR($A115="",AY$4=""),0,COUNTIFS(Formulas!$A$2:$A$1501,AY$4,Formulas!$B$2:$B$1501,$A115))</f>
        <v>0</v>
      </c>
      <c r="AZ115" s="21" t="n">
        <f aca="false">IF(OR($A115="",AZ$4=""),0,COUNTIFS(Formulas!$A$2:$A$1501,AZ$4,Formulas!$B$2:$B$1501,$A115))</f>
        <v>0</v>
      </c>
      <c r="BA115" s="21" t="n">
        <f aca="false">IF(OR($A115="",BA$4=""),0,COUNTIFS(Formulas!$A$2:$A$1501,BA$4,Formulas!$B$2:$B$1501,$A115))</f>
        <v>0</v>
      </c>
      <c r="BB115" s="21" t="n">
        <f aca="false">IF(OR($A115="",BB$4=""),0,COUNTIFS(Formulas!$A$2:$A$1501,BB$4,Formulas!$B$2:$B$1501,$A115))</f>
        <v>0</v>
      </c>
      <c r="BC115" s="21" t="n">
        <f aca="false">IF(OR($A115="",BC$4=""),0,COUNTIFS(Formulas!$A$2:$A$1501,BC$4,Formulas!$B$2:$B$1501,$A115))</f>
        <v>0</v>
      </c>
      <c r="BD115" s="21" t="n">
        <f aca="false">IF(OR($A115="",BD$4=""),0,COUNTIFS(Formulas!$A$2:$A$1501,BD$4,Formulas!$B$2:$B$1501,$A115))</f>
        <v>0</v>
      </c>
      <c r="BE115" s="21" t="n">
        <f aca="false">IF(OR($A115="",BE$4=""),0,COUNTIFS(Formulas!$A$2:$A$1501,BE$4,Formulas!$B$2:$B$1501,$A115))</f>
        <v>0</v>
      </c>
      <c r="BF115" s="21" t="n">
        <f aca="false">IF(OR($A115="",BF$4=""),0,COUNTIFS(Formulas!$A$2:$A$1501,BF$4,Formulas!$B$2:$B$1501,$A115))</f>
        <v>0</v>
      </c>
      <c r="BG115" s="21" t="n">
        <f aca="false">IF(OR($A115="",BG$4=""),0,COUNTIFS(Formulas!$A$2:$A$1501,BG$4,Formulas!$B$2:$B$1501,$A115))</f>
        <v>0</v>
      </c>
      <c r="BH115" s="21" t="n">
        <f aca="false">IF(OR($A115="",BH$4=""),0,COUNTIFS(Formulas!$A$2:$A$1501,BH$4,Formulas!$B$2:$B$1501,$A115))</f>
        <v>0</v>
      </c>
      <c r="BI115" s="21" t="n">
        <f aca="false">IF(OR($A115="",BI$4=""),0,COUNTIFS(Formulas!$A$2:$A$1501,BI$4,Formulas!$B$2:$B$1501,$A115))</f>
        <v>0</v>
      </c>
      <c r="BJ115" s="21" t="n">
        <f aca="false">IF(OR($A115="",BJ$4=""),0,COUNTIFS(Formulas!$A$2:$A$1501,BJ$4,Formulas!$B$2:$B$1501,$A115))</f>
        <v>0</v>
      </c>
    </row>
    <row r="116" customFormat="false" ht="15" hidden="false" customHeight="false" outlineLevel="0" collapsed="false">
      <c r="A116" s="13" t="str">
        <f aca="false">IF(INDEX(Materials!$A$2:$A$201,112)="","",INDEX(Materials!$A$2:$A$201,112))</f>
        <v/>
      </c>
      <c r="B116" s="19" t="str">
        <f aca="false">IF(A116="","",COUNTIF(C116:BJ116,"&gt;0"))</f>
        <v/>
      </c>
      <c r="C116" s="21" t="n">
        <f aca="false">IF(OR($A116="",C$4=""),0,COUNTIFS(Formulas!$A$2:$A$1501,C$4,Formulas!$B$2:$B$1501,$A116))</f>
        <v>0</v>
      </c>
      <c r="D116" s="21" t="n">
        <f aca="false">IF(OR($A116="",D$4=""),0,COUNTIFS(Formulas!$A$2:$A$1501,D$4,Formulas!$B$2:$B$1501,$A116))</f>
        <v>0</v>
      </c>
      <c r="E116" s="21" t="n">
        <f aca="false">IF(OR($A116="",E$4=""),0,COUNTIFS(Formulas!$A$2:$A$1501,E$4,Formulas!$B$2:$B$1501,$A116))</f>
        <v>0</v>
      </c>
      <c r="F116" s="21" t="n">
        <f aca="false">IF(OR($A116="",F$4=""),0,COUNTIFS(Formulas!$A$2:$A$1501,F$4,Formulas!$B$2:$B$1501,$A116))</f>
        <v>0</v>
      </c>
      <c r="G116" s="21" t="n">
        <f aca="false">IF(OR($A116="",G$4=""),0,COUNTIFS(Formulas!$A$2:$A$1501,G$4,Formulas!$B$2:$B$1501,$A116))</f>
        <v>0</v>
      </c>
      <c r="H116" s="21" t="n">
        <f aca="false">IF(OR($A116="",H$4=""),0,COUNTIFS(Formulas!$A$2:$A$1501,H$4,Formulas!$B$2:$B$1501,$A116))</f>
        <v>0</v>
      </c>
      <c r="I116" s="21" t="n">
        <f aca="false">IF(OR($A116="",I$4=""),0,COUNTIFS(Formulas!$A$2:$A$1501,I$4,Formulas!$B$2:$B$1501,$A116))</f>
        <v>0</v>
      </c>
      <c r="J116" s="21" t="n">
        <f aca="false">IF(OR($A116="",J$4=""),0,COUNTIFS(Formulas!$A$2:$A$1501,J$4,Formulas!$B$2:$B$1501,$A116))</f>
        <v>0</v>
      </c>
      <c r="K116" s="21" t="n">
        <f aca="false">IF(OR($A116="",K$4=""),0,COUNTIFS(Formulas!$A$2:$A$1501,K$4,Formulas!$B$2:$B$1501,$A116))</f>
        <v>0</v>
      </c>
      <c r="L116" s="21" t="n">
        <f aca="false">IF(OR($A116="",L$4=""),0,COUNTIFS(Formulas!$A$2:$A$1501,L$4,Formulas!$B$2:$B$1501,$A116))</f>
        <v>0</v>
      </c>
      <c r="M116" s="21" t="n">
        <f aca="false">IF(OR($A116="",M$4=""),0,COUNTIFS(Formulas!$A$2:$A$1501,M$4,Formulas!$B$2:$B$1501,$A116))</f>
        <v>0</v>
      </c>
      <c r="N116" s="21" t="n">
        <f aca="false">IF(OR($A116="",N$4=""),0,COUNTIFS(Formulas!$A$2:$A$1501,N$4,Formulas!$B$2:$B$1501,$A116))</f>
        <v>0</v>
      </c>
      <c r="O116" s="21" t="n">
        <f aca="false">IF(OR($A116="",O$4=""),0,COUNTIFS(Formulas!$A$2:$A$1501,O$4,Formulas!$B$2:$B$1501,$A116))</f>
        <v>0</v>
      </c>
      <c r="P116" s="21" t="n">
        <f aca="false">IF(OR($A116="",P$4=""),0,COUNTIFS(Formulas!$A$2:$A$1501,P$4,Formulas!$B$2:$B$1501,$A116))</f>
        <v>0</v>
      </c>
      <c r="Q116" s="21" t="n">
        <f aca="false">IF(OR($A116="",Q$4=""),0,COUNTIFS(Formulas!$A$2:$A$1501,Q$4,Formulas!$B$2:$B$1501,$A116))</f>
        <v>0</v>
      </c>
      <c r="R116" s="21" t="n">
        <f aca="false">IF(OR($A116="",R$4=""),0,COUNTIFS(Formulas!$A$2:$A$1501,R$4,Formulas!$B$2:$B$1501,$A116))</f>
        <v>0</v>
      </c>
      <c r="S116" s="21" t="n">
        <f aca="false">IF(OR($A116="",S$4=""),0,COUNTIFS(Formulas!$A$2:$A$1501,S$4,Formulas!$B$2:$B$1501,$A116))</f>
        <v>0</v>
      </c>
      <c r="T116" s="21" t="n">
        <f aca="false">IF(OR($A116="",T$4=""),0,COUNTIFS(Formulas!$A$2:$A$1501,T$4,Formulas!$B$2:$B$1501,$A116))</f>
        <v>0</v>
      </c>
      <c r="U116" s="21" t="n">
        <f aca="false">IF(OR($A116="",U$4=""),0,COUNTIFS(Formulas!$A$2:$A$1501,U$4,Formulas!$B$2:$B$1501,$A116))</f>
        <v>0</v>
      </c>
      <c r="V116" s="21" t="n">
        <f aca="false">IF(OR($A116="",V$4=""),0,COUNTIFS(Formulas!$A$2:$A$1501,V$4,Formulas!$B$2:$B$1501,$A116))</f>
        <v>0</v>
      </c>
      <c r="W116" s="21" t="n">
        <f aca="false">IF(OR($A116="",W$4=""),0,COUNTIFS(Formulas!$A$2:$A$1501,W$4,Formulas!$B$2:$B$1501,$A116))</f>
        <v>0</v>
      </c>
      <c r="X116" s="21" t="n">
        <f aca="false">IF(OR($A116="",X$4=""),0,COUNTIFS(Formulas!$A$2:$A$1501,X$4,Formulas!$B$2:$B$1501,$A116))</f>
        <v>0</v>
      </c>
      <c r="Y116" s="21" t="n">
        <f aca="false">IF(OR($A116="",Y$4=""),0,COUNTIFS(Formulas!$A$2:$A$1501,Y$4,Formulas!$B$2:$B$1501,$A116))</f>
        <v>0</v>
      </c>
      <c r="Z116" s="21" t="n">
        <f aca="false">IF(OR($A116="",Z$4=""),0,COUNTIFS(Formulas!$A$2:$A$1501,Z$4,Formulas!$B$2:$B$1501,$A116))</f>
        <v>0</v>
      </c>
      <c r="AA116" s="21" t="n">
        <f aca="false">IF(OR($A116="",AA$4=""),0,COUNTIFS(Formulas!$A$2:$A$1501,AA$4,Formulas!$B$2:$B$1501,$A116))</f>
        <v>0</v>
      </c>
      <c r="AB116" s="21" t="n">
        <f aca="false">IF(OR($A116="",AB$4=""),0,COUNTIFS(Formulas!$A$2:$A$1501,AB$4,Formulas!$B$2:$B$1501,$A116))</f>
        <v>0</v>
      </c>
      <c r="AC116" s="21" t="n">
        <f aca="false">IF(OR($A116="",AC$4=""),0,COUNTIFS(Formulas!$A$2:$A$1501,AC$4,Formulas!$B$2:$B$1501,$A116))</f>
        <v>0</v>
      </c>
      <c r="AD116" s="21" t="n">
        <f aca="false">IF(OR($A116="",AD$4=""),0,COUNTIFS(Formulas!$A$2:$A$1501,AD$4,Formulas!$B$2:$B$1501,$A116))</f>
        <v>0</v>
      </c>
      <c r="AE116" s="21" t="n">
        <f aca="false">IF(OR($A116="",AE$4=""),0,COUNTIFS(Formulas!$A$2:$A$1501,AE$4,Formulas!$B$2:$B$1501,$A116))</f>
        <v>0</v>
      </c>
      <c r="AF116" s="21" t="n">
        <f aca="false">IF(OR($A116="",AF$4=""),0,COUNTIFS(Formulas!$A$2:$A$1501,AF$4,Formulas!$B$2:$B$1501,$A116))</f>
        <v>0</v>
      </c>
      <c r="AG116" s="21" t="n">
        <f aca="false">IF(OR($A116="",AG$4=""),0,COUNTIFS(Formulas!$A$2:$A$1501,AG$4,Formulas!$B$2:$B$1501,$A116))</f>
        <v>0</v>
      </c>
      <c r="AH116" s="21" t="n">
        <f aca="false">IF(OR($A116="",AH$4=""),0,COUNTIFS(Formulas!$A$2:$A$1501,AH$4,Formulas!$B$2:$B$1501,$A116))</f>
        <v>0</v>
      </c>
      <c r="AI116" s="21" t="n">
        <f aca="false">IF(OR($A116="",AI$4=""),0,COUNTIFS(Formulas!$A$2:$A$1501,AI$4,Formulas!$B$2:$B$1501,$A116))</f>
        <v>0</v>
      </c>
      <c r="AJ116" s="21" t="n">
        <f aca="false">IF(OR($A116="",AJ$4=""),0,COUNTIFS(Formulas!$A$2:$A$1501,AJ$4,Formulas!$B$2:$B$1501,$A116))</f>
        <v>0</v>
      </c>
      <c r="AK116" s="21" t="n">
        <f aca="false">IF(OR($A116="",AK$4=""),0,COUNTIFS(Formulas!$A$2:$A$1501,AK$4,Formulas!$B$2:$B$1501,$A116))</f>
        <v>0</v>
      </c>
      <c r="AL116" s="21" t="n">
        <f aca="false">IF(OR($A116="",AL$4=""),0,COUNTIFS(Formulas!$A$2:$A$1501,AL$4,Formulas!$B$2:$B$1501,$A116))</f>
        <v>0</v>
      </c>
      <c r="AM116" s="21" t="n">
        <f aca="false">IF(OR($A116="",AM$4=""),0,COUNTIFS(Formulas!$A$2:$A$1501,AM$4,Formulas!$B$2:$B$1501,$A116))</f>
        <v>0</v>
      </c>
      <c r="AN116" s="21" t="n">
        <f aca="false">IF(OR($A116="",AN$4=""),0,COUNTIFS(Formulas!$A$2:$A$1501,AN$4,Formulas!$B$2:$B$1501,$A116))</f>
        <v>0</v>
      </c>
      <c r="AO116" s="21" t="n">
        <f aca="false">IF(OR($A116="",AO$4=""),0,COUNTIFS(Formulas!$A$2:$A$1501,AO$4,Formulas!$B$2:$B$1501,$A116))</f>
        <v>0</v>
      </c>
      <c r="AP116" s="21" t="n">
        <f aca="false">IF(OR($A116="",AP$4=""),0,COUNTIFS(Formulas!$A$2:$A$1501,AP$4,Formulas!$B$2:$B$1501,$A116))</f>
        <v>0</v>
      </c>
      <c r="AQ116" s="21" t="n">
        <f aca="false">IF(OR($A116="",AQ$4=""),0,COUNTIFS(Formulas!$A$2:$A$1501,AQ$4,Formulas!$B$2:$B$1501,$A116))</f>
        <v>0</v>
      </c>
      <c r="AR116" s="21" t="n">
        <f aca="false">IF(OR($A116="",AR$4=""),0,COUNTIFS(Formulas!$A$2:$A$1501,AR$4,Formulas!$B$2:$B$1501,$A116))</f>
        <v>0</v>
      </c>
      <c r="AS116" s="21" t="n">
        <f aca="false">IF(OR($A116="",AS$4=""),0,COUNTIFS(Formulas!$A$2:$A$1501,AS$4,Formulas!$B$2:$B$1501,$A116))</f>
        <v>0</v>
      </c>
      <c r="AT116" s="21" t="n">
        <f aca="false">IF(OR($A116="",AT$4=""),0,COUNTIFS(Formulas!$A$2:$A$1501,AT$4,Formulas!$B$2:$B$1501,$A116))</f>
        <v>0</v>
      </c>
      <c r="AU116" s="21" t="n">
        <f aca="false">IF(OR($A116="",AU$4=""),0,COUNTIFS(Formulas!$A$2:$A$1501,AU$4,Formulas!$B$2:$B$1501,$A116))</f>
        <v>0</v>
      </c>
      <c r="AV116" s="21" t="n">
        <f aca="false">IF(OR($A116="",AV$4=""),0,COUNTIFS(Formulas!$A$2:$A$1501,AV$4,Formulas!$B$2:$B$1501,$A116))</f>
        <v>0</v>
      </c>
      <c r="AW116" s="21" t="n">
        <f aca="false">IF(OR($A116="",AW$4=""),0,COUNTIFS(Formulas!$A$2:$A$1501,AW$4,Formulas!$B$2:$B$1501,$A116))</f>
        <v>0</v>
      </c>
      <c r="AX116" s="21" t="n">
        <f aca="false">IF(OR($A116="",AX$4=""),0,COUNTIFS(Formulas!$A$2:$A$1501,AX$4,Formulas!$B$2:$B$1501,$A116))</f>
        <v>0</v>
      </c>
      <c r="AY116" s="21" t="n">
        <f aca="false">IF(OR($A116="",AY$4=""),0,COUNTIFS(Formulas!$A$2:$A$1501,AY$4,Formulas!$B$2:$B$1501,$A116))</f>
        <v>0</v>
      </c>
      <c r="AZ116" s="21" t="n">
        <f aca="false">IF(OR($A116="",AZ$4=""),0,COUNTIFS(Formulas!$A$2:$A$1501,AZ$4,Formulas!$B$2:$B$1501,$A116))</f>
        <v>0</v>
      </c>
      <c r="BA116" s="21" t="n">
        <f aca="false">IF(OR($A116="",BA$4=""),0,COUNTIFS(Formulas!$A$2:$A$1501,BA$4,Formulas!$B$2:$B$1501,$A116))</f>
        <v>0</v>
      </c>
      <c r="BB116" s="21" t="n">
        <f aca="false">IF(OR($A116="",BB$4=""),0,COUNTIFS(Formulas!$A$2:$A$1501,BB$4,Formulas!$B$2:$B$1501,$A116))</f>
        <v>0</v>
      </c>
      <c r="BC116" s="21" t="n">
        <f aca="false">IF(OR($A116="",BC$4=""),0,COUNTIFS(Formulas!$A$2:$A$1501,BC$4,Formulas!$B$2:$B$1501,$A116))</f>
        <v>0</v>
      </c>
      <c r="BD116" s="21" t="n">
        <f aca="false">IF(OR($A116="",BD$4=""),0,COUNTIFS(Formulas!$A$2:$A$1501,BD$4,Formulas!$B$2:$B$1501,$A116))</f>
        <v>0</v>
      </c>
      <c r="BE116" s="21" t="n">
        <f aca="false">IF(OR($A116="",BE$4=""),0,COUNTIFS(Formulas!$A$2:$A$1501,BE$4,Formulas!$B$2:$B$1501,$A116))</f>
        <v>0</v>
      </c>
      <c r="BF116" s="21" t="n">
        <f aca="false">IF(OR($A116="",BF$4=""),0,COUNTIFS(Formulas!$A$2:$A$1501,BF$4,Formulas!$B$2:$B$1501,$A116))</f>
        <v>0</v>
      </c>
      <c r="BG116" s="21" t="n">
        <f aca="false">IF(OR($A116="",BG$4=""),0,COUNTIFS(Formulas!$A$2:$A$1501,BG$4,Formulas!$B$2:$B$1501,$A116))</f>
        <v>0</v>
      </c>
      <c r="BH116" s="21" t="n">
        <f aca="false">IF(OR($A116="",BH$4=""),0,COUNTIFS(Formulas!$A$2:$A$1501,BH$4,Formulas!$B$2:$B$1501,$A116))</f>
        <v>0</v>
      </c>
      <c r="BI116" s="21" t="n">
        <f aca="false">IF(OR($A116="",BI$4=""),0,COUNTIFS(Formulas!$A$2:$A$1501,BI$4,Formulas!$B$2:$B$1501,$A116))</f>
        <v>0</v>
      </c>
      <c r="BJ116" s="21" t="n">
        <f aca="false">IF(OR($A116="",BJ$4=""),0,COUNTIFS(Formulas!$A$2:$A$1501,BJ$4,Formulas!$B$2:$B$1501,$A116))</f>
        <v>0</v>
      </c>
    </row>
    <row r="117" customFormat="false" ht="15" hidden="false" customHeight="false" outlineLevel="0" collapsed="false">
      <c r="A117" s="13" t="str">
        <f aca="false">IF(INDEX(Materials!$A$2:$A$201,113)="","",INDEX(Materials!$A$2:$A$201,113))</f>
        <v/>
      </c>
      <c r="B117" s="19" t="str">
        <f aca="false">IF(A117="","",COUNTIF(C117:BJ117,"&gt;0"))</f>
        <v/>
      </c>
      <c r="C117" s="21" t="n">
        <f aca="false">IF(OR($A117="",C$4=""),0,COUNTIFS(Formulas!$A$2:$A$1501,C$4,Formulas!$B$2:$B$1501,$A117))</f>
        <v>0</v>
      </c>
      <c r="D117" s="21" t="n">
        <f aca="false">IF(OR($A117="",D$4=""),0,COUNTIFS(Formulas!$A$2:$A$1501,D$4,Formulas!$B$2:$B$1501,$A117))</f>
        <v>0</v>
      </c>
      <c r="E117" s="21" t="n">
        <f aca="false">IF(OR($A117="",E$4=""),0,COUNTIFS(Formulas!$A$2:$A$1501,E$4,Formulas!$B$2:$B$1501,$A117))</f>
        <v>0</v>
      </c>
      <c r="F117" s="21" t="n">
        <f aca="false">IF(OR($A117="",F$4=""),0,COUNTIFS(Formulas!$A$2:$A$1501,F$4,Formulas!$B$2:$B$1501,$A117))</f>
        <v>0</v>
      </c>
      <c r="G117" s="21" t="n">
        <f aca="false">IF(OR($A117="",G$4=""),0,COUNTIFS(Formulas!$A$2:$A$1501,G$4,Formulas!$B$2:$B$1501,$A117))</f>
        <v>0</v>
      </c>
      <c r="H117" s="21" t="n">
        <f aca="false">IF(OR($A117="",H$4=""),0,COUNTIFS(Formulas!$A$2:$A$1501,H$4,Formulas!$B$2:$B$1501,$A117))</f>
        <v>0</v>
      </c>
      <c r="I117" s="21" t="n">
        <f aca="false">IF(OR($A117="",I$4=""),0,COUNTIFS(Formulas!$A$2:$A$1501,I$4,Formulas!$B$2:$B$1501,$A117))</f>
        <v>0</v>
      </c>
      <c r="J117" s="21" t="n">
        <f aca="false">IF(OR($A117="",J$4=""),0,COUNTIFS(Formulas!$A$2:$A$1501,J$4,Formulas!$B$2:$B$1501,$A117))</f>
        <v>0</v>
      </c>
      <c r="K117" s="21" t="n">
        <f aca="false">IF(OR($A117="",K$4=""),0,COUNTIFS(Formulas!$A$2:$A$1501,K$4,Formulas!$B$2:$B$1501,$A117))</f>
        <v>0</v>
      </c>
      <c r="L117" s="21" t="n">
        <f aca="false">IF(OR($A117="",L$4=""),0,COUNTIFS(Formulas!$A$2:$A$1501,L$4,Formulas!$B$2:$B$1501,$A117))</f>
        <v>0</v>
      </c>
      <c r="M117" s="21" t="n">
        <f aca="false">IF(OR($A117="",M$4=""),0,COUNTIFS(Formulas!$A$2:$A$1501,M$4,Formulas!$B$2:$B$1501,$A117))</f>
        <v>0</v>
      </c>
      <c r="N117" s="21" t="n">
        <f aca="false">IF(OR($A117="",N$4=""),0,COUNTIFS(Formulas!$A$2:$A$1501,N$4,Formulas!$B$2:$B$1501,$A117))</f>
        <v>0</v>
      </c>
      <c r="O117" s="21" t="n">
        <f aca="false">IF(OR($A117="",O$4=""),0,COUNTIFS(Formulas!$A$2:$A$1501,O$4,Formulas!$B$2:$B$1501,$A117))</f>
        <v>0</v>
      </c>
      <c r="P117" s="21" t="n">
        <f aca="false">IF(OR($A117="",P$4=""),0,COUNTIFS(Formulas!$A$2:$A$1501,P$4,Formulas!$B$2:$B$1501,$A117))</f>
        <v>0</v>
      </c>
      <c r="Q117" s="21" t="n">
        <f aca="false">IF(OR($A117="",Q$4=""),0,COUNTIFS(Formulas!$A$2:$A$1501,Q$4,Formulas!$B$2:$B$1501,$A117))</f>
        <v>0</v>
      </c>
      <c r="R117" s="21" t="n">
        <f aca="false">IF(OR($A117="",R$4=""),0,COUNTIFS(Formulas!$A$2:$A$1501,R$4,Formulas!$B$2:$B$1501,$A117))</f>
        <v>0</v>
      </c>
      <c r="S117" s="21" t="n">
        <f aca="false">IF(OR($A117="",S$4=""),0,COUNTIFS(Formulas!$A$2:$A$1501,S$4,Formulas!$B$2:$B$1501,$A117))</f>
        <v>0</v>
      </c>
      <c r="T117" s="21" t="n">
        <f aca="false">IF(OR($A117="",T$4=""),0,COUNTIFS(Formulas!$A$2:$A$1501,T$4,Formulas!$B$2:$B$1501,$A117))</f>
        <v>0</v>
      </c>
      <c r="U117" s="21" t="n">
        <f aca="false">IF(OR($A117="",U$4=""),0,COUNTIFS(Formulas!$A$2:$A$1501,U$4,Formulas!$B$2:$B$1501,$A117))</f>
        <v>0</v>
      </c>
      <c r="V117" s="21" t="n">
        <f aca="false">IF(OR($A117="",V$4=""),0,COUNTIFS(Formulas!$A$2:$A$1501,V$4,Formulas!$B$2:$B$1501,$A117))</f>
        <v>0</v>
      </c>
      <c r="W117" s="21" t="n">
        <f aca="false">IF(OR($A117="",W$4=""),0,COUNTIFS(Formulas!$A$2:$A$1501,W$4,Formulas!$B$2:$B$1501,$A117))</f>
        <v>0</v>
      </c>
      <c r="X117" s="21" t="n">
        <f aca="false">IF(OR($A117="",X$4=""),0,COUNTIFS(Formulas!$A$2:$A$1501,X$4,Formulas!$B$2:$B$1501,$A117))</f>
        <v>0</v>
      </c>
      <c r="Y117" s="21" t="n">
        <f aca="false">IF(OR($A117="",Y$4=""),0,COUNTIFS(Formulas!$A$2:$A$1501,Y$4,Formulas!$B$2:$B$1501,$A117))</f>
        <v>0</v>
      </c>
      <c r="Z117" s="21" t="n">
        <f aca="false">IF(OR($A117="",Z$4=""),0,COUNTIFS(Formulas!$A$2:$A$1501,Z$4,Formulas!$B$2:$B$1501,$A117))</f>
        <v>0</v>
      </c>
      <c r="AA117" s="21" t="n">
        <f aca="false">IF(OR($A117="",AA$4=""),0,COUNTIFS(Formulas!$A$2:$A$1501,AA$4,Formulas!$B$2:$B$1501,$A117))</f>
        <v>0</v>
      </c>
      <c r="AB117" s="21" t="n">
        <f aca="false">IF(OR($A117="",AB$4=""),0,COUNTIFS(Formulas!$A$2:$A$1501,AB$4,Formulas!$B$2:$B$1501,$A117))</f>
        <v>0</v>
      </c>
      <c r="AC117" s="21" t="n">
        <f aca="false">IF(OR($A117="",AC$4=""),0,COUNTIFS(Formulas!$A$2:$A$1501,AC$4,Formulas!$B$2:$B$1501,$A117))</f>
        <v>0</v>
      </c>
      <c r="AD117" s="21" t="n">
        <f aca="false">IF(OR($A117="",AD$4=""),0,COUNTIFS(Formulas!$A$2:$A$1501,AD$4,Formulas!$B$2:$B$1501,$A117))</f>
        <v>0</v>
      </c>
      <c r="AE117" s="21" t="n">
        <f aca="false">IF(OR($A117="",AE$4=""),0,COUNTIFS(Formulas!$A$2:$A$1501,AE$4,Formulas!$B$2:$B$1501,$A117))</f>
        <v>0</v>
      </c>
      <c r="AF117" s="21" t="n">
        <f aca="false">IF(OR($A117="",AF$4=""),0,COUNTIFS(Formulas!$A$2:$A$1501,AF$4,Formulas!$B$2:$B$1501,$A117))</f>
        <v>0</v>
      </c>
      <c r="AG117" s="21" t="n">
        <f aca="false">IF(OR($A117="",AG$4=""),0,COUNTIFS(Formulas!$A$2:$A$1501,AG$4,Formulas!$B$2:$B$1501,$A117))</f>
        <v>0</v>
      </c>
      <c r="AH117" s="21" t="n">
        <f aca="false">IF(OR($A117="",AH$4=""),0,COUNTIFS(Formulas!$A$2:$A$1501,AH$4,Formulas!$B$2:$B$1501,$A117))</f>
        <v>0</v>
      </c>
      <c r="AI117" s="21" t="n">
        <f aca="false">IF(OR($A117="",AI$4=""),0,COUNTIFS(Formulas!$A$2:$A$1501,AI$4,Formulas!$B$2:$B$1501,$A117))</f>
        <v>0</v>
      </c>
      <c r="AJ117" s="21" t="n">
        <f aca="false">IF(OR($A117="",AJ$4=""),0,COUNTIFS(Formulas!$A$2:$A$1501,AJ$4,Formulas!$B$2:$B$1501,$A117))</f>
        <v>0</v>
      </c>
      <c r="AK117" s="21" t="n">
        <f aca="false">IF(OR($A117="",AK$4=""),0,COUNTIFS(Formulas!$A$2:$A$1501,AK$4,Formulas!$B$2:$B$1501,$A117))</f>
        <v>0</v>
      </c>
      <c r="AL117" s="21" t="n">
        <f aca="false">IF(OR($A117="",AL$4=""),0,COUNTIFS(Formulas!$A$2:$A$1501,AL$4,Formulas!$B$2:$B$1501,$A117))</f>
        <v>0</v>
      </c>
      <c r="AM117" s="21" t="n">
        <f aca="false">IF(OR($A117="",AM$4=""),0,COUNTIFS(Formulas!$A$2:$A$1501,AM$4,Formulas!$B$2:$B$1501,$A117))</f>
        <v>0</v>
      </c>
      <c r="AN117" s="21" t="n">
        <f aca="false">IF(OR($A117="",AN$4=""),0,COUNTIFS(Formulas!$A$2:$A$1501,AN$4,Formulas!$B$2:$B$1501,$A117))</f>
        <v>0</v>
      </c>
      <c r="AO117" s="21" t="n">
        <f aca="false">IF(OR($A117="",AO$4=""),0,COUNTIFS(Formulas!$A$2:$A$1501,AO$4,Formulas!$B$2:$B$1501,$A117))</f>
        <v>0</v>
      </c>
      <c r="AP117" s="21" t="n">
        <f aca="false">IF(OR($A117="",AP$4=""),0,COUNTIFS(Formulas!$A$2:$A$1501,AP$4,Formulas!$B$2:$B$1501,$A117))</f>
        <v>0</v>
      </c>
      <c r="AQ117" s="21" t="n">
        <f aca="false">IF(OR($A117="",AQ$4=""),0,COUNTIFS(Formulas!$A$2:$A$1501,AQ$4,Formulas!$B$2:$B$1501,$A117))</f>
        <v>0</v>
      </c>
      <c r="AR117" s="21" t="n">
        <f aca="false">IF(OR($A117="",AR$4=""),0,COUNTIFS(Formulas!$A$2:$A$1501,AR$4,Formulas!$B$2:$B$1501,$A117))</f>
        <v>0</v>
      </c>
      <c r="AS117" s="21" t="n">
        <f aca="false">IF(OR($A117="",AS$4=""),0,COUNTIFS(Formulas!$A$2:$A$1501,AS$4,Formulas!$B$2:$B$1501,$A117))</f>
        <v>0</v>
      </c>
      <c r="AT117" s="21" t="n">
        <f aca="false">IF(OR($A117="",AT$4=""),0,COUNTIFS(Formulas!$A$2:$A$1501,AT$4,Formulas!$B$2:$B$1501,$A117))</f>
        <v>0</v>
      </c>
      <c r="AU117" s="21" t="n">
        <f aca="false">IF(OR($A117="",AU$4=""),0,COUNTIFS(Formulas!$A$2:$A$1501,AU$4,Formulas!$B$2:$B$1501,$A117))</f>
        <v>0</v>
      </c>
      <c r="AV117" s="21" t="n">
        <f aca="false">IF(OR($A117="",AV$4=""),0,COUNTIFS(Formulas!$A$2:$A$1501,AV$4,Formulas!$B$2:$B$1501,$A117))</f>
        <v>0</v>
      </c>
      <c r="AW117" s="21" t="n">
        <f aca="false">IF(OR($A117="",AW$4=""),0,COUNTIFS(Formulas!$A$2:$A$1501,AW$4,Formulas!$B$2:$B$1501,$A117))</f>
        <v>0</v>
      </c>
      <c r="AX117" s="21" t="n">
        <f aca="false">IF(OR($A117="",AX$4=""),0,COUNTIFS(Formulas!$A$2:$A$1501,AX$4,Formulas!$B$2:$B$1501,$A117))</f>
        <v>0</v>
      </c>
      <c r="AY117" s="21" t="n">
        <f aca="false">IF(OR($A117="",AY$4=""),0,COUNTIFS(Formulas!$A$2:$A$1501,AY$4,Formulas!$B$2:$B$1501,$A117))</f>
        <v>0</v>
      </c>
      <c r="AZ117" s="21" t="n">
        <f aca="false">IF(OR($A117="",AZ$4=""),0,COUNTIFS(Formulas!$A$2:$A$1501,AZ$4,Formulas!$B$2:$B$1501,$A117))</f>
        <v>0</v>
      </c>
      <c r="BA117" s="21" t="n">
        <f aca="false">IF(OR($A117="",BA$4=""),0,COUNTIFS(Formulas!$A$2:$A$1501,BA$4,Formulas!$B$2:$B$1501,$A117))</f>
        <v>0</v>
      </c>
      <c r="BB117" s="21" t="n">
        <f aca="false">IF(OR($A117="",BB$4=""),0,COUNTIFS(Formulas!$A$2:$A$1501,BB$4,Formulas!$B$2:$B$1501,$A117))</f>
        <v>0</v>
      </c>
      <c r="BC117" s="21" t="n">
        <f aca="false">IF(OR($A117="",BC$4=""),0,COUNTIFS(Formulas!$A$2:$A$1501,BC$4,Formulas!$B$2:$B$1501,$A117))</f>
        <v>0</v>
      </c>
      <c r="BD117" s="21" t="n">
        <f aca="false">IF(OR($A117="",BD$4=""),0,COUNTIFS(Formulas!$A$2:$A$1501,BD$4,Formulas!$B$2:$B$1501,$A117))</f>
        <v>0</v>
      </c>
      <c r="BE117" s="21" t="n">
        <f aca="false">IF(OR($A117="",BE$4=""),0,COUNTIFS(Formulas!$A$2:$A$1501,BE$4,Formulas!$B$2:$B$1501,$A117))</f>
        <v>0</v>
      </c>
      <c r="BF117" s="21" t="n">
        <f aca="false">IF(OR($A117="",BF$4=""),0,COUNTIFS(Formulas!$A$2:$A$1501,BF$4,Formulas!$B$2:$B$1501,$A117))</f>
        <v>0</v>
      </c>
      <c r="BG117" s="21" t="n">
        <f aca="false">IF(OR($A117="",BG$4=""),0,COUNTIFS(Formulas!$A$2:$A$1501,BG$4,Formulas!$B$2:$B$1501,$A117))</f>
        <v>0</v>
      </c>
      <c r="BH117" s="21" t="n">
        <f aca="false">IF(OR($A117="",BH$4=""),0,COUNTIFS(Formulas!$A$2:$A$1501,BH$4,Formulas!$B$2:$B$1501,$A117))</f>
        <v>0</v>
      </c>
      <c r="BI117" s="21" t="n">
        <f aca="false">IF(OR($A117="",BI$4=""),0,COUNTIFS(Formulas!$A$2:$A$1501,BI$4,Formulas!$B$2:$B$1501,$A117))</f>
        <v>0</v>
      </c>
      <c r="BJ117" s="21" t="n">
        <f aca="false">IF(OR($A117="",BJ$4=""),0,COUNTIFS(Formulas!$A$2:$A$1501,BJ$4,Formulas!$B$2:$B$1501,$A117))</f>
        <v>0</v>
      </c>
    </row>
    <row r="118" customFormat="false" ht="15" hidden="false" customHeight="false" outlineLevel="0" collapsed="false">
      <c r="A118" s="13" t="str">
        <f aca="false">IF(INDEX(Materials!$A$2:$A$201,114)="","",INDEX(Materials!$A$2:$A$201,114))</f>
        <v/>
      </c>
      <c r="B118" s="19" t="str">
        <f aca="false">IF(A118="","",COUNTIF(C118:BJ118,"&gt;0"))</f>
        <v/>
      </c>
      <c r="C118" s="21" t="n">
        <f aca="false">IF(OR($A118="",C$4=""),0,COUNTIFS(Formulas!$A$2:$A$1501,C$4,Formulas!$B$2:$B$1501,$A118))</f>
        <v>0</v>
      </c>
      <c r="D118" s="21" t="n">
        <f aca="false">IF(OR($A118="",D$4=""),0,COUNTIFS(Formulas!$A$2:$A$1501,D$4,Formulas!$B$2:$B$1501,$A118))</f>
        <v>0</v>
      </c>
      <c r="E118" s="21" t="n">
        <f aca="false">IF(OR($A118="",E$4=""),0,COUNTIFS(Formulas!$A$2:$A$1501,E$4,Formulas!$B$2:$B$1501,$A118))</f>
        <v>0</v>
      </c>
      <c r="F118" s="21" t="n">
        <f aca="false">IF(OR($A118="",F$4=""),0,COUNTIFS(Formulas!$A$2:$A$1501,F$4,Formulas!$B$2:$B$1501,$A118))</f>
        <v>0</v>
      </c>
      <c r="G118" s="21" t="n">
        <f aca="false">IF(OR($A118="",G$4=""),0,COUNTIFS(Formulas!$A$2:$A$1501,G$4,Formulas!$B$2:$B$1501,$A118))</f>
        <v>0</v>
      </c>
      <c r="H118" s="21" t="n">
        <f aca="false">IF(OR($A118="",H$4=""),0,COUNTIFS(Formulas!$A$2:$A$1501,H$4,Formulas!$B$2:$B$1501,$A118))</f>
        <v>0</v>
      </c>
      <c r="I118" s="21" t="n">
        <f aca="false">IF(OR($A118="",I$4=""),0,COUNTIFS(Formulas!$A$2:$A$1501,I$4,Formulas!$B$2:$B$1501,$A118))</f>
        <v>0</v>
      </c>
      <c r="J118" s="21" t="n">
        <f aca="false">IF(OR($A118="",J$4=""),0,COUNTIFS(Formulas!$A$2:$A$1501,J$4,Formulas!$B$2:$B$1501,$A118))</f>
        <v>0</v>
      </c>
      <c r="K118" s="21" t="n">
        <f aca="false">IF(OR($A118="",K$4=""),0,COUNTIFS(Formulas!$A$2:$A$1501,K$4,Formulas!$B$2:$B$1501,$A118))</f>
        <v>0</v>
      </c>
      <c r="L118" s="21" t="n">
        <f aca="false">IF(OR($A118="",L$4=""),0,COUNTIFS(Formulas!$A$2:$A$1501,L$4,Formulas!$B$2:$B$1501,$A118))</f>
        <v>0</v>
      </c>
      <c r="M118" s="21" t="n">
        <f aca="false">IF(OR($A118="",M$4=""),0,COUNTIFS(Formulas!$A$2:$A$1501,M$4,Formulas!$B$2:$B$1501,$A118))</f>
        <v>0</v>
      </c>
      <c r="N118" s="21" t="n">
        <f aca="false">IF(OR($A118="",N$4=""),0,COUNTIFS(Formulas!$A$2:$A$1501,N$4,Formulas!$B$2:$B$1501,$A118))</f>
        <v>0</v>
      </c>
      <c r="O118" s="21" t="n">
        <f aca="false">IF(OR($A118="",O$4=""),0,COUNTIFS(Formulas!$A$2:$A$1501,O$4,Formulas!$B$2:$B$1501,$A118))</f>
        <v>0</v>
      </c>
      <c r="P118" s="21" t="n">
        <f aca="false">IF(OR($A118="",P$4=""),0,COUNTIFS(Formulas!$A$2:$A$1501,P$4,Formulas!$B$2:$B$1501,$A118))</f>
        <v>0</v>
      </c>
      <c r="Q118" s="21" t="n">
        <f aca="false">IF(OR($A118="",Q$4=""),0,COUNTIFS(Formulas!$A$2:$A$1501,Q$4,Formulas!$B$2:$B$1501,$A118))</f>
        <v>0</v>
      </c>
      <c r="R118" s="21" t="n">
        <f aca="false">IF(OR($A118="",R$4=""),0,COUNTIFS(Formulas!$A$2:$A$1501,R$4,Formulas!$B$2:$B$1501,$A118))</f>
        <v>0</v>
      </c>
      <c r="S118" s="21" t="n">
        <f aca="false">IF(OR($A118="",S$4=""),0,COUNTIFS(Formulas!$A$2:$A$1501,S$4,Formulas!$B$2:$B$1501,$A118))</f>
        <v>0</v>
      </c>
      <c r="T118" s="21" t="n">
        <f aca="false">IF(OR($A118="",T$4=""),0,COUNTIFS(Formulas!$A$2:$A$1501,T$4,Formulas!$B$2:$B$1501,$A118))</f>
        <v>0</v>
      </c>
      <c r="U118" s="21" t="n">
        <f aca="false">IF(OR($A118="",U$4=""),0,COUNTIFS(Formulas!$A$2:$A$1501,U$4,Formulas!$B$2:$B$1501,$A118))</f>
        <v>0</v>
      </c>
      <c r="V118" s="21" t="n">
        <f aca="false">IF(OR($A118="",V$4=""),0,COUNTIFS(Formulas!$A$2:$A$1501,V$4,Formulas!$B$2:$B$1501,$A118))</f>
        <v>0</v>
      </c>
      <c r="W118" s="21" t="n">
        <f aca="false">IF(OR($A118="",W$4=""),0,COUNTIFS(Formulas!$A$2:$A$1501,W$4,Formulas!$B$2:$B$1501,$A118))</f>
        <v>0</v>
      </c>
      <c r="X118" s="21" t="n">
        <f aca="false">IF(OR($A118="",X$4=""),0,COUNTIFS(Formulas!$A$2:$A$1501,X$4,Formulas!$B$2:$B$1501,$A118))</f>
        <v>0</v>
      </c>
      <c r="Y118" s="21" t="n">
        <f aca="false">IF(OR($A118="",Y$4=""),0,COUNTIFS(Formulas!$A$2:$A$1501,Y$4,Formulas!$B$2:$B$1501,$A118))</f>
        <v>0</v>
      </c>
      <c r="Z118" s="21" t="n">
        <f aca="false">IF(OR($A118="",Z$4=""),0,COUNTIFS(Formulas!$A$2:$A$1501,Z$4,Formulas!$B$2:$B$1501,$A118))</f>
        <v>0</v>
      </c>
      <c r="AA118" s="21" t="n">
        <f aca="false">IF(OR($A118="",AA$4=""),0,COUNTIFS(Formulas!$A$2:$A$1501,AA$4,Formulas!$B$2:$B$1501,$A118))</f>
        <v>0</v>
      </c>
      <c r="AB118" s="21" t="n">
        <f aca="false">IF(OR($A118="",AB$4=""),0,COUNTIFS(Formulas!$A$2:$A$1501,AB$4,Formulas!$B$2:$B$1501,$A118))</f>
        <v>0</v>
      </c>
      <c r="AC118" s="21" t="n">
        <f aca="false">IF(OR($A118="",AC$4=""),0,COUNTIFS(Formulas!$A$2:$A$1501,AC$4,Formulas!$B$2:$B$1501,$A118))</f>
        <v>0</v>
      </c>
      <c r="AD118" s="21" t="n">
        <f aca="false">IF(OR($A118="",AD$4=""),0,COUNTIFS(Formulas!$A$2:$A$1501,AD$4,Formulas!$B$2:$B$1501,$A118))</f>
        <v>0</v>
      </c>
      <c r="AE118" s="21" t="n">
        <f aca="false">IF(OR($A118="",AE$4=""),0,COUNTIFS(Formulas!$A$2:$A$1501,AE$4,Formulas!$B$2:$B$1501,$A118))</f>
        <v>0</v>
      </c>
      <c r="AF118" s="21" t="n">
        <f aca="false">IF(OR($A118="",AF$4=""),0,COUNTIFS(Formulas!$A$2:$A$1501,AF$4,Formulas!$B$2:$B$1501,$A118))</f>
        <v>0</v>
      </c>
      <c r="AG118" s="21" t="n">
        <f aca="false">IF(OR($A118="",AG$4=""),0,COUNTIFS(Formulas!$A$2:$A$1501,AG$4,Formulas!$B$2:$B$1501,$A118))</f>
        <v>0</v>
      </c>
      <c r="AH118" s="21" t="n">
        <f aca="false">IF(OR($A118="",AH$4=""),0,COUNTIFS(Formulas!$A$2:$A$1501,AH$4,Formulas!$B$2:$B$1501,$A118))</f>
        <v>0</v>
      </c>
      <c r="AI118" s="21" t="n">
        <f aca="false">IF(OR($A118="",AI$4=""),0,COUNTIFS(Formulas!$A$2:$A$1501,AI$4,Formulas!$B$2:$B$1501,$A118))</f>
        <v>0</v>
      </c>
      <c r="AJ118" s="21" t="n">
        <f aca="false">IF(OR($A118="",AJ$4=""),0,COUNTIFS(Formulas!$A$2:$A$1501,AJ$4,Formulas!$B$2:$B$1501,$A118))</f>
        <v>0</v>
      </c>
      <c r="AK118" s="21" t="n">
        <f aca="false">IF(OR($A118="",AK$4=""),0,COUNTIFS(Formulas!$A$2:$A$1501,AK$4,Formulas!$B$2:$B$1501,$A118))</f>
        <v>0</v>
      </c>
      <c r="AL118" s="21" t="n">
        <f aca="false">IF(OR($A118="",AL$4=""),0,COUNTIFS(Formulas!$A$2:$A$1501,AL$4,Formulas!$B$2:$B$1501,$A118))</f>
        <v>0</v>
      </c>
      <c r="AM118" s="21" t="n">
        <f aca="false">IF(OR($A118="",AM$4=""),0,COUNTIFS(Formulas!$A$2:$A$1501,AM$4,Formulas!$B$2:$B$1501,$A118))</f>
        <v>0</v>
      </c>
      <c r="AN118" s="21" t="n">
        <f aca="false">IF(OR($A118="",AN$4=""),0,COUNTIFS(Formulas!$A$2:$A$1501,AN$4,Formulas!$B$2:$B$1501,$A118))</f>
        <v>0</v>
      </c>
      <c r="AO118" s="21" t="n">
        <f aca="false">IF(OR($A118="",AO$4=""),0,COUNTIFS(Formulas!$A$2:$A$1501,AO$4,Formulas!$B$2:$B$1501,$A118))</f>
        <v>0</v>
      </c>
      <c r="AP118" s="21" t="n">
        <f aca="false">IF(OR($A118="",AP$4=""),0,COUNTIFS(Formulas!$A$2:$A$1501,AP$4,Formulas!$B$2:$B$1501,$A118))</f>
        <v>0</v>
      </c>
      <c r="AQ118" s="21" t="n">
        <f aca="false">IF(OR($A118="",AQ$4=""),0,COUNTIFS(Formulas!$A$2:$A$1501,AQ$4,Formulas!$B$2:$B$1501,$A118))</f>
        <v>0</v>
      </c>
      <c r="AR118" s="21" t="n">
        <f aca="false">IF(OR($A118="",AR$4=""),0,COUNTIFS(Formulas!$A$2:$A$1501,AR$4,Formulas!$B$2:$B$1501,$A118))</f>
        <v>0</v>
      </c>
      <c r="AS118" s="21" t="n">
        <f aca="false">IF(OR($A118="",AS$4=""),0,COUNTIFS(Formulas!$A$2:$A$1501,AS$4,Formulas!$B$2:$B$1501,$A118))</f>
        <v>0</v>
      </c>
      <c r="AT118" s="21" t="n">
        <f aca="false">IF(OR($A118="",AT$4=""),0,COUNTIFS(Formulas!$A$2:$A$1501,AT$4,Formulas!$B$2:$B$1501,$A118))</f>
        <v>0</v>
      </c>
      <c r="AU118" s="21" t="n">
        <f aca="false">IF(OR($A118="",AU$4=""),0,COUNTIFS(Formulas!$A$2:$A$1501,AU$4,Formulas!$B$2:$B$1501,$A118))</f>
        <v>0</v>
      </c>
      <c r="AV118" s="21" t="n">
        <f aca="false">IF(OR($A118="",AV$4=""),0,COUNTIFS(Formulas!$A$2:$A$1501,AV$4,Formulas!$B$2:$B$1501,$A118))</f>
        <v>0</v>
      </c>
      <c r="AW118" s="21" t="n">
        <f aca="false">IF(OR($A118="",AW$4=""),0,COUNTIFS(Formulas!$A$2:$A$1501,AW$4,Formulas!$B$2:$B$1501,$A118))</f>
        <v>0</v>
      </c>
      <c r="AX118" s="21" t="n">
        <f aca="false">IF(OR($A118="",AX$4=""),0,COUNTIFS(Formulas!$A$2:$A$1501,AX$4,Formulas!$B$2:$B$1501,$A118))</f>
        <v>0</v>
      </c>
      <c r="AY118" s="21" t="n">
        <f aca="false">IF(OR($A118="",AY$4=""),0,COUNTIFS(Formulas!$A$2:$A$1501,AY$4,Formulas!$B$2:$B$1501,$A118))</f>
        <v>0</v>
      </c>
      <c r="AZ118" s="21" t="n">
        <f aca="false">IF(OR($A118="",AZ$4=""),0,COUNTIFS(Formulas!$A$2:$A$1501,AZ$4,Formulas!$B$2:$B$1501,$A118))</f>
        <v>0</v>
      </c>
      <c r="BA118" s="21" t="n">
        <f aca="false">IF(OR($A118="",BA$4=""),0,COUNTIFS(Formulas!$A$2:$A$1501,BA$4,Formulas!$B$2:$B$1501,$A118))</f>
        <v>0</v>
      </c>
      <c r="BB118" s="21" t="n">
        <f aca="false">IF(OR($A118="",BB$4=""),0,COUNTIFS(Formulas!$A$2:$A$1501,BB$4,Formulas!$B$2:$B$1501,$A118))</f>
        <v>0</v>
      </c>
      <c r="BC118" s="21" t="n">
        <f aca="false">IF(OR($A118="",BC$4=""),0,COUNTIFS(Formulas!$A$2:$A$1501,BC$4,Formulas!$B$2:$B$1501,$A118))</f>
        <v>0</v>
      </c>
      <c r="BD118" s="21" t="n">
        <f aca="false">IF(OR($A118="",BD$4=""),0,COUNTIFS(Formulas!$A$2:$A$1501,BD$4,Formulas!$B$2:$B$1501,$A118))</f>
        <v>0</v>
      </c>
      <c r="BE118" s="21" t="n">
        <f aca="false">IF(OR($A118="",BE$4=""),0,COUNTIFS(Formulas!$A$2:$A$1501,BE$4,Formulas!$B$2:$B$1501,$A118))</f>
        <v>0</v>
      </c>
      <c r="BF118" s="21" t="n">
        <f aca="false">IF(OR($A118="",BF$4=""),0,COUNTIFS(Formulas!$A$2:$A$1501,BF$4,Formulas!$B$2:$B$1501,$A118))</f>
        <v>0</v>
      </c>
      <c r="BG118" s="21" t="n">
        <f aca="false">IF(OR($A118="",BG$4=""),0,COUNTIFS(Formulas!$A$2:$A$1501,BG$4,Formulas!$B$2:$B$1501,$A118))</f>
        <v>0</v>
      </c>
      <c r="BH118" s="21" t="n">
        <f aca="false">IF(OR($A118="",BH$4=""),0,COUNTIFS(Formulas!$A$2:$A$1501,BH$4,Formulas!$B$2:$B$1501,$A118))</f>
        <v>0</v>
      </c>
      <c r="BI118" s="21" t="n">
        <f aca="false">IF(OR($A118="",BI$4=""),0,COUNTIFS(Formulas!$A$2:$A$1501,BI$4,Formulas!$B$2:$B$1501,$A118))</f>
        <v>0</v>
      </c>
      <c r="BJ118" s="21" t="n">
        <f aca="false">IF(OR($A118="",BJ$4=""),0,COUNTIFS(Formulas!$A$2:$A$1501,BJ$4,Formulas!$B$2:$B$1501,$A118))</f>
        <v>0</v>
      </c>
    </row>
    <row r="119" customFormat="false" ht="15" hidden="false" customHeight="false" outlineLevel="0" collapsed="false">
      <c r="A119" s="13" t="str">
        <f aca="false">IF(INDEX(Materials!$A$2:$A$201,115)="","",INDEX(Materials!$A$2:$A$201,115))</f>
        <v/>
      </c>
      <c r="B119" s="19" t="str">
        <f aca="false">IF(A119="","",COUNTIF(C119:BJ119,"&gt;0"))</f>
        <v/>
      </c>
      <c r="C119" s="21" t="n">
        <f aca="false">IF(OR($A119="",C$4=""),0,COUNTIFS(Formulas!$A$2:$A$1501,C$4,Formulas!$B$2:$B$1501,$A119))</f>
        <v>0</v>
      </c>
      <c r="D119" s="21" t="n">
        <f aca="false">IF(OR($A119="",D$4=""),0,COUNTIFS(Formulas!$A$2:$A$1501,D$4,Formulas!$B$2:$B$1501,$A119))</f>
        <v>0</v>
      </c>
      <c r="E119" s="21" t="n">
        <f aca="false">IF(OR($A119="",E$4=""),0,COUNTIFS(Formulas!$A$2:$A$1501,E$4,Formulas!$B$2:$B$1501,$A119))</f>
        <v>0</v>
      </c>
      <c r="F119" s="21" t="n">
        <f aca="false">IF(OR($A119="",F$4=""),0,COUNTIFS(Formulas!$A$2:$A$1501,F$4,Formulas!$B$2:$B$1501,$A119))</f>
        <v>0</v>
      </c>
      <c r="G119" s="21" t="n">
        <f aca="false">IF(OR($A119="",G$4=""),0,COUNTIFS(Formulas!$A$2:$A$1501,G$4,Formulas!$B$2:$B$1501,$A119))</f>
        <v>0</v>
      </c>
      <c r="H119" s="21" t="n">
        <f aca="false">IF(OR($A119="",H$4=""),0,COUNTIFS(Formulas!$A$2:$A$1501,H$4,Formulas!$B$2:$B$1501,$A119))</f>
        <v>0</v>
      </c>
      <c r="I119" s="21" t="n">
        <f aca="false">IF(OR($A119="",I$4=""),0,COUNTIFS(Formulas!$A$2:$A$1501,I$4,Formulas!$B$2:$B$1501,$A119))</f>
        <v>0</v>
      </c>
      <c r="J119" s="21" t="n">
        <f aca="false">IF(OR($A119="",J$4=""),0,COUNTIFS(Formulas!$A$2:$A$1501,J$4,Formulas!$B$2:$B$1501,$A119))</f>
        <v>0</v>
      </c>
      <c r="K119" s="21" t="n">
        <f aca="false">IF(OR($A119="",K$4=""),0,COUNTIFS(Formulas!$A$2:$A$1501,K$4,Formulas!$B$2:$B$1501,$A119))</f>
        <v>0</v>
      </c>
      <c r="L119" s="21" t="n">
        <f aca="false">IF(OR($A119="",L$4=""),0,COUNTIFS(Formulas!$A$2:$A$1501,L$4,Formulas!$B$2:$B$1501,$A119))</f>
        <v>0</v>
      </c>
      <c r="M119" s="21" t="n">
        <f aca="false">IF(OR($A119="",M$4=""),0,COUNTIFS(Formulas!$A$2:$A$1501,M$4,Formulas!$B$2:$B$1501,$A119))</f>
        <v>0</v>
      </c>
      <c r="N119" s="21" t="n">
        <f aca="false">IF(OR($A119="",N$4=""),0,COUNTIFS(Formulas!$A$2:$A$1501,N$4,Formulas!$B$2:$B$1501,$A119))</f>
        <v>0</v>
      </c>
      <c r="O119" s="21" t="n">
        <f aca="false">IF(OR($A119="",O$4=""),0,COUNTIFS(Formulas!$A$2:$A$1501,O$4,Formulas!$B$2:$B$1501,$A119))</f>
        <v>0</v>
      </c>
      <c r="P119" s="21" t="n">
        <f aca="false">IF(OR($A119="",P$4=""),0,COUNTIFS(Formulas!$A$2:$A$1501,P$4,Formulas!$B$2:$B$1501,$A119))</f>
        <v>0</v>
      </c>
      <c r="Q119" s="21" t="n">
        <f aca="false">IF(OR($A119="",Q$4=""),0,COUNTIFS(Formulas!$A$2:$A$1501,Q$4,Formulas!$B$2:$B$1501,$A119))</f>
        <v>0</v>
      </c>
      <c r="R119" s="21" t="n">
        <f aca="false">IF(OR($A119="",R$4=""),0,COUNTIFS(Formulas!$A$2:$A$1501,R$4,Formulas!$B$2:$B$1501,$A119))</f>
        <v>0</v>
      </c>
      <c r="S119" s="21" t="n">
        <f aca="false">IF(OR($A119="",S$4=""),0,COUNTIFS(Formulas!$A$2:$A$1501,S$4,Formulas!$B$2:$B$1501,$A119))</f>
        <v>0</v>
      </c>
      <c r="T119" s="21" t="n">
        <f aca="false">IF(OR($A119="",T$4=""),0,COUNTIFS(Formulas!$A$2:$A$1501,T$4,Formulas!$B$2:$B$1501,$A119))</f>
        <v>0</v>
      </c>
      <c r="U119" s="21" t="n">
        <f aca="false">IF(OR($A119="",U$4=""),0,COUNTIFS(Formulas!$A$2:$A$1501,U$4,Formulas!$B$2:$B$1501,$A119))</f>
        <v>0</v>
      </c>
      <c r="V119" s="21" t="n">
        <f aca="false">IF(OR($A119="",V$4=""),0,COUNTIFS(Formulas!$A$2:$A$1501,V$4,Formulas!$B$2:$B$1501,$A119))</f>
        <v>0</v>
      </c>
      <c r="W119" s="21" t="n">
        <f aca="false">IF(OR($A119="",W$4=""),0,COUNTIFS(Formulas!$A$2:$A$1501,W$4,Formulas!$B$2:$B$1501,$A119))</f>
        <v>0</v>
      </c>
      <c r="X119" s="21" t="n">
        <f aca="false">IF(OR($A119="",X$4=""),0,COUNTIFS(Formulas!$A$2:$A$1501,X$4,Formulas!$B$2:$B$1501,$A119))</f>
        <v>0</v>
      </c>
      <c r="Y119" s="21" t="n">
        <f aca="false">IF(OR($A119="",Y$4=""),0,COUNTIFS(Formulas!$A$2:$A$1501,Y$4,Formulas!$B$2:$B$1501,$A119))</f>
        <v>0</v>
      </c>
      <c r="Z119" s="21" t="n">
        <f aca="false">IF(OR($A119="",Z$4=""),0,COUNTIFS(Formulas!$A$2:$A$1501,Z$4,Formulas!$B$2:$B$1501,$A119))</f>
        <v>0</v>
      </c>
      <c r="AA119" s="21" t="n">
        <f aca="false">IF(OR($A119="",AA$4=""),0,COUNTIFS(Formulas!$A$2:$A$1501,AA$4,Formulas!$B$2:$B$1501,$A119))</f>
        <v>0</v>
      </c>
      <c r="AB119" s="21" t="n">
        <f aca="false">IF(OR($A119="",AB$4=""),0,COUNTIFS(Formulas!$A$2:$A$1501,AB$4,Formulas!$B$2:$B$1501,$A119))</f>
        <v>0</v>
      </c>
      <c r="AC119" s="21" t="n">
        <f aca="false">IF(OR($A119="",AC$4=""),0,COUNTIFS(Formulas!$A$2:$A$1501,AC$4,Formulas!$B$2:$B$1501,$A119))</f>
        <v>0</v>
      </c>
      <c r="AD119" s="21" t="n">
        <f aca="false">IF(OR($A119="",AD$4=""),0,COUNTIFS(Formulas!$A$2:$A$1501,AD$4,Formulas!$B$2:$B$1501,$A119))</f>
        <v>0</v>
      </c>
      <c r="AE119" s="21" t="n">
        <f aca="false">IF(OR($A119="",AE$4=""),0,COUNTIFS(Formulas!$A$2:$A$1501,AE$4,Formulas!$B$2:$B$1501,$A119))</f>
        <v>0</v>
      </c>
      <c r="AF119" s="21" t="n">
        <f aca="false">IF(OR($A119="",AF$4=""),0,COUNTIFS(Formulas!$A$2:$A$1501,AF$4,Formulas!$B$2:$B$1501,$A119))</f>
        <v>0</v>
      </c>
      <c r="AG119" s="21" t="n">
        <f aca="false">IF(OR($A119="",AG$4=""),0,COUNTIFS(Formulas!$A$2:$A$1501,AG$4,Formulas!$B$2:$B$1501,$A119))</f>
        <v>0</v>
      </c>
      <c r="AH119" s="21" t="n">
        <f aca="false">IF(OR($A119="",AH$4=""),0,COUNTIFS(Formulas!$A$2:$A$1501,AH$4,Formulas!$B$2:$B$1501,$A119))</f>
        <v>0</v>
      </c>
      <c r="AI119" s="21" t="n">
        <f aca="false">IF(OR($A119="",AI$4=""),0,COUNTIFS(Formulas!$A$2:$A$1501,AI$4,Formulas!$B$2:$B$1501,$A119))</f>
        <v>0</v>
      </c>
      <c r="AJ119" s="21" t="n">
        <f aca="false">IF(OR($A119="",AJ$4=""),0,COUNTIFS(Formulas!$A$2:$A$1501,AJ$4,Formulas!$B$2:$B$1501,$A119))</f>
        <v>0</v>
      </c>
      <c r="AK119" s="21" t="n">
        <f aca="false">IF(OR($A119="",AK$4=""),0,COUNTIFS(Formulas!$A$2:$A$1501,AK$4,Formulas!$B$2:$B$1501,$A119))</f>
        <v>0</v>
      </c>
      <c r="AL119" s="21" t="n">
        <f aca="false">IF(OR($A119="",AL$4=""),0,COUNTIFS(Formulas!$A$2:$A$1501,AL$4,Formulas!$B$2:$B$1501,$A119))</f>
        <v>0</v>
      </c>
      <c r="AM119" s="21" t="n">
        <f aca="false">IF(OR($A119="",AM$4=""),0,COUNTIFS(Formulas!$A$2:$A$1501,AM$4,Formulas!$B$2:$B$1501,$A119))</f>
        <v>0</v>
      </c>
      <c r="AN119" s="21" t="n">
        <f aca="false">IF(OR($A119="",AN$4=""),0,COUNTIFS(Formulas!$A$2:$A$1501,AN$4,Formulas!$B$2:$B$1501,$A119))</f>
        <v>0</v>
      </c>
      <c r="AO119" s="21" t="n">
        <f aca="false">IF(OR($A119="",AO$4=""),0,COUNTIFS(Formulas!$A$2:$A$1501,AO$4,Formulas!$B$2:$B$1501,$A119))</f>
        <v>0</v>
      </c>
      <c r="AP119" s="21" t="n">
        <f aca="false">IF(OR($A119="",AP$4=""),0,COUNTIFS(Formulas!$A$2:$A$1501,AP$4,Formulas!$B$2:$B$1501,$A119))</f>
        <v>0</v>
      </c>
      <c r="AQ119" s="21" t="n">
        <f aca="false">IF(OR($A119="",AQ$4=""),0,COUNTIFS(Formulas!$A$2:$A$1501,AQ$4,Formulas!$B$2:$B$1501,$A119))</f>
        <v>0</v>
      </c>
      <c r="AR119" s="21" t="n">
        <f aca="false">IF(OR($A119="",AR$4=""),0,COUNTIFS(Formulas!$A$2:$A$1501,AR$4,Formulas!$B$2:$B$1501,$A119))</f>
        <v>0</v>
      </c>
      <c r="AS119" s="21" t="n">
        <f aca="false">IF(OR($A119="",AS$4=""),0,COUNTIFS(Formulas!$A$2:$A$1501,AS$4,Formulas!$B$2:$B$1501,$A119))</f>
        <v>0</v>
      </c>
      <c r="AT119" s="21" t="n">
        <f aca="false">IF(OR($A119="",AT$4=""),0,COUNTIFS(Formulas!$A$2:$A$1501,AT$4,Formulas!$B$2:$B$1501,$A119))</f>
        <v>0</v>
      </c>
      <c r="AU119" s="21" t="n">
        <f aca="false">IF(OR($A119="",AU$4=""),0,COUNTIFS(Formulas!$A$2:$A$1501,AU$4,Formulas!$B$2:$B$1501,$A119))</f>
        <v>0</v>
      </c>
      <c r="AV119" s="21" t="n">
        <f aca="false">IF(OR($A119="",AV$4=""),0,COUNTIFS(Formulas!$A$2:$A$1501,AV$4,Formulas!$B$2:$B$1501,$A119))</f>
        <v>0</v>
      </c>
      <c r="AW119" s="21" t="n">
        <f aca="false">IF(OR($A119="",AW$4=""),0,COUNTIFS(Formulas!$A$2:$A$1501,AW$4,Formulas!$B$2:$B$1501,$A119))</f>
        <v>0</v>
      </c>
      <c r="AX119" s="21" t="n">
        <f aca="false">IF(OR($A119="",AX$4=""),0,COUNTIFS(Formulas!$A$2:$A$1501,AX$4,Formulas!$B$2:$B$1501,$A119))</f>
        <v>0</v>
      </c>
      <c r="AY119" s="21" t="n">
        <f aca="false">IF(OR($A119="",AY$4=""),0,COUNTIFS(Formulas!$A$2:$A$1501,AY$4,Formulas!$B$2:$B$1501,$A119))</f>
        <v>0</v>
      </c>
      <c r="AZ119" s="21" t="n">
        <f aca="false">IF(OR($A119="",AZ$4=""),0,COUNTIFS(Formulas!$A$2:$A$1501,AZ$4,Formulas!$B$2:$B$1501,$A119))</f>
        <v>0</v>
      </c>
      <c r="BA119" s="21" t="n">
        <f aca="false">IF(OR($A119="",BA$4=""),0,COUNTIFS(Formulas!$A$2:$A$1501,BA$4,Formulas!$B$2:$B$1501,$A119))</f>
        <v>0</v>
      </c>
      <c r="BB119" s="21" t="n">
        <f aca="false">IF(OR($A119="",BB$4=""),0,COUNTIFS(Formulas!$A$2:$A$1501,BB$4,Formulas!$B$2:$B$1501,$A119))</f>
        <v>0</v>
      </c>
      <c r="BC119" s="21" t="n">
        <f aca="false">IF(OR($A119="",BC$4=""),0,COUNTIFS(Formulas!$A$2:$A$1501,BC$4,Formulas!$B$2:$B$1501,$A119))</f>
        <v>0</v>
      </c>
      <c r="BD119" s="21" t="n">
        <f aca="false">IF(OR($A119="",BD$4=""),0,COUNTIFS(Formulas!$A$2:$A$1501,BD$4,Formulas!$B$2:$B$1501,$A119))</f>
        <v>0</v>
      </c>
      <c r="BE119" s="21" t="n">
        <f aca="false">IF(OR($A119="",BE$4=""),0,COUNTIFS(Formulas!$A$2:$A$1501,BE$4,Formulas!$B$2:$B$1501,$A119))</f>
        <v>0</v>
      </c>
      <c r="BF119" s="21" t="n">
        <f aca="false">IF(OR($A119="",BF$4=""),0,COUNTIFS(Formulas!$A$2:$A$1501,BF$4,Formulas!$B$2:$B$1501,$A119))</f>
        <v>0</v>
      </c>
      <c r="BG119" s="21" t="n">
        <f aca="false">IF(OR($A119="",BG$4=""),0,COUNTIFS(Formulas!$A$2:$A$1501,BG$4,Formulas!$B$2:$B$1501,$A119))</f>
        <v>0</v>
      </c>
      <c r="BH119" s="21" t="n">
        <f aca="false">IF(OR($A119="",BH$4=""),0,COUNTIFS(Formulas!$A$2:$A$1501,BH$4,Formulas!$B$2:$B$1501,$A119))</f>
        <v>0</v>
      </c>
      <c r="BI119" s="21" t="n">
        <f aca="false">IF(OR($A119="",BI$4=""),0,COUNTIFS(Formulas!$A$2:$A$1501,BI$4,Formulas!$B$2:$B$1501,$A119))</f>
        <v>0</v>
      </c>
      <c r="BJ119" s="21" t="n">
        <f aca="false">IF(OR($A119="",BJ$4=""),0,COUNTIFS(Formulas!$A$2:$A$1501,BJ$4,Formulas!$B$2:$B$1501,$A119))</f>
        <v>0</v>
      </c>
    </row>
    <row r="120" customFormat="false" ht="15" hidden="false" customHeight="false" outlineLevel="0" collapsed="false">
      <c r="A120" s="13" t="str">
        <f aca="false">IF(INDEX(Materials!$A$2:$A$201,116)="","",INDEX(Materials!$A$2:$A$201,116))</f>
        <v/>
      </c>
      <c r="B120" s="19" t="str">
        <f aca="false">IF(A120="","",COUNTIF(C120:BJ120,"&gt;0"))</f>
        <v/>
      </c>
      <c r="C120" s="21" t="n">
        <f aca="false">IF(OR($A120="",C$4=""),0,COUNTIFS(Formulas!$A$2:$A$1501,C$4,Formulas!$B$2:$B$1501,$A120))</f>
        <v>0</v>
      </c>
      <c r="D120" s="21" t="n">
        <f aca="false">IF(OR($A120="",D$4=""),0,COUNTIFS(Formulas!$A$2:$A$1501,D$4,Formulas!$B$2:$B$1501,$A120))</f>
        <v>0</v>
      </c>
      <c r="E120" s="21" t="n">
        <f aca="false">IF(OR($A120="",E$4=""),0,COUNTIFS(Formulas!$A$2:$A$1501,E$4,Formulas!$B$2:$B$1501,$A120))</f>
        <v>0</v>
      </c>
      <c r="F120" s="21" t="n">
        <f aca="false">IF(OR($A120="",F$4=""),0,COUNTIFS(Formulas!$A$2:$A$1501,F$4,Formulas!$B$2:$B$1501,$A120))</f>
        <v>0</v>
      </c>
      <c r="G120" s="21" t="n">
        <f aca="false">IF(OR($A120="",G$4=""),0,COUNTIFS(Formulas!$A$2:$A$1501,G$4,Formulas!$B$2:$B$1501,$A120))</f>
        <v>0</v>
      </c>
      <c r="H120" s="21" t="n">
        <f aca="false">IF(OR($A120="",H$4=""),0,COUNTIFS(Formulas!$A$2:$A$1501,H$4,Formulas!$B$2:$B$1501,$A120))</f>
        <v>0</v>
      </c>
      <c r="I120" s="21" t="n">
        <f aca="false">IF(OR($A120="",I$4=""),0,COUNTIFS(Formulas!$A$2:$A$1501,I$4,Formulas!$B$2:$B$1501,$A120))</f>
        <v>0</v>
      </c>
      <c r="J120" s="21" t="n">
        <f aca="false">IF(OR($A120="",J$4=""),0,COUNTIFS(Formulas!$A$2:$A$1501,J$4,Formulas!$B$2:$B$1501,$A120))</f>
        <v>0</v>
      </c>
      <c r="K120" s="21" t="n">
        <f aca="false">IF(OR($A120="",K$4=""),0,COUNTIFS(Formulas!$A$2:$A$1501,K$4,Formulas!$B$2:$B$1501,$A120))</f>
        <v>0</v>
      </c>
      <c r="L120" s="21" t="n">
        <f aca="false">IF(OR($A120="",L$4=""),0,COUNTIFS(Formulas!$A$2:$A$1501,L$4,Formulas!$B$2:$B$1501,$A120))</f>
        <v>0</v>
      </c>
      <c r="M120" s="21" t="n">
        <f aca="false">IF(OR($A120="",M$4=""),0,COUNTIFS(Formulas!$A$2:$A$1501,M$4,Formulas!$B$2:$B$1501,$A120))</f>
        <v>0</v>
      </c>
      <c r="N120" s="21" t="n">
        <f aca="false">IF(OR($A120="",N$4=""),0,COUNTIFS(Formulas!$A$2:$A$1501,N$4,Formulas!$B$2:$B$1501,$A120))</f>
        <v>0</v>
      </c>
      <c r="O120" s="21" t="n">
        <f aca="false">IF(OR($A120="",O$4=""),0,COUNTIFS(Formulas!$A$2:$A$1501,O$4,Formulas!$B$2:$B$1501,$A120))</f>
        <v>0</v>
      </c>
      <c r="P120" s="21" t="n">
        <f aca="false">IF(OR($A120="",P$4=""),0,COUNTIFS(Formulas!$A$2:$A$1501,P$4,Formulas!$B$2:$B$1501,$A120))</f>
        <v>0</v>
      </c>
      <c r="Q120" s="21" t="n">
        <f aca="false">IF(OR($A120="",Q$4=""),0,COUNTIFS(Formulas!$A$2:$A$1501,Q$4,Formulas!$B$2:$B$1501,$A120))</f>
        <v>0</v>
      </c>
      <c r="R120" s="21" t="n">
        <f aca="false">IF(OR($A120="",R$4=""),0,COUNTIFS(Formulas!$A$2:$A$1501,R$4,Formulas!$B$2:$B$1501,$A120))</f>
        <v>0</v>
      </c>
      <c r="S120" s="21" t="n">
        <f aca="false">IF(OR($A120="",S$4=""),0,COUNTIFS(Formulas!$A$2:$A$1501,S$4,Formulas!$B$2:$B$1501,$A120))</f>
        <v>0</v>
      </c>
      <c r="T120" s="21" t="n">
        <f aca="false">IF(OR($A120="",T$4=""),0,COUNTIFS(Formulas!$A$2:$A$1501,T$4,Formulas!$B$2:$B$1501,$A120))</f>
        <v>0</v>
      </c>
      <c r="U120" s="21" t="n">
        <f aca="false">IF(OR($A120="",U$4=""),0,COUNTIFS(Formulas!$A$2:$A$1501,U$4,Formulas!$B$2:$B$1501,$A120))</f>
        <v>0</v>
      </c>
      <c r="V120" s="21" t="n">
        <f aca="false">IF(OR($A120="",V$4=""),0,COUNTIFS(Formulas!$A$2:$A$1501,V$4,Formulas!$B$2:$B$1501,$A120))</f>
        <v>0</v>
      </c>
      <c r="W120" s="21" t="n">
        <f aca="false">IF(OR($A120="",W$4=""),0,COUNTIFS(Formulas!$A$2:$A$1501,W$4,Formulas!$B$2:$B$1501,$A120))</f>
        <v>0</v>
      </c>
      <c r="X120" s="21" t="n">
        <f aca="false">IF(OR($A120="",X$4=""),0,COUNTIFS(Formulas!$A$2:$A$1501,X$4,Formulas!$B$2:$B$1501,$A120))</f>
        <v>0</v>
      </c>
      <c r="Y120" s="21" t="n">
        <f aca="false">IF(OR($A120="",Y$4=""),0,COUNTIFS(Formulas!$A$2:$A$1501,Y$4,Formulas!$B$2:$B$1501,$A120))</f>
        <v>0</v>
      </c>
      <c r="Z120" s="21" t="n">
        <f aca="false">IF(OR($A120="",Z$4=""),0,COUNTIFS(Formulas!$A$2:$A$1501,Z$4,Formulas!$B$2:$B$1501,$A120))</f>
        <v>0</v>
      </c>
      <c r="AA120" s="21" t="n">
        <f aca="false">IF(OR($A120="",AA$4=""),0,COUNTIFS(Formulas!$A$2:$A$1501,AA$4,Formulas!$B$2:$B$1501,$A120))</f>
        <v>0</v>
      </c>
      <c r="AB120" s="21" t="n">
        <f aca="false">IF(OR($A120="",AB$4=""),0,COUNTIFS(Formulas!$A$2:$A$1501,AB$4,Formulas!$B$2:$B$1501,$A120))</f>
        <v>0</v>
      </c>
      <c r="AC120" s="21" t="n">
        <f aca="false">IF(OR($A120="",AC$4=""),0,COUNTIFS(Formulas!$A$2:$A$1501,AC$4,Formulas!$B$2:$B$1501,$A120))</f>
        <v>0</v>
      </c>
      <c r="AD120" s="21" t="n">
        <f aca="false">IF(OR($A120="",AD$4=""),0,COUNTIFS(Formulas!$A$2:$A$1501,AD$4,Formulas!$B$2:$B$1501,$A120))</f>
        <v>0</v>
      </c>
      <c r="AE120" s="21" t="n">
        <f aca="false">IF(OR($A120="",AE$4=""),0,COUNTIFS(Formulas!$A$2:$A$1501,AE$4,Formulas!$B$2:$B$1501,$A120))</f>
        <v>0</v>
      </c>
      <c r="AF120" s="21" t="n">
        <f aca="false">IF(OR($A120="",AF$4=""),0,COUNTIFS(Formulas!$A$2:$A$1501,AF$4,Formulas!$B$2:$B$1501,$A120))</f>
        <v>0</v>
      </c>
      <c r="AG120" s="21" t="n">
        <f aca="false">IF(OR($A120="",AG$4=""),0,COUNTIFS(Formulas!$A$2:$A$1501,AG$4,Formulas!$B$2:$B$1501,$A120))</f>
        <v>0</v>
      </c>
      <c r="AH120" s="21" t="n">
        <f aca="false">IF(OR($A120="",AH$4=""),0,COUNTIFS(Formulas!$A$2:$A$1501,AH$4,Formulas!$B$2:$B$1501,$A120))</f>
        <v>0</v>
      </c>
      <c r="AI120" s="21" t="n">
        <f aca="false">IF(OR($A120="",AI$4=""),0,COUNTIFS(Formulas!$A$2:$A$1501,AI$4,Formulas!$B$2:$B$1501,$A120))</f>
        <v>0</v>
      </c>
      <c r="AJ120" s="21" t="n">
        <f aca="false">IF(OR($A120="",AJ$4=""),0,COUNTIFS(Formulas!$A$2:$A$1501,AJ$4,Formulas!$B$2:$B$1501,$A120))</f>
        <v>0</v>
      </c>
      <c r="AK120" s="21" t="n">
        <f aca="false">IF(OR($A120="",AK$4=""),0,COUNTIFS(Formulas!$A$2:$A$1501,AK$4,Formulas!$B$2:$B$1501,$A120))</f>
        <v>0</v>
      </c>
      <c r="AL120" s="21" t="n">
        <f aca="false">IF(OR($A120="",AL$4=""),0,COUNTIFS(Formulas!$A$2:$A$1501,AL$4,Formulas!$B$2:$B$1501,$A120))</f>
        <v>0</v>
      </c>
      <c r="AM120" s="21" t="n">
        <f aca="false">IF(OR($A120="",AM$4=""),0,COUNTIFS(Formulas!$A$2:$A$1501,AM$4,Formulas!$B$2:$B$1501,$A120))</f>
        <v>0</v>
      </c>
      <c r="AN120" s="21" t="n">
        <f aca="false">IF(OR($A120="",AN$4=""),0,COUNTIFS(Formulas!$A$2:$A$1501,AN$4,Formulas!$B$2:$B$1501,$A120))</f>
        <v>0</v>
      </c>
      <c r="AO120" s="21" t="n">
        <f aca="false">IF(OR($A120="",AO$4=""),0,COUNTIFS(Formulas!$A$2:$A$1501,AO$4,Formulas!$B$2:$B$1501,$A120))</f>
        <v>0</v>
      </c>
      <c r="AP120" s="21" t="n">
        <f aca="false">IF(OR($A120="",AP$4=""),0,COUNTIFS(Formulas!$A$2:$A$1501,AP$4,Formulas!$B$2:$B$1501,$A120))</f>
        <v>0</v>
      </c>
      <c r="AQ120" s="21" t="n">
        <f aca="false">IF(OR($A120="",AQ$4=""),0,COUNTIFS(Formulas!$A$2:$A$1501,AQ$4,Formulas!$B$2:$B$1501,$A120))</f>
        <v>0</v>
      </c>
      <c r="AR120" s="21" t="n">
        <f aca="false">IF(OR($A120="",AR$4=""),0,COUNTIFS(Formulas!$A$2:$A$1501,AR$4,Formulas!$B$2:$B$1501,$A120))</f>
        <v>0</v>
      </c>
      <c r="AS120" s="21" t="n">
        <f aca="false">IF(OR($A120="",AS$4=""),0,COUNTIFS(Formulas!$A$2:$A$1501,AS$4,Formulas!$B$2:$B$1501,$A120))</f>
        <v>0</v>
      </c>
      <c r="AT120" s="21" t="n">
        <f aca="false">IF(OR($A120="",AT$4=""),0,COUNTIFS(Formulas!$A$2:$A$1501,AT$4,Formulas!$B$2:$B$1501,$A120))</f>
        <v>0</v>
      </c>
      <c r="AU120" s="21" t="n">
        <f aca="false">IF(OR($A120="",AU$4=""),0,COUNTIFS(Formulas!$A$2:$A$1501,AU$4,Formulas!$B$2:$B$1501,$A120))</f>
        <v>0</v>
      </c>
      <c r="AV120" s="21" t="n">
        <f aca="false">IF(OR($A120="",AV$4=""),0,COUNTIFS(Formulas!$A$2:$A$1501,AV$4,Formulas!$B$2:$B$1501,$A120))</f>
        <v>0</v>
      </c>
      <c r="AW120" s="21" t="n">
        <f aca="false">IF(OR($A120="",AW$4=""),0,COUNTIFS(Formulas!$A$2:$A$1501,AW$4,Formulas!$B$2:$B$1501,$A120))</f>
        <v>0</v>
      </c>
      <c r="AX120" s="21" t="n">
        <f aca="false">IF(OR($A120="",AX$4=""),0,COUNTIFS(Formulas!$A$2:$A$1501,AX$4,Formulas!$B$2:$B$1501,$A120))</f>
        <v>0</v>
      </c>
      <c r="AY120" s="21" t="n">
        <f aca="false">IF(OR($A120="",AY$4=""),0,COUNTIFS(Formulas!$A$2:$A$1501,AY$4,Formulas!$B$2:$B$1501,$A120))</f>
        <v>0</v>
      </c>
      <c r="AZ120" s="21" t="n">
        <f aca="false">IF(OR($A120="",AZ$4=""),0,COUNTIFS(Formulas!$A$2:$A$1501,AZ$4,Formulas!$B$2:$B$1501,$A120))</f>
        <v>0</v>
      </c>
      <c r="BA120" s="21" t="n">
        <f aca="false">IF(OR($A120="",BA$4=""),0,COUNTIFS(Formulas!$A$2:$A$1501,BA$4,Formulas!$B$2:$B$1501,$A120))</f>
        <v>0</v>
      </c>
      <c r="BB120" s="21" t="n">
        <f aca="false">IF(OR($A120="",BB$4=""),0,COUNTIFS(Formulas!$A$2:$A$1501,BB$4,Formulas!$B$2:$B$1501,$A120))</f>
        <v>0</v>
      </c>
      <c r="BC120" s="21" t="n">
        <f aca="false">IF(OR($A120="",BC$4=""),0,COUNTIFS(Formulas!$A$2:$A$1501,BC$4,Formulas!$B$2:$B$1501,$A120))</f>
        <v>0</v>
      </c>
      <c r="BD120" s="21" t="n">
        <f aca="false">IF(OR($A120="",BD$4=""),0,COUNTIFS(Formulas!$A$2:$A$1501,BD$4,Formulas!$B$2:$B$1501,$A120))</f>
        <v>0</v>
      </c>
      <c r="BE120" s="21" t="n">
        <f aca="false">IF(OR($A120="",BE$4=""),0,COUNTIFS(Formulas!$A$2:$A$1501,BE$4,Formulas!$B$2:$B$1501,$A120))</f>
        <v>0</v>
      </c>
      <c r="BF120" s="21" t="n">
        <f aca="false">IF(OR($A120="",BF$4=""),0,COUNTIFS(Formulas!$A$2:$A$1501,BF$4,Formulas!$B$2:$B$1501,$A120))</f>
        <v>0</v>
      </c>
      <c r="BG120" s="21" t="n">
        <f aca="false">IF(OR($A120="",BG$4=""),0,COUNTIFS(Formulas!$A$2:$A$1501,BG$4,Formulas!$B$2:$B$1501,$A120))</f>
        <v>0</v>
      </c>
      <c r="BH120" s="21" t="n">
        <f aca="false">IF(OR($A120="",BH$4=""),0,COUNTIFS(Formulas!$A$2:$A$1501,BH$4,Formulas!$B$2:$B$1501,$A120))</f>
        <v>0</v>
      </c>
      <c r="BI120" s="21" t="n">
        <f aca="false">IF(OR($A120="",BI$4=""),0,COUNTIFS(Formulas!$A$2:$A$1501,BI$4,Formulas!$B$2:$B$1501,$A120))</f>
        <v>0</v>
      </c>
      <c r="BJ120" s="21" t="n">
        <f aca="false">IF(OR($A120="",BJ$4=""),0,COUNTIFS(Formulas!$A$2:$A$1501,BJ$4,Formulas!$B$2:$B$1501,$A120))</f>
        <v>0</v>
      </c>
    </row>
    <row r="121" customFormat="false" ht="15" hidden="false" customHeight="false" outlineLevel="0" collapsed="false">
      <c r="A121" s="13" t="str">
        <f aca="false">IF(INDEX(Materials!$A$2:$A$201,117)="","",INDEX(Materials!$A$2:$A$201,117))</f>
        <v/>
      </c>
      <c r="B121" s="19" t="str">
        <f aca="false">IF(A121="","",COUNTIF(C121:BJ121,"&gt;0"))</f>
        <v/>
      </c>
      <c r="C121" s="21" t="n">
        <f aca="false">IF(OR($A121="",C$4=""),0,COUNTIFS(Formulas!$A$2:$A$1501,C$4,Formulas!$B$2:$B$1501,$A121))</f>
        <v>0</v>
      </c>
      <c r="D121" s="21" t="n">
        <f aca="false">IF(OR($A121="",D$4=""),0,COUNTIFS(Formulas!$A$2:$A$1501,D$4,Formulas!$B$2:$B$1501,$A121))</f>
        <v>0</v>
      </c>
      <c r="E121" s="21" t="n">
        <f aca="false">IF(OR($A121="",E$4=""),0,COUNTIFS(Formulas!$A$2:$A$1501,E$4,Formulas!$B$2:$B$1501,$A121))</f>
        <v>0</v>
      </c>
      <c r="F121" s="21" t="n">
        <f aca="false">IF(OR($A121="",F$4=""),0,COUNTIFS(Formulas!$A$2:$A$1501,F$4,Formulas!$B$2:$B$1501,$A121))</f>
        <v>0</v>
      </c>
      <c r="G121" s="21" t="n">
        <f aca="false">IF(OR($A121="",G$4=""),0,COUNTIFS(Formulas!$A$2:$A$1501,G$4,Formulas!$B$2:$B$1501,$A121))</f>
        <v>0</v>
      </c>
      <c r="H121" s="21" t="n">
        <f aca="false">IF(OR($A121="",H$4=""),0,COUNTIFS(Formulas!$A$2:$A$1501,H$4,Formulas!$B$2:$B$1501,$A121))</f>
        <v>0</v>
      </c>
      <c r="I121" s="21" t="n">
        <f aca="false">IF(OR($A121="",I$4=""),0,COUNTIFS(Formulas!$A$2:$A$1501,I$4,Formulas!$B$2:$B$1501,$A121))</f>
        <v>0</v>
      </c>
      <c r="J121" s="21" t="n">
        <f aca="false">IF(OR($A121="",J$4=""),0,COUNTIFS(Formulas!$A$2:$A$1501,J$4,Formulas!$B$2:$B$1501,$A121))</f>
        <v>0</v>
      </c>
      <c r="K121" s="21" t="n">
        <f aca="false">IF(OR($A121="",K$4=""),0,COUNTIFS(Formulas!$A$2:$A$1501,K$4,Formulas!$B$2:$B$1501,$A121))</f>
        <v>0</v>
      </c>
      <c r="L121" s="21" t="n">
        <f aca="false">IF(OR($A121="",L$4=""),0,COUNTIFS(Formulas!$A$2:$A$1501,L$4,Formulas!$B$2:$B$1501,$A121))</f>
        <v>0</v>
      </c>
      <c r="M121" s="21" t="n">
        <f aca="false">IF(OR($A121="",M$4=""),0,COUNTIFS(Formulas!$A$2:$A$1501,M$4,Formulas!$B$2:$B$1501,$A121))</f>
        <v>0</v>
      </c>
      <c r="N121" s="21" t="n">
        <f aca="false">IF(OR($A121="",N$4=""),0,COUNTIFS(Formulas!$A$2:$A$1501,N$4,Formulas!$B$2:$B$1501,$A121))</f>
        <v>0</v>
      </c>
      <c r="O121" s="21" t="n">
        <f aca="false">IF(OR($A121="",O$4=""),0,COUNTIFS(Formulas!$A$2:$A$1501,O$4,Formulas!$B$2:$B$1501,$A121))</f>
        <v>0</v>
      </c>
      <c r="P121" s="21" t="n">
        <f aca="false">IF(OR($A121="",P$4=""),0,COUNTIFS(Formulas!$A$2:$A$1501,P$4,Formulas!$B$2:$B$1501,$A121))</f>
        <v>0</v>
      </c>
      <c r="Q121" s="21" t="n">
        <f aca="false">IF(OR($A121="",Q$4=""),0,COUNTIFS(Formulas!$A$2:$A$1501,Q$4,Formulas!$B$2:$B$1501,$A121))</f>
        <v>0</v>
      </c>
      <c r="R121" s="21" t="n">
        <f aca="false">IF(OR($A121="",R$4=""),0,COUNTIFS(Formulas!$A$2:$A$1501,R$4,Formulas!$B$2:$B$1501,$A121))</f>
        <v>0</v>
      </c>
      <c r="S121" s="21" t="n">
        <f aca="false">IF(OR($A121="",S$4=""),0,COUNTIFS(Formulas!$A$2:$A$1501,S$4,Formulas!$B$2:$B$1501,$A121))</f>
        <v>0</v>
      </c>
      <c r="T121" s="21" t="n">
        <f aca="false">IF(OR($A121="",T$4=""),0,COUNTIFS(Formulas!$A$2:$A$1501,T$4,Formulas!$B$2:$B$1501,$A121))</f>
        <v>0</v>
      </c>
      <c r="U121" s="21" t="n">
        <f aca="false">IF(OR($A121="",U$4=""),0,COUNTIFS(Formulas!$A$2:$A$1501,U$4,Formulas!$B$2:$B$1501,$A121))</f>
        <v>0</v>
      </c>
      <c r="V121" s="21" t="n">
        <f aca="false">IF(OR($A121="",V$4=""),0,COUNTIFS(Formulas!$A$2:$A$1501,V$4,Formulas!$B$2:$B$1501,$A121))</f>
        <v>0</v>
      </c>
      <c r="W121" s="21" t="n">
        <f aca="false">IF(OR($A121="",W$4=""),0,COUNTIFS(Formulas!$A$2:$A$1501,W$4,Formulas!$B$2:$B$1501,$A121))</f>
        <v>0</v>
      </c>
      <c r="X121" s="21" t="n">
        <f aca="false">IF(OR($A121="",X$4=""),0,COUNTIFS(Formulas!$A$2:$A$1501,X$4,Formulas!$B$2:$B$1501,$A121))</f>
        <v>0</v>
      </c>
      <c r="Y121" s="21" t="n">
        <f aca="false">IF(OR($A121="",Y$4=""),0,COUNTIFS(Formulas!$A$2:$A$1501,Y$4,Formulas!$B$2:$B$1501,$A121))</f>
        <v>0</v>
      </c>
      <c r="Z121" s="21" t="n">
        <f aca="false">IF(OR($A121="",Z$4=""),0,COUNTIFS(Formulas!$A$2:$A$1501,Z$4,Formulas!$B$2:$B$1501,$A121))</f>
        <v>0</v>
      </c>
      <c r="AA121" s="21" t="n">
        <f aca="false">IF(OR($A121="",AA$4=""),0,COUNTIFS(Formulas!$A$2:$A$1501,AA$4,Formulas!$B$2:$B$1501,$A121))</f>
        <v>0</v>
      </c>
      <c r="AB121" s="21" t="n">
        <f aca="false">IF(OR($A121="",AB$4=""),0,COUNTIFS(Formulas!$A$2:$A$1501,AB$4,Formulas!$B$2:$B$1501,$A121))</f>
        <v>0</v>
      </c>
      <c r="AC121" s="21" t="n">
        <f aca="false">IF(OR($A121="",AC$4=""),0,COUNTIFS(Formulas!$A$2:$A$1501,AC$4,Formulas!$B$2:$B$1501,$A121))</f>
        <v>0</v>
      </c>
      <c r="AD121" s="21" t="n">
        <f aca="false">IF(OR($A121="",AD$4=""),0,COUNTIFS(Formulas!$A$2:$A$1501,AD$4,Formulas!$B$2:$B$1501,$A121))</f>
        <v>0</v>
      </c>
      <c r="AE121" s="21" t="n">
        <f aca="false">IF(OR($A121="",AE$4=""),0,COUNTIFS(Formulas!$A$2:$A$1501,AE$4,Formulas!$B$2:$B$1501,$A121))</f>
        <v>0</v>
      </c>
      <c r="AF121" s="21" t="n">
        <f aca="false">IF(OR($A121="",AF$4=""),0,COUNTIFS(Formulas!$A$2:$A$1501,AF$4,Formulas!$B$2:$B$1501,$A121))</f>
        <v>0</v>
      </c>
      <c r="AG121" s="21" t="n">
        <f aca="false">IF(OR($A121="",AG$4=""),0,COUNTIFS(Formulas!$A$2:$A$1501,AG$4,Formulas!$B$2:$B$1501,$A121))</f>
        <v>0</v>
      </c>
      <c r="AH121" s="21" t="n">
        <f aca="false">IF(OR($A121="",AH$4=""),0,COUNTIFS(Formulas!$A$2:$A$1501,AH$4,Formulas!$B$2:$B$1501,$A121))</f>
        <v>0</v>
      </c>
      <c r="AI121" s="21" t="n">
        <f aca="false">IF(OR($A121="",AI$4=""),0,COUNTIFS(Formulas!$A$2:$A$1501,AI$4,Formulas!$B$2:$B$1501,$A121))</f>
        <v>0</v>
      </c>
      <c r="AJ121" s="21" t="n">
        <f aca="false">IF(OR($A121="",AJ$4=""),0,COUNTIFS(Formulas!$A$2:$A$1501,AJ$4,Formulas!$B$2:$B$1501,$A121))</f>
        <v>0</v>
      </c>
      <c r="AK121" s="21" t="n">
        <f aca="false">IF(OR($A121="",AK$4=""),0,COUNTIFS(Formulas!$A$2:$A$1501,AK$4,Formulas!$B$2:$B$1501,$A121))</f>
        <v>0</v>
      </c>
      <c r="AL121" s="21" t="n">
        <f aca="false">IF(OR($A121="",AL$4=""),0,COUNTIFS(Formulas!$A$2:$A$1501,AL$4,Formulas!$B$2:$B$1501,$A121))</f>
        <v>0</v>
      </c>
      <c r="AM121" s="21" t="n">
        <f aca="false">IF(OR($A121="",AM$4=""),0,COUNTIFS(Formulas!$A$2:$A$1501,AM$4,Formulas!$B$2:$B$1501,$A121))</f>
        <v>0</v>
      </c>
      <c r="AN121" s="21" t="n">
        <f aca="false">IF(OR($A121="",AN$4=""),0,COUNTIFS(Formulas!$A$2:$A$1501,AN$4,Formulas!$B$2:$B$1501,$A121))</f>
        <v>0</v>
      </c>
      <c r="AO121" s="21" t="n">
        <f aca="false">IF(OR($A121="",AO$4=""),0,COUNTIFS(Formulas!$A$2:$A$1501,AO$4,Formulas!$B$2:$B$1501,$A121))</f>
        <v>0</v>
      </c>
      <c r="AP121" s="21" t="n">
        <f aca="false">IF(OR($A121="",AP$4=""),0,COUNTIFS(Formulas!$A$2:$A$1501,AP$4,Formulas!$B$2:$B$1501,$A121))</f>
        <v>0</v>
      </c>
      <c r="AQ121" s="21" t="n">
        <f aca="false">IF(OR($A121="",AQ$4=""),0,COUNTIFS(Formulas!$A$2:$A$1501,AQ$4,Formulas!$B$2:$B$1501,$A121))</f>
        <v>0</v>
      </c>
      <c r="AR121" s="21" t="n">
        <f aca="false">IF(OR($A121="",AR$4=""),0,COUNTIFS(Formulas!$A$2:$A$1501,AR$4,Formulas!$B$2:$B$1501,$A121))</f>
        <v>0</v>
      </c>
      <c r="AS121" s="21" t="n">
        <f aca="false">IF(OR($A121="",AS$4=""),0,COUNTIFS(Formulas!$A$2:$A$1501,AS$4,Formulas!$B$2:$B$1501,$A121))</f>
        <v>0</v>
      </c>
      <c r="AT121" s="21" t="n">
        <f aca="false">IF(OR($A121="",AT$4=""),0,COUNTIFS(Formulas!$A$2:$A$1501,AT$4,Formulas!$B$2:$B$1501,$A121))</f>
        <v>0</v>
      </c>
      <c r="AU121" s="21" t="n">
        <f aca="false">IF(OR($A121="",AU$4=""),0,COUNTIFS(Formulas!$A$2:$A$1501,AU$4,Formulas!$B$2:$B$1501,$A121))</f>
        <v>0</v>
      </c>
      <c r="AV121" s="21" t="n">
        <f aca="false">IF(OR($A121="",AV$4=""),0,COUNTIFS(Formulas!$A$2:$A$1501,AV$4,Formulas!$B$2:$B$1501,$A121))</f>
        <v>0</v>
      </c>
      <c r="AW121" s="21" t="n">
        <f aca="false">IF(OR($A121="",AW$4=""),0,COUNTIFS(Formulas!$A$2:$A$1501,AW$4,Formulas!$B$2:$B$1501,$A121))</f>
        <v>0</v>
      </c>
      <c r="AX121" s="21" t="n">
        <f aca="false">IF(OR($A121="",AX$4=""),0,COUNTIFS(Formulas!$A$2:$A$1501,AX$4,Formulas!$B$2:$B$1501,$A121))</f>
        <v>0</v>
      </c>
      <c r="AY121" s="21" t="n">
        <f aca="false">IF(OR($A121="",AY$4=""),0,COUNTIFS(Formulas!$A$2:$A$1501,AY$4,Formulas!$B$2:$B$1501,$A121))</f>
        <v>0</v>
      </c>
      <c r="AZ121" s="21" t="n">
        <f aca="false">IF(OR($A121="",AZ$4=""),0,COUNTIFS(Formulas!$A$2:$A$1501,AZ$4,Formulas!$B$2:$B$1501,$A121))</f>
        <v>0</v>
      </c>
      <c r="BA121" s="21" t="n">
        <f aca="false">IF(OR($A121="",BA$4=""),0,COUNTIFS(Formulas!$A$2:$A$1501,BA$4,Formulas!$B$2:$B$1501,$A121))</f>
        <v>0</v>
      </c>
      <c r="BB121" s="21" t="n">
        <f aca="false">IF(OR($A121="",BB$4=""),0,COUNTIFS(Formulas!$A$2:$A$1501,BB$4,Formulas!$B$2:$B$1501,$A121))</f>
        <v>0</v>
      </c>
      <c r="BC121" s="21" t="n">
        <f aca="false">IF(OR($A121="",BC$4=""),0,COUNTIFS(Formulas!$A$2:$A$1501,BC$4,Formulas!$B$2:$B$1501,$A121))</f>
        <v>0</v>
      </c>
      <c r="BD121" s="21" t="n">
        <f aca="false">IF(OR($A121="",BD$4=""),0,COUNTIFS(Formulas!$A$2:$A$1501,BD$4,Formulas!$B$2:$B$1501,$A121))</f>
        <v>0</v>
      </c>
      <c r="BE121" s="21" t="n">
        <f aca="false">IF(OR($A121="",BE$4=""),0,COUNTIFS(Formulas!$A$2:$A$1501,BE$4,Formulas!$B$2:$B$1501,$A121))</f>
        <v>0</v>
      </c>
      <c r="BF121" s="21" t="n">
        <f aca="false">IF(OR($A121="",BF$4=""),0,COUNTIFS(Formulas!$A$2:$A$1501,BF$4,Formulas!$B$2:$B$1501,$A121))</f>
        <v>0</v>
      </c>
      <c r="BG121" s="21" t="n">
        <f aca="false">IF(OR($A121="",BG$4=""),0,COUNTIFS(Formulas!$A$2:$A$1501,BG$4,Formulas!$B$2:$B$1501,$A121))</f>
        <v>0</v>
      </c>
      <c r="BH121" s="21" t="n">
        <f aca="false">IF(OR($A121="",BH$4=""),0,COUNTIFS(Formulas!$A$2:$A$1501,BH$4,Formulas!$B$2:$B$1501,$A121))</f>
        <v>0</v>
      </c>
      <c r="BI121" s="21" t="n">
        <f aca="false">IF(OR($A121="",BI$4=""),0,COUNTIFS(Formulas!$A$2:$A$1501,BI$4,Formulas!$B$2:$B$1501,$A121))</f>
        <v>0</v>
      </c>
      <c r="BJ121" s="21" t="n">
        <f aca="false">IF(OR($A121="",BJ$4=""),0,COUNTIFS(Formulas!$A$2:$A$1501,BJ$4,Formulas!$B$2:$B$1501,$A121))</f>
        <v>0</v>
      </c>
    </row>
    <row r="122" customFormat="false" ht="15" hidden="false" customHeight="false" outlineLevel="0" collapsed="false">
      <c r="A122" s="13" t="str">
        <f aca="false">IF(INDEX(Materials!$A$2:$A$201,118)="","",INDEX(Materials!$A$2:$A$201,118))</f>
        <v/>
      </c>
      <c r="B122" s="19" t="str">
        <f aca="false">IF(A122="","",COUNTIF(C122:BJ122,"&gt;0"))</f>
        <v/>
      </c>
      <c r="C122" s="21" t="n">
        <f aca="false">IF(OR($A122="",C$4=""),0,COUNTIFS(Formulas!$A$2:$A$1501,C$4,Formulas!$B$2:$B$1501,$A122))</f>
        <v>0</v>
      </c>
      <c r="D122" s="21" t="n">
        <f aca="false">IF(OR($A122="",D$4=""),0,COUNTIFS(Formulas!$A$2:$A$1501,D$4,Formulas!$B$2:$B$1501,$A122))</f>
        <v>0</v>
      </c>
      <c r="E122" s="21" t="n">
        <f aca="false">IF(OR($A122="",E$4=""),0,COUNTIFS(Formulas!$A$2:$A$1501,E$4,Formulas!$B$2:$B$1501,$A122))</f>
        <v>0</v>
      </c>
      <c r="F122" s="21" t="n">
        <f aca="false">IF(OR($A122="",F$4=""),0,COUNTIFS(Formulas!$A$2:$A$1501,F$4,Formulas!$B$2:$B$1501,$A122))</f>
        <v>0</v>
      </c>
      <c r="G122" s="21" t="n">
        <f aca="false">IF(OR($A122="",G$4=""),0,COUNTIFS(Formulas!$A$2:$A$1501,G$4,Formulas!$B$2:$B$1501,$A122))</f>
        <v>0</v>
      </c>
      <c r="H122" s="21" t="n">
        <f aca="false">IF(OR($A122="",H$4=""),0,COUNTIFS(Formulas!$A$2:$A$1501,H$4,Formulas!$B$2:$B$1501,$A122))</f>
        <v>0</v>
      </c>
      <c r="I122" s="21" t="n">
        <f aca="false">IF(OR($A122="",I$4=""),0,COUNTIFS(Formulas!$A$2:$A$1501,I$4,Formulas!$B$2:$B$1501,$A122))</f>
        <v>0</v>
      </c>
      <c r="J122" s="21" t="n">
        <f aca="false">IF(OR($A122="",J$4=""),0,COUNTIFS(Formulas!$A$2:$A$1501,J$4,Formulas!$B$2:$B$1501,$A122))</f>
        <v>0</v>
      </c>
      <c r="K122" s="21" t="n">
        <f aca="false">IF(OR($A122="",K$4=""),0,COUNTIFS(Formulas!$A$2:$A$1501,K$4,Formulas!$B$2:$B$1501,$A122))</f>
        <v>0</v>
      </c>
      <c r="L122" s="21" t="n">
        <f aca="false">IF(OR($A122="",L$4=""),0,COUNTIFS(Formulas!$A$2:$A$1501,L$4,Formulas!$B$2:$B$1501,$A122))</f>
        <v>0</v>
      </c>
      <c r="M122" s="21" t="n">
        <f aca="false">IF(OR($A122="",M$4=""),0,COUNTIFS(Formulas!$A$2:$A$1501,M$4,Formulas!$B$2:$B$1501,$A122))</f>
        <v>0</v>
      </c>
      <c r="N122" s="21" t="n">
        <f aca="false">IF(OR($A122="",N$4=""),0,COUNTIFS(Formulas!$A$2:$A$1501,N$4,Formulas!$B$2:$B$1501,$A122))</f>
        <v>0</v>
      </c>
      <c r="O122" s="21" t="n">
        <f aca="false">IF(OR($A122="",O$4=""),0,COUNTIFS(Formulas!$A$2:$A$1501,O$4,Formulas!$B$2:$B$1501,$A122))</f>
        <v>0</v>
      </c>
      <c r="P122" s="21" t="n">
        <f aca="false">IF(OR($A122="",P$4=""),0,COUNTIFS(Formulas!$A$2:$A$1501,P$4,Formulas!$B$2:$B$1501,$A122))</f>
        <v>0</v>
      </c>
      <c r="Q122" s="21" t="n">
        <f aca="false">IF(OR($A122="",Q$4=""),0,COUNTIFS(Formulas!$A$2:$A$1501,Q$4,Formulas!$B$2:$B$1501,$A122))</f>
        <v>0</v>
      </c>
      <c r="R122" s="21" t="n">
        <f aca="false">IF(OR($A122="",R$4=""),0,COUNTIFS(Formulas!$A$2:$A$1501,R$4,Formulas!$B$2:$B$1501,$A122))</f>
        <v>0</v>
      </c>
      <c r="S122" s="21" t="n">
        <f aca="false">IF(OR($A122="",S$4=""),0,COUNTIFS(Formulas!$A$2:$A$1501,S$4,Formulas!$B$2:$B$1501,$A122))</f>
        <v>0</v>
      </c>
      <c r="T122" s="21" t="n">
        <f aca="false">IF(OR($A122="",T$4=""),0,COUNTIFS(Formulas!$A$2:$A$1501,T$4,Formulas!$B$2:$B$1501,$A122))</f>
        <v>0</v>
      </c>
      <c r="U122" s="21" t="n">
        <f aca="false">IF(OR($A122="",U$4=""),0,COUNTIFS(Formulas!$A$2:$A$1501,U$4,Formulas!$B$2:$B$1501,$A122))</f>
        <v>0</v>
      </c>
      <c r="V122" s="21" t="n">
        <f aca="false">IF(OR($A122="",V$4=""),0,COUNTIFS(Formulas!$A$2:$A$1501,V$4,Formulas!$B$2:$B$1501,$A122))</f>
        <v>0</v>
      </c>
      <c r="W122" s="21" t="n">
        <f aca="false">IF(OR($A122="",W$4=""),0,COUNTIFS(Formulas!$A$2:$A$1501,W$4,Formulas!$B$2:$B$1501,$A122))</f>
        <v>0</v>
      </c>
      <c r="X122" s="21" t="n">
        <f aca="false">IF(OR($A122="",X$4=""),0,COUNTIFS(Formulas!$A$2:$A$1501,X$4,Formulas!$B$2:$B$1501,$A122))</f>
        <v>0</v>
      </c>
      <c r="Y122" s="21" t="n">
        <f aca="false">IF(OR($A122="",Y$4=""),0,COUNTIFS(Formulas!$A$2:$A$1501,Y$4,Formulas!$B$2:$B$1501,$A122))</f>
        <v>0</v>
      </c>
      <c r="Z122" s="21" t="n">
        <f aca="false">IF(OR($A122="",Z$4=""),0,COUNTIFS(Formulas!$A$2:$A$1501,Z$4,Formulas!$B$2:$B$1501,$A122))</f>
        <v>0</v>
      </c>
      <c r="AA122" s="21" t="n">
        <f aca="false">IF(OR($A122="",AA$4=""),0,COUNTIFS(Formulas!$A$2:$A$1501,AA$4,Formulas!$B$2:$B$1501,$A122))</f>
        <v>0</v>
      </c>
      <c r="AB122" s="21" t="n">
        <f aca="false">IF(OR($A122="",AB$4=""),0,COUNTIFS(Formulas!$A$2:$A$1501,AB$4,Formulas!$B$2:$B$1501,$A122))</f>
        <v>0</v>
      </c>
      <c r="AC122" s="21" t="n">
        <f aca="false">IF(OR($A122="",AC$4=""),0,COUNTIFS(Formulas!$A$2:$A$1501,AC$4,Formulas!$B$2:$B$1501,$A122))</f>
        <v>0</v>
      </c>
      <c r="AD122" s="21" t="n">
        <f aca="false">IF(OR($A122="",AD$4=""),0,COUNTIFS(Formulas!$A$2:$A$1501,AD$4,Formulas!$B$2:$B$1501,$A122))</f>
        <v>0</v>
      </c>
      <c r="AE122" s="21" t="n">
        <f aca="false">IF(OR($A122="",AE$4=""),0,COUNTIFS(Formulas!$A$2:$A$1501,AE$4,Formulas!$B$2:$B$1501,$A122))</f>
        <v>0</v>
      </c>
      <c r="AF122" s="21" t="n">
        <f aca="false">IF(OR($A122="",AF$4=""),0,COUNTIFS(Formulas!$A$2:$A$1501,AF$4,Formulas!$B$2:$B$1501,$A122))</f>
        <v>0</v>
      </c>
      <c r="AG122" s="21" t="n">
        <f aca="false">IF(OR($A122="",AG$4=""),0,COUNTIFS(Formulas!$A$2:$A$1501,AG$4,Formulas!$B$2:$B$1501,$A122))</f>
        <v>0</v>
      </c>
      <c r="AH122" s="21" t="n">
        <f aca="false">IF(OR($A122="",AH$4=""),0,COUNTIFS(Formulas!$A$2:$A$1501,AH$4,Formulas!$B$2:$B$1501,$A122))</f>
        <v>0</v>
      </c>
      <c r="AI122" s="21" t="n">
        <f aca="false">IF(OR($A122="",AI$4=""),0,COUNTIFS(Formulas!$A$2:$A$1501,AI$4,Formulas!$B$2:$B$1501,$A122))</f>
        <v>0</v>
      </c>
      <c r="AJ122" s="21" t="n">
        <f aca="false">IF(OR($A122="",AJ$4=""),0,COUNTIFS(Formulas!$A$2:$A$1501,AJ$4,Formulas!$B$2:$B$1501,$A122))</f>
        <v>0</v>
      </c>
      <c r="AK122" s="21" t="n">
        <f aca="false">IF(OR($A122="",AK$4=""),0,COUNTIFS(Formulas!$A$2:$A$1501,AK$4,Formulas!$B$2:$B$1501,$A122))</f>
        <v>0</v>
      </c>
      <c r="AL122" s="21" t="n">
        <f aca="false">IF(OR($A122="",AL$4=""),0,COUNTIFS(Formulas!$A$2:$A$1501,AL$4,Formulas!$B$2:$B$1501,$A122))</f>
        <v>0</v>
      </c>
      <c r="AM122" s="21" t="n">
        <f aca="false">IF(OR($A122="",AM$4=""),0,COUNTIFS(Formulas!$A$2:$A$1501,AM$4,Formulas!$B$2:$B$1501,$A122))</f>
        <v>0</v>
      </c>
      <c r="AN122" s="21" t="n">
        <f aca="false">IF(OR($A122="",AN$4=""),0,COUNTIFS(Formulas!$A$2:$A$1501,AN$4,Formulas!$B$2:$B$1501,$A122))</f>
        <v>0</v>
      </c>
      <c r="AO122" s="21" t="n">
        <f aca="false">IF(OR($A122="",AO$4=""),0,COUNTIFS(Formulas!$A$2:$A$1501,AO$4,Formulas!$B$2:$B$1501,$A122))</f>
        <v>0</v>
      </c>
      <c r="AP122" s="21" t="n">
        <f aca="false">IF(OR($A122="",AP$4=""),0,COUNTIFS(Formulas!$A$2:$A$1501,AP$4,Formulas!$B$2:$B$1501,$A122))</f>
        <v>0</v>
      </c>
      <c r="AQ122" s="21" t="n">
        <f aca="false">IF(OR($A122="",AQ$4=""),0,COUNTIFS(Formulas!$A$2:$A$1501,AQ$4,Formulas!$B$2:$B$1501,$A122))</f>
        <v>0</v>
      </c>
      <c r="AR122" s="21" t="n">
        <f aca="false">IF(OR($A122="",AR$4=""),0,COUNTIFS(Formulas!$A$2:$A$1501,AR$4,Formulas!$B$2:$B$1501,$A122))</f>
        <v>0</v>
      </c>
      <c r="AS122" s="21" t="n">
        <f aca="false">IF(OR($A122="",AS$4=""),0,COUNTIFS(Formulas!$A$2:$A$1501,AS$4,Formulas!$B$2:$B$1501,$A122))</f>
        <v>0</v>
      </c>
      <c r="AT122" s="21" t="n">
        <f aca="false">IF(OR($A122="",AT$4=""),0,COUNTIFS(Formulas!$A$2:$A$1501,AT$4,Formulas!$B$2:$B$1501,$A122))</f>
        <v>0</v>
      </c>
      <c r="AU122" s="21" t="n">
        <f aca="false">IF(OR($A122="",AU$4=""),0,COUNTIFS(Formulas!$A$2:$A$1501,AU$4,Formulas!$B$2:$B$1501,$A122))</f>
        <v>0</v>
      </c>
      <c r="AV122" s="21" t="n">
        <f aca="false">IF(OR($A122="",AV$4=""),0,COUNTIFS(Formulas!$A$2:$A$1501,AV$4,Formulas!$B$2:$B$1501,$A122))</f>
        <v>0</v>
      </c>
      <c r="AW122" s="21" t="n">
        <f aca="false">IF(OR($A122="",AW$4=""),0,COUNTIFS(Formulas!$A$2:$A$1501,AW$4,Formulas!$B$2:$B$1501,$A122))</f>
        <v>0</v>
      </c>
      <c r="AX122" s="21" t="n">
        <f aca="false">IF(OR($A122="",AX$4=""),0,COUNTIFS(Formulas!$A$2:$A$1501,AX$4,Formulas!$B$2:$B$1501,$A122))</f>
        <v>0</v>
      </c>
      <c r="AY122" s="21" t="n">
        <f aca="false">IF(OR($A122="",AY$4=""),0,COUNTIFS(Formulas!$A$2:$A$1501,AY$4,Formulas!$B$2:$B$1501,$A122))</f>
        <v>0</v>
      </c>
      <c r="AZ122" s="21" t="n">
        <f aca="false">IF(OR($A122="",AZ$4=""),0,COUNTIFS(Formulas!$A$2:$A$1501,AZ$4,Formulas!$B$2:$B$1501,$A122))</f>
        <v>0</v>
      </c>
      <c r="BA122" s="21" t="n">
        <f aca="false">IF(OR($A122="",BA$4=""),0,COUNTIFS(Formulas!$A$2:$A$1501,BA$4,Formulas!$B$2:$B$1501,$A122))</f>
        <v>0</v>
      </c>
      <c r="BB122" s="21" t="n">
        <f aca="false">IF(OR($A122="",BB$4=""),0,COUNTIFS(Formulas!$A$2:$A$1501,BB$4,Formulas!$B$2:$B$1501,$A122))</f>
        <v>0</v>
      </c>
      <c r="BC122" s="21" t="n">
        <f aca="false">IF(OR($A122="",BC$4=""),0,COUNTIFS(Formulas!$A$2:$A$1501,BC$4,Formulas!$B$2:$B$1501,$A122))</f>
        <v>0</v>
      </c>
      <c r="BD122" s="21" t="n">
        <f aca="false">IF(OR($A122="",BD$4=""),0,COUNTIFS(Formulas!$A$2:$A$1501,BD$4,Formulas!$B$2:$B$1501,$A122))</f>
        <v>0</v>
      </c>
      <c r="BE122" s="21" t="n">
        <f aca="false">IF(OR($A122="",BE$4=""),0,COUNTIFS(Formulas!$A$2:$A$1501,BE$4,Formulas!$B$2:$B$1501,$A122))</f>
        <v>0</v>
      </c>
      <c r="BF122" s="21" t="n">
        <f aca="false">IF(OR($A122="",BF$4=""),0,COUNTIFS(Formulas!$A$2:$A$1501,BF$4,Formulas!$B$2:$B$1501,$A122))</f>
        <v>0</v>
      </c>
      <c r="BG122" s="21" t="n">
        <f aca="false">IF(OR($A122="",BG$4=""),0,COUNTIFS(Formulas!$A$2:$A$1501,BG$4,Formulas!$B$2:$B$1501,$A122))</f>
        <v>0</v>
      </c>
      <c r="BH122" s="21" t="n">
        <f aca="false">IF(OR($A122="",BH$4=""),0,COUNTIFS(Formulas!$A$2:$A$1501,BH$4,Formulas!$B$2:$B$1501,$A122))</f>
        <v>0</v>
      </c>
      <c r="BI122" s="21" t="n">
        <f aca="false">IF(OR($A122="",BI$4=""),0,COUNTIFS(Formulas!$A$2:$A$1501,BI$4,Formulas!$B$2:$B$1501,$A122))</f>
        <v>0</v>
      </c>
      <c r="BJ122" s="21" t="n">
        <f aca="false">IF(OR($A122="",BJ$4=""),0,COUNTIFS(Formulas!$A$2:$A$1501,BJ$4,Formulas!$B$2:$B$1501,$A122))</f>
        <v>0</v>
      </c>
    </row>
    <row r="123" customFormat="false" ht="15" hidden="false" customHeight="false" outlineLevel="0" collapsed="false">
      <c r="A123" s="13" t="str">
        <f aca="false">IF(INDEX(Materials!$A$2:$A$201,119)="","",INDEX(Materials!$A$2:$A$201,119))</f>
        <v/>
      </c>
      <c r="B123" s="19" t="str">
        <f aca="false">IF(A123="","",COUNTIF(C123:BJ123,"&gt;0"))</f>
        <v/>
      </c>
      <c r="C123" s="21" t="n">
        <f aca="false">IF(OR($A123="",C$4=""),0,COUNTIFS(Formulas!$A$2:$A$1501,C$4,Formulas!$B$2:$B$1501,$A123))</f>
        <v>0</v>
      </c>
      <c r="D123" s="21" t="n">
        <f aca="false">IF(OR($A123="",D$4=""),0,COUNTIFS(Formulas!$A$2:$A$1501,D$4,Formulas!$B$2:$B$1501,$A123))</f>
        <v>0</v>
      </c>
      <c r="E123" s="21" t="n">
        <f aca="false">IF(OR($A123="",E$4=""),0,COUNTIFS(Formulas!$A$2:$A$1501,E$4,Formulas!$B$2:$B$1501,$A123))</f>
        <v>0</v>
      </c>
      <c r="F123" s="21" t="n">
        <f aca="false">IF(OR($A123="",F$4=""),0,COUNTIFS(Formulas!$A$2:$A$1501,F$4,Formulas!$B$2:$B$1501,$A123))</f>
        <v>0</v>
      </c>
      <c r="G123" s="21" t="n">
        <f aca="false">IF(OR($A123="",G$4=""),0,COUNTIFS(Formulas!$A$2:$A$1501,G$4,Formulas!$B$2:$B$1501,$A123))</f>
        <v>0</v>
      </c>
      <c r="H123" s="21" t="n">
        <f aca="false">IF(OR($A123="",H$4=""),0,COUNTIFS(Formulas!$A$2:$A$1501,H$4,Formulas!$B$2:$B$1501,$A123))</f>
        <v>0</v>
      </c>
      <c r="I123" s="21" t="n">
        <f aca="false">IF(OR($A123="",I$4=""),0,COUNTIFS(Formulas!$A$2:$A$1501,I$4,Formulas!$B$2:$B$1501,$A123))</f>
        <v>0</v>
      </c>
      <c r="J123" s="21" t="n">
        <f aca="false">IF(OR($A123="",J$4=""),0,COUNTIFS(Formulas!$A$2:$A$1501,J$4,Formulas!$B$2:$B$1501,$A123))</f>
        <v>0</v>
      </c>
      <c r="K123" s="21" t="n">
        <f aca="false">IF(OR($A123="",K$4=""),0,COUNTIFS(Formulas!$A$2:$A$1501,K$4,Formulas!$B$2:$B$1501,$A123))</f>
        <v>0</v>
      </c>
      <c r="L123" s="21" t="n">
        <f aca="false">IF(OR($A123="",L$4=""),0,COUNTIFS(Formulas!$A$2:$A$1501,L$4,Formulas!$B$2:$B$1501,$A123))</f>
        <v>0</v>
      </c>
      <c r="M123" s="21" t="n">
        <f aca="false">IF(OR($A123="",M$4=""),0,COUNTIFS(Formulas!$A$2:$A$1501,M$4,Formulas!$B$2:$B$1501,$A123))</f>
        <v>0</v>
      </c>
      <c r="N123" s="21" t="n">
        <f aca="false">IF(OR($A123="",N$4=""),0,COUNTIFS(Formulas!$A$2:$A$1501,N$4,Formulas!$B$2:$B$1501,$A123))</f>
        <v>0</v>
      </c>
      <c r="O123" s="21" t="n">
        <f aca="false">IF(OR($A123="",O$4=""),0,COUNTIFS(Formulas!$A$2:$A$1501,O$4,Formulas!$B$2:$B$1501,$A123))</f>
        <v>0</v>
      </c>
      <c r="P123" s="21" t="n">
        <f aca="false">IF(OR($A123="",P$4=""),0,COUNTIFS(Formulas!$A$2:$A$1501,P$4,Formulas!$B$2:$B$1501,$A123))</f>
        <v>0</v>
      </c>
      <c r="Q123" s="21" t="n">
        <f aca="false">IF(OR($A123="",Q$4=""),0,COUNTIFS(Formulas!$A$2:$A$1501,Q$4,Formulas!$B$2:$B$1501,$A123))</f>
        <v>0</v>
      </c>
      <c r="R123" s="21" t="n">
        <f aca="false">IF(OR($A123="",R$4=""),0,COUNTIFS(Formulas!$A$2:$A$1501,R$4,Formulas!$B$2:$B$1501,$A123))</f>
        <v>0</v>
      </c>
      <c r="S123" s="21" t="n">
        <f aca="false">IF(OR($A123="",S$4=""),0,COUNTIFS(Formulas!$A$2:$A$1501,S$4,Formulas!$B$2:$B$1501,$A123))</f>
        <v>0</v>
      </c>
      <c r="T123" s="21" t="n">
        <f aca="false">IF(OR($A123="",T$4=""),0,COUNTIFS(Formulas!$A$2:$A$1501,T$4,Formulas!$B$2:$B$1501,$A123))</f>
        <v>0</v>
      </c>
      <c r="U123" s="21" t="n">
        <f aca="false">IF(OR($A123="",U$4=""),0,COUNTIFS(Formulas!$A$2:$A$1501,U$4,Formulas!$B$2:$B$1501,$A123))</f>
        <v>0</v>
      </c>
      <c r="V123" s="21" t="n">
        <f aca="false">IF(OR($A123="",V$4=""),0,COUNTIFS(Formulas!$A$2:$A$1501,V$4,Formulas!$B$2:$B$1501,$A123))</f>
        <v>0</v>
      </c>
      <c r="W123" s="21" t="n">
        <f aca="false">IF(OR($A123="",W$4=""),0,COUNTIFS(Formulas!$A$2:$A$1501,W$4,Formulas!$B$2:$B$1501,$A123))</f>
        <v>0</v>
      </c>
      <c r="X123" s="21" t="n">
        <f aca="false">IF(OR($A123="",X$4=""),0,COUNTIFS(Formulas!$A$2:$A$1501,X$4,Formulas!$B$2:$B$1501,$A123))</f>
        <v>0</v>
      </c>
      <c r="Y123" s="21" t="n">
        <f aca="false">IF(OR($A123="",Y$4=""),0,COUNTIFS(Formulas!$A$2:$A$1501,Y$4,Formulas!$B$2:$B$1501,$A123))</f>
        <v>0</v>
      </c>
      <c r="Z123" s="21" t="n">
        <f aca="false">IF(OR($A123="",Z$4=""),0,COUNTIFS(Formulas!$A$2:$A$1501,Z$4,Formulas!$B$2:$B$1501,$A123))</f>
        <v>0</v>
      </c>
      <c r="AA123" s="21" t="n">
        <f aca="false">IF(OR($A123="",AA$4=""),0,COUNTIFS(Formulas!$A$2:$A$1501,AA$4,Formulas!$B$2:$B$1501,$A123))</f>
        <v>0</v>
      </c>
      <c r="AB123" s="21" t="n">
        <f aca="false">IF(OR($A123="",AB$4=""),0,COUNTIFS(Formulas!$A$2:$A$1501,AB$4,Formulas!$B$2:$B$1501,$A123))</f>
        <v>0</v>
      </c>
      <c r="AC123" s="21" t="n">
        <f aca="false">IF(OR($A123="",AC$4=""),0,COUNTIFS(Formulas!$A$2:$A$1501,AC$4,Formulas!$B$2:$B$1501,$A123))</f>
        <v>0</v>
      </c>
      <c r="AD123" s="21" t="n">
        <f aca="false">IF(OR($A123="",AD$4=""),0,COUNTIFS(Formulas!$A$2:$A$1501,AD$4,Formulas!$B$2:$B$1501,$A123))</f>
        <v>0</v>
      </c>
      <c r="AE123" s="21" t="n">
        <f aca="false">IF(OR($A123="",AE$4=""),0,COUNTIFS(Formulas!$A$2:$A$1501,AE$4,Formulas!$B$2:$B$1501,$A123))</f>
        <v>0</v>
      </c>
      <c r="AF123" s="21" t="n">
        <f aca="false">IF(OR($A123="",AF$4=""),0,COUNTIFS(Formulas!$A$2:$A$1501,AF$4,Formulas!$B$2:$B$1501,$A123))</f>
        <v>0</v>
      </c>
      <c r="AG123" s="21" t="n">
        <f aca="false">IF(OR($A123="",AG$4=""),0,COUNTIFS(Formulas!$A$2:$A$1501,AG$4,Formulas!$B$2:$B$1501,$A123))</f>
        <v>0</v>
      </c>
      <c r="AH123" s="21" t="n">
        <f aca="false">IF(OR($A123="",AH$4=""),0,COUNTIFS(Formulas!$A$2:$A$1501,AH$4,Formulas!$B$2:$B$1501,$A123))</f>
        <v>0</v>
      </c>
      <c r="AI123" s="21" t="n">
        <f aca="false">IF(OR($A123="",AI$4=""),0,COUNTIFS(Formulas!$A$2:$A$1501,AI$4,Formulas!$B$2:$B$1501,$A123))</f>
        <v>0</v>
      </c>
      <c r="AJ123" s="21" t="n">
        <f aca="false">IF(OR($A123="",AJ$4=""),0,COUNTIFS(Formulas!$A$2:$A$1501,AJ$4,Formulas!$B$2:$B$1501,$A123))</f>
        <v>0</v>
      </c>
      <c r="AK123" s="21" t="n">
        <f aca="false">IF(OR($A123="",AK$4=""),0,COUNTIFS(Formulas!$A$2:$A$1501,AK$4,Formulas!$B$2:$B$1501,$A123))</f>
        <v>0</v>
      </c>
      <c r="AL123" s="21" t="n">
        <f aca="false">IF(OR($A123="",AL$4=""),0,COUNTIFS(Formulas!$A$2:$A$1501,AL$4,Formulas!$B$2:$B$1501,$A123))</f>
        <v>0</v>
      </c>
      <c r="AM123" s="21" t="n">
        <f aca="false">IF(OR($A123="",AM$4=""),0,COUNTIFS(Formulas!$A$2:$A$1501,AM$4,Formulas!$B$2:$B$1501,$A123))</f>
        <v>0</v>
      </c>
      <c r="AN123" s="21" t="n">
        <f aca="false">IF(OR($A123="",AN$4=""),0,COUNTIFS(Formulas!$A$2:$A$1501,AN$4,Formulas!$B$2:$B$1501,$A123))</f>
        <v>0</v>
      </c>
      <c r="AO123" s="21" t="n">
        <f aca="false">IF(OR($A123="",AO$4=""),0,COUNTIFS(Formulas!$A$2:$A$1501,AO$4,Formulas!$B$2:$B$1501,$A123))</f>
        <v>0</v>
      </c>
      <c r="AP123" s="21" t="n">
        <f aca="false">IF(OR($A123="",AP$4=""),0,COUNTIFS(Formulas!$A$2:$A$1501,AP$4,Formulas!$B$2:$B$1501,$A123))</f>
        <v>0</v>
      </c>
      <c r="AQ123" s="21" t="n">
        <f aca="false">IF(OR($A123="",AQ$4=""),0,COUNTIFS(Formulas!$A$2:$A$1501,AQ$4,Formulas!$B$2:$B$1501,$A123))</f>
        <v>0</v>
      </c>
      <c r="AR123" s="21" t="n">
        <f aca="false">IF(OR($A123="",AR$4=""),0,COUNTIFS(Formulas!$A$2:$A$1501,AR$4,Formulas!$B$2:$B$1501,$A123))</f>
        <v>0</v>
      </c>
      <c r="AS123" s="21" t="n">
        <f aca="false">IF(OR($A123="",AS$4=""),0,COUNTIFS(Formulas!$A$2:$A$1501,AS$4,Formulas!$B$2:$B$1501,$A123))</f>
        <v>0</v>
      </c>
      <c r="AT123" s="21" t="n">
        <f aca="false">IF(OR($A123="",AT$4=""),0,COUNTIFS(Formulas!$A$2:$A$1501,AT$4,Formulas!$B$2:$B$1501,$A123))</f>
        <v>0</v>
      </c>
      <c r="AU123" s="21" t="n">
        <f aca="false">IF(OR($A123="",AU$4=""),0,COUNTIFS(Formulas!$A$2:$A$1501,AU$4,Formulas!$B$2:$B$1501,$A123))</f>
        <v>0</v>
      </c>
      <c r="AV123" s="21" t="n">
        <f aca="false">IF(OR($A123="",AV$4=""),0,COUNTIFS(Formulas!$A$2:$A$1501,AV$4,Formulas!$B$2:$B$1501,$A123))</f>
        <v>0</v>
      </c>
      <c r="AW123" s="21" t="n">
        <f aca="false">IF(OR($A123="",AW$4=""),0,COUNTIFS(Formulas!$A$2:$A$1501,AW$4,Formulas!$B$2:$B$1501,$A123))</f>
        <v>0</v>
      </c>
      <c r="AX123" s="21" t="n">
        <f aca="false">IF(OR($A123="",AX$4=""),0,COUNTIFS(Formulas!$A$2:$A$1501,AX$4,Formulas!$B$2:$B$1501,$A123))</f>
        <v>0</v>
      </c>
      <c r="AY123" s="21" t="n">
        <f aca="false">IF(OR($A123="",AY$4=""),0,COUNTIFS(Formulas!$A$2:$A$1501,AY$4,Formulas!$B$2:$B$1501,$A123))</f>
        <v>0</v>
      </c>
      <c r="AZ123" s="21" t="n">
        <f aca="false">IF(OR($A123="",AZ$4=""),0,COUNTIFS(Formulas!$A$2:$A$1501,AZ$4,Formulas!$B$2:$B$1501,$A123))</f>
        <v>0</v>
      </c>
      <c r="BA123" s="21" t="n">
        <f aca="false">IF(OR($A123="",BA$4=""),0,COUNTIFS(Formulas!$A$2:$A$1501,BA$4,Formulas!$B$2:$B$1501,$A123))</f>
        <v>0</v>
      </c>
      <c r="BB123" s="21" t="n">
        <f aca="false">IF(OR($A123="",BB$4=""),0,COUNTIFS(Formulas!$A$2:$A$1501,BB$4,Formulas!$B$2:$B$1501,$A123))</f>
        <v>0</v>
      </c>
      <c r="BC123" s="21" t="n">
        <f aca="false">IF(OR($A123="",BC$4=""),0,COUNTIFS(Formulas!$A$2:$A$1501,BC$4,Formulas!$B$2:$B$1501,$A123))</f>
        <v>0</v>
      </c>
      <c r="BD123" s="21" t="n">
        <f aca="false">IF(OR($A123="",BD$4=""),0,COUNTIFS(Formulas!$A$2:$A$1501,BD$4,Formulas!$B$2:$B$1501,$A123))</f>
        <v>0</v>
      </c>
      <c r="BE123" s="21" t="n">
        <f aca="false">IF(OR($A123="",BE$4=""),0,COUNTIFS(Formulas!$A$2:$A$1501,BE$4,Formulas!$B$2:$B$1501,$A123))</f>
        <v>0</v>
      </c>
      <c r="BF123" s="21" t="n">
        <f aca="false">IF(OR($A123="",BF$4=""),0,COUNTIFS(Formulas!$A$2:$A$1501,BF$4,Formulas!$B$2:$B$1501,$A123))</f>
        <v>0</v>
      </c>
      <c r="BG123" s="21" t="n">
        <f aca="false">IF(OR($A123="",BG$4=""),0,COUNTIFS(Formulas!$A$2:$A$1501,BG$4,Formulas!$B$2:$B$1501,$A123))</f>
        <v>0</v>
      </c>
      <c r="BH123" s="21" t="n">
        <f aca="false">IF(OR($A123="",BH$4=""),0,COUNTIFS(Formulas!$A$2:$A$1501,BH$4,Formulas!$B$2:$B$1501,$A123))</f>
        <v>0</v>
      </c>
      <c r="BI123" s="21" t="n">
        <f aca="false">IF(OR($A123="",BI$4=""),0,COUNTIFS(Formulas!$A$2:$A$1501,BI$4,Formulas!$B$2:$B$1501,$A123))</f>
        <v>0</v>
      </c>
      <c r="BJ123" s="21" t="n">
        <f aca="false">IF(OR($A123="",BJ$4=""),0,COUNTIFS(Formulas!$A$2:$A$1501,BJ$4,Formulas!$B$2:$B$1501,$A123))</f>
        <v>0</v>
      </c>
    </row>
    <row r="124" customFormat="false" ht="15" hidden="false" customHeight="false" outlineLevel="0" collapsed="false">
      <c r="A124" s="13" t="str">
        <f aca="false">IF(INDEX(Materials!$A$2:$A$201,120)="","",INDEX(Materials!$A$2:$A$201,120))</f>
        <v/>
      </c>
      <c r="B124" s="19" t="str">
        <f aca="false">IF(A124="","",COUNTIF(C124:BJ124,"&gt;0"))</f>
        <v/>
      </c>
      <c r="C124" s="21" t="n">
        <f aca="false">IF(OR($A124="",C$4=""),0,COUNTIFS(Formulas!$A$2:$A$1501,C$4,Formulas!$B$2:$B$1501,$A124))</f>
        <v>0</v>
      </c>
      <c r="D124" s="21" t="n">
        <f aca="false">IF(OR($A124="",D$4=""),0,COUNTIFS(Formulas!$A$2:$A$1501,D$4,Formulas!$B$2:$B$1501,$A124))</f>
        <v>0</v>
      </c>
      <c r="E124" s="21" t="n">
        <f aca="false">IF(OR($A124="",E$4=""),0,COUNTIFS(Formulas!$A$2:$A$1501,E$4,Formulas!$B$2:$B$1501,$A124))</f>
        <v>0</v>
      </c>
      <c r="F124" s="21" t="n">
        <f aca="false">IF(OR($A124="",F$4=""),0,COUNTIFS(Formulas!$A$2:$A$1501,F$4,Formulas!$B$2:$B$1501,$A124))</f>
        <v>0</v>
      </c>
      <c r="G124" s="21" t="n">
        <f aca="false">IF(OR($A124="",G$4=""),0,COUNTIFS(Formulas!$A$2:$A$1501,G$4,Formulas!$B$2:$B$1501,$A124))</f>
        <v>0</v>
      </c>
      <c r="H124" s="21" t="n">
        <f aca="false">IF(OR($A124="",H$4=""),0,COUNTIFS(Formulas!$A$2:$A$1501,H$4,Formulas!$B$2:$B$1501,$A124))</f>
        <v>0</v>
      </c>
      <c r="I124" s="21" t="n">
        <f aca="false">IF(OR($A124="",I$4=""),0,COUNTIFS(Formulas!$A$2:$A$1501,I$4,Formulas!$B$2:$B$1501,$A124))</f>
        <v>0</v>
      </c>
      <c r="J124" s="21" t="n">
        <f aca="false">IF(OR($A124="",J$4=""),0,COUNTIFS(Formulas!$A$2:$A$1501,J$4,Formulas!$B$2:$B$1501,$A124))</f>
        <v>0</v>
      </c>
      <c r="K124" s="21" t="n">
        <f aca="false">IF(OR($A124="",K$4=""),0,COUNTIFS(Formulas!$A$2:$A$1501,K$4,Formulas!$B$2:$B$1501,$A124))</f>
        <v>0</v>
      </c>
      <c r="L124" s="21" t="n">
        <f aca="false">IF(OR($A124="",L$4=""),0,COUNTIFS(Formulas!$A$2:$A$1501,L$4,Formulas!$B$2:$B$1501,$A124))</f>
        <v>0</v>
      </c>
      <c r="M124" s="21" t="n">
        <f aca="false">IF(OR($A124="",M$4=""),0,COUNTIFS(Formulas!$A$2:$A$1501,M$4,Formulas!$B$2:$B$1501,$A124))</f>
        <v>0</v>
      </c>
      <c r="N124" s="21" t="n">
        <f aca="false">IF(OR($A124="",N$4=""),0,COUNTIFS(Formulas!$A$2:$A$1501,N$4,Formulas!$B$2:$B$1501,$A124))</f>
        <v>0</v>
      </c>
      <c r="O124" s="21" t="n">
        <f aca="false">IF(OR($A124="",O$4=""),0,COUNTIFS(Formulas!$A$2:$A$1501,O$4,Formulas!$B$2:$B$1501,$A124))</f>
        <v>0</v>
      </c>
      <c r="P124" s="21" t="n">
        <f aca="false">IF(OR($A124="",P$4=""),0,COUNTIFS(Formulas!$A$2:$A$1501,P$4,Formulas!$B$2:$B$1501,$A124))</f>
        <v>0</v>
      </c>
      <c r="Q124" s="21" t="n">
        <f aca="false">IF(OR($A124="",Q$4=""),0,COUNTIFS(Formulas!$A$2:$A$1501,Q$4,Formulas!$B$2:$B$1501,$A124))</f>
        <v>0</v>
      </c>
      <c r="R124" s="21" t="n">
        <f aca="false">IF(OR($A124="",R$4=""),0,COUNTIFS(Formulas!$A$2:$A$1501,R$4,Formulas!$B$2:$B$1501,$A124))</f>
        <v>0</v>
      </c>
      <c r="S124" s="21" t="n">
        <f aca="false">IF(OR($A124="",S$4=""),0,COUNTIFS(Formulas!$A$2:$A$1501,S$4,Formulas!$B$2:$B$1501,$A124))</f>
        <v>0</v>
      </c>
      <c r="T124" s="21" t="n">
        <f aca="false">IF(OR($A124="",T$4=""),0,COUNTIFS(Formulas!$A$2:$A$1501,T$4,Formulas!$B$2:$B$1501,$A124))</f>
        <v>0</v>
      </c>
      <c r="U124" s="21" t="n">
        <f aca="false">IF(OR($A124="",U$4=""),0,COUNTIFS(Formulas!$A$2:$A$1501,U$4,Formulas!$B$2:$B$1501,$A124))</f>
        <v>0</v>
      </c>
      <c r="V124" s="21" t="n">
        <f aca="false">IF(OR($A124="",V$4=""),0,COUNTIFS(Formulas!$A$2:$A$1501,V$4,Formulas!$B$2:$B$1501,$A124))</f>
        <v>0</v>
      </c>
      <c r="W124" s="21" t="n">
        <f aca="false">IF(OR($A124="",W$4=""),0,COUNTIFS(Formulas!$A$2:$A$1501,W$4,Formulas!$B$2:$B$1501,$A124))</f>
        <v>0</v>
      </c>
      <c r="X124" s="21" t="n">
        <f aca="false">IF(OR($A124="",X$4=""),0,COUNTIFS(Formulas!$A$2:$A$1501,X$4,Formulas!$B$2:$B$1501,$A124))</f>
        <v>0</v>
      </c>
      <c r="Y124" s="21" t="n">
        <f aca="false">IF(OR($A124="",Y$4=""),0,COUNTIFS(Formulas!$A$2:$A$1501,Y$4,Formulas!$B$2:$B$1501,$A124))</f>
        <v>0</v>
      </c>
      <c r="Z124" s="21" t="n">
        <f aca="false">IF(OR($A124="",Z$4=""),0,COUNTIFS(Formulas!$A$2:$A$1501,Z$4,Formulas!$B$2:$B$1501,$A124))</f>
        <v>0</v>
      </c>
      <c r="AA124" s="21" t="n">
        <f aca="false">IF(OR($A124="",AA$4=""),0,COUNTIFS(Formulas!$A$2:$A$1501,AA$4,Formulas!$B$2:$B$1501,$A124))</f>
        <v>0</v>
      </c>
      <c r="AB124" s="21" t="n">
        <f aca="false">IF(OR($A124="",AB$4=""),0,COUNTIFS(Formulas!$A$2:$A$1501,AB$4,Formulas!$B$2:$B$1501,$A124))</f>
        <v>0</v>
      </c>
      <c r="AC124" s="21" t="n">
        <f aca="false">IF(OR($A124="",AC$4=""),0,COUNTIFS(Formulas!$A$2:$A$1501,AC$4,Formulas!$B$2:$B$1501,$A124))</f>
        <v>0</v>
      </c>
      <c r="AD124" s="21" t="n">
        <f aca="false">IF(OR($A124="",AD$4=""),0,COUNTIFS(Formulas!$A$2:$A$1501,AD$4,Formulas!$B$2:$B$1501,$A124))</f>
        <v>0</v>
      </c>
      <c r="AE124" s="21" t="n">
        <f aca="false">IF(OR($A124="",AE$4=""),0,COUNTIFS(Formulas!$A$2:$A$1501,AE$4,Formulas!$B$2:$B$1501,$A124))</f>
        <v>0</v>
      </c>
      <c r="AF124" s="21" t="n">
        <f aca="false">IF(OR($A124="",AF$4=""),0,COUNTIFS(Formulas!$A$2:$A$1501,AF$4,Formulas!$B$2:$B$1501,$A124))</f>
        <v>0</v>
      </c>
      <c r="AG124" s="21" t="n">
        <f aca="false">IF(OR($A124="",AG$4=""),0,COUNTIFS(Formulas!$A$2:$A$1501,AG$4,Formulas!$B$2:$B$1501,$A124))</f>
        <v>0</v>
      </c>
      <c r="AH124" s="21" t="n">
        <f aca="false">IF(OR($A124="",AH$4=""),0,COUNTIFS(Formulas!$A$2:$A$1501,AH$4,Formulas!$B$2:$B$1501,$A124))</f>
        <v>0</v>
      </c>
      <c r="AI124" s="21" t="n">
        <f aca="false">IF(OR($A124="",AI$4=""),0,COUNTIFS(Formulas!$A$2:$A$1501,AI$4,Formulas!$B$2:$B$1501,$A124))</f>
        <v>0</v>
      </c>
      <c r="AJ124" s="21" t="n">
        <f aca="false">IF(OR($A124="",AJ$4=""),0,COUNTIFS(Formulas!$A$2:$A$1501,AJ$4,Formulas!$B$2:$B$1501,$A124))</f>
        <v>0</v>
      </c>
      <c r="AK124" s="21" t="n">
        <f aca="false">IF(OR($A124="",AK$4=""),0,COUNTIFS(Formulas!$A$2:$A$1501,AK$4,Formulas!$B$2:$B$1501,$A124))</f>
        <v>0</v>
      </c>
      <c r="AL124" s="21" t="n">
        <f aca="false">IF(OR($A124="",AL$4=""),0,COUNTIFS(Formulas!$A$2:$A$1501,AL$4,Formulas!$B$2:$B$1501,$A124))</f>
        <v>0</v>
      </c>
      <c r="AM124" s="21" t="n">
        <f aca="false">IF(OR($A124="",AM$4=""),0,COUNTIFS(Formulas!$A$2:$A$1501,AM$4,Formulas!$B$2:$B$1501,$A124))</f>
        <v>0</v>
      </c>
      <c r="AN124" s="21" t="n">
        <f aca="false">IF(OR($A124="",AN$4=""),0,COUNTIFS(Formulas!$A$2:$A$1501,AN$4,Formulas!$B$2:$B$1501,$A124))</f>
        <v>0</v>
      </c>
      <c r="AO124" s="21" t="n">
        <f aca="false">IF(OR($A124="",AO$4=""),0,COUNTIFS(Formulas!$A$2:$A$1501,AO$4,Formulas!$B$2:$B$1501,$A124))</f>
        <v>0</v>
      </c>
      <c r="AP124" s="21" t="n">
        <f aca="false">IF(OR($A124="",AP$4=""),0,COUNTIFS(Formulas!$A$2:$A$1501,AP$4,Formulas!$B$2:$B$1501,$A124))</f>
        <v>0</v>
      </c>
      <c r="AQ124" s="21" t="n">
        <f aca="false">IF(OR($A124="",AQ$4=""),0,COUNTIFS(Formulas!$A$2:$A$1501,AQ$4,Formulas!$B$2:$B$1501,$A124))</f>
        <v>0</v>
      </c>
      <c r="AR124" s="21" t="n">
        <f aca="false">IF(OR($A124="",AR$4=""),0,COUNTIFS(Formulas!$A$2:$A$1501,AR$4,Formulas!$B$2:$B$1501,$A124))</f>
        <v>0</v>
      </c>
      <c r="AS124" s="21" t="n">
        <f aca="false">IF(OR($A124="",AS$4=""),0,COUNTIFS(Formulas!$A$2:$A$1501,AS$4,Formulas!$B$2:$B$1501,$A124))</f>
        <v>0</v>
      </c>
      <c r="AT124" s="21" t="n">
        <f aca="false">IF(OR($A124="",AT$4=""),0,COUNTIFS(Formulas!$A$2:$A$1501,AT$4,Formulas!$B$2:$B$1501,$A124))</f>
        <v>0</v>
      </c>
      <c r="AU124" s="21" t="n">
        <f aca="false">IF(OR($A124="",AU$4=""),0,COUNTIFS(Formulas!$A$2:$A$1501,AU$4,Formulas!$B$2:$B$1501,$A124))</f>
        <v>0</v>
      </c>
      <c r="AV124" s="21" t="n">
        <f aca="false">IF(OR($A124="",AV$4=""),0,COUNTIFS(Formulas!$A$2:$A$1501,AV$4,Formulas!$B$2:$B$1501,$A124))</f>
        <v>0</v>
      </c>
      <c r="AW124" s="21" t="n">
        <f aca="false">IF(OR($A124="",AW$4=""),0,COUNTIFS(Formulas!$A$2:$A$1501,AW$4,Formulas!$B$2:$B$1501,$A124))</f>
        <v>0</v>
      </c>
      <c r="AX124" s="21" t="n">
        <f aca="false">IF(OR($A124="",AX$4=""),0,COUNTIFS(Formulas!$A$2:$A$1501,AX$4,Formulas!$B$2:$B$1501,$A124))</f>
        <v>0</v>
      </c>
      <c r="AY124" s="21" t="n">
        <f aca="false">IF(OR($A124="",AY$4=""),0,COUNTIFS(Formulas!$A$2:$A$1501,AY$4,Formulas!$B$2:$B$1501,$A124))</f>
        <v>0</v>
      </c>
      <c r="AZ124" s="21" t="n">
        <f aca="false">IF(OR($A124="",AZ$4=""),0,COUNTIFS(Formulas!$A$2:$A$1501,AZ$4,Formulas!$B$2:$B$1501,$A124))</f>
        <v>0</v>
      </c>
      <c r="BA124" s="21" t="n">
        <f aca="false">IF(OR($A124="",BA$4=""),0,COUNTIFS(Formulas!$A$2:$A$1501,BA$4,Formulas!$B$2:$B$1501,$A124))</f>
        <v>0</v>
      </c>
      <c r="BB124" s="21" t="n">
        <f aca="false">IF(OR($A124="",BB$4=""),0,COUNTIFS(Formulas!$A$2:$A$1501,BB$4,Formulas!$B$2:$B$1501,$A124))</f>
        <v>0</v>
      </c>
      <c r="BC124" s="21" t="n">
        <f aca="false">IF(OR($A124="",BC$4=""),0,COUNTIFS(Formulas!$A$2:$A$1501,BC$4,Formulas!$B$2:$B$1501,$A124))</f>
        <v>0</v>
      </c>
      <c r="BD124" s="21" t="n">
        <f aca="false">IF(OR($A124="",BD$4=""),0,COUNTIFS(Formulas!$A$2:$A$1501,BD$4,Formulas!$B$2:$B$1501,$A124))</f>
        <v>0</v>
      </c>
      <c r="BE124" s="21" t="n">
        <f aca="false">IF(OR($A124="",BE$4=""),0,COUNTIFS(Formulas!$A$2:$A$1501,BE$4,Formulas!$B$2:$B$1501,$A124))</f>
        <v>0</v>
      </c>
      <c r="BF124" s="21" t="n">
        <f aca="false">IF(OR($A124="",BF$4=""),0,COUNTIFS(Formulas!$A$2:$A$1501,BF$4,Formulas!$B$2:$B$1501,$A124))</f>
        <v>0</v>
      </c>
      <c r="BG124" s="21" t="n">
        <f aca="false">IF(OR($A124="",BG$4=""),0,COUNTIFS(Formulas!$A$2:$A$1501,BG$4,Formulas!$B$2:$B$1501,$A124))</f>
        <v>0</v>
      </c>
      <c r="BH124" s="21" t="n">
        <f aca="false">IF(OR($A124="",BH$4=""),0,COUNTIFS(Formulas!$A$2:$A$1501,BH$4,Formulas!$B$2:$B$1501,$A124))</f>
        <v>0</v>
      </c>
      <c r="BI124" s="21" t="n">
        <f aca="false">IF(OR($A124="",BI$4=""),0,COUNTIFS(Formulas!$A$2:$A$1501,BI$4,Formulas!$B$2:$B$1501,$A124))</f>
        <v>0</v>
      </c>
      <c r="BJ124" s="21" t="n">
        <f aca="false">IF(OR($A124="",BJ$4=""),0,COUNTIFS(Formulas!$A$2:$A$1501,BJ$4,Formulas!$B$2:$B$1501,$A124))</f>
        <v>0</v>
      </c>
    </row>
    <row r="125" customFormat="false" ht="15" hidden="false" customHeight="false" outlineLevel="0" collapsed="false">
      <c r="A125" s="13" t="str">
        <f aca="false">IF(INDEX(Materials!$A$2:$A$201,121)="","",INDEX(Materials!$A$2:$A$201,121))</f>
        <v/>
      </c>
      <c r="B125" s="19" t="str">
        <f aca="false">IF(A125="","",COUNTIF(C125:BJ125,"&gt;0"))</f>
        <v/>
      </c>
      <c r="C125" s="21" t="n">
        <f aca="false">IF(OR($A125="",C$4=""),0,COUNTIFS(Formulas!$A$2:$A$1501,C$4,Formulas!$B$2:$B$1501,$A125))</f>
        <v>0</v>
      </c>
      <c r="D125" s="21" t="n">
        <f aca="false">IF(OR($A125="",D$4=""),0,COUNTIFS(Formulas!$A$2:$A$1501,D$4,Formulas!$B$2:$B$1501,$A125))</f>
        <v>0</v>
      </c>
      <c r="E125" s="21" t="n">
        <f aca="false">IF(OR($A125="",E$4=""),0,COUNTIFS(Formulas!$A$2:$A$1501,E$4,Formulas!$B$2:$B$1501,$A125))</f>
        <v>0</v>
      </c>
      <c r="F125" s="21" t="n">
        <f aca="false">IF(OR($A125="",F$4=""),0,COUNTIFS(Formulas!$A$2:$A$1501,F$4,Formulas!$B$2:$B$1501,$A125))</f>
        <v>0</v>
      </c>
      <c r="G125" s="21" t="n">
        <f aca="false">IF(OR($A125="",G$4=""),0,COUNTIFS(Formulas!$A$2:$A$1501,G$4,Formulas!$B$2:$B$1501,$A125))</f>
        <v>0</v>
      </c>
      <c r="H125" s="21" t="n">
        <f aca="false">IF(OR($A125="",H$4=""),0,COUNTIFS(Formulas!$A$2:$A$1501,H$4,Formulas!$B$2:$B$1501,$A125))</f>
        <v>0</v>
      </c>
      <c r="I125" s="21" t="n">
        <f aca="false">IF(OR($A125="",I$4=""),0,COUNTIFS(Formulas!$A$2:$A$1501,I$4,Formulas!$B$2:$B$1501,$A125))</f>
        <v>0</v>
      </c>
      <c r="J125" s="21" t="n">
        <f aca="false">IF(OR($A125="",J$4=""),0,COUNTIFS(Formulas!$A$2:$A$1501,J$4,Formulas!$B$2:$B$1501,$A125))</f>
        <v>0</v>
      </c>
      <c r="K125" s="21" t="n">
        <f aca="false">IF(OR($A125="",K$4=""),0,COUNTIFS(Formulas!$A$2:$A$1501,K$4,Formulas!$B$2:$B$1501,$A125))</f>
        <v>0</v>
      </c>
      <c r="L125" s="21" t="n">
        <f aca="false">IF(OR($A125="",L$4=""),0,COUNTIFS(Formulas!$A$2:$A$1501,L$4,Formulas!$B$2:$B$1501,$A125))</f>
        <v>0</v>
      </c>
      <c r="M125" s="21" t="n">
        <f aca="false">IF(OR($A125="",M$4=""),0,COUNTIFS(Formulas!$A$2:$A$1501,M$4,Formulas!$B$2:$B$1501,$A125))</f>
        <v>0</v>
      </c>
      <c r="N125" s="21" t="n">
        <f aca="false">IF(OR($A125="",N$4=""),0,COUNTIFS(Formulas!$A$2:$A$1501,N$4,Formulas!$B$2:$B$1501,$A125))</f>
        <v>0</v>
      </c>
      <c r="O125" s="21" t="n">
        <f aca="false">IF(OR($A125="",O$4=""),0,COUNTIFS(Formulas!$A$2:$A$1501,O$4,Formulas!$B$2:$B$1501,$A125))</f>
        <v>0</v>
      </c>
      <c r="P125" s="21" t="n">
        <f aca="false">IF(OR($A125="",P$4=""),0,COUNTIFS(Formulas!$A$2:$A$1501,P$4,Formulas!$B$2:$B$1501,$A125))</f>
        <v>0</v>
      </c>
      <c r="Q125" s="21" t="n">
        <f aca="false">IF(OR($A125="",Q$4=""),0,COUNTIFS(Formulas!$A$2:$A$1501,Q$4,Formulas!$B$2:$B$1501,$A125))</f>
        <v>0</v>
      </c>
      <c r="R125" s="21" t="n">
        <f aca="false">IF(OR($A125="",R$4=""),0,COUNTIFS(Formulas!$A$2:$A$1501,R$4,Formulas!$B$2:$B$1501,$A125))</f>
        <v>0</v>
      </c>
      <c r="S125" s="21" t="n">
        <f aca="false">IF(OR($A125="",S$4=""),0,COUNTIFS(Formulas!$A$2:$A$1501,S$4,Formulas!$B$2:$B$1501,$A125))</f>
        <v>0</v>
      </c>
      <c r="T125" s="21" t="n">
        <f aca="false">IF(OR($A125="",T$4=""),0,COUNTIFS(Formulas!$A$2:$A$1501,T$4,Formulas!$B$2:$B$1501,$A125))</f>
        <v>0</v>
      </c>
      <c r="U125" s="21" t="n">
        <f aca="false">IF(OR($A125="",U$4=""),0,COUNTIFS(Formulas!$A$2:$A$1501,U$4,Formulas!$B$2:$B$1501,$A125))</f>
        <v>0</v>
      </c>
      <c r="V125" s="21" t="n">
        <f aca="false">IF(OR($A125="",V$4=""),0,COUNTIFS(Formulas!$A$2:$A$1501,V$4,Formulas!$B$2:$B$1501,$A125))</f>
        <v>0</v>
      </c>
      <c r="W125" s="21" t="n">
        <f aca="false">IF(OR($A125="",W$4=""),0,COUNTIFS(Formulas!$A$2:$A$1501,W$4,Formulas!$B$2:$B$1501,$A125))</f>
        <v>0</v>
      </c>
      <c r="X125" s="21" t="n">
        <f aca="false">IF(OR($A125="",X$4=""),0,COUNTIFS(Formulas!$A$2:$A$1501,X$4,Formulas!$B$2:$B$1501,$A125))</f>
        <v>0</v>
      </c>
      <c r="Y125" s="21" t="n">
        <f aca="false">IF(OR($A125="",Y$4=""),0,COUNTIFS(Formulas!$A$2:$A$1501,Y$4,Formulas!$B$2:$B$1501,$A125))</f>
        <v>0</v>
      </c>
      <c r="Z125" s="21" t="n">
        <f aca="false">IF(OR($A125="",Z$4=""),0,COUNTIFS(Formulas!$A$2:$A$1501,Z$4,Formulas!$B$2:$B$1501,$A125))</f>
        <v>0</v>
      </c>
      <c r="AA125" s="21" t="n">
        <f aca="false">IF(OR($A125="",AA$4=""),0,COUNTIFS(Formulas!$A$2:$A$1501,AA$4,Formulas!$B$2:$B$1501,$A125))</f>
        <v>0</v>
      </c>
      <c r="AB125" s="21" t="n">
        <f aca="false">IF(OR($A125="",AB$4=""),0,COUNTIFS(Formulas!$A$2:$A$1501,AB$4,Formulas!$B$2:$B$1501,$A125))</f>
        <v>0</v>
      </c>
      <c r="AC125" s="21" t="n">
        <f aca="false">IF(OR($A125="",AC$4=""),0,COUNTIFS(Formulas!$A$2:$A$1501,AC$4,Formulas!$B$2:$B$1501,$A125))</f>
        <v>0</v>
      </c>
      <c r="AD125" s="21" t="n">
        <f aca="false">IF(OR($A125="",AD$4=""),0,COUNTIFS(Formulas!$A$2:$A$1501,AD$4,Formulas!$B$2:$B$1501,$A125))</f>
        <v>0</v>
      </c>
      <c r="AE125" s="21" t="n">
        <f aca="false">IF(OR($A125="",AE$4=""),0,COUNTIFS(Formulas!$A$2:$A$1501,AE$4,Formulas!$B$2:$B$1501,$A125))</f>
        <v>0</v>
      </c>
      <c r="AF125" s="21" t="n">
        <f aca="false">IF(OR($A125="",AF$4=""),0,COUNTIFS(Formulas!$A$2:$A$1501,AF$4,Formulas!$B$2:$B$1501,$A125))</f>
        <v>0</v>
      </c>
      <c r="AG125" s="21" t="n">
        <f aca="false">IF(OR($A125="",AG$4=""),0,COUNTIFS(Formulas!$A$2:$A$1501,AG$4,Formulas!$B$2:$B$1501,$A125))</f>
        <v>0</v>
      </c>
      <c r="AH125" s="21" t="n">
        <f aca="false">IF(OR($A125="",AH$4=""),0,COUNTIFS(Formulas!$A$2:$A$1501,AH$4,Formulas!$B$2:$B$1501,$A125))</f>
        <v>0</v>
      </c>
      <c r="AI125" s="21" t="n">
        <f aca="false">IF(OR($A125="",AI$4=""),0,COUNTIFS(Formulas!$A$2:$A$1501,AI$4,Formulas!$B$2:$B$1501,$A125))</f>
        <v>0</v>
      </c>
      <c r="AJ125" s="21" t="n">
        <f aca="false">IF(OR($A125="",AJ$4=""),0,COUNTIFS(Formulas!$A$2:$A$1501,AJ$4,Formulas!$B$2:$B$1501,$A125))</f>
        <v>0</v>
      </c>
      <c r="AK125" s="21" t="n">
        <f aca="false">IF(OR($A125="",AK$4=""),0,COUNTIFS(Formulas!$A$2:$A$1501,AK$4,Formulas!$B$2:$B$1501,$A125))</f>
        <v>0</v>
      </c>
      <c r="AL125" s="21" t="n">
        <f aca="false">IF(OR($A125="",AL$4=""),0,COUNTIFS(Formulas!$A$2:$A$1501,AL$4,Formulas!$B$2:$B$1501,$A125))</f>
        <v>0</v>
      </c>
      <c r="AM125" s="21" t="n">
        <f aca="false">IF(OR($A125="",AM$4=""),0,COUNTIFS(Formulas!$A$2:$A$1501,AM$4,Formulas!$B$2:$B$1501,$A125))</f>
        <v>0</v>
      </c>
      <c r="AN125" s="21" t="n">
        <f aca="false">IF(OR($A125="",AN$4=""),0,COUNTIFS(Formulas!$A$2:$A$1501,AN$4,Formulas!$B$2:$B$1501,$A125))</f>
        <v>0</v>
      </c>
      <c r="AO125" s="21" t="n">
        <f aca="false">IF(OR($A125="",AO$4=""),0,COUNTIFS(Formulas!$A$2:$A$1501,AO$4,Formulas!$B$2:$B$1501,$A125))</f>
        <v>0</v>
      </c>
      <c r="AP125" s="21" t="n">
        <f aca="false">IF(OR($A125="",AP$4=""),0,COUNTIFS(Formulas!$A$2:$A$1501,AP$4,Formulas!$B$2:$B$1501,$A125))</f>
        <v>0</v>
      </c>
      <c r="AQ125" s="21" t="n">
        <f aca="false">IF(OR($A125="",AQ$4=""),0,COUNTIFS(Formulas!$A$2:$A$1501,AQ$4,Formulas!$B$2:$B$1501,$A125))</f>
        <v>0</v>
      </c>
      <c r="AR125" s="21" t="n">
        <f aca="false">IF(OR($A125="",AR$4=""),0,COUNTIFS(Formulas!$A$2:$A$1501,AR$4,Formulas!$B$2:$B$1501,$A125))</f>
        <v>0</v>
      </c>
      <c r="AS125" s="21" t="n">
        <f aca="false">IF(OR($A125="",AS$4=""),0,COUNTIFS(Formulas!$A$2:$A$1501,AS$4,Formulas!$B$2:$B$1501,$A125))</f>
        <v>0</v>
      </c>
      <c r="AT125" s="21" t="n">
        <f aca="false">IF(OR($A125="",AT$4=""),0,COUNTIFS(Formulas!$A$2:$A$1501,AT$4,Formulas!$B$2:$B$1501,$A125))</f>
        <v>0</v>
      </c>
      <c r="AU125" s="21" t="n">
        <f aca="false">IF(OR($A125="",AU$4=""),0,COUNTIFS(Formulas!$A$2:$A$1501,AU$4,Formulas!$B$2:$B$1501,$A125))</f>
        <v>0</v>
      </c>
      <c r="AV125" s="21" t="n">
        <f aca="false">IF(OR($A125="",AV$4=""),0,COUNTIFS(Formulas!$A$2:$A$1501,AV$4,Formulas!$B$2:$B$1501,$A125))</f>
        <v>0</v>
      </c>
      <c r="AW125" s="21" t="n">
        <f aca="false">IF(OR($A125="",AW$4=""),0,COUNTIFS(Formulas!$A$2:$A$1501,AW$4,Formulas!$B$2:$B$1501,$A125))</f>
        <v>0</v>
      </c>
      <c r="AX125" s="21" t="n">
        <f aca="false">IF(OR($A125="",AX$4=""),0,COUNTIFS(Formulas!$A$2:$A$1501,AX$4,Formulas!$B$2:$B$1501,$A125))</f>
        <v>0</v>
      </c>
      <c r="AY125" s="21" t="n">
        <f aca="false">IF(OR($A125="",AY$4=""),0,COUNTIFS(Formulas!$A$2:$A$1501,AY$4,Formulas!$B$2:$B$1501,$A125))</f>
        <v>0</v>
      </c>
      <c r="AZ125" s="21" t="n">
        <f aca="false">IF(OR($A125="",AZ$4=""),0,COUNTIFS(Formulas!$A$2:$A$1501,AZ$4,Formulas!$B$2:$B$1501,$A125))</f>
        <v>0</v>
      </c>
      <c r="BA125" s="21" t="n">
        <f aca="false">IF(OR($A125="",BA$4=""),0,COUNTIFS(Formulas!$A$2:$A$1501,BA$4,Formulas!$B$2:$B$1501,$A125))</f>
        <v>0</v>
      </c>
      <c r="BB125" s="21" t="n">
        <f aca="false">IF(OR($A125="",BB$4=""),0,COUNTIFS(Formulas!$A$2:$A$1501,BB$4,Formulas!$B$2:$B$1501,$A125))</f>
        <v>0</v>
      </c>
      <c r="BC125" s="21" t="n">
        <f aca="false">IF(OR($A125="",BC$4=""),0,COUNTIFS(Formulas!$A$2:$A$1501,BC$4,Formulas!$B$2:$B$1501,$A125))</f>
        <v>0</v>
      </c>
      <c r="BD125" s="21" t="n">
        <f aca="false">IF(OR($A125="",BD$4=""),0,COUNTIFS(Formulas!$A$2:$A$1501,BD$4,Formulas!$B$2:$B$1501,$A125))</f>
        <v>0</v>
      </c>
      <c r="BE125" s="21" t="n">
        <f aca="false">IF(OR($A125="",BE$4=""),0,COUNTIFS(Formulas!$A$2:$A$1501,BE$4,Formulas!$B$2:$B$1501,$A125))</f>
        <v>0</v>
      </c>
      <c r="BF125" s="21" t="n">
        <f aca="false">IF(OR($A125="",BF$4=""),0,COUNTIFS(Formulas!$A$2:$A$1501,BF$4,Formulas!$B$2:$B$1501,$A125))</f>
        <v>0</v>
      </c>
      <c r="BG125" s="21" t="n">
        <f aca="false">IF(OR($A125="",BG$4=""),0,COUNTIFS(Formulas!$A$2:$A$1501,BG$4,Formulas!$B$2:$B$1501,$A125))</f>
        <v>0</v>
      </c>
      <c r="BH125" s="21" t="n">
        <f aca="false">IF(OR($A125="",BH$4=""),0,COUNTIFS(Formulas!$A$2:$A$1501,BH$4,Formulas!$B$2:$B$1501,$A125))</f>
        <v>0</v>
      </c>
      <c r="BI125" s="21" t="n">
        <f aca="false">IF(OR($A125="",BI$4=""),0,COUNTIFS(Formulas!$A$2:$A$1501,BI$4,Formulas!$B$2:$B$1501,$A125))</f>
        <v>0</v>
      </c>
      <c r="BJ125" s="21" t="n">
        <f aca="false">IF(OR($A125="",BJ$4=""),0,COUNTIFS(Formulas!$A$2:$A$1501,BJ$4,Formulas!$B$2:$B$1501,$A125))</f>
        <v>0</v>
      </c>
    </row>
    <row r="126" customFormat="false" ht="15" hidden="false" customHeight="false" outlineLevel="0" collapsed="false">
      <c r="A126" s="13" t="str">
        <f aca="false">IF(INDEX(Materials!$A$2:$A$201,122)="","",INDEX(Materials!$A$2:$A$201,122))</f>
        <v/>
      </c>
      <c r="B126" s="19" t="str">
        <f aca="false">IF(A126="","",COUNTIF(C126:BJ126,"&gt;0"))</f>
        <v/>
      </c>
      <c r="C126" s="21" t="n">
        <f aca="false">IF(OR($A126="",C$4=""),0,COUNTIFS(Formulas!$A$2:$A$1501,C$4,Formulas!$B$2:$B$1501,$A126))</f>
        <v>0</v>
      </c>
      <c r="D126" s="21" t="n">
        <f aca="false">IF(OR($A126="",D$4=""),0,COUNTIFS(Formulas!$A$2:$A$1501,D$4,Formulas!$B$2:$B$1501,$A126))</f>
        <v>0</v>
      </c>
      <c r="E126" s="21" t="n">
        <f aca="false">IF(OR($A126="",E$4=""),0,COUNTIFS(Formulas!$A$2:$A$1501,E$4,Formulas!$B$2:$B$1501,$A126))</f>
        <v>0</v>
      </c>
      <c r="F126" s="21" t="n">
        <f aca="false">IF(OR($A126="",F$4=""),0,COUNTIFS(Formulas!$A$2:$A$1501,F$4,Formulas!$B$2:$B$1501,$A126))</f>
        <v>0</v>
      </c>
      <c r="G126" s="21" t="n">
        <f aca="false">IF(OR($A126="",G$4=""),0,COUNTIFS(Formulas!$A$2:$A$1501,G$4,Formulas!$B$2:$B$1501,$A126))</f>
        <v>0</v>
      </c>
      <c r="H126" s="21" t="n">
        <f aca="false">IF(OR($A126="",H$4=""),0,COUNTIFS(Formulas!$A$2:$A$1501,H$4,Formulas!$B$2:$B$1501,$A126))</f>
        <v>0</v>
      </c>
      <c r="I126" s="21" t="n">
        <f aca="false">IF(OR($A126="",I$4=""),0,COUNTIFS(Formulas!$A$2:$A$1501,I$4,Formulas!$B$2:$B$1501,$A126))</f>
        <v>0</v>
      </c>
      <c r="J126" s="21" t="n">
        <f aca="false">IF(OR($A126="",J$4=""),0,COUNTIFS(Formulas!$A$2:$A$1501,J$4,Formulas!$B$2:$B$1501,$A126))</f>
        <v>0</v>
      </c>
      <c r="K126" s="21" t="n">
        <f aca="false">IF(OR($A126="",K$4=""),0,COUNTIFS(Formulas!$A$2:$A$1501,K$4,Formulas!$B$2:$B$1501,$A126))</f>
        <v>0</v>
      </c>
      <c r="L126" s="21" t="n">
        <f aca="false">IF(OR($A126="",L$4=""),0,COUNTIFS(Formulas!$A$2:$A$1501,L$4,Formulas!$B$2:$B$1501,$A126))</f>
        <v>0</v>
      </c>
      <c r="M126" s="21" t="n">
        <f aca="false">IF(OR($A126="",M$4=""),0,COUNTIFS(Formulas!$A$2:$A$1501,M$4,Formulas!$B$2:$B$1501,$A126))</f>
        <v>0</v>
      </c>
      <c r="N126" s="21" t="n">
        <f aca="false">IF(OR($A126="",N$4=""),0,COUNTIFS(Formulas!$A$2:$A$1501,N$4,Formulas!$B$2:$B$1501,$A126))</f>
        <v>0</v>
      </c>
      <c r="O126" s="21" t="n">
        <f aca="false">IF(OR($A126="",O$4=""),0,COUNTIFS(Formulas!$A$2:$A$1501,O$4,Formulas!$B$2:$B$1501,$A126))</f>
        <v>0</v>
      </c>
      <c r="P126" s="21" t="n">
        <f aca="false">IF(OR($A126="",P$4=""),0,COUNTIFS(Formulas!$A$2:$A$1501,P$4,Formulas!$B$2:$B$1501,$A126))</f>
        <v>0</v>
      </c>
      <c r="Q126" s="21" t="n">
        <f aca="false">IF(OR($A126="",Q$4=""),0,COUNTIFS(Formulas!$A$2:$A$1501,Q$4,Formulas!$B$2:$B$1501,$A126))</f>
        <v>0</v>
      </c>
      <c r="R126" s="21" t="n">
        <f aca="false">IF(OR($A126="",R$4=""),0,COUNTIFS(Formulas!$A$2:$A$1501,R$4,Formulas!$B$2:$B$1501,$A126))</f>
        <v>0</v>
      </c>
      <c r="S126" s="21" t="n">
        <f aca="false">IF(OR($A126="",S$4=""),0,COUNTIFS(Formulas!$A$2:$A$1501,S$4,Formulas!$B$2:$B$1501,$A126))</f>
        <v>0</v>
      </c>
      <c r="T126" s="21" t="n">
        <f aca="false">IF(OR($A126="",T$4=""),0,COUNTIFS(Formulas!$A$2:$A$1501,T$4,Formulas!$B$2:$B$1501,$A126))</f>
        <v>0</v>
      </c>
      <c r="U126" s="21" t="n">
        <f aca="false">IF(OR($A126="",U$4=""),0,COUNTIFS(Formulas!$A$2:$A$1501,U$4,Formulas!$B$2:$B$1501,$A126))</f>
        <v>0</v>
      </c>
      <c r="V126" s="21" t="n">
        <f aca="false">IF(OR($A126="",V$4=""),0,COUNTIFS(Formulas!$A$2:$A$1501,V$4,Formulas!$B$2:$B$1501,$A126))</f>
        <v>0</v>
      </c>
      <c r="W126" s="21" t="n">
        <f aca="false">IF(OR($A126="",W$4=""),0,COUNTIFS(Formulas!$A$2:$A$1501,W$4,Formulas!$B$2:$B$1501,$A126))</f>
        <v>0</v>
      </c>
      <c r="X126" s="21" t="n">
        <f aca="false">IF(OR($A126="",X$4=""),0,COUNTIFS(Formulas!$A$2:$A$1501,X$4,Formulas!$B$2:$B$1501,$A126))</f>
        <v>0</v>
      </c>
      <c r="Y126" s="21" t="n">
        <f aca="false">IF(OR($A126="",Y$4=""),0,COUNTIFS(Formulas!$A$2:$A$1501,Y$4,Formulas!$B$2:$B$1501,$A126))</f>
        <v>0</v>
      </c>
      <c r="Z126" s="21" t="n">
        <f aca="false">IF(OR($A126="",Z$4=""),0,COUNTIFS(Formulas!$A$2:$A$1501,Z$4,Formulas!$B$2:$B$1501,$A126))</f>
        <v>0</v>
      </c>
      <c r="AA126" s="21" t="n">
        <f aca="false">IF(OR($A126="",AA$4=""),0,COUNTIFS(Formulas!$A$2:$A$1501,AA$4,Formulas!$B$2:$B$1501,$A126))</f>
        <v>0</v>
      </c>
      <c r="AB126" s="21" t="n">
        <f aca="false">IF(OR($A126="",AB$4=""),0,COUNTIFS(Formulas!$A$2:$A$1501,AB$4,Formulas!$B$2:$B$1501,$A126))</f>
        <v>0</v>
      </c>
      <c r="AC126" s="21" t="n">
        <f aca="false">IF(OR($A126="",AC$4=""),0,COUNTIFS(Formulas!$A$2:$A$1501,AC$4,Formulas!$B$2:$B$1501,$A126))</f>
        <v>0</v>
      </c>
      <c r="AD126" s="21" t="n">
        <f aca="false">IF(OR($A126="",AD$4=""),0,COUNTIFS(Formulas!$A$2:$A$1501,AD$4,Formulas!$B$2:$B$1501,$A126))</f>
        <v>0</v>
      </c>
      <c r="AE126" s="21" t="n">
        <f aca="false">IF(OR($A126="",AE$4=""),0,COUNTIFS(Formulas!$A$2:$A$1501,AE$4,Formulas!$B$2:$B$1501,$A126))</f>
        <v>0</v>
      </c>
      <c r="AF126" s="21" t="n">
        <f aca="false">IF(OR($A126="",AF$4=""),0,COUNTIFS(Formulas!$A$2:$A$1501,AF$4,Formulas!$B$2:$B$1501,$A126))</f>
        <v>0</v>
      </c>
      <c r="AG126" s="21" t="n">
        <f aca="false">IF(OR($A126="",AG$4=""),0,COUNTIFS(Formulas!$A$2:$A$1501,AG$4,Formulas!$B$2:$B$1501,$A126))</f>
        <v>0</v>
      </c>
      <c r="AH126" s="21" t="n">
        <f aca="false">IF(OR($A126="",AH$4=""),0,COUNTIFS(Formulas!$A$2:$A$1501,AH$4,Formulas!$B$2:$B$1501,$A126))</f>
        <v>0</v>
      </c>
      <c r="AI126" s="21" t="n">
        <f aca="false">IF(OR($A126="",AI$4=""),0,COUNTIFS(Formulas!$A$2:$A$1501,AI$4,Formulas!$B$2:$B$1501,$A126))</f>
        <v>0</v>
      </c>
      <c r="AJ126" s="21" t="n">
        <f aca="false">IF(OR($A126="",AJ$4=""),0,COUNTIFS(Formulas!$A$2:$A$1501,AJ$4,Formulas!$B$2:$B$1501,$A126))</f>
        <v>0</v>
      </c>
      <c r="AK126" s="21" t="n">
        <f aca="false">IF(OR($A126="",AK$4=""),0,COUNTIFS(Formulas!$A$2:$A$1501,AK$4,Formulas!$B$2:$B$1501,$A126))</f>
        <v>0</v>
      </c>
      <c r="AL126" s="21" t="n">
        <f aca="false">IF(OR($A126="",AL$4=""),0,COUNTIFS(Formulas!$A$2:$A$1501,AL$4,Formulas!$B$2:$B$1501,$A126))</f>
        <v>0</v>
      </c>
      <c r="AM126" s="21" t="n">
        <f aca="false">IF(OR($A126="",AM$4=""),0,COUNTIFS(Formulas!$A$2:$A$1501,AM$4,Formulas!$B$2:$B$1501,$A126))</f>
        <v>0</v>
      </c>
      <c r="AN126" s="21" t="n">
        <f aca="false">IF(OR($A126="",AN$4=""),0,COUNTIFS(Formulas!$A$2:$A$1501,AN$4,Formulas!$B$2:$B$1501,$A126))</f>
        <v>0</v>
      </c>
      <c r="AO126" s="21" t="n">
        <f aca="false">IF(OR($A126="",AO$4=""),0,COUNTIFS(Formulas!$A$2:$A$1501,AO$4,Formulas!$B$2:$B$1501,$A126))</f>
        <v>0</v>
      </c>
      <c r="AP126" s="21" t="n">
        <f aca="false">IF(OR($A126="",AP$4=""),0,COUNTIFS(Formulas!$A$2:$A$1501,AP$4,Formulas!$B$2:$B$1501,$A126))</f>
        <v>0</v>
      </c>
      <c r="AQ126" s="21" t="n">
        <f aca="false">IF(OR($A126="",AQ$4=""),0,COUNTIFS(Formulas!$A$2:$A$1501,AQ$4,Formulas!$B$2:$B$1501,$A126))</f>
        <v>0</v>
      </c>
      <c r="AR126" s="21" t="n">
        <f aca="false">IF(OR($A126="",AR$4=""),0,COUNTIFS(Formulas!$A$2:$A$1501,AR$4,Formulas!$B$2:$B$1501,$A126))</f>
        <v>0</v>
      </c>
      <c r="AS126" s="21" t="n">
        <f aca="false">IF(OR($A126="",AS$4=""),0,COUNTIFS(Formulas!$A$2:$A$1501,AS$4,Formulas!$B$2:$B$1501,$A126))</f>
        <v>0</v>
      </c>
      <c r="AT126" s="21" t="n">
        <f aca="false">IF(OR($A126="",AT$4=""),0,COUNTIFS(Formulas!$A$2:$A$1501,AT$4,Formulas!$B$2:$B$1501,$A126))</f>
        <v>0</v>
      </c>
      <c r="AU126" s="21" t="n">
        <f aca="false">IF(OR($A126="",AU$4=""),0,COUNTIFS(Formulas!$A$2:$A$1501,AU$4,Formulas!$B$2:$B$1501,$A126))</f>
        <v>0</v>
      </c>
      <c r="AV126" s="21" t="n">
        <f aca="false">IF(OR($A126="",AV$4=""),0,COUNTIFS(Formulas!$A$2:$A$1501,AV$4,Formulas!$B$2:$B$1501,$A126))</f>
        <v>0</v>
      </c>
      <c r="AW126" s="21" t="n">
        <f aca="false">IF(OR($A126="",AW$4=""),0,COUNTIFS(Formulas!$A$2:$A$1501,AW$4,Formulas!$B$2:$B$1501,$A126))</f>
        <v>0</v>
      </c>
      <c r="AX126" s="21" t="n">
        <f aca="false">IF(OR($A126="",AX$4=""),0,COUNTIFS(Formulas!$A$2:$A$1501,AX$4,Formulas!$B$2:$B$1501,$A126))</f>
        <v>0</v>
      </c>
      <c r="AY126" s="21" t="n">
        <f aca="false">IF(OR($A126="",AY$4=""),0,COUNTIFS(Formulas!$A$2:$A$1501,AY$4,Formulas!$B$2:$B$1501,$A126))</f>
        <v>0</v>
      </c>
      <c r="AZ126" s="21" t="n">
        <f aca="false">IF(OR($A126="",AZ$4=""),0,COUNTIFS(Formulas!$A$2:$A$1501,AZ$4,Formulas!$B$2:$B$1501,$A126))</f>
        <v>0</v>
      </c>
      <c r="BA126" s="21" t="n">
        <f aca="false">IF(OR($A126="",BA$4=""),0,COUNTIFS(Formulas!$A$2:$A$1501,BA$4,Formulas!$B$2:$B$1501,$A126))</f>
        <v>0</v>
      </c>
      <c r="BB126" s="21" t="n">
        <f aca="false">IF(OR($A126="",BB$4=""),0,COUNTIFS(Formulas!$A$2:$A$1501,BB$4,Formulas!$B$2:$B$1501,$A126))</f>
        <v>0</v>
      </c>
      <c r="BC126" s="21" t="n">
        <f aca="false">IF(OR($A126="",BC$4=""),0,COUNTIFS(Formulas!$A$2:$A$1501,BC$4,Formulas!$B$2:$B$1501,$A126))</f>
        <v>0</v>
      </c>
      <c r="BD126" s="21" t="n">
        <f aca="false">IF(OR($A126="",BD$4=""),0,COUNTIFS(Formulas!$A$2:$A$1501,BD$4,Formulas!$B$2:$B$1501,$A126))</f>
        <v>0</v>
      </c>
      <c r="BE126" s="21" t="n">
        <f aca="false">IF(OR($A126="",BE$4=""),0,COUNTIFS(Formulas!$A$2:$A$1501,BE$4,Formulas!$B$2:$B$1501,$A126))</f>
        <v>0</v>
      </c>
      <c r="BF126" s="21" t="n">
        <f aca="false">IF(OR($A126="",BF$4=""),0,COUNTIFS(Formulas!$A$2:$A$1501,BF$4,Formulas!$B$2:$B$1501,$A126))</f>
        <v>0</v>
      </c>
      <c r="BG126" s="21" t="n">
        <f aca="false">IF(OR($A126="",BG$4=""),0,COUNTIFS(Formulas!$A$2:$A$1501,BG$4,Formulas!$B$2:$B$1501,$A126))</f>
        <v>0</v>
      </c>
      <c r="BH126" s="21" t="n">
        <f aca="false">IF(OR($A126="",BH$4=""),0,COUNTIFS(Formulas!$A$2:$A$1501,BH$4,Formulas!$B$2:$B$1501,$A126))</f>
        <v>0</v>
      </c>
      <c r="BI126" s="21" t="n">
        <f aca="false">IF(OR($A126="",BI$4=""),0,COUNTIFS(Formulas!$A$2:$A$1501,BI$4,Formulas!$B$2:$B$1501,$A126))</f>
        <v>0</v>
      </c>
      <c r="BJ126" s="21" t="n">
        <f aca="false">IF(OR($A126="",BJ$4=""),0,COUNTIFS(Formulas!$A$2:$A$1501,BJ$4,Formulas!$B$2:$B$1501,$A126))</f>
        <v>0</v>
      </c>
    </row>
    <row r="127" customFormat="false" ht="15" hidden="false" customHeight="false" outlineLevel="0" collapsed="false">
      <c r="A127" s="13" t="str">
        <f aca="false">IF(INDEX(Materials!$A$2:$A$201,123)="","",INDEX(Materials!$A$2:$A$201,123))</f>
        <v/>
      </c>
      <c r="B127" s="19" t="str">
        <f aca="false">IF(A127="","",COUNTIF(C127:BJ127,"&gt;0"))</f>
        <v/>
      </c>
      <c r="C127" s="21" t="n">
        <f aca="false">IF(OR($A127="",C$4=""),0,COUNTIFS(Formulas!$A$2:$A$1501,C$4,Formulas!$B$2:$B$1501,$A127))</f>
        <v>0</v>
      </c>
      <c r="D127" s="21" t="n">
        <f aca="false">IF(OR($A127="",D$4=""),0,COUNTIFS(Formulas!$A$2:$A$1501,D$4,Formulas!$B$2:$B$1501,$A127))</f>
        <v>0</v>
      </c>
      <c r="E127" s="21" t="n">
        <f aca="false">IF(OR($A127="",E$4=""),0,COUNTIFS(Formulas!$A$2:$A$1501,E$4,Formulas!$B$2:$B$1501,$A127))</f>
        <v>0</v>
      </c>
      <c r="F127" s="21" t="n">
        <f aca="false">IF(OR($A127="",F$4=""),0,COUNTIFS(Formulas!$A$2:$A$1501,F$4,Formulas!$B$2:$B$1501,$A127))</f>
        <v>0</v>
      </c>
      <c r="G127" s="21" t="n">
        <f aca="false">IF(OR($A127="",G$4=""),0,COUNTIFS(Formulas!$A$2:$A$1501,G$4,Formulas!$B$2:$B$1501,$A127))</f>
        <v>0</v>
      </c>
      <c r="H127" s="21" t="n">
        <f aca="false">IF(OR($A127="",H$4=""),0,COUNTIFS(Formulas!$A$2:$A$1501,H$4,Formulas!$B$2:$B$1501,$A127))</f>
        <v>0</v>
      </c>
      <c r="I127" s="21" t="n">
        <f aca="false">IF(OR($A127="",I$4=""),0,COUNTIFS(Formulas!$A$2:$A$1501,I$4,Formulas!$B$2:$B$1501,$A127))</f>
        <v>0</v>
      </c>
      <c r="J127" s="21" t="n">
        <f aca="false">IF(OR($A127="",J$4=""),0,COUNTIFS(Formulas!$A$2:$A$1501,J$4,Formulas!$B$2:$B$1501,$A127))</f>
        <v>0</v>
      </c>
      <c r="K127" s="21" t="n">
        <f aca="false">IF(OR($A127="",K$4=""),0,COUNTIFS(Formulas!$A$2:$A$1501,K$4,Formulas!$B$2:$B$1501,$A127))</f>
        <v>0</v>
      </c>
      <c r="L127" s="21" t="n">
        <f aca="false">IF(OR($A127="",L$4=""),0,COUNTIFS(Formulas!$A$2:$A$1501,L$4,Formulas!$B$2:$B$1501,$A127))</f>
        <v>0</v>
      </c>
      <c r="M127" s="21" t="n">
        <f aca="false">IF(OR($A127="",M$4=""),0,COUNTIFS(Formulas!$A$2:$A$1501,M$4,Formulas!$B$2:$B$1501,$A127))</f>
        <v>0</v>
      </c>
      <c r="N127" s="21" t="n">
        <f aca="false">IF(OR($A127="",N$4=""),0,COUNTIFS(Formulas!$A$2:$A$1501,N$4,Formulas!$B$2:$B$1501,$A127))</f>
        <v>0</v>
      </c>
      <c r="O127" s="21" t="n">
        <f aca="false">IF(OR($A127="",O$4=""),0,COUNTIFS(Formulas!$A$2:$A$1501,O$4,Formulas!$B$2:$B$1501,$A127))</f>
        <v>0</v>
      </c>
      <c r="P127" s="21" t="n">
        <f aca="false">IF(OR($A127="",P$4=""),0,COUNTIFS(Formulas!$A$2:$A$1501,P$4,Formulas!$B$2:$B$1501,$A127))</f>
        <v>0</v>
      </c>
      <c r="Q127" s="21" t="n">
        <f aca="false">IF(OR($A127="",Q$4=""),0,COUNTIFS(Formulas!$A$2:$A$1501,Q$4,Formulas!$B$2:$B$1501,$A127))</f>
        <v>0</v>
      </c>
      <c r="R127" s="21" t="n">
        <f aca="false">IF(OR($A127="",R$4=""),0,COUNTIFS(Formulas!$A$2:$A$1501,R$4,Formulas!$B$2:$B$1501,$A127))</f>
        <v>0</v>
      </c>
      <c r="S127" s="21" t="n">
        <f aca="false">IF(OR($A127="",S$4=""),0,COUNTIFS(Formulas!$A$2:$A$1501,S$4,Formulas!$B$2:$B$1501,$A127))</f>
        <v>0</v>
      </c>
      <c r="T127" s="21" t="n">
        <f aca="false">IF(OR($A127="",T$4=""),0,COUNTIFS(Formulas!$A$2:$A$1501,T$4,Formulas!$B$2:$B$1501,$A127))</f>
        <v>0</v>
      </c>
      <c r="U127" s="21" t="n">
        <f aca="false">IF(OR($A127="",U$4=""),0,COUNTIFS(Formulas!$A$2:$A$1501,U$4,Formulas!$B$2:$B$1501,$A127))</f>
        <v>0</v>
      </c>
      <c r="V127" s="21" t="n">
        <f aca="false">IF(OR($A127="",V$4=""),0,COUNTIFS(Formulas!$A$2:$A$1501,V$4,Formulas!$B$2:$B$1501,$A127))</f>
        <v>0</v>
      </c>
      <c r="W127" s="21" t="n">
        <f aca="false">IF(OR($A127="",W$4=""),0,COUNTIFS(Formulas!$A$2:$A$1501,W$4,Formulas!$B$2:$B$1501,$A127))</f>
        <v>0</v>
      </c>
      <c r="X127" s="21" t="n">
        <f aca="false">IF(OR($A127="",X$4=""),0,COUNTIFS(Formulas!$A$2:$A$1501,X$4,Formulas!$B$2:$B$1501,$A127))</f>
        <v>0</v>
      </c>
      <c r="Y127" s="21" t="n">
        <f aca="false">IF(OR($A127="",Y$4=""),0,COUNTIFS(Formulas!$A$2:$A$1501,Y$4,Formulas!$B$2:$B$1501,$A127))</f>
        <v>0</v>
      </c>
      <c r="Z127" s="21" t="n">
        <f aca="false">IF(OR($A127="",Z$4=""),0,COUNTIFS(Formulas!$A$2:$A$1501,Z$4,Formulas!$B$2:$B$1501,$A127))</f>
        <v>0</v>
      </c>
      <c r="AA127" s="21" t="n">
        <f aca="false">IF(OR($A127="",AA$4=""),0,COUNTIFS(Formulas!$A$2:$A$1501,AA$4,Formulas!$B$2:$B$1501,$A127))</f>
        <v>0</v>
      </c>
      <c r="AB127" s="21" t="n">
        <f aca="false">IF(OR($A127="",AB$4=""),0,COUNTIFS(Formulas!$A$2:$A$1501,AB$4,Formulas!$B$2:$B$1501,$A127))</f>
        <v>0</v>
      </c>
      <c r="AC127" s="21" t="n">
        <f aca="false">IF(OR($A127="",AC$4=""),0,COUNTIFS(Formulas!$A$2:$A$1501,AC$4,Formulas!$B$2:$B$1501,$A127))</f>
        <v>0</v>
      </c>
      <c r="AD127" s="21" t="n">
        <f aca="false">IF(OR($A127="",AD$4=""),0,COUNTIFS(Formulas!$A$2:$A$1501,AD$4,Formulas!$B$2:$B$1501,$A127))</f>
        <v>0</v>
      </c>
      <c r="AE127" s="21" t="n">
        <f aca="false">IF(OR($A127="",AE$4=""),0,COUNTIFS(Formulas!$A$2:$A$1501,AE$4,Formulas!$B$2:$B$1501,$A127))</f>
        <v>0</v>
      </c>
      <c r="AF127" s="21" t="n">
        <f aca="false">IF(OR($A127="",AF$4=""),0,COUNTIFS(Formulas!$A$2:$A$1501,AF$4,Formulas!$B$2:$B$1501,$A127))</f>
        <v>0</v>
      </c>
      <c r="AG127" s="21" t="n">
        <f aca="false">IF(OR($A127="",AG$4=""),0,COUNTIFS(Formulas!$A$2:$A$1501,AG$4,Formulas!$B$2:$B$1501,$A127))</f>
        <v>0</v>
      </c>
      <c r="AH127" s="21" t="n">
        <f aca="false">IF(OR($A127="",AH$4=""),0,COUNTIFS(Formulas!$A$2:$A$1501,AH$4,Formulas!$B$2:$B$1501,$A127))</f>
        <v>0</v>
      </c>
      <c r="AI127" s="21" t="n">
        <f aca="false">IF(OR($A127="",AI$4=""),0,COUNTIFS(Formulas!$A$2:$A$1501,AI$4,Formulas!$B$2:$B$1501,$A127))</f>
        <v>0</v>
      </c>
      <c r="AJ127" s="21" t="n">
        <f aca="false">IF(OR($A127="",AJ$4=""),0,COUNTIFS(Formulas!$A$2:$A$1501,AJ$4,Formulas!$B$2:$B$1501,$A127))</f>
        <v>0</v>
      </c>
      <c r="AK127" s="21" t="n">
        <f aca="false">IF(OR($A127="",AK$4=""),0,COUNTIFS(Formulas!$A$2:$A$1501,AK$4,Formulas!$B$2:$B$1501,$A127))</f>
        <v>0</v>
      </c>
      <c r="AL127" s="21" t="n">
        <f aca="false">IF(OR($A127="",AL$4=""),0,COUNTIFS(Formulas!$A$2:$A$1501,AL$4,Formulas!$B$2:$B$1501,$A127))</f>
        <v>0</v>
      </c>
      <c r="AM127" s="21" t="n">
        <f aca="false">IF(OR($A127="",AM$4=""),0,COUNTIFS(Formulas!$A$2:$A$1501,AM$4,Formulas!$B$2:$B$1501,$A127))</f>
        <v>0</v>
      </c>
      <c r="AN127" s="21" t="n">
        <f aca="false">IF(OR($A127="",AN$4=""),0,COUNTIFS(Formulas!$A$2:$A$1501,AN$4,Formulas!$B$2:$B$1501,$A127))</f>
        <v>0</v>
      </c>
      <c r="AO127" s="21" t="n">
        <f aca="false">IF(OR($A127="",AO$4=""),0,COUNTIFS(Formulas!$A$2:$A$1501,AO$4,Formulas!$B$2:$B$1501,$A127))</f>
        <v>0</v>
      </c>
      <c r="AP127" s="21" t="n">
        <f aca="false">IF(OR($A127="",AP$4=""),0,COUNTIFS(Formulas!$A$2:$A$1501,AP$4,Formulas!$B$2:$B$1501,$A127))</f>
        <v>0</v>
      </c>
      <c r="AQ127" s="21" t="n">
        <f aca="false">IF(OR($A127="",AQ$4=""),0,COUNTIFS(Formulas!$A$2:$A$1501,AQ$4,Formulas!$B$2:$B$1501,$A127))</f>
        <v>0</v>
      </c>
      <c r="AR127" s="21" t="n">
        <f aca="false">IF(OR($A127="",AR$4=""),0,COUNTIFS(Formulas!$A$2:$A$1501,AR$4,Formulas!$B$2:$B$1501,$A127))</f>
        <v>0</v>
      </c>
      <c r="AS127" s="21" t="n">
        <f aca="false">IF(OR($A127="",AS$4=""),0,COUNTIFS(Formulas!$A$2:$A$1501,AS$4,Formulas!$B$2:$B$1501,$A127))</f>
        <v>0</v>
      </c>
      <c r="AT127" s="21" t="n">
        <f aca="false">IF(OR($A127="",AT$4=""),0,COUNTIFS(Formulas!$A$2:$A$1501,AT$4,Formulas!$B$2:$B$1501,$A127))</f>
        <v>0</v>
      </c>
      <c r="AU127" s="21" t="n">
        <f aca="false">IF(OR($A127="",AU$4=""),0,COUNTIFS(Formulas!$A$2:$A$1501,AU$4,Formulas!$B$2:$B$1501,$A127))</f>
        <v>0</v>
      </c>
      <c r="AV127" s="21" t="n">
        <f aca="false">IF(OR($A127="",AV$4=""),0,COUNTIFS(Formulas!$A$2:$A$1501,AV$4,Formulas!$B$2:$B$1501,$A127))</f>
        <v>0</v>
      </c>
      <c r="AW127" s="21" t="n">
        <f aca="false">IF(OR($A127="",AW$4=""),0,COUNTIFS(Formulas!$A$2:$A$1501,AW$4,Formulas!$B$2:$B$1501,$A127))</f>
        <v>0</v>
      </c>
      <c r="AX127" s="21" t="n">
        <f aca="false">IF(OR($A127="",AX$4=""),0,COUNTIFS(Formulas!$A$2:$A$1501,AX$4,Formulas!$B$2:$B$1501,$A127))</f>
        <v>0</v>
      </c>
      <c r="AY127" s="21" t="n">
        <f aca="false">IF(OR($A127="",AY$4=""),0,COUNTIFS(Formulas!$A$2:$A$1501,AY$4,Formulas!$B$2:$B$1501,$A127))</f>
        <v>0</v>
      </c>
      <c r="AZ127" s="21" t="n">
        <f aca="false">IF(OR($A127="",AZ$4=""),0,COUNTIFS(Formulas!$A$2:$A$1501,AZ$4,Formulas!$B$2:$B$1501,$A127))</f>
        <v>0</v>
      </c>
      <c r="BA127" s="21" t="n">
        <f aca="false">IF(OR($A127="",BA$4=""),0,COUNTIFS(Formulas!$A$2:$A$1501,BA$4,Formulas!$B$2:$B$1501,$A127))</f>
        <v>0</v>
      </c>
      <c r="BB127" s="21" t="n">
        <f aca="false">IF(OR($A127="",BB$4=""),0,COUNTIFS(Formulas!$A$2:$A$1501,BB$4,Formulas!$B$2:$B$1501,$A127))</f>
        <v>0</v>
      </c>
      <c r="BC127" s="21" t="n">
        <f aca="false">IF(OR($A127="",BC$4=""),0,COUNTIFS(Formulas!$A$2:$A$1501,BC$4,Formulas!$B$2:$B$1501,$A127))</f>
        <v>0</v>
      </c>
      <c r="BD127" s="21" t="n">
        <f aca="false">IF(OR($A127="",BD$4=""),0,COUNTIFS(Formulas!$A$2:$A$1501,BD$4,Formulas!$B$2:$B$1501,$A127))</f>
        <v>0</v>
      </c>
      <c r="BE127" s="21" t="n">
        <f aca="false">IF(OR($A127="",BE$4=""),0,COUNTIFS(Formulas!$A$2:$A$1501,BE$4,Formulas!$B$2:$B$1501,$A127))</f>
        <v>0</v>
      </c>
      <c r="BF127" s="21" t="n">
        <f aca="false">IF(OR($A127="",BF$4=""),0,COUNTIFS(Formulas!$A$2:$A$1501,BF$4,Formulas!$B$2:$B$1501,$A127))</f>
        <v>0</v>
      </c>
      <c r="BG127" s="21" t="n">
        <f aca="false">IF(OR($A127="",BG$4=""),0,COUNTIFS(Formulas!$A$2:$A$1501,BG$4,Formulas!$B$2:$B$1501,$A127))</f>
        <v>0</v>
      </c>
      <c r="BH127" s="21" t="n">
        <f aca="false">IF(OR($A127="",BH$4=""),0,COUNTIFS(Formulas!$A$2:$A$1501,BH$4,Formulas!$B$2:$B$1501,$A127))</f>
        <v>0</v>
      </c>
      <c r="BI127" s="21" t="n">
        <f aca="false">IF(OR($A127="",BI$4=""),0,COUNTIFS(Formulas!$A$2:$A$1501,BI$4,Formulas!$B$2:$B$1501,$A127))</f>
        <v>0</v>
      </c>
      <c r="BJ127" s="21" t="n">
        <f aca="false">IF(OR($A127="",BJ$4=""),0,COUNTIFS(Formulas!$A$2:$A$1501,BJ$4,Formulas!$B$2:$B$1501,$A127))</f>
        <v>0</v>
      </c>
    </row>
    <row r="128" customFormat="false" ht="15" hidden="false" customHeight="false" outlineLevel="0" collapsed="false">
      <c r="A128" s="13" t="str">
        <f aca="false">IF(INDEX(Materials!$A$2:$A$201,124)="","",INDEX(Materials!$A$2:$A$201,124))</f>
        <v/>
      </c>
      <c r="B128" s="19" t="str">
        <f aca="false">IF(A128="","",COUNTIF(C128:BJ128,"&gt;0"))</f>
        <v/>
      </c>
      <c r="C128" s="21" t="n">
        <f aca="false">IF(OR($A128="",C$4=""),0,COUNTIFS(Formulas!$A$2:$A$1501,C$4,Formulas!$B$2:$B$1501,$A128))</f>
        <v>0</v>
      </c>
      <c r="D128" s="21" t="n">
        <f aca="false">IF(OR($A128="",D$4=""),0,COUNTIFS(Formulas!$A$2:$A$1501,D$4,Formulas!$B$2:$B$1501,$A128))</f>
        <v>0</v>
      </c>
      <c r="E128" s="21" t="n">
        <f aca="false">IF(OR($A128="",E$4=""),0,COUNTIFS(Formulas!$A$2:$A$1501,E$4,Formulas!$B$2:$B$1501,$A128))</f>
        <v>0</v>
      </c>
      <c r="F128" s="21" t="n">
        <f aca="false">IF(OR($A128="",F$4=""),0,COUNTIFS(Formulas!$A$2:$A$1501,F$4,Formulas!$B$2:$B$1501,$A128))</f>
        <v>0</v>
      </c>
      <c r="G128" s="21" t="n">
        <f aca="false">IF(OR($A128="",G$4=""),0,COUNTIFS(Formulas!$A$2:$A$1501,G$4,Formulas!$B$2:$B$1501,$A128))</f>
        <v>0</v>
      </c>
      <c r="H128" s="21" t="n">
        <f aca="false">IF(OR($A128="",H$4=""),0,COUNTIFS(Formulas!$A$2:$A$1501,H$4,Formulas!$B$2:$B$1501,$A128))</f>
        <v>0</v>
      </c>
      <c r="I128" s="21" t="n">
        <f aca="false">IF(OR($A128="",I$4=""),0,COUNTIFS(Formulas!$A$2:$A$1501,I$4,Formulas!$B$2:$B$1501,$A128))</f>
        <v>0</v>
      </c>
      <c r="J128" s="21" t="n">
        <f aca="false">IF(OR($A128="",J$4=""),0,COUNTIFS(Formulas!$A$2:$A$1501,J$4,Formulas!$B$2:$B$1501,$A128))</f>
        <v>0</v>
      </c>
      <c r="K128" s="21" t="n">
        <f aca="false">IF(OR($A128="",K$4=""),0,COUNTIFS(Formulas!$A$2:$A$1501,K$4,Formulas!$B$2:$B$1501,$A128))</f>
        <v>0</v>
      </c>
      <c r="L128" s="21" t="n">
        <f aca="false">IF(OR($A128="",L$4=""),0,COUNTIFS(Formulas!$A$2:$A$1501,L$4,Formulas!$B$2:$B$1501,$A128))</f>
        <v>0</v>
      </c>
      <c r="M128" s="21" t="n">
        <f aca="false">IF(OR($A128="",M$4=""),0,COUNTIFS(Formulas!$A$2:$A$1501,M$4,Formulas!$B$2:$B$1501,$A128))</f>
        <v>0</v>
      </c>
      <c r="N128" s="21" t="n">
        <f aca="false">IF(OR($A128="",N$4=""),0,COUNTIFS(Formulas!$A$2:$A$1501,N$4,Formulas!$B$2:$B$1501,$A128))</f>
        <v>0</v>
      </c>
      <c r="O128" s="21" t="n">
        <f aca="false">IF(OR($A128="",O$4=""),0,COUNTIFS(Formulas!$A$2:$A$1501,O$4,Formulas!$B$2:$B$1501,$A128))</f>
        <v>0</v>
      </c>
      <c r="P128" s="21" t="n">
        <f aca="false">IF(OR($A128="",P$4=""),0,COUNTIFS(Formulas!$A$2:$A$1501,P$4,Formulas!$B$2:$B$1501,$A128))</f>
        <v>0</v>
      </c>
      <c r="Q128" s="21" t="n">
        <f aca="false">IF(OR($A128="",Q$4=""),0,COUNTIFS(Formulas!$A$2:$A$1501,Q$4,Formulas!$B$2:$B$1501,$A128))</f>
        <v>0</v>
      </c>
      <c r="R128" s="21" t="n">
        <f aca="false">IF(OR($A128="",R$4=""),0,COUNTIFS(Formulas!$A$2:$A$1501,R$4,Formulas!$B$2:$B$1501,$A128))</f>
        <v>0</v>
      </c>
      <c r="S128" s="21" t="n">
        <f aca="false">IF(OR($A128="",S$4=""),0,COUNTIFS(Formulas!$A$2:$A$1501,S$4,Formulas!$B$2:$B$1501,$A128))</f>
        <v>0</v>
      </c>
      <c r="T128" s="21" t="n">
        <f aca="false">IF(OR($A128="",T$4=""),0,COUNTIFS(Formulas!$A$2:$A$1501,T$4,Formulas!$B$2:$B$1501,$A128))</f>
        <v>0</v>
      </c>
      <c r="U128" s="21" t="n">
        <f aca="false">IF(OR($A128="",U$4=""),0,COUNTIFS(Formulas!$A$2:$A$1501,U$4,Formulas!$B$2:$B$1501,$A128))</f>
        <v>0</v>
      </c>
      <c r="V128" s="21" t="n">
        <f aca="false">IF(OR($A128="",V$4=""),0,COUNTIFS(Formulas!$A$2:$A$1501,V$4,Formulas!$B$2:$B$1501,$A128))</f>
        <v>0</v>
      </c>
      <c r="W128" s="21" t="n">
        <f aca="false">IF(OR($A128="",W$4=""),0,COUNTIFS(Formulas!$A$2:$A$1501,W$4,Formulas!$B$2:$B$1501,$A128))</f>
        <v>0</v>
      </c>
      <c r="X128" s="21" t="n">
        <f aca="false">IF(OR($A128="",X$4=""),0,COUNTIFS(Formulas!$A$2:$A$1501,X$4,Formulas!$B$2:$B$1501,$A128))</f>
        <v>0</v>
      </c>
      <c r="Y128" s="21" t="n">
        <f aca="false">IF(OR($A128="",Y$4=""),0,COUNTIFS(Formulas!$A$2:$A$1501,Y$4,Formulas!$B$2:$B$1501,$A128))</f>
        <v>0</v>
      </c>
      <c r="Z128" s="21" t="n">
        <f aca="false">IF(OR($A128="",Z$4=""),0,COUNTIFS(Formulas!$A$2:$A$1501,Z$4,Formulas!$B$2:$B$1501,$A128))</f>
        <v>0</v>
      </c>
      <c r="AA128" s="21" t="n">
        <f aca="false">IF(OR($A128="",AA$4=""),0,COUNTIFS(Formulas!$A$2:$A$1501,AA$4,Formulas!$B$2:$B$1501,$A128))</f>
        <v>0</v>
      </c>
      <c r="AB128" s="21" t="n">
        <f aca="false">IF(OR($A128="",AB$4=""),0,COUNTIFS(Formulas!$A$2:$A$1501,AB$4,Formulas!$B$2:$B$1501,$A128))</f>
        <v>0</v>
      </c>
      <c r="AC128" s="21" t="n">
        <f aca="false">IF(OR($A128="",AC$4=""),0,COUNTIFS(Formulas!$A$2:$A$1501,AC$4,Formulas!$B$2:$B$1501,$A128))</f>
        <v>0</v>
      </c>
      <c r="AD128" s="21" t="n">
        <f aca="false">IF(OR($A128="",AD$4=""),0,COUNTIFS(Formulas!$A$2:$A$1501,AD$4,Formulas!$B$2:$B$1501,$A128))</f>
        <v>0</v>
      </c>
      <c r="AE128" s="21" t="n">
        <f aca="false">IF(OR($A128="",AE$4=""),0,COUNTIFS(Formulas!$A$2:$A$1501,AE$4,Formulas!$B$2:$B$1501,$A128))</f>
        <v>0</v>
      </c>
      <c r="AF128" s="21" t="n">
        <f aca="false">IF(OR($A128="",AF$4=""),0,COUNTIFS(Formulas!$A$2:$A$1501,AF$4,Formulas!$B$2:$B$1501,$A128))</f>
        <v>0</v>
      </c>
      <c r="AG128" s="21" t="n">
        <f aca="false">IF(OR($A128="",AG$4=""),0,COUNTIFS(Formulas!$A$2:$A$1501,AG$4,Formulas!$B$2:$B$1501,$A128))</f>
        <v>0</v>
      </c>
      <c r="AH128" s="21" t="n">
        <f aca="false">IF(OR($A128="",AH$4=""),0,COUNTIFS(Formulas!$A$2:$A$1501,AH$4,Formulas!$B$2:$B$1501,$A128))</f>
        <v>0</v>
      </c>
      <c r="AI128" s="21" t="n">
        <f aca="false">IF(OR($A128="",AI$4=""),0,COUNTIFS(Formulas!$A$2:$A$1501,AI$4,Formulas!$B$2:$B$1501,$A128))</f>
        <v>0</v>
      </c>
      <c r="AJ128" s="21" t="n">
        <f aca="false">IF(OR($A128="",AJ$4=""),0,COUNTIFS(Formulas!$A$2:$A$1501,AJ$4,Formulas!$B$2:$B$1501,$A128))</f>
        <v>0</v>
      </c>
      <c r="AK128" s="21" t="n">
        <f aca="false">IF(OR($A128="",AK$4=""),0,COUNTIFS(Formulas!$A$2:$A$1501,AK$4,Formulas!$B$2:$B$1501,$A128))</f>
        <v>0</v>
      </c>
      <c r="AL128" s="21" t="n">
        <f aca="false">IF(OR($A128="",AL$4=""),0,COUNTIFS(Formulas!$A$2:$A$1501,AL$4,Formulas!$B$2:$B$1501,$A128))</f>
        <v>0</v>
      </c>
      <c r="AM128" s="21" t="n">
        <f aca="false">IF(OR($A128="",AM$4=""),0,COUNTIFS(Formulas!$A$2:$A$1501,AM$4,Formulas!$B$2:$B$1501,$A128))</f>
        <v>0</v>
      </c>
      <c r="AN128" s="21" t="n">
        <f aca="false">IF(OR($A128="",AN$4=""),0,COUNTIFS(Formulas!$A$2:$A$1501,AN$4,Formulas!$B$2:$B$1501,$A128))</f>
        <v>0</v>
      </c>
      <c r="AO128" s="21" t="n">
        <f aca="false">IF(OR($A128="",AO$4=""),0,COUNTIFS(Formulas!$A$2:$A$1501,AO$4,Formulas!$B$2:$B$1501,$A128))</f>
        <v>0</v>
      </c>
      <c r="AP128" s="21" t="n">
        <f aca="false">IF(OR($A128="",AP$4=""),0,COUNTIFS(Formulas!$A$2:$A$1501,AP$4,Formulas!$B$2:$B$1501,$A128))</f>
        <v>0</v>
      </c>
      <c r="AQ128" s="21" t="n">
        <f aca="false">IF(OR($A128="",AQ$4=""),0,COUNTIFS(Formulas!$A$2:$A$1501,AQ$4,Formulas!$B$2:$B$1501,$A128))</f>
        <v>0</v>
      </c>
      <c r="AR128" s="21" t="n">
        <f aca="false">IF(OR($A128="",AR$4=""),0,COUNTIFS(Formulas!$A$2:$A$1501,AR$4,Formulas!$B$2:$B$1501,$A128))</f>
        <v>0</v>
      </c>
      <c r="AS128" s="21" t="n">
        <f aca="false">IF(OR($A128="",AS$4=""),0,COUNTIFS(Formulas!$A$2:$A$1501,AS$4,Formulas!$B$2:$B$1501,$A128))</f>
        <v>0</v>
      </c>
      <c r="AT128" s="21" t="n">
        <f aca="false">IF(OR($A128="",AT$4=""),0,COUNTIFS(Formulas!$A$2:$A$1501,AT$4,Formulas!$B$2:$B$1501,$A128))</f>
        <v>0</v>
      </c>
      <c r="AU128" s="21" t="n">
        <f aca="false">IF(OR($A128="",AU$4=""),0,COUNTIFS(Formulas!$A$2:$A$1501,AU$4,Formulas!$B$2:$B$1501,$A128))</f>
        <v>0</v>
      </c>
      <c r="AV128" s="21" t="n">
        <f aca="false">IF(OR($A128="",AV$4=""),0,COUNTIFS(Formulas!$A$2:$A$1501,AV$4,Formulas!$B$2:$B$1501,$A128))</f>
        <v>0</v>
      </c>
      <c r="AW128" s="21" t="n">
        <f aca="false">IF(OR($A128="",AW$4=""),0,COUNTIFS(Formulas!$A$2:$A$1501,AW$4,Formulas!$B$2:$B$1501,$A128))</f>
        <v>0</v>
      </c>
      <c r="AX128" s="21" t="n">
        <f aca="false">IF(OR($A128="",AX$4=""),0,COUNTIFS(Formulas!$A$2:$A$1501,AX$4,Formulas!$B$2:$B$1501,$A128))</f>
        <v>0</v>
      </c>
      <c r="AY128" s="21" t="n">
        <f aca="false">IF(OR($A128="",AY$4=""),0,COUNTIFS(Formulas!$A$2:$A$1501,AY$4,Formulas!$B$2:$B$1501,$A128))</f>
        <v>0</v>
      </c>
      <c r="AZ128" s="21" t="n">
        <f aca="false">IF(OR($A128="",AZ$4=""),0,COUNTIFS(Formulas!$A$2:$A$1501,AZ$4,Formulas!$B$2:$B$1501,$A128))</f>
        <v>0</v>
      </c>
      <c r="BA128" s="21" t="n">
        <f aca="false">IF(OR($A128="",BA$4=""),0,COUNTIFS(Formulas!$A$2:$A$1501,BA$4,Formulas!$B$2:$B$1501,$A128))</f>
        <v>0</v>
      </c>
      <c r="BB128" s="21" t="n">
        <f aca="false">IF(OR($A128="",BB$4=""),0,COUNTIFS(Formulas!$A$2:$A$1501,BB$4,Formulas!$B$2:$B$1501,$A128))</f>
        <v>0</v>
      </c>
      <c r="BC128" s="21" t="n">
        <f aca="false">IF(OR($A128="",BC$4=""),0,COUNTIFS(Formulas!$A$2:$A$1501,BC$4,Formulas!$B$2:$B$1501,$A128))</f>
        <v>0</v>
      </c>
      <c r="BD128" s="21" t="n">
        <f aca="false">IF(OR($A128="",BD$4=""),0,COUNTIFS(Formulas!$A$2:$A$1501,BD$4,Formulas!$B$2:$B$1501,$A128))</f>
        <v>0</v>
      </c>
      <c r="BE128" s="21" t="n">
        <f aca="false">IF(OR($A128="",BE$4=""),0,COUNTIFS(Formulas!$A$2:$A$1501,BE$4,Formulas!$B$2:$B$1501,$A128))</f>
        <v>0</v>
      </c>
      <c r="BF128" s="21" t="n">
        <f aca="false">IF(OR($A128="",BF$4=""),0,COUNTIFS(Formulas!$A$2:$A$1501,BF$4,Formulas!$B$2:$B$1501,$A128))</f>
        <v>0</v>
      </c>
      <c r="BG128" s="21" t="n">
        <f aca="false">IF(OR($A128="",BG$4=""),0,COUNTIFS(Formulas!$A$2:$A$1501,BG$4,Formulas!$B$2:$B$1501,$A128))</f>
        <v>0</v>
      </c>
      <c r="BH128" s="21" t="n">
        <f aca="false">IF(OR($A128="",BH$4=""),0,COUNTIFS(Formulas!$A$2:$A$1501,BH$4,Formulas!$B$2:$B$1501,$A128))</f>
        <v>0</v>
      </c>
      <c r="BI128" s="21" t="n">
        <f aca="false">IF(OR($A128="",BI$4=""),0,COUNTIFS(Formulas!$A$2:$A$1501,BI$4,Formulas!$B$2:$B$1501,$A128))</f>
        <v>0</v>
      </c>
      <c r="BJ128" s="21" t="n">
        <f aca="false">IF(OR($A128="",BJ$4=""),0,COUNTIFS(Formulas!$A$2:$A$1501,BJ$4,Formulas!$B$2:$B$1501,$A128))</f>
        <v>0</v>
      </c>
    </row>
    <row r="129" customFormat="false" ht="15" hidden="false" customHeight="false" outlineLevel="0" collapsed="false">
      <c r="A129" s="13" t="str">
        <f aca="false">IF(INDEX(Materials!$A$2:$A$201,125)="","",INDEX(Materials!$A$2:$A$201,125))</f>
        <v/>
      </c>
      <c r="B129" s="19" t="str">
        <f aca="false">IF(A129="","",COUNTIF(C129:BJ129,"&gt;0"))</f>
        <v/>
      </c>
      <c r="C129" s="21" t="n">
        <f aca="false">IF(OR($A129="",C$4=""),0,COUNTIFS(Formulas!$A$2:$A$1501,C$4,Formulas!$B$2:$B$1501,$A129))</f>
        <v>0</v>
      </c>
      <c r="D129" s="21" t="n">
        <f aca="false">IF(OR($A129="",D$4=""),0,COUNTIFS(Formulas!$A$2:$A$1501,D$4,Formulas!$B$2:$B$1501,$A129))</f>
        <v>0</v>
      </c>
      <c r="E129" s="21" t="n">
        <f aca="false">IF(OR($A129="",E$4=""),0,COUNTIFS(Formulas!$A$2:$A$1501,E$4,Formulas!$B$2:$B$1501,$A129))</f>
        <v>0</v>
      </c>
      <c r="F129" s="21" t="n">
        <f aca="false">IF(OR($A129="",F$4=""),0,COUNTIFS(Formulas!$A$2:$A$1501,F$4,Formulas!$B$2:$B$1501,$A129))</f>
        <v>0</v>
      </c>
      <c r="G129" s="21" t="n">
        <f aca="false">IF(OR($A129="",G$4=""),0,COUNTIFS(Formulas!$A$2:$A$1501,G$4,Formulas!$B$2:$B$1501,$A129))</f>
        <v>0</v>
      </c>
      <c r="H129" s="21" t="n">
        <f aca="false">IF(OR($A129="",H$4=""),0,COUNTIFS(Formulas!$A$2:$A$1501,H$4,Formulas!$B$2:$B$1501,$A129))</f>
        <v>0</v>
      </c>
      <c r="I129" s="21" t="n">
        <f aca="false">IF(OR($A129="",I$4=""),0,COUNTIFS(Formulas!$A$2:$A$1501,I$4,Formulas!$B$2:$B$1501,$A129))</f>
        <v>0</v>
      </c>
      <c r="J129" s="21" t="n">
        <f aca="false">IF(OR($A129="",J$4=""),0,COUNTIFS(Formulas!$A$2:$A$1501,J$4,Formulas!$B$2:$B$1501,$A129))</f>
        <v>0</v>
      </c>
      <c r="K129" s="21" t="n">
        <f aca="false">IF(OR($A129="",K$4=""),0,COUNTIFS(Formulas!$A$2:$A$1501,K$4,Formulas!$B$2:$B$1501,$A129))</f>
        <v>0</v>
      </c>
      <c r="L129" s="21" t="n">
        <f aca="false">IF(OR($A129="",L$4=""),0,COUNTIFS(Formulas!$A$2:$A$1501,L$4,Formulas!$B$2:$B$1501,$A129))</f>
        <v>0</v>
      </c>
      <c r="M129" s="21" t="n">
        <f aca="false">IF(OR($A129="",M$4=""),0,COUNTIFS(Formulas!$A$2:$A$1501,M$4,Formulas!$B$2:$B$1501,$A129))</f>
        <v>0</v>
      </c>
      <c r="N129" s="21" t="n">
        <f aca="false">IF(OR($A129="",N$4=""),0,COUNTIFS(Formulas!$A$2:$A$1501,N$4,Formulas!$B$2:$B$1501,$A129))</f>
        <v>0</v>
      </c>
      <c r="O129" s="21" t="n">
        <f aca="false">IF(OR($A129="",O$4=""),0,COUNTIFS(Formulas!$A$2:$A$1501,O$4,Formulas!$B$2:$B$1501,$A129))</f>
        <v>0</v>
      </c>
      <c r="P129" s="21" t="n">
        <f aca="false">IF(OR($A129="",P$4=""),0,COUNTIFS(Formulas!$A$2:$A$1501,P$4,Formulas!$B$2:$B$1501,$A129))</f>
        <v>0</v>
      </c>
      <c r="Q129" s="21" t="n">
        <f aca="false">IF(OR($A129="",Q$4=""),0,COUNTIFS(Formulas!$A$2:$A$1501,Q$4,Formulas!$B$2:$B$1501,$A129))</f>
        <v>0</v>
      </c>
      <c r="R129" s="21" t="n">
        <f aca="false">IF(OR($A129="",R$4=""),0,COUNTIFS(Formulas!$A$2:$A$1501,R$4,Formulas!$B$2:$B$1501,$A129))</f>
        <v>0</v>
      </c>
      <c r="S129" s="21" t="n">
        <f aca="false">IF(OR($A129="",S$4=""),0,COUNTIFS(Formulas!$A$2:$A$1501,S$4,Formulas!$B$2:$B$1501,$A129))</f>
        <v>0</v>
      </c>
      <c r="T129" s="21" t="n">
        <f aca="false">IF(OR($A129="",T$4=""),0,COUNTIFS(Formulas!$A$2:$A$1501,T$4,Formulas!$B$2:$B$1501,$A129))</f>
        <v>0</v>
      </c>
      <c r="U129" s="21" t="n">
        <f aca="false">IF(OR($A129="",U$4=""),0,COUNTIFS(Formulas!$A$2:$A$1501,U$4,Formulas!$B$2:$B$1501,$A129))</f>
        <v>0</v>
      </c>
      <c r="V129" s="21" t="n">
        <f aca="false">IF(OR($A129="",V$4=""),0,COUNTIFS(Formulas!$A$2:$A$1501,V$4,Formulas!$B$2:$B$1501,$A129))</f>
        <v>0</v>
      </c>
      <c r="W129" s="21" t="n">
        <f aca="false">IF(OR($A129="",W$4=""),0,COUNTIFS(Formulas!$A$2:$A$1501,W$4,Formulas!$B$2:$B$1501,$A129))</f>
        <v>0</v>
      </c>
      <c r="X129" s="21" t="n">
        <f aca="false">IF(OR($A129="",X$4=""),0,COUNTIFS(Formulas!$A$2:$A$1501,X$4,Formulas!$B$2:$B$1501,$A129))</f>
        <v>0</v>
      </c>
      <c r="Y129" s="21" t="n">
        <f aca="false">IF(OR($A129="",Y$4=""),0,COUNTIFS(Formulas!$A$2:$A$1501,Y$4,Formulas!$B$2:$B$1501,$A129))</f>
        <v>0</v>
      </c>
      <c r="Z129" s="21" t="n">
        <f aca="false">IF(OR($A129="",Z$4=""),0,COUNTIFS(Formulas!$A$2:$A$1501,Z$4,Formulas!$B$2:$B$1501,$A129))</f>
        <v>0</v>
      </c>
      <c r="AA129" s="21" t="n">
        <f aca="false">IF(OR($A129="",AA$4=""),0,COUNTIFS(Formulas!$A$2:$A$1501,AA$4,Formulas!$B$2:$B$1501,$A129))</f>
        <v>0</v>
      </c>
      <c r="AB129" s="21" t="n">
        <f aca="false">IF(OR($A129="",AB$4=""),0,COUNTIFS(Formulas!$A$2:$A$1501,AB$4,Formulas!$B$2:$B$1501,$A129))</f>
        <v>0</v>
      </c>
      <c r="AC129" s="21" t="n">
        <f aca="false">IF(OR($A129="",AC$4=""),0,COUNTIFS(Formulas!$A$2:$A$1501,AC$4,Formulas!$B$2:$B$1501,$A129))</f>
        <v>0</v>
      </c>
      <c r="AD129" s="21" t="n">
        <f aca="false">IF(OR($A129="",AD$4=""),0,COUNTIFS(Formulas!$A$2:$A$1501,AD$4,Formulas!$B$2:$B$1501,$A129))</f>
        <v>0</v>
      </c>
      <c r="AE129" s="21" t="n">
        <f aca="false">IF(OR($A129="",AE$4=""),0,COUNTIFS(Formulas!$A$2:$A$1501,AE$4,Formulas!$B$2:$B$1501,$A129))</f>
        <v>0</v>
      </c>
      <c r="AF129" s="21" t="n">
        <f aca="false">IF(OR($A129="",AF$4=""),0,COUNTIFS(Formulas!$A$2:$A$1501,AF$4,Formulas!$B$2:$B$1501,$A129))</f>
        <v>0</v>
      </c>
      <c r="AG129" s="21" t="n">
        <f aca="false">IF(OR($A129="",AG$4=""),0,COUNTIFS(Formulas!$A$2:$A$1501,AG$4,Formulas!$B$2:$B$1501,$A129))</f>
        <v>0</v>
      </c>
      <c r="AH129" s="21" t="n">
        <f aca="false">IF(OR($A129="",AH$4=""),0,COUNTIFS(Formulas!$A$2:$A$1501,AH$4,Formulas!$B$2:$B$1501,$A129))</f>
        <v>0</v>
      </c>
      <c r="AI129" s="21" t="n">
        <f aca="false">IF(OR($A129="",AI$4=""),0,COUNTIFS(Formulas!$A$2:$A$1501,AI$4,Formulas!$B$2:$B$1501,$A129))</f>
        <v>0</v>
      </c>
      <c r="AJ129" s="21" t="n">
        <f aca="false">IF(OR($A129="",AJ$4=""),0,COUNTIFS(Formulas!$A$2:$A$1501,AJ$4,Formulas!$B$2:$B$1501,$A129))</f>
        <v>0</v>
      </c>
      <c r="AK129" s="21" t="n">
        <f aca="false">IF(OR($A129="",AK$4=""),0,COUNTIFS(Formulas!$A$2:$A$1501,AK$4,Formulas!$B$2:$B$1501,$A129))</f>
        <v>0</v>
      </c>
      <c r="AL129" s="21" t="n">
        <f aca="false">IF(OR($A129="",AL$4=""),0,COUNTIFS(Formulas!$A$2:$A$1501,AL$4,Formulas!$B$2:$B$1501,$A129))</f>
        <v>0</v>
      </c>
      <c r="AM129" s="21" t="n">
        <f aca="false">IF(OR($A129="",AM$4=""),0,COUNTIFS(Formulas!$A$2:$A$1501,AM$4,Formulas!$B$2:$B$1501,$A129))</f>
        <v>0</v>
      </c>
      <c r="AN129" s="21" t="n">
        <f aca="false">IF(OR($A129="",AN$4=""),0,COUNTIFS(Formulas!$A$2:$A$1501,AN$4,Formulas!$B$2:$B$1501,$A129))</f>
        <v>0</v>
      </c>
      <c r="AO129" s="21" t="n">
        <f aca="false">IF(OR($A129="",AO$4=""),0,COUNTIFS(Formulas!$A$2:$A$1501,AO$4,Formulas!$B$2:$B$1501,$A129))</f>
        <v>0</v>
      </c>
      <c r="AP129" s="21" t="n">
        <f aca="false">IF(OR($A129="",AP$4=""),0,COUNTIFS(Formulas!$A$2:$A$1501,AP$4,Formulas!$B$2:$B$1501,$A129))</f>
        <v>0</v>
      </c>
      <c r="AQ129" s="21" t="n">
        <f aca="false">IF(OR($A129="",AQ$4=""),0,COUNTIFS(Formulas!$A$2:$A$1501,AQ$4,Formulas!$B$2:$B$1501,$A129))</f>
        <v>0</v>
      </c>
      <c r="AR129" s="21" t="n">
        <f aca="false">IF(OR($A129="",AR$4=""),0,COUNTIFS(Formulas!$A$2:$A$1501,AR$4,Formulas!$B$2:$B$1501,$A129))</f>
        <v>0</v>
      </c>
      <c r="AS129" s="21" t="n">
        <f aca="false">IF(OR($A129="",AS$4=""),0,COUNTIFS(Formulas!$A$2:$A$1501,AS$4,Formulas!$B$2:$B$1501,$A129))</f>
        <v>0</v>
      </c>
      <c r="AT129" s="21" t="n">
        <f aca="false">IF(OR($A129="",AT$4=""),0,COUNTIFS(Formulas!$A$2:$A$1501,AT$4,Formulas!$B$2:$B$1501,$A129))</f>
        <v>0</v>
      </c>
      <c r="AU129" s="21" t="n">
        <f aca="false">IF(OR($A129="",AU$4=""),0,COUNTIFS(Formulas!$A$2:$A$1501,AU$4,Formulas!$B$2:$B$1501,$A129))</f>
        <v>0</v>
      </c>
      <c r="AV129" s="21" t="n">
        <f aca="false">IF(OR($A129="",AV$4=""),0,COUNTIFS(Formulas!$A$2:$A$1501,AV$4,Formulas!$B$2:$B$1501,$A129))</f>
        <v>0</v>
      </c>
      <c r="AW129" s="21" t="n">
        <f aca="false">IF(OR($A129="",AW$4=""),0,COUNTIFS(Formulas!$A$2:$A$1501,AW$4,Formulas!$B$2:$B$1501,$A129))</f>
        <v>0</v>
      </c>
      <c r="AX129" s="21" t="n">
        <f aca="false">IF(OR($A129="",AX$4=""),0,COUNTIFS(Formulas!$A$2:$A$1501,AX$4,Formulas!$B$2:$B$1501,$A129))</f>
        <v>0</v>
      </c>
      <c r="AY129" s="21" t="n">
        <f aca="false">IF(OR($A129="",AY$4=""),0,COUNTIFS(Formulas!$A$2:$A$1501,AY$4,Formulas!$B$2:$B$1501,$A129))</f>
        <v>0</v>
      </c>
      <c r="AZ129" s="21" t="n">
        <f aca="false">IF(OR($A129="",AZ$4=""),0,COUNTIFS(Formulas!$A$2:$A$1501,AZ$4,Formulas!$B$2:$B$1501,$A129))</f>
        <v>0</v>
      </c>
      <c r="BA129" s="21" t="n">
        <f aca="false">IF(OR($A129="",BA$4=""),0,COUNTIFS(Formulas!$A$2:$A$1501,BA$4,Formulas!$B$2:$B$1501,$A129))</f>
        <v>0</v>
      </c>
      <c r="BB129" s="21" t="n">
        <f aca="false">IF(OR($A129="",BB$4=""),0,COUNTIFS(Formulas!$A$2:$A$1501,BB$4,Formulas!$B$2:$B$1501,$A129))</f>
        <v>0</v>
      </c>
      <c r="BC129" s="21" t="n">
        <f aca="false">IF(OR($A129="",BC$4=""),0,COUNTIFS(Formulas!$A$2:$A$1501,BC$4,Formulas!$B$2:$B$1501,$A129))</f>
        <v>0</v>
      </c>
      <c r="BD129" s="21" t="n">
        <f aca="false">IF(OR($A129="",BD$4=""),0,COUNTIFS(Formulas!$A$2:$A$1501,BD$4,Formulas!$B$2:$B$1501,$A129))</f>
        <v>0</v>
      </c>
      <c r="BE129" s="21" t="n">
        <f aca="false">IF(OR($A129="",BE$4=""),0,COUNTIFS(Formulas!$A$2:$A$1501,BE$4,Formulas!$B$2:$B$1501,$A129))</f>
        <v>0</v>
      </c>
      <c r="BF129" s="21" t="n">
        <f aca="false">IF(OR($A129="",BF$4=""),0,COUNTIFS(Formulas!$A$2:$A$1501,BF$4,Formulas!$B$2:$B$1501,$A129))</f>
        <v>0</v>
      </c>
      <c r="BG129" s="21" t="n">
        <f aca="false">IF(OR($A129="",BG$4=""),0,COUNTIFS(Formulas!$A$2:$A$1501,BG$4,Formulas!$B$2:$B$1501,$A129))</f>
        <v>0</v>
      </c>
      <c r="BH129" s="21" t="n">
        <f aca="false">IF(OR($A129="",BH$4=""),0,COUNTIFS(Formulas!$A$2:$A$1501,BH$4,Formulas!$B$2:$B$1501,$A129))</f>
        <v>0</v>
      </c>
      <c r="BI129" s="21" t="n">
        <f aca="false">IF(OR($A129="",BI$4=""),0,COUNTIFS(Formulas!$A$2:$A$1501,BI$4,Formulas!$B$2:$B$1501,$A129))</f>
        <v>0</v>
      </c>
      <c r="BJ129" s="21" t="n">
        <f aca="false">IF(OR($A129="",BJ$4=""),0,COUNTIFS(Formulas!$A$2:$A$1501,BJ$4,Formulas!$B$2:$B$1501,$A129))</f>
        <v>0</v>
      </c>
    </row>
    <row r="130" customFormat="false" ht="15" hidden="false" customHeight="false" outlineLevel="0" collapsed="false">
      <c r="A130" s="13" t="str">
        <f aca="false">IF(INDEX(Materials!$A$2:$A$201,126)="","",INDEX(Materials!$A$2:$A$201,126))</f>
        <v/>
      </c>
      <c r="B130" s="19" t="str">
        <f aca="false">IF(A130="","",COUNTIF(C130:BJ130,"&gt;0"))</f>
        <v/>
      </c>
      <c r="C130" s="21" t="n">
        <f aca="false">IF(OR($A130="",C$4=""),0,COUNTIFS(Formulas!$A$2:$A$1501,C$4,Formulas!$B$2:$B$1501,$A130))</f>
        <v>0</v>
      </c>
      <c r="D130" s="21" t="n">
        <f aca="false">IF(OR($A130="",D$4=""),0,COUNTIFS(Formulas!$A$2:$A$1501,D$4,Formulas!$B$2:$B$1501,$A130))</f>
        <v>0</v>
      </c>
      <c r="E130" s="21" t="n">
        <f aca="false">IF(OR($A130="",E$4=""),0,COUNTIFS(Formulas!$A$2:$A$1501,E$4,Formulas!$B$2:$B$1501,$A130))</f>
        <v>0</v>
      </c>
      <c r="F130" s="21" t="n">
        <f aca="false">IF(OR($A130="",F$4=""),0,COUNTIFS(Formulas!$A$2:$A$1501,F$4,Formulas!$B$2:$B$1501,$A130))</f>
        <v>0</v>
      </c>
      <c r="G130" s="21" t="n">
        <f aca="false">IF(OR($A130="",G$4=""),0,COUNTIFS(Formulas!$A$2:$A$1501,G$4,Formulas!$B$2:$B$1501,$A130))</f>
        <v>0</v>
      </c>
      <c r="H130" s="21" t="n">
        <f aca="false">IF(OR($A130="",H$4=""),0,COUNTIFS(Formulas!$A$2:$A$1501,H$4,Formulas!$B$2:$B$1501,$A130))</f>
        <v>0</v>
      </c>
      <c r="I130" s="21" t="n">
        <f aca="false">IF(OR($A130="",I$4=""),0,COUNTIFS(Formulas!$A$2:$A$1501,I$4,Formulas!$B$2:$B$1501,$A130))</f>
        <v>0</v>
      </c>
      <c r="J130" s="21" t="n">
        <f aca="false">IF(OR($A130="",J$4=""),0,COUNTIFS(Formulas!$A$2:$A$1501,J$4,Formulas!$B$2:$B$1501,$A130))</f>
        <v>0</v>
      </c>
      <c r="K130" s="21" t="n">
        <f aca="false">IF(OR($A130="",K$4=""),0,COUNTIFS(Formulas!$A$2:$A$1501,K$4,Formulas!$B$2:$B$1501,$A130))</f>
        <v>0</v>
      </c>
      <c r="L130" s="21" t="n">
        <f aca="false">IF(OR($A130="",L$4=""),0,COUNTIFS(Formulas!$A$2:$A$1501,L$4,Formulas!$B$2:$B$1501,$A130))</f>
        <v>0</v>
      </c>
      <c r="M130" s="21" t="n">
        <f aca="false">IF(OR($A130="",M$4=""),0,COUNTIFS(Formulas!$A$2:$A$1501,M$4,Formulas!$B$2:$B$1501,$A130))</f>
        <v>0</v>
      </c>
      <c r="N130" s="21" t="n">
        <f aca="false">IF(OR($A130="",N$4=""),0,COUNTIFS(Formulas!$A$2:$A$1501,N$4,Formulas!$B$2:$B$1501,$A130))</f>
        <v>0</v>
      </c>
      <c r="O130" s="21" t="n">
        <f aca="false">IF(OR($A130="",O$4=""),0,COUNTIFS(Formulas!$A$2:$A$1501,O$4,Formulas!$B$2:$B$1501,$A130))</f>
        <v>0</v>
      </c>
      <c r="P130" s="21" t="n">
        <f aca="false">IF(OR($A130="",P$4=""),0,COUNTIFS(Formulas!$A$2:$A$1501,P$4,Formulas!$B$2:$B$1501,$A130))</f>
        <v>0</v>
      </c>
      <c r="Q130" s="21" t="n">
        <f aca="false">IF(OR($A130="",Q$4=""),0,COUNTIFS(Formulas!$A$2:$A$1501,Q$4,Formulas!$B$2:$B$1501,$A130))</f>
        <v>0</v>
      </c>
      <c r="R130" s="21" t="n">
        <f aca="false">IF(OR($A130="",R$4=""),0,COUNTIFS(Formulas!$A$2:$A$1501,R$4,Formulas!$B$2:$B$1501,$A130))</f>
        <v>0</v>
      </c>
      <c r="S130" s="21" t="n">
        <f aca="false">IF(OR($A130="",S$4=""),0,COUNTIFS(Formulas!$A$2:$A$1501,S$4,Formulas!$B$2:$B$1501,$A130))</f>
        <v>0</v>
      </c>
      <c r="T130" s="21" t="n">
        <f aca="false">IF(OR($A130="",T$4=""),0,COUNTIFS(Formulas!$A$2:$A$1501,T$4,Formulas!$B$2:$B$1501,$A130))</f>
        <v>0</v>
      </c>
      <c r="U130" s="21" t="n">
        <f aca="false">IF(OR($A130="",U$4=""),0,COUNTIFS(Formulas!$A$2:$A$1501,U$4,Formulas!$B$2:$B$1501,$A130))</f>
        <v>0</v>
      </c>
      <c r="V130" s="21" t="n">
        <f aca="false">IF(OR($A130="",V$4=""),0,COUNTIFS(Formulas!$A$2:$A$1501,V$4,Formulas!$B$2:$B$1501,$A130))</f>
        <v>0</v>
      </c>
      <c r="W130" s="21" t="n">
        <f aca="false">IF(OR($A130="",W$4=""),0,COUNTIFS(Formulas!$A$2:$A$1501,W$4,Formulas!$B$2:$B$1501,$A130))</f>
        <v>0</v>
      </c>
      <c r="X130" s="21" t="n">
        <f aca="false">IF(OR($A130="",X$4=""),0,COUNTIFS(Formulas!$A$2:$A$1501,X$4,Formulas!$B$2:$B$1501,$A130))</f>
        <v>0</v>
      </c>
      <c r="Y130" s="21" t="n">
        <f aca="false">IF(OR($A130="",Y$4=""),0,COUNTIFS(Formulas!$A$2:$A$1501,Y$4,Formulas!$B$2:$B$1501,$A130))</f>
        <v>0</v>
      </c>
      <c r="Z130" s="21" t="n">
        <f aca="false">IF(OR($A130="",Z$4=""),0,COUNTIFS(Formulas!$A$2:$A$1501,Z$4,Formulas!$B$2:$B$1501,$A130))</f>
        <v>0</v>
      </c>
      <c r="AA130" s="21" t="n">
        <f aca="false">IF(OR($A130="",AA$4=""),0,COUNTIFS(Formulas!$A$2:$A$1501,AA$4,Formulas!$B$2:$B$1501,$A130))</f>
        <v>0</v>
      </c>
      <c r="AB130" s="21" t="n">
        <f aca="false">IF(OR($A130="",AB$4=""),0,COUNTIFS(Formulas!$A$2:$A$1501,AB$4,Formulas!$B$2:$B$1501,$A130))</f>
        <v>0</v>
      </c>
      <c r="AC130" s="21" t="n">
        <f aca="false">IF(OR($A130="",AC$4=""),0,COUNTIFS(Formulas!$A$2:$A$1501,AC$4,Formulas!$B$2:$B$1501,$A130))</f>
        <v>0</v>
      </c>
      <c r="AD130" s="21" t="n">
        <f aca="false">IF(OR($A130="",AD$4=""),0,COUNTIFS(Formulas!$A$2:$A$1501,AD$4,Formulas!$B$2:$B$1501,$A130))</f>
        <v>0</v>
      </c>
      <c r="AE130" s="21" t="n">
        <f aca="false">IF(OR($A130="",AE$4=""),0,COUNTIFS(Formulas!$A$2:$A$1501,AE$4,Formulas!$B$2:$B$1501,$A130))</f>
        <v>0</v>
      </c>
      <c r="AF130" s="21" t="n">
        <f aca="false">IF(OR($A130="",AF$4=""),0,COUNTIFS(Formulas!$A$2:$A$1501,AF$4,Formulas!$B$2:$B$1501,$A130))</f>
        <v>0</v>
      </c>
      <c r="AG130" s="21" t="n">
        <f aca="false">IF(OR($A130="",AG$4=""),0,COUNTIFS(Formulas!$A$2:$A$1501,AG$4,Formulas!$B$2:$B$1501,$A130))</f>
        <v>0</v>
      </c>
      <c r="AH130" s="21" t="n">
        <f aca="false">IF(OR($A130="",AH$4=""),0,COUNTIFS(Formulas!$A$2:$A$1501,AH$4,Formulas!$B$2:$B$1501,$A130))</f>
        <v>0</v>
      </c>
      <c r="AI130" s="21" t="n">
        <f aca="false">IF(OR($A130="",AI$4=""),0,COUNTIFS(Formulas!$A$2:$A$1501,AI$4,Formulas!$B$2:$B$1501,$A130))</f>
        <v>0</v>
      </c>
      <c r="AJ130" s="21" t="n">
        <f aca="false">IF(OR($A130="",AJ$4=""),0,COUNTIFS(Formulas!$A$2:$A$1501,AJ$4,Formulas!$B$2:$B$1501,$A130))</f>
        <v>0</v>
      </c>
      <c r="AK130" s="21" t="n">
        <f aca="false">IF(OR($A130="",AK$4=""),0,COUNTIFS(Formulas!$A$2:$A$1501,AK$4,Formulas!$B$2:$B$1501,$A130))</f>
        <v>0</v>
      </c>
      <c r="AL130" s="21" t="n">
        <f aca="false">IF(OR($A130="",AL$4=""),0,COUNTIFS(Formulas!$A$2:$A$1501,AL$4,Formulas!$B$2:$B$1501,$A130))</f>
        <v>0</v>
      </c>
      <c r="AM130" s="21" t="n">
        <f aca="false">IF(OR($A130="",AM$4=""),0,COUNTIFS(Formulas!$A$2:$A$1501,AM$4,Formulas!$B$2:$B$1501,$A130))</f>
        <v>0</v>
      </c>
      <c r="AN130" s="21" t="n">
        <f aca="false">IF(OR($A130="",AN$4=""),0,COUNTIFS(Formulas!$A$2:$A$1501,AN$4,Formulas!$B$2:$B$1501,$A130))</f>
        <v>0</v>
      </c>
      <c r="AO130" s="21" t="n">
        <f aca="false">IF(OR($A130="",AO$4=""),0,COUNTIFS(Formulas!$A$2:$A$1501,AO$4,Formulas!$B$2:$B$1501,$A130))</f>
        <v>0</v>
      </c>
      <c r="AP130" s="21" t="n">
        <f aca="false">IF(OR($A130="",AP$4=""),0,COUNTIFS(Formulas!$A$2:$A$1501,AP$4,Formulas!$B$2:$B$1501,$A130))</f>
        <v>0</v>
      </c>
      <c r="AQ130" s="21" t="n">
        <f aca="false">IF(OR($A130="",AQ$4=""),0,COUNTIFS(Formulas!$A$2:$A$1501,AQ$4,Formulas!$B$2:$B$1501,$A130))</f>
        <v>0</v>
      </c>
      <c r="AR130" s="21" t="n">
        <f aca="false">IF(OR($A130="",AR$4=""),0,COUNTIFS(Formulas!$A$2:$A$1501,AR$4,Formulas!$B$2:$B$1501,$A130))</f>
        <v>0</v>
      </c>
      <c r="AS130" s="21" t="n">
        <f aca="false">IF(OR($A130="",AS$4=""),0,COUNTIFS(Formulas!$A$2:$A$1501,AS$4,Formulas!$B$2:$B$1501,$A130))</f>
        <v>0</v>
      </c>
      <c r="AT130" s="21" t="n">
        <f aca="false">IF(OR($A130="",AT$4=""),0,COUNTIFS(Formulas!$A$2:$A$1501,AT$4,Formulas!$B$2:$B$1501,$A130))</f>
        <v>0</v>
      </c>
      <c r="AU130" s="21" t="n">
        <f aca="false">IF(OR($A130="",AU$4=""),0,COUNTIFS(Formulas!$A$2:$A$1501,AU$4,Formulas!$B$2:$B$1501,$A130))</f>
        <v>0</v>
      </c>
      <c r="AV130" s="21" t="n">
        <f aca="false">IF(OR($A130="",AV$4=""),0,COUNTIFS(Formulas!$A$2:$A$1501,AV$4,Formulas!$B$2:$B$1501,$A130))</f>
        <v>0</v>
      </c>
      <c r="AW130" s="21" t="n">
        <f aca="false">IF(OR($A130="",AW$4=""),0,COUNTIFS(Formulas!$A$2:$A$1501,AW$4,Formulas!$B$2:$B$1501,$A130))</f>
        <v>0</v>
      </c>
      <c r="AX130" s="21" t="n">
        <f aca="false">IF(OR($A130="",AX$4=""),0,COUNTIFS(Formulas!$A$2:$A$1501,AX$4,Formulas!$B$2:$B$1501,$A130))</f>
        <v>0</v>
      </c>
      <c r="AY130" s="21" t="n">
        <f aca="false">IF(OR($A130="",AY$4=""),0,COUNTIFS(Formulas!$A$2:$A$1501,AY$4,Formulas!$B$2:$B$1501,$A130))</f>
        <v>0</v>
      </c>
      <c r="AZ130" s="21" t="n">
        <f aca="false">IF(OR($A130="",AZ$4=""),0,COUNTIFS(Formulas!$A$2:$A$1501,AZ$4,Formulas!$B$2:$B$1501,$A130))</f>
        <v>0</v>
      </c>
      <c r="BA130" s="21" t="n">
        <f aca="false">IF(OR($A130="",BA$4=""),0,COUNTIFS(Formulas!$A$2:$A$1501,BA$4,Formulas!$B$2:$B$1501,$A130))</f>
        <v>0</v>
      </c>
      <c r="BB130" s="21" t="n">
        <f aca="false">IF(OR($A130="",BB$4=""),0,COUNTIFS(Formulas!$A$2:$A$1501,BB$4,Formulas!$B$2:$B$1501,$A130))</f>
        <v>0</v>
      </c>
      <c r="BC130" s="21" t="n">
        <f aca="false">IF(OR($A130="",BC$4=""),0,COUNTIFS(Formulas!$A$2:$A$1501,BC$4,Formulas!$B$2:$B$1501,$A130))</f>
        <v>0</v>
      </c>
      <c r="BD130" s="21" t="n">
        <f aca="false">IF(OR($A130="",BD$4=""),0,COUNTIFS(Formulas!$A$2:$A$1501,BD$4,Formulas!$B$2:$B$1501,$A130))</f>
        <v>0</v>
      </c>
      <c r="BE130" s="21" t="n">
        <f aca="false">IF(OR($A130="",BE$4=""),0,COUNTIFS(Formulas!$A$2:$A$1501,BE$4,Formulas!$B$2:$B$1501,$A130))</f>
        <v>0</v>
      </c>
      <c r="BF130" s="21" t="n">
        <f aca="false">IF(OR($A130="",BF$4=""),0,COUNTIFS(Formulas!$A$2:$A$1501,BF$4,Formulas!$B$2:$B$1501,$A130))</f>
        <v>0</v>
      </c>
      <c r="BG130" s="21" t="n">
        <f aca="false">IF(OR($A130="",BG$4=""),0,COUNTIFS(Formulas!$A$2:$A$1501,BG$4,Formulas!$B$2:$B$1501,$A130))</f>
        <v>0</v>
      </c>
      <c r="BH130" s="21" t="n">
        <f aca="false">IF(OR($A130="",BH$4=""),0,COUNTIFS(Formulas!$A$2:$A$1501,BH$4,Formulas!$B$2:$B$1501,$A130))</f>
        <v>0</v>
      </c>
      <c r="BI130" s="21" t="n">
        <f aca="false">IF(OR($A130="",BI$4=""),0,COUNTIFS(Formulas!$A$2:$A$1501,BI$4,Formulas!$B$2:$B$1501,$A130))</f>
        <v>0</v>
      </c>
      <c r="BJ130" s="21" t="n">
        <f aca="false">IF(OR($A130="",BJ$4=""),0,COUNTIFS(Formulas!$A$2:$A$1501,BJ$4,Formulas!$B$2:$B$1501,$A130))</f>
        <v>0</v>
      </c>
    </row>
    <row r="131" customFormat="false" ht="15" hidden="false" customHeight="false" outlineLevel="0" collapsed="false">
      <c r="A131" s="13" t="str">
        <f aca="false">IF(INDEX(Materials!$A$2:$A$201,127)="","",INDEX(Materials!$A$2:$A$201,127))</f>
        <v/>
      </c>
      <c r="B131" s="19" t="str">
        <f aca="false">IF(A131="","",COUNTIF(C131:BJ131,"&gt;0"))</f>
        <v/>
      </c>
      <c r="C131" s="21" t="n">
        <f aca="false">IF(OR($A131="",C$4=""),0,COUNTIFS(Formulas!$A$2:$A$1501,C$4,Formulas!$B$2:$B$1501,$A131))</f>
        <v>0</v>
      </c>
      <c r="D131" s="21" t="n">
        <f aca="false">IF(OR($A131="",D$4=""),0,COUNTIFS(Formulas!$A$2:$A$1501,D$4,Formulas!$B$2:$B$1501,$A131))</f>
        <v>0</v>
      </c>
      <c r="E131" s="21" t="n">
        <f aca="false">IF(OR($A131="",E$4=""),0,COUNTIFS(Formulas!$A$2:$A$1501,E$4,Formulas!$B$2:$B$1501,$A131))</f>
        <v>0</v>
      </c>
      <c r="F131" s="21" t="n">
        <f aca="false">IF(OR($A131="",F$4=""),0,COUNTIFS(Formulas!$A$2:$A$1501,F$4,Formulas!$B$2:$B$1501,$A131))</f>
        <v>0</v>
      </c>
      <c r="G131" s="21" t="n">
        <f aca="false">IF(OR($A131="",G$4=""),0,COUNTIFS(Formulas!$A$2:$A$1501,G$4,Formulas!$B$2:$B$1501,$A131))</f>
        <v>0</v>
      </c>
      <c r="H131" s="21" t="n">
        <f aca="false">IF(OR($A131="",H$4=""),0,COUNTIFS(Formulas!$A$2:$A$1501,H$4,Formulas!$B$2:$B$1501,$A131))</f>
        <v>0</v>
      </c>
      <c r="I131" s="21" t="n">
        <f aca="false">IF(OR($A131="",I$4=""),0,COUNTIFS(Formulas!$A$2:$A$1501,I$4,Formulas!$B$2:$B$1501,$A131))</f>
        <v>0</v>
      </c>
      <c r="J131" s="21" t="n">
        <f aca="false">IF(OR($A131="",J$4=""),0,COUNTIFS(Formulas!$A$2:$A$1501,J$4,Formulas!$B$2:$B$1501,$A131))</f>
        <v>0</v>
      </c>
      <c r="K131" s="21" t="n">
        <f aca="false">IF(OR($A131="",K$4=""),0,COUNTIFS(Formulas!$A$2:$A$1501,K$4,Formulas!$B$2:$B$1501,$A131))</f>
        <v>0</v>
      </c>
      <c r="L131" s="21" t="n">
        <f aca="false">IF(OR($A131="",L$4=""),0,COUNTIFS(Formulas!$A$2:$A$1501,L$4,Formulas!$B$2:$B$1501,$A131))</f>
        <v>0</v>
      </c>
      <c r="M131" s="21" t="n">
        <f aca="false">IF(OR($A131="",M$4=""),0,COUNTIFS(Formulas!$A$2:$A$1501,M$4,Formulas!$B$2:$B$1501,$A131))</f>
        <v>0</v>
      </c>
      <c r="N131" s="21" t="n">
        <f aca="false">IF(OR($A131="",N$4=""),0,COUNTIFS(Formulas!$A$2:$A$1501,N$4,Formulas!$B$2:$B$1501,$A131))</f>
        <v>0</v>
      </c>
      <c r="O131" s="21" t="n">
        <f aca="false">IF(OR($A131="",O$4=""),0,COUNTIFS(Formulas!$A$2:$A$1501,O$4,Formulas!$B$2:$B$1501,$A131))</f>
        <v>0</v>
      </c>
      <c r="P131" s="21" t="n">
        <f aca="false">IF(OR($A131="",P$4=""),0,COUNTIFS(Formulas!$A$2:$A$1501,P$4,Formulas!$B$2:$B$1501,$A131))</f>
        <v>0</v>
      </c>
      <c r="Q131" s="21" t="n">
        <f aca="false">IF(OR($A131="",Q$4=""),0,COUNTIFS(Formulas!$A$2:$A$1501,Q$4,Formulas!$B$2:$B$1501,$A131))</f>
        <v>0</v>
      </c>
      <c r="R131" s="21" t="n">
        <f aca="false">IF(OR($A131="",R$4=""),0,COUNTIFS(Formulas!$A$2:$A$1501,R$4,Formulas!$B$2:$B$1501,$A131))</f>
        <v>0</v>
      </c>
      <c r="S131" s="21" t="n">
        <f aca="false">IF(OR($A131="",S$4=""),0,COUNTIFS(Formulas!$A$2:$A$1501,S$4,Formulas!$B$2:$B$1501,$A131))</f>
        <v>0</v>
      </c>
      <c r="T131" s="21" t="n">
        <f aca="false">IF(OR($A131="",T$4=""),0,COUNTIFS(Formulas!$A$2:$A$1501,T$4,Formulas!$B$2:$B$1501,$A131))</f>
        <v>0</v>
      </c>
      <c r="U131" s="21" t="n">
        <f aca="false">IF(OR($A131="",U$4=""),0,COUNTIFS(Formulas!$A$2:$A$1501,U$4,Formulas!$B$2:$B$1501,$A131))</f>
        <v>0</v>
      </c>
      <c r="V131" s="21" t="n">
        <f aca="false">IF(OR($A131="",V$4=""),0,COUNTIFS(Formulas!$A$2:$A$1501,V$4,Formulas!$B$2:$B$1501,$A131))</f>
        <v>0</v>
      </c>
      <c r="W131" s="21" t="n">
        <f aca="false">IF(OR($A131="",W$4=""),0,COUNTIFS(Formulas!$A$2:$A$1501,W$4,Formulas!$B$2:$B$1501,$A131))</f>
        <v>0</v>
      </c>
      <c r="X131" s="21" t="n">
        <f aca="false">IF(OR($A131="",X$4=""),0,COUNTIFS(Formulas!$A$2:$A$1501,X$4,Formulas!$B$2:$B$1501,$A131))</f>
        <v>0</v>
      </c>
      <c r="Y131" s="21" t="n">
        <f aca="false">IF(OR($A131="",Y$4=""),0,COUNTIFS(Formulas!$A$2:$A$1501,Y$4,Formulas!$B$2:$B$1501,$A131))</f>
        <v>0</v>
      </c>
      <c r="Z131" s="21" t="n">
        <f aca="false">IF(OR($A131="",Z$4=""),0,COUNTIFS(Formulas!$A$2:$A$1501,Z$4,Formulas!$B$2:$B$1501,$A131))</f>
        <v>0</v>
      </c>
      <c r="AA131" s="21" t="n">
        <f aca="false">IF(OR($A131="",AA$4=""),0,COUNTIFS(Formulas!$A$2:$A$1501,AA$4,Formulas!$B$2:$B$1501,$A131))</f>
        <v>0</v>
      </c>
      <c r="AB131" s="21" t="n">
        <f aca="false">IF(OR($A131="",AB$4=""),0,COUNTIFS(Formulas!$A$2:$A$1501,AB$4,Formulas!$B$2:$B$1501,$A131))</f>
        <v>0</v>
      </c>
      <c r="AC131" s="21" t="n">
        <f aca="false">IF(OR($A131="",AC$4=""),0,COUNTIFS(Formulas!$A$2:$A$1501,AC$4,Formulas!$B$2:$B$1501,$A131))</f>
        <v>0</v>
      </c>
      <c r="AD131" s="21" t="n">
        <f aca="false">IF(OR($A131="",AD$4=""),0,COUNTIFS(Formulas!$A$2:$A$1501,AD$4,Formulas!$B$2:$B$1501,$A131))</f>
        <v>0</v>
      </c>
      <c r="AE131" s="21" t="n">
        <f aca="false">IF(OR($A131="",AE$4=""),0,COUNTIFS(Formulas!$A$2:$A$1501,AE$4,Formulas!$B$2:$B$1501,$A131))</f>
        <v>0</v>
      </c>
      <c r="AF131" s="21" t="n">
        <f aca="false">IF(OR($A131="",AF$4=""),0,COUNTIFS(Formulas!$A$2:$A$1501,AF$4,Formulas!$B$2:$B$1501,$A131))</f>
        <v>0</v>
      </c>
      <c r="AG131" s="21" t="n">
        <f aca="false">IF(OR($A131="",AG$4=""),0,COUNTIFS(Formulas!$A$2:$A$1501,AG$4,Formulas!$B$2:$B$1501,$A131))</f>
        <v>0</v>
      </c>
      <c r="AH131" s="21" t="n">
        <f aca="false">IF(OR($A131="",AH$4=""),0,COUNTIFS(Formulas!$A$2:$A$1501,AH$4,Formulas!$B$2:$B$1501,$A131))</f>
        <v>0</v>
      </c>
      <c r="AI131" s="21" t="n">
        <f aca="false">IF(OR($A131="",AI$4=""),0,COUNTIFS(Formulas!$A$2:$A$1501,AI$4,Formulas!$B$2:$B$1501,$A131))</f>
        <v>0</v>
      </c>
      <c r="AJ131" s="21" t="n">
        <f aca="false">IF(OR($A131="",AJ$4=""),0,COUNTIFS(Formulas!$A$2:$A$1501,AJ$4,Formulas!$B$2:$B$1501,$A131))</f>
        <v>0</v>
      </c>
      <c r="AK131" s="21" t="n">
        <f aca="false">IF(OR($A131="",AK$4=""),0,COUNTIFS(Formulas!$A$2:$A$1501,AK$4,Formulas!$B$2:$B$1501,$A131))</f>
        <v>0</v>
      </c>
      <c r="AL131" s="21" t="n">
        <f aca="false">IF(OR($A131="",AL$4=""),0,COUNTIFS(Formulas!$A$2:$A$1501,AL$4,Formulas!$B$2:$B$1501,$A131))</f>
        <v>0</v>
      </c>
      <c r="AM131" s="21" t="n">
        <f aca="false">IF(OR($A131="",AM$4=""),0,COUNTIFS(Formulas!$A$2:$A$1501,AM$4,Formulas!$B$2:$B$1501,$A131))</f>
        <v>0</v>
      </c>
      <c r="AN131" s="21" t="n">
        <f aca="false">IF(OR($A131="",AN$4=""),0,COUNTIFS(Formulas!$A$2:$A$1501,AN$4,Formulas!$B$2:$B$1501,$A131))</f>
        <v>0</v>
      </c>
      <c r="AO131" s="21" t="n">
        <f aca="false">IF(OR($A131="",AO$4=""),0,COUNTIFS(Formulas!$A$2:$A$1501,AO$4,Formulas!$B$2:$B$1501,$A131))</f>
        <v>0</v>
      </c>
      <c r="AP131" s="21" t="n">
        <f aca="false">IF(OR($A131="",AP$4=""),0,COUNTIFS(Formulas!$A$2:$A$1501,AP$4,Formulas!$B$2:$B$1501,$A131))</f>
        <v>0</v>
      </c>
      <c r="AQ131" s="21" t="n">
        <f aca="false">IF(OR($A131="",AQ$4=""),0,COUNTIFS(Formulas!$A$2:$A$1501,AQ$4,Formulas!$B$2:$B$1501,$A131))</f>
        <v>0</v>
      </c>
      <c r="AR131" s="21" t="n">
        <f aca="false">IF(OR($A131="",AR$4=""),0,COUNTIFS(Formulas!$A$2:$A$1501,AR$4,Formulas!$B$2:$B$1501,$A131))</f>
        <v>0</v>
      </c>
      <c r="AS131" s="21" t="n">
        <f aca="false">IF(OR($A131="",AS$4=""),0,COUNTIFS(Formulas!$A$2:$A$1501,AS$4,Formulas!$B$2:$B$1501,$A131))</f>
        <v>0</v>
      </c>
      <c r="AT131" s="21" t="n">
        <f aca="false">IF(OR($A131="",AT$4=""),0,COUNTIFS(Formulas!$A$2:$A$1501,AT$4,Formulas!$B$2:$B$1501,$A131))</f>
        <v>0</v>
      </c>
      <c r="AU131" s="21" t="n">
        <f aca="false">IF(OR($A131="",AU$4=""),0,COUNTIFS(Formulas!$A$2:$A$1501,AU$4,Formulas!$B$2:$B$1501,$A131))</f>
        <v>0</v>
      </c>
      <c r="AV131" s="21" t="n">
        <f aca="false">IF(OR($A131="",AV$4=""),0,COUNTIFS(Formulas!$A$2:$A$1501,AV$4,Formulas!$B$2:$B$1501,$A131))</f>
        <v>0</v>
      </c>
      <c r="AW131" s="21" t="n">
        <f aca="false">IF(OR($A131="",AW$4=""),0,COUNTIFS(Formulas!$A$2:$A$1501,AW$4,Formulas!$B$2:$B$1501,$A131))</f>
        <v>0</v>
      </c>
      <c r="AX131" s="21" t="n">
        <f aca="false">IF(OR($A131="",AX$4=""),0,COUNTIFS(Formulas!$A$2:$A$1501,AX$4,Formulas!$B$2:$B$1501,$A131))</f>
        <v>0</v>
      </c>
      <c r="AY131" s="21" t="n">
        <f aca="false">IF(OR($A131="",AY$4=""),0,COUNTIFS(Formulas!$A$2:$A$1501,AY$4,Formulas!$B$2:$B$1501,$A131))</f>
        <v>0</v>
      </c>
      <c r="AZ131" s="21" t="n">
        <f aca="false">IF(OR($A131="",AZ$4=""),0,COUNTIFS(Formulas!$A$2:$A$1501,AZ$4,Formulas!$B$2:$B$1501,$A131))</f>
        <v>0</v>
      </c>
      <c r="BA131" s="21" t="n">
        <f aca="false">IF(OR($A131="",BA$4=""),0,COUNTIFS(Formulas!$A$2:$A$1501,BA$4,Formulas!$B$2:$B$1501,$A131))</f>
        <v>0</v>
      </c>
      <c r="BB131" s="21" t="n">
        <f aca="false">IF(OR($A131="",BB$4=""),0,COUNTIFS(Formulas!$A$2:$A$1501,BB$4,Formulas!$B$2:$B$1501,$A131))</f>
        <v>0</v>
      </c>
      <c r="BC131" s="21" t="n">
        <f aca="false">IF(OR($A131="",BC$4=""),0,COUNTIFS(Formulas!$A$2:$A$1501,BC$4,Formulas!$B$2:$B$1501,$A131))</f>
        <v>0</v>
      </c>
      <c r="BD131" s="21" t="n">
        <f aca="false">IF(OR($A131="",BD$4=""),0,COUNTIFS(Formulas!$A$2:$A$1501,BD$4,Formulas!$B$2:$B$1501,$A131))</f>
        <v>0</v>
      </c>
      <c r="BE131" s="21" t="n">
        <f aca="false">IF(OR($A131="",BE$4=""),0,COUNTIFS(Formulas!$A$2:$A$1501,BE$4,Formulas!$B$2:$B$1501,$A131))</f>
        <v>0</v>
      </c>
      <c r="BF131" s="21" t="n">
        <f aca="false">IF(OR($A131="",BF$4=""),0,COUNTIFS(Formulas!$A$2:$A$1501,BF$4,Formulas!$B$2:$B$1501,$A131))</f>
        <v>0</v>
      </c>
      <c r="BG131" s="21" t="n">
        <f aca="false">IF(OR($A131="",BG$4=""),0,COUNTIFS(Formulas!$A$2:$A$1501,BG$4,Formulas!$B$2:$B$1501,$A131))</f>
        <v>0</v>
      </c>
      <c r="BH131" s="21" t="n">
        <f aca="false">IF(OR($A131="",BH$4=""),0,COUNTIFS(Formulas!$A$2:$A$1501,BH$4,Formulas!$B$2:$B$1501,$A131))</f>
        <v>0</v>
      </c>
      <c r="BI131" s="21" t="n">
        <f aca="false">IF(OR($A131="",BI$4=""),0,COUNTIFS(Formulas!$A$2:$A$1501,BI$4,Formulas!$B$2:$B$1501,$A131))</f>
        <v>0</v>
      </c>
      <c r="BJ131" s="21" t="n">
        <f aca="false">IF(OR($A131="",BJ$4=""),0,COUNTIFS(Formulas!$A$2:$A$1501,BJ$4,Formulas!$B$2:$B$1501,$A131))</f>
        <v>0</v>
      </c>
    </row>
    <row r="132" customFormat="false" ht="15" hidden="false" customHeight="false" outlineLevel="0" collapsed="false">
      <c r="A132" s="13" t="str">
        <f aca="false">IF(INDEX(Materials!$A$2:$A$201,128)="","",INDEX(Materials!$A$2:$A$201,128))</f>
        <v/>
      </c>
      <c r="B132" s="19" t="str">
        <f aca="false">IF(A132="","",COUNTIF(C132:BJ132,"&gt;0"))</f>
        <v/>
      </c>
      <c r="C132" s="21" t="n">
        <f aca="false">IF(OR($A132="",C$4=""),0,COUNTIFS(Formulas!$A$2:$A$1501,C$4,Formulas!$B$2:$B$1501,$A132))</f>
        <v>0</v>
      </c>
      <c r="D132" s="21" t="n">
        <f aca="false">IF(OR($A132="",D$4=""),0,COUNTIFS(Formulas!$A$2:$A$1501,D$4,Formulas!$B$2:$B$1501,$A132))</f>
        <v>0</v>
      </c>
      <c r="E132" s="21" t="n">
        <f aca="false">IF(OR($A132="",E$4=""),0,COUNTIFS(Formulas!$A$2:$A$1501,E$4,Formulas!$B$2:$B$1501,$A132))</f>
        <v>0</v>
      </c>
      <c r="F132" s="21" t="n">
        <f aca="false">IF(OR($A132="",F$4=""),0,COUNTIFS(Formulas!$A$2:$A$1501,F$4,Formulas!$B$2:$B$1501,$A132))</f>
        <v>0</v>
      </c>
      <c r="G132" s="21" t="n">
        <f aca="false">IF(OR($A132="",G$4=""),0,COUNTIFS(Formulas!$A$2:$A$1501,G$4,Formulas!$B$2:$B$1501,$A132))</f>
        <v>0</v>
      </c>
      <c r="H132" s="21" t="n">
        <f aca="false">IF(OR($A132="",H$4=""),0,COUNTIFS(Formulas!$A$2:$A$1501,H$4,Formulas!$B$2:$B$1501,$A132))</f>
        <v>0</v>
      </c>
      <c r="I132" s="21" t="n">
        <f aca="false">IF(OR($A132="",I$4=""),0,COUNTIFS(Formulas!$A$2:$A$1501,I$4,Formulas!$B$2:$B$1501,$A132))</f>
        <v>0</v>
      </c>
      <c r="J132" s="21" t="n">
        <f aca="false">IF(OR($A132="",J$4=""),0,COUNTIFS(Formulas!$A$2:$A$1501,J$4,Formulas!$B$2:$B$1501,$A132))</f>
        <v>0</v>
      </c>
      <c r="K132" s="21" t="n">
        <f aca="false">IF(OR($A132="",K$4=""),0,COUNTIFS(Formulas!$A$2:$A$1501,K$4,Formulas!$B$2:$B$1501,$A132))</f>
        <v>0</v>
      </c>
      <c r="L132" s="21" t="n">
        <f aca="false">IF(OR($A132="",L$4=""),0,COUNTIFS(Formulas!$A$2:$A$1501,L$4,Formulas!$B$2:$B$1501,$A132))</f>
        <v>0</v>
      </c>
      <c r="M132" s="21" t="n">
        <f aca="false">IF(OR($A132="",M$4=""),0,COUNTIFS(Formulas!$A$2:$A$1501,M$4,Formulas!$B$2:$B$1501,$A132))</f>
        <v>0</v>
      </c>
      <c r="N132" s="21" t="n">
        <f aca="false">IF(OR($A132="",N$4=""),0,COUNTIFS(Formulas!$A$2:$A$1501,N$4,Formulas!$B$2:$B$1501,$A132))</f>
        <v>0</v>
      </c>
      <c r="O132" s="21" t="n">
        <f aca="false">IF(OR($A132="",O$4=""),0,COUNTIFS(Formulas!$A$2:$A$1501,O$4,Formulas!$B$2:$B$1501,$A132))</f>
        <v>0</v>
      </c>
      <c r="P132" s="21" t="n">
        <f aca="false">IF(OR($A132="",P$4=""),0,COUNTIFS(Formulas!$A$2:$A$1501,P$4,Formulas!$B$2:$B$1501,$A132))</f>
        <v>0</v>
      </c>
      <c r="Q132" s="21" t="n">
        <f aca="false">IF(OR($A132="",Q$4=""),0,COUNTIFS(Formulas!$A$2:$A$1501,Q$4,Formulas!$B$2:$B$1501,$A132))</f>
        <v>0</v>
      </c>
      <c r="R132" s="21" t="n">
        <f aca="false">IF(OR($A132="",R$4=""),0,COUNTIFS(Formulas!$A$2:$A$1501,R$4,Formulas!$B$2:$B$1501,$A132))</f>
        <v>0</v>
      </c>
      <c r="S132" s="21" t="n">
        <f aca="false">IF(OR($A132="",S$4=""),0,COUNTIFS(Formulas!$A$2:$A$1501,S$4,Formulas!$B$2:$B$1501,$A132))</f>
        <v>0</v>
      </c>
      <c r="T132" s="21" t="n">
        <f aca="false">IF(OR($A132="",T$4=""),0,COUNTIFS(Formulas!$A$2:$A$1501,T$4,Formulas!$B$2:$B$1501,$A132))</f>
        <v>0</v>
      </c>
      <c r="U132" s="21" t="n">
        <f aca="false">IF(OR($A132="",U$4=""),0,COUNTIFS(Formulas!$A$2:$A$1501,U$4,Formulas!$B$2:$B$1501,$A132))</f>
        <v>0</v>
      </c>
      <c r="V132" s="21" t="n">
        <f aca="false">IF(OR($A132="",V$4=""),0,COUNTIFS(Formulas!$A$2:$A$1501,V$4,Formulas!$B$2:$B$1501,$A132))</f>
        <v>0</v>
      </c>
      <c r="W132" s="21" t="n">
        <f aca="false">IF(OR($A132="",W$4=""),0,COUNTIFS(Formulas!$A$2:$A$1501,W$4,Formulas!$B$2:$B$1501,$A132))</f>
        <v>0</v>
      </c>
      <c r="X132" s="21" t="n">
        <f aca="false">IF(OR($A132="",X$4=""),0,COUNTIFS(Formulas!$A$2:$A$1501,X$4,Formulas!$B$2:$B$1501,$A132))</f>
        <v>0</v>
      </c>
      <c r="Y132" s="21" t="n">
        <f aca="false">IF(OR($A132="",Y$4=""),0,COUNTIFS(Formulas!$A$2:$A$1501,Y$4,Formulas!$B$2:$B$1501,$A132))</f>
        <v>0</v>
      </c>
      <c r="Z132" s="21" t="n">
        <f aca="false">IF(OR($A132="",Z$4=""),0,COUNTIFS(Formulas!$A$2:$A$1501,Z$4,Formulas!$B$2:$B$1501,$A132))</f>
        <v>0</v>
      </c>
      <c r="AA132" s="21" t="n">
        <f aca="false">IF(OR($A132="",AA$4=""),0,COUNTIFS(Formulas!$A$2:$A$1501,AA$4,Formulas!$B$2:$B$1501,$A132))</f>
        <v>0</v>
      </c>
      <c r="AB132" s="21" t="n">
        <f aca="false">IF(OR($A132="",AB$4=""),0,COUNTIFS(Formulas!$A$2:$A$1501,AB$4,Formulas!$B$2:$B$1501,$A132))</f>
        <v>0</v>
      </c>
      <c r="AC132" s="21" t="n">
        <f aca="false">IF(OR($A132="",AC$4=""),0,COUNTIFS(Formulas!$A$2:$A$1501,AC$4,Formulas!$B$2:$B$1501,$A132))</f>
        <v>0</v>
      </c>
      <c r="AD132" s="21" t="n">
        <f aca="false">IF(OR($A132="",AD$4=""),0,COUNTIFS(Formulas!$A$2:$A$1501,AD$4,Formulas!$B$2:$B$1501,$A132))</f>
        <v>0</v>
      </c>
      <c r="AE132" s="21" t="n">
        <f aca="false">IF(OR($A132="",AE$4=""),0,COUNTIFS(Formulas!$A$2:$A$1501,AE$4,Formulas!$B$2:$B$1501,$A132))</f>
        <v>0</v>
      </c>
      <c r="AF132" s="21" t="n">
        <f aca="false">IF(OR($A132="",AF$4=""),0,COUNTIFS(Formulas!$A$2:$A$1501,AF$4,Formulas!$B$2:$B$1501,$A132))</f>
        <v>0</v>
      </c>
      <c r="AG132" s="21" t="n">
        <f aca="false">IF(OR($A132="",AG$4=""),0,COUNTIFS(Formulas!$A$2:$A$1501,AG$4,Formulas!$B$2:$B$1501,$A132))</f>
        <v>0</v>
      </c>
      <c r="AH132" s="21" t="n">
        <f aca="false">IF(OR($A132="",AH$4=""),0,COUNTIFS(Formulas!$A$2:$A$1501,AH$4,Formulas!$B$2:$B$1501,$A132))</f>
        <v>0</v>
      </c>
      <c r="AI132" s="21" t="n">
        <f aca="false">IF(OR($A132="",AI$4=""),0,COUNTIFS(Formulas!$A$2:$A$1501,AI$4,Formulas!$B$2:$B$1501,$A132))</f>
        <v>0</v>
      </c>
      <c r="AJ132" s="21" t="n">
        <f aca="false">IF(OR($A132="",AJ$4=""),0,COUNTIFS(Formulas!$A$2:$A$1501,AJ$4,Formulas!$B$2:$B$1501,$A132))</f>
        <v>0</v>
      </c>
      <c r="AK132" s="21" t="n">
        <f aca="false">IF(OR($A132="",AK$4=""),0,COUNTIFS(Formulas!$A$2:$A$1501,AK$4,Formulas!$B$2:$B$1501,$A132))</f>
        <v>0</v>
      </c>
      <c r="AL132" s="21" t="n">
        <f aca="false">IF(OR($A132="",AL$4=""),0,COUNTIFS(Formulas!$A$2:$A$1501,AL$4,Formulas!$B$2:$B$1501,$A132))</f>
        <v>0</v>
      </c>
      <c r="AM132" s="21" t="n">
        <f aca="false">IF(OR($A132="",AM$4=""),0,COUNTIFS(Formulas!$A$2:$A$1501,AM$4,Formulas!$B$2:$B$1501,$A132))</f>
        <v>0</v>
      </c>
      <c r="AN132" s="21" t="n">
        <f aca="false">IF(OR($A132="",AN$4=""),0,COUNTIFS(Formulas!$A$2:$A$1501,AN$4,Formulas!$B$2:$B$1501,$A132))</f>
        <v>0</v>
      </c>
      <c r="AO132" s="21" t="n">
        <f aca="false">IF(OR($A132="",AO$4=""),0,COUNTIFS(Formulas!$A$2:$A$1501,AO$4,Formulas!$B$2:$B$1501,$A132))</f>
        <v>0</v>
      </c>
      <c r="AP132" s="21" t="n">
        <f aca="false">IF(OR($A132="",AP$4=""),0,COUNTIFS(Formulas!$A$2:$A$1501,AP$4,Formulas!$B$2:$B$1501,$A132))</f>
        <v>0</v>
      </c>
      <c r="AQ132" s="21" t="n">
        <f aca="false">IF(OR($A132="",AQ$4=""),0,COUNTIFS(Formulas!$A$2:$A$1501,AQ$4,Formulas!$B$2:$B$1501,$A132))</f>
        <v>0</v>
      </c>
      <c r="AR132" s="21" t="n">
        <f aca="false">IF(OR($A132="",AR$4=""),0,COUNTIFS(Formulas!$A$2:$A$1501,AR$4,Formulas!$B$2:$B$1501,$A132))</f>
        <v>0</v>
      </c>
      <c r="AS132" s="21" t="n">
        <f aca="false">IF(OR($A132="",AS$4=""),0,COUNTIFS(Formulas!$A$2:$A$1501,AS$4,Formulas!$B$2:$B$1501,$A132))</f>
        <v>0</v>
      </c>
      <c r="AT132" s="21" t="n">
        <f aca="false">IF(OR($A132="",AT$4=""),0,COUNTIFS(Formulas!$A$2:$A$1501,AT$4,Formulas!$B$2:$B$1501,$A132))</f>
        <v>0</v>
      </c>
      <c r="AU132" s="21" t="n">
        <f aca="false">IF(OR($A132="",AU$4=""),0,COUNTIFS(Formulas!$A$2:$A$1501,AU$4,Formulas!$B$2:$B$1501,$A132))</f>
        <v>0</v>
      </c>
      <c r="AV132" s="21" t="n">
        <f aca="false">IF(OR($A132="",AV$4=""),0,COUNTIFS(Formulas!$A$2:$A$1501,AV$4,Formulas!$B$2:$B$1501,$A132))</f>
        <v>0</v>
      </c>
      <c r="AW132" s="21" t="n">
        <f aca="false">IF(OR($A132="",AW$4=""),0,COUNTIFS(Formulas!$A$2:$A$1501,AW$4,Formulas!$B$2:$B$1501,$A132))</f>
        <v>0</v>
      </c>
      <c r="AX132" s="21" t="n">
        <f aca="false">IF(OR($A132="",AX$4=""),0,COUNTIFS(Formulas!$A$2:$A$1501,AX$4,Formulas!$B$2:$B$1501,$A132))</f>
        <v>0</v>
      </c>
      <c r="AY132" s="21" t="n">
        <f aca="false">IF(OR($A132="",AY$4=""),0,COUNTIFS(Formulas!$A$2:$A$1501,AY$4,Formulas!$B$2:$B$1501,$A132))</f>
        <v>0</v>
      </c>
      <c r="AZ132" s="21" t="n">
        <f aca="false">IF(OR($A132="",AZ$4=""),0,COUNTIFS(Formulas!$A$2:$A$1501,AZ$4,Formulas!$B$2:$B$1501,$A132))</f>
        <v>0</v>
      </c>
      <c r="BA132" s="21" t="n">
        <f aca="false">IF(OR($A132="",BA$4=""),0,COUNTIFS(Formulas!$A$2:$A$1501,BA$4,Formulas!$B$2:$B$1501,$A132))</f>
        <v>0</v>
      </c>
      <c r="BB132" s="21" t="n">
        <f aca="false">IF(OR($A132="",BB$4=""),0,COUNTIFS(Formulas!$A$2:$A$1501,BB$4,Formulas!$B$2:$B$1501,$A132))</f>
        <v>0</v>
      </c>
      <c r="BC132" s="21" t="n">
        <f aca="false">IF(OR($A132="",BC$4=""),0,COUNTIFS(Formulas!$A$2:$A$1501,BC$4,Formulas!$B$2:$B$1501,$A132))</f>
        <v>0</v>
      </c>
      <c r="BD132" s="21" t="n">
        <f aca="false">IF(OR($A132="",BD$4=""),0,COUNTIFS(Formulas!$A$2:$A$1501,BD$4,Formulas!$B$2:$B$1501,$A132))</f>
        <v>0</v>
      </c>
      <c r="BE132" s="21" t="n">
        <f aca="false">IF(OR($A132="",BE$4=""),0,COUNTIFS(Formulas!$A$2:$A$1501,BE$4,Formulas!$B$2:$B$1501,$A132))</f>
        <v>0</v>
      </c>
      <c r="BF132" s="21" t="n">
        <f aca="false">IF(OR($A132="",BF$4=""),0,COUNTIFS(Formulas!$A$2:$A$1501,BF$4,Formulas!$B$2:$B$1501,$A132))</f>
        <v>0</v>
      </c>
      <c r="BG132" s="21" t="n">
        <f aca="false">IF(OR($A132="",BG$4=""),0,COUNTIFS(Formulas!$A$2:$A$1501,BG$4,Formulas!$B$2:$B$1501,$A132))</f>
        <v>0</v>
      </c>
      <c r="BH132" s="21" t="n">
        <f aca="false">IF(OR($A132="",BH$4=""),0,COUNTIFS(Formulas!$A$2:$A$1501,BH$4,Formulas!$B$2:$B$1501,$A132))</f>
        <v>0</v>
      </c>
      <c r="BI132" s="21" t="n">
        <f aca="false">IF(OR($A132="",BI$4=""),0,COUNTIFS(Formulas!$A$2:$A$1501,BI$4,Formulas!$B$2:$B$1501,$A132))</f>
        <v>0</v>
      </c>
      <c r="BJ132" s="21" t="n">
        <f aca="false">IF(OR($A132="",BJ$4=""),0,COUNTIFS(Formulas!$A$2:$A$1501,BJ$4,Formulas!$B$2:$B$1501,$A132))</f>
        <v>0</v>
      </c>
    </row>
    <row r="133" customFormat="false" ht="15" hidden="false" customHeight="false" outlineLevel="0" collapsed="false">
      <c r="A133" s="13" t="str">
        <f aca="false">IF(INDEX(Materials!$A$2:$A$201,129)="","",INDEX(Materials!$A$2:$A$201,129))</f>
        <v/>
      </c>
      <c r="B133" s="19" t="str">
        <f aca="false">IF(A133="","",COUNTIF(C133:BJ133,"&gt;0"))</f>
        <v/>
      </c>
      <c r="C133" s="21" t="n">
        <f aca="false">IF(OR($A133="",C$4=""),0,COUNTIFS(Formulas!$A$2:$A$1501,C$4,Formulas!$B$2:$B$1501,$A133))</f>
        <v>0</v>
      </c>
      <c r="D133" s="21" t="n">
        <f aca="false">IF(OR($A133="",D$4=""),0,COUNTIFS(Formulas!$A$2:$A$1501,D$4,Formulas!$B$2:$B$1501,$A133))</f>
        <v>0</v>
      </c>
      <c r="E133" s="21" t="n">
        <f aca="false">IF(OR($A133="",E$4=""),0,COUNTIFS(Formulas!$A$2:$A$1501,E$4,Formulas!$B$2:$B$1501,$A133))</f>
        <v>0</v>
      </c>
      <c r="F133" s="21" t="n">
        <f aca="false">IF(OR($A133="",F$4=""),0,COUNTIFS(Formulas!$A$2:$A$1501,F$4,Formulas!$B$2:$B$1501,$A133))</f>
        <v>0</v>
      </c>
      <c r="G133" s="21" t="n">
        <f aca="false">IF(OR($A133="",G$4=""),0,COUNTIFS(Formulas!$A$2:$A$1501,G$4,Formulas!$B$2:$B$1501,$A133))</f>
        <v>0</v>
      </c>
      <c r="H133" s="21" t="n">
        <f aca="false">IF(OR($A133="",H$4=""),0,COUNTIFS(Formulas!$A$2:$A$1501,H$4,Formulas!$B$2:$B$1501,$A133))</f>
        <v>0</v>
      </c>
      <c r="I133" s="21" t="n">
        <f aca="false">IF(OR($A133="",I$4=""),0,COUNTIFS(Formulas!$A$2:$A$1501,I$4,Formulas!$B$2:$B$1501,$A133))</f>
        <v>0</v>
      </c>
      <c r="J133" s="21" t="n">
        <f aca="false">IF(OR($A133="",J$4=""),0,COUNTIFS(Formulas!$A$2:$A$1501,J$4,Formulas!$B$2:$B$1501,$A133))</f>
        <v>0</v>
      </c>
      <c r="K133" s="21" t="n">
        <f aca="false">IF(OR($A133="",K$4=""),0,COUNTIFS(Formulas!$A$2:$A$1501,K$4,Formulas!$B$2:$B$1501,$A133))</f>
        <v>0</v>
      </c>
      <c r="L133" s="21" t="n">
        <f aca="false">IF(OR($A133="",L$4=""),0,COUNTIFS(Formulas!$A$2:$A$1501,L$4,Formulas!$B$2:$B$1501,$A133))</f>
        <v>0</v>
      </c>
      <c r="M133" s="21" t="n">
        <f aca="false">IF(OR($A133="",M$4=""),0,COUNTIFS(Formulas!$A$2:$A$1501,M$4,Formulas!$B$2:$B$1501,$A133))</f>
        <v>0</v>
      </c>
      <c r="N133" s="21" t="n">
        <f aca="false">IF(OR($A133="",N$4=""),0,COUNTIFS(Formulas!$A$2:$A$1501,N$4,Formulas!$B$2:$B$1501,$A133))</f>
        <v>0</v>
      </c>
      <c r="O133" s="21" t="n">
        <f aca="false">IF(OR($A133="",O$4=""),0,COUNTIFS(Formulas!$A$2:$A$1501,O$4,Formulas!$B$2:$B$1501,$A133))</f>
        <v>0</v>
      </c>
      <c r="P133" s="21" t="n">
        <f aca="false">IF(OR($A133="",P$4=""),0,COUNTIFS(Formulas!$A$2:$A$1501,P$4,Formulas!$B$2:$B$1501,$A133))</f>
        <v>0</v>
      </c>
      <c r="Q133" s="21" t="n">
        <f aca="false">IF(OR($A133="",Q$4=""),0,COUNTIFS(Formulas!$A$2:$A$1501,Q$4,Formulas!$B$2:$B$1501,$A133))</f>
        <v>0</v>
      </c>
      <c r="R133" s="21" t="n">
        <f aca="false">IF(OR($A133="",R$4=""),0,COUNTIFS(Formulas!$A$2:$A$1501,R$4,Formulas!$B$2:$B$1501,$A133))</f>
        <v>0</v>
      </c>
      <c r="S133" s="21" t="n">
        <f aca="false">IF(OR($A133="",S$4=""),0,COUNTIFS(Formulas!$A$2:$A$1501,S$4,Formulas!$B$2:$B$1501,$A133))</f>
        <v>0</v>
      </c>
      <c r="T133" s="21" t="n">
        <f aca="false">IF(OR($A133="",T$4=""),0,COUNTIFS(Formulas!$A$2:$A$1501,T$4,Formulas!$B$2:$B$1501,$A133))</f>
        <v>0</v>
      </c>
      <c r="U133" s="21" t="n">
        <f aca="false">IF(OR($A133="",U$4=""),0,COUNTIFS(Formulas!$A$2:$A$1501,U$4,Formulas!$B$2:$B$1501,$A133))</f>
        <v>0</v>
      </c>
      <c r="V133" s="21" t="n">
        <f aca="false">IF(OR($A133="",V$4=""),0,COUNTIFS(Formulas!$A$2:$A$1501,V$4,Formulas!$B$2:$B$1501,$A133))</f>
        <v>0</v>
      </c>
      <c r="W133" s="21" t="n">
        <f aca="false">IF(OR($A133="",W$4=""),0,COUNTIFS(Formulas!$A$2:$A$1501,W$4,Formulas!$B$2:$B$1501,$A133))</f>
        <v>0</v>
      </c>
      <c r="X133" s="21" t="n">
        <f aca="false">IF(OR($A133="",X$4=""),0,COUNTIFS(Formulas!$A$2:$A$1501,X$4,Formulas!$B$2:$B$1501,$A133))</f>
        <v>0</v>
      </c>
      <c r="Y133" s="21" t="n">
        <f aca="false">IF(OR($A133="",Y$4=""),0,COUNTIFS(Formulas!$A$2:$A$1501,Y$4,Formulas!$B$2:$B$1501,$A133))</f>
        <v>0</v>
      </c>
      <c r="Z133" s="21" t="n">
        <f aca="false">IF(OR($A133="",Z$4=""),0,COUNTIFS(Formulas!$A$2:$A$1501,Z$4,Formulas!$B$2:$B$1501,$A133))</f>
        <v>0</v>
      </c>
      <c r="AA133" s="21" t="n">
        <f aca="false">IF(OR($A133="",AA$4=""),0,COUNTIFS(Formulas!$A$2:$A$1501,AA$4,Formulas!$B$2:$B$1501,$A133))</f>
        <v>0</v>
      </c>
      <c r="AB133" s="21" t="n">
        <f aca="false">IF(OR($A133="",AB$4=""),0,COUNTIFS(Formulas!$A$2:$A$1501,AB$4,Formulas!$B$2:$B$1501,$A133))</f>
        <v>0</v>
      </c>
      <c r="AC133" s="21" t="n">
        <f aca="false">IF(OR($A133="",AC$4=""),0,COUNTIFS(Formulas!$A$2:$A$1501,AC$4,Formulas!$B$2:$B$1501,$A133))</f>
        <v>0</v>
      </c>
      <c r="AD133" s="21" t="n">
        <f aca="false">IF(OR($A133="",AD$4=""),0,COUNTIFS(Formulas!$A$2:$A$1501,AD$4,Formulas!$B$2:$B$1501,$A133))</f>
        <v>0</v>
      </c>
      <c r="AE133" s="21" t="n">
        <f aca="false">IF(OR($A133="",AE$4=""),0,COUNTIFS(Formulas!$A$2:$A$1501,AE$4,Formulas!$B$2:$B$1501,$A133))</f>
        <v>0</v>
      </c>
      <c r="AF133" s="21" t="n">
        <f aca="false">IF(OR($A133="",AF$4=""),0,COUNTIFS(Formulas!$A$2:$A$1501,AF$4,Formulas!$B$2:$B$1501,$A133))</f>
        <v>0</v>
      </c>
      <c r="AG133" s="21" t="n">
        <f aca="false">IF(OR($A133="",AG$4=""),0,COUNTIFS(Formulas!$A$2:$A$1501,AG$4,Formulas!$B$2:$B$1501,$A133))</f>
        <v>0</v>
      </c>
      <c r="AH133" s="21" t="n">
        <f aca="false">IF(OR($A133="",AH$4=""),0,COUNTIFS(Formulas!$A$2:$A$1501,AH$4,Formulas!$B$2:$B$1501,$A133))</f>
        <v>0</v>
      </c>
      <c r="AI133" s="21" t="n">
        <f aca="false">IF(OR($A133="",AI$4=""),0,COUNTIFS(Formulas!$A$2:$A$1501,AI$4,Formulas!$B$2:$B$1501,$A133))</f>
        <v>0</v>
      </c>
      <c r="AJ133" s="21" t="n">
        <f aca="false">IF(OR($A133="",AJ$4=""),0,COUNTIFS(Formulas!$A$2:$A$1501,AJ$4,Formulas!$B$2:$B$1501,$A133))</f>
        <v>0</v>
      </c>
      <c r="AK133" s="21" t="n">
        <f aca="false">IF(OR($A133="",AK$4=""),0,COUNTIFS(Formulas!$A$2:$A$1501,AK$4,Formulas!$B$2:$B$1501,$A133))</f>
        <v>0</v>
      </c>
      <c r="AL133" s="21" t="n">
        <f aca="false">IF(OR($A133="",AL$4=""),0,COUNTIFS(Formulas!$A$2:$A$1501,AL$4,Formulas!$B$2:$B$1501,$A133))</f>
        <v>0</v>
      </c>
      <c r="AM133" s="21" t="n">
        <f aca="false">IF(OR($A133="",AM$4=""),0,COUNTIFS(Formulas!$A$2:$A$1501,AM$4,Formulas!$B$2:$B$1501,$A133))</f>
        <v>0</v>
      </c>
      <c r="AN133" s="21" t="n">
        <f aca="false">IF(OR($A133="",AN$4=""),0,COUNTIFS(Formulas!$A$2:$A$1501,AN$4,Formulas!$B$2:$B$1501,$A133))</f>
        <v>0</v>
      </c>
      <c r="AO133" s="21" t="n">
        <f aca="false">IF(OR($A133="",AO$4=""),0,COUNTIFS(Formulas!$A$2:$A$1501,AO$4,Formulas!$B$2:$B$1501,$A133))</f>
        <v>0</v>
      </c>
      <c r="AP133" s="21" t="n">
        <f aca="false">IF(OR($A133="",AP$4=""),0,COUNTIFS(Formulas!$A$2:$A$1501,AP$4,Formulas!$B$2:$B$1501,$A133))</f>
        <v>0</v>
      </c>
      <c r="AQ133" s="21" t="n">
        <f aca="false">IF(OR($A133="",AQ$4=""),0,COUNTIFS(Formulas!$A$2:$A$1501,AQ$4,Formulas!$B$2:$B$1501,$A133))</f>
        <v>0</v>
      </c>
      <c r="AR133" s="21" t="n">
        <f aca="false">IF(OR($A133="",AR$4=""),0,COUNTIFS(Formulas!$A$2:$A$1501,AR$4,Formulas!$B$2:$B$1501,$A133))</f>
        <v>0</v>
      </c>
      <c r="AS133" s="21" t="n">
        <f aca="false">IF(OR($A133="",AS$4=""),0,COUNTIFS(Formulas!$A$2:$A$1501,AS$4,Formulas!$B$2:$B$1501,$A133))</f>
        <v>0</v>
      </c>
      <c r="AT133" s="21" t="n">
        <f aca="false">IF(OR($A133="",AT$4=""),0,COUNTIFS(Formulas!$A$2:$A$1501,AT$4,Formulas!$B$2:$B$1501,$A133))</f>
        <v>0</v>
      </c>
      <c r="AU133" s="21" t="n">
        <f aca="false">IF(OR($A133="",AU$4=""),0,COUNTIFS(Formulas!$A$2:$A$1501,AU$4,Formulas!$B$2:$B$1501,$A133))</f>
        <v>0</v>
      </c>
      <c r="AV133" s="21" t="n">
        <f aca="false">IF(OR($A133="",AV$4=""),0,COUNTIFS(Formulas!$A$2:$A$1501,AV$4,Formulas!$B$2:$B$1501,$A133))</f>
        <v>0</v>
      </c>
      <c r="AW133" s="21" t="n">
        <f aca="false">IF(OR($A133="",AW$4=""),0,COUNTIFS(Formulas!$A$2:$A$1501,AW$4,Formulas!$B$2:$B$1501,$A133))</f>
        <v>0</v>
      </c>
      <c r="AX133" s="21" t="n">
        <f aca="false">IF(OR($A133="",AX$4=""),0,COUNTIFS(Formulas!$A$2:$A$1501,AX$4,Formulas!$B$2:$B$1501,$A133))</f>
        <v>0</v>
      </c>
      <c r="AY133" s="21" t="n">
        <f aca="false">IF(OR($A133="",AY$4=""),0,COUNTIFS(Formulas!$A$2:$A$1501,AY$4,Formulas!$B$2:$B$1501,$A133))</f>
        <v>0</v>
      </c>
      <c r="AZ133" s="21" t="n">
        <f aca="false">IF(OR($A133="",AZ$4=""),0,COUNTIFS(Formulas!$A$2:$A$1501,AZ$4,Formulas!$B$2:$B$1501,$A133))</f>
        <v>0</v>
      </c>
      <c r="BA133" s="21" t="n">
        <f aca="false">IF(OR($A133="",BA$4=""),0,COUNTIFS(Formulas!$A$2:$A$1501,BA$4,Formulas!$B$2:$B$1501,$A133))</f>
        <v>0</v>
      </c>
      <c r="BB133" s="21" t="n">
        <f aca="false">IF(OR($A133="",BB$4=""),0,COUNTIFS(Formulas!$A$2:$A$1501,BB$4,Formulas!$B$2:$B$1501,$A133))</f>
        <v>0</v>
      </c>
      <c r="BC133" s="21" t="n">
        <f aca="false">IF(OR($A133="",BC$4=""),0,COUNTIFS(Formulas!$A$2:$A$1501,BC$4,Formulas!$B$2:$B$1501,$A133))</f>
        <v>0</v>
      </c>
      <c r="BD133" s="21" t="n">
        <f aca="false">IF(OR($A133="",BD$4=""),0,COUNTIFS(Formulas!$A$2:$A$1501,BD$4,Formulas!$B$2:$B$1501,$A133))</f>
        <v>0</v>
      </c>
      <c r="BE133" s="21" t="n">
        <f aca="false">IF(OR($A133="",BE$4=""),0,COUNTIFS(Formulas!$A$2:$A$1501,BE$4,Formulas!$B$2:$B$1501,$A133))</f>
        <v>0</v>
      </c>
      <c r="BF133" s="21" t="n">
        <f aca="false">IF(OR($A133="",BF$4=""),0,COUNTIFS(Formulas!$A$2:$A$1501,BF$4,Formulas!$B$2:$B$1501,$A133))</f>
        <v>0</v>
      </c>
      <c r="BG133" s="21" t="n">
        <f aca="false">IF(OR($A133="",BG$4=""),0,COUNTIFS(Formulas!$A$2:$A$1501,BG$4,Formulas!$B$2:$B$1501,$A133))</f>
        <v>0</v>
      </c>
      <c r="BH133" s="21" t="n">
        <f aca="false">IF(OR($A133="",BH$4=""),0,COUNTIFS(Formulas!$A$2:$A$1501,BH$4,Formulas!$B$2:$B$1501,$A133))</f>
        <v>0</v>
      </c>
      <c r="BI133" s="21" t="n">
        <f aca="false">IF(OR($A133="",BI$4=""),0,COUNTIFS(Formulas!$A$2:$A$1501,BI$4,Formulas!$B$2:$B$1501,$A133))</f>
        <v>0</v>
      </c>
      <c r="BJ133" s="21" t="n">
        <f aca="false">IF(OR($A133="",BJ$4=""),0,COUNTIFS(Formulas!$A$2:$A$1501,BJ$4,Formulas!$B$2:$B$1501,$A133))</f>
        <v>0</v>
      </c>
    </row>
    <row r="134" customFormat="false" ht="15" hidden="false" customHeight="false" outlineLevel="0" collapsed="false">
      <c r="A134" s="13" t="str">
        <f aca="false">IF(INDEX(Materials!$A$2:$A$201,130)="","",INDEX(Materials!$A$2:$A$201,130))</f>
        <v/>
      </c>
      <c r="B134" s="19" t="str">
        <f aca="false">IF(A134="","",COUNTIF(C134:BJ134,"&gt;0"))</f>
        <v/>
      </c>
      <c r="C134" s="21" t="n">
        <f aca="false">IF(OR($A134="",C$4=""),0,COUNTIFS(Formulas!$A$2:$A$1501,C$4,Formulas!$B$2:$B$1501,$A134))</f>
        <v>0</v>
      </c>
      <c r="D134" s="21" t="n">
        <f aca="false">IF(OR($A134="",D$4=""),0,COUNTIFS(Formulas!$A$2:$A$1501,D$4,Formulas!$B$2:$B$1501,$A134))</f>
        <v>0</v>
      </c>
      <c r="E134" s="21" t="n">
        <f aca="false">IF(OR($A134="",E$4=""),0,COUNTIFS(Formulas!$A$2:$A$1501,E$4,Formulas!$B$2:$B$1501,$A134))</f>
        <v>0</v>
      </c>
      <c r="F134" s="21" t="n">
        <f aca="false">IF(OR($A134="",F$4=""),0,COUNTIFS(Formulas!$A$2:$A$1501,F$4,Formulas!$B$2:$B$1501,$A134))</f>
        <v>0</v>
      </c>
      <c r="G134" s="21" t="n">
        <f aca="false">IF(OR($A134="",G$4=""),0,COUNTIFS(Formulas!$A$2:$A$1501,G$4,Formulas!$B$2:$B$1501,$A134))</f>
        <v>0</v>
      </c>
      <c r="H134" s="21" t="n">
        <f aca="false">IF(OR($A134="",H$4=""),0,COUNTIFS(Formulas!$A$2:$A$1501,H$4,Formulas!$B$2:$B$1501,$A134))</f>
        <v>0</v>
      </c>
      <c r="I134" s="21" t="n">
        <f aca="false">IF(OR($A134="",I$4=""),0,COUNTIFS(Formulas!$A$2:$A$1501,I$4,Formulas!$B$2:$B$1501,$A134))</f>
        <v>0</v>
      </c>
      <c r="J134" s="21" t="n">
        <f aca="false">IF(OR($A134="",J$4=""),0,COUNTIFS(Formulas!$A$2:$A$1501,J$4,Formulas!$B$2:$B$1501,$A134))</f>
        <v>0</v>
      </c>
      <c r="K134" s="21" t="n">
        <f aca="false">IF(OR($A134="",K$4=""),0,COUNTIFS(Formulas!$A$2:$A$1501,K$4,Formulas!$B$2:$B$1501,$A134))</f>
        <v>0</v>
      </c>
      <c r="L134" s="21" t="n">
        <f aca="false">IF(OR($A134="",L$4=""),0,COUNTIFS(Formulas!$A$2:$A$1501,L$4,Formulas!$B$2:$B$1501,$A134))</f>
        <v>0</v>
      </c>
      <c r="M134" s="21" t="n">
        <f aca="false">IF(OR($A134="",M$4=""),0,COUNTIFS(Formulas!$A$2:$A$1501,M$4,Formulas!$B$2:$B$1501,$A134))</f>
        <v>0</v>
      </c>
      <c r="N134" s="21" t="n">
        <f aca="false">IF(OR($A134="",N$4=""),0,COUNTIFS(Formulas!$A$2:$A$1501,N$4,Formulas!$B$2:$B$1501,$A134))</f>
        <v>0</v>
      </c>
      <c r="O134" s="21" t="n">
        <f aca="false">IF(OR($A134="",O$4=""),0,COUNTIFS(Formulas!$A$2:$A$1501,O$4,Formulas!$B$2:$B$1501,$A134))</f>
        <v>0</v>
      </c>
      <c r="P134" s="21" t="n">
        <f aca="false">IF(OR($A134="",P$4=""),0,COUNTIFS(Formulas!$A$2:$A$1501,P$4,Formulas!$B$2:$B$1501,$A134))</f>
        <v>0</v>
      </c>
      <c r="Q134" s="21" t="n">
        <f aca="false">IF(OR($A134="",Q$4=""),0,COUNTIFS(Formulas!$A$2:$A$1501,Q$4,Formulas!$B$2:$B$1501,$A134))</f>
        <v>0</v>
      </c>
      <c r="R134" s="21" t="n">
        <f aca="false">IF(OR($A134="",R$4=""),0,COUNTIFS(Formulas!$A$2:$A$1501,R$4,Formulas!$B$2:$B$1501,$A134))</f>
        <v>0</v>
      </c>
      <c r="S134" s="21" t="n">
        <f aca="false">IF(OR($A134="",S$4=""),0,COUNTIFS(Formulas!$A$2:$A$1501,S$4,Formulas!$B$2:$B$1501,$A134))</f>
        <v>0</v>
      </c>
      <c r="T134" s="21" t="n">
        <f aca="false">IF(OR($A134="",T$4=""),0,COUNTIFS(Formulas!$A$2:$A$1501,T$4,Formulas!$B$2:$B$1501,$A134))</f>
        <v>0</v>
      </c>
      <c r="U134" s="21" t="n">
        <f aca="false">IF(OR($A134="",U$4=""),0,COUNTIFS(Formulas!$A$2:$A$1501,U$4,Formulas!$B$2:$B$1501,$A134))</f>
        <v>0</v>
      </c>
      <c r="V134" s="21" t="n">
        <f aca="false">IF(OR($A134="",V$4=""),0,COUNTIFS(Formulas!$A$2:$A$1501,V$4,Formulas!$B$2:$B$1501,$A134))</f>
        <v>0</v>
      </c>
      <c r="W134" s="21" t="n">
        <f aca="false">IF(OR($A134="",W$4=""),0,COUNTIFS(Formulas!$A$2:$A$1501,W$4,Formulas!$B$2:$B$1501,$A134))</f>
        <v>0</v>
      </c>
      <c r="X134" s="21" t="n">
        <f aca="false">IF(OR($A134="",X$4=""),0,COUNTIFS(Formulas!$A$2:$A$1501,X$4,Formulas!$B$2:$B$1501,$A134))</f>
        <v>0</v>
      </c>
      <c r="Y134" s="21" t="n">
        <f aca="false">IF(OR($A134="",Y$4=""),0,COUNTIFS(Formulas!$A$2:$A$1501,Y$4,Formulas!$B$2:$B$1501,$A134))</f>
        <v>0</v>
      </c>
      <c r="Z134" s="21" t="n">
        <f aca="false">IF(OR($A134="",Z$4=""),0,COUNTIFS(Formulas!$A$2:$A$1501,Z$4,Formulas!$B$2:$B$1501,$A134))</f>
        <v>0</v>
      </c>
      <c r="AA134" s="21" t="n">
        <f aca="false">IF(OR($A134="",AA$4=""),0,COUNTIFS(Formulas!$A$2:$A$1501,AA$4,Formulas!$B$2:$B$1501,$A134))</f>
        <v>0</v>
      </c>
      <c r="AB134" s="21" t="n">
        <f aca="false">IF(OR($A134="",AB$4=""),0,COUNTIFS(Formulas!$A$2:$A$1501,AB$4,Formulas!$B$2:$B$1501,$A134))</f>
        <v>0</v>
      </c>
      <c r="AC134" s="21" t="n">
        <f aca="false">IF(OR($A134="",AC$4=""),0,COUNTIFS(Formulas!$A$2:$A$1501,AC$4,Formulas!$B$2:$B$1501,$A134))</f>
        <v>0</v>
      </c>
      <c r="AD134" s="21" t="n">
        <f aca="false">IF(OR($A134="",AD$4=""),0,COUNTIFS(Formulas!$A$2:$A$1501,AD$4,Formulas!$B$2:$B$1501,$A134))</f>
        <v>0</v>
      </c>
      <c r="AE134" s="21" t="n">
        <f aca="false">IF(OR($A134="",AE$4=""),0,COUNTIFS(Formulas!$A$2:$A$1501,AE$4,Formulas!$B$2:$B$1501,$A134))</f>
        <v>0</v>
      </c>
      <c r="AF134" s="21" t="n">
        <f aca="false">IF(OR($A134="",AF$4=""),0,COUNTIFS(Formulas!$A$2:$A$1501,AF$4,Formulas!$B$2:$B$1501,$A134))</f>
        <v>0</v>
      </c>
      <c r="AG134" s="21" t="n">
        <f aca="false">IF(OR($A134="",AG$4=""),0,COUNTIFS(Formulas!$A$2:$A$1501,AG$4,Formulas!$B$2:$B$1501,$A134))</f>
        <v>0</v>
      </c>
      <c r="AH134" s="21" t="n">
        <f aca="false">IF(OR($A134="",AH$4=""),0,COUNTIFS(Formulas!$A$2:$A$1501,AH$4,Formulas!$B$2:$B$1501,$A134))</f>
        <v>0</v>
      </c>
      <c r="AI134" s="21" t="n">
        <f aca="false">IF(OR($A134="",AI$4=""),0,COUNTIFS(Formulas!$A$2:$A$1501,AI$4,Formulas!$B$2:$B$1501,$A134))</f>
        <v>0</v>
      </c>
      <c r="AJ134" s="21" t="n">
        <f aca="false">IF(OR($A134="",AJ$4=""),0,COUNTIFS(Formulas!$A$2:$A$1501,AJ$4,Formulas!$B$2:$B$1501,$A134))</f>
        <v>0</v>
      </c>
      <c r="AK134" s="21" t="n">
        <f aca="false">IF(OR($A134="",AK$4=""),0,COUNTIFS(Formulas!$A$2:$A$1501,AK$4,Formulas!$B$2:$B$1501,$A134))</f>
        <v>0</v>
      </c>
      <c r="AL134" s="21" t="n">
        <f aca="false">IF(OR($A134="",AL$4=""),0,COUNTIFS(Formulas!$A$2:$A$1501,AL$4,Formulas!$B$2:$B$1501,$A134))</f>
        <v>0</v>
      </c>
      <c r="AM134" s="21" t="n">
        <f aca="false">IF(OR($A134="",AM$4=""),0,COUNTIFS(Formulas!$A$2:$A$1501,AM$4,Formulas!$B$2:$B$1501,$A134))</f>
        <v>0</v>
      </c>
      <c r="AN134" s="21" t="n">
        <f aca="false">IF(OR($A134="",AN$4=""),0,COUNTIFS(Formulas!$A$2:$A$1501,AN$4,Formulas!$B$2:$B$1501,$A134))</f>
        <v>0</v>
      </c>
      <c r="AO134" s="21" t="n">
        <f aca="false">IF(OR($A134="",AO$4=""),0,COUNTIFS(Formulas!$A$2:$A$1501,AO$4,Formulas!$B$2:$B$1501,$A134))</f>
        <v>0</v>
      </c>
      <c r="AP134" s="21" t="n">
        <f aca="false">IF(OR($A134="",AP$4=""),0,COUNTIFS(Formulas!$A$2:$A$1501,AP$4,Formulas!$B$2:$B$1501,$A134))</f>
        <v>0</v>
      </c>
      <c r="AQ134" s="21" t="n">
        <f aca="false">IF(OR($A134="",AQ$4=""),0,COUNTIFS(Formulas!$A$2:$A$1501,AQ$4,Formulas!$B$2:$B$1501,$A134))</f>
        <v>0</v>
      </c>
      <c r="AR134" s="21" t="n">
        <f aca="false">IF(OR($A134="",AR$4=""),0,COUNTIFS(Formulas!$A$2:$A$1501,AR$4,Formulas!$B$2:$B$1501,$A134))</f>
        <v>0</v>
      </c>
      <c r="AS134" s="21" t="n">
        <f aca="false">IF(OR($A134="",AS$4=""),0,COUNTIFS(Formulas!$A$2:$A$1501,AS$4,Formulas!$B$2:$B$1501,$A134))</f>
        <v>0</v>
      </c>
      <c r="AT134" s="21" t="n">
        <f aca="false">IF(OR($A134="",AT$4=""),0,COUNTIFS(Formulas!$A$2:$A$1501,AT$4,Formulas!$B$2:$B$1501,$A134))</f>
        <v>0</v>
      </c>
      <c r="AU134" s="21" t="n">
        <f aca="false">IF(OR($A134="",AU$4=""),0,COUNTIFS(Formulas!$A$2:$A$1501,AU$4,Formulas!$B$2:$B$1501,$A134))</f>
        <v>0</v>
      </c>
      <c r="AV134" s="21" t="n">
        <f aca="false">IF(OR($A134="",AV$4=""),0,COUNTIFS(Formulas!$A$2:$A$1501,AV$4,Formulas!$B$2:$B$1501,$A134))</f>
        <v>0</v>
      </c>
      <c r="AW134" s="21" t="n">
        <f aca="false">IF(OR($A134="",AW$4=""),0,COUNTIFS(Formulas!$A$2:$A$1501,AW$4,Formulas!$B$2:$B$1501,$A134))</f>
        <v>0</v>
      </c>
      <c r="AX134" s="21" t="n">
        <f aca="false">IF(OR($A134="",AX$4=""),0,COUNTIFS(Formulas!$A$2:$A$1501,AX$4,Formulas!$B$2:$B$1501,$A134))</f>
        <v>0</v>
      </c>
      <c r="AY134" s="21" t="n">
        <f aca="false">IF(OR($A134="",AY$4=""),0,COUNTIFS(Formulas!$A$2:$A$1501,AY$4,Formulas!$B$2:$B$1501,$A134))</f>
        <v>0</v>
      </c>
      <c r="AZ134" s="21" t="n">
        <f aca="false">IF(OR($A134="",AZ$4=""),0,COUNTIFS(Formulas!$A$2:$A$1501,AZ$4,Formulas!$B$2:$B$1501,$A134))</f>
        <v>0</v>
      </c>
      <c r="BA134" s="21" t="n">
        <f aca="false">IF(OR($A134="",BA$4=""),0,COUNTIFS(Formulas!$A$2:$A$1501,BA$4,Formulas!$B$2:$B$1501,$A134))</f>
        <v>0</v>
      </c>
      <c r="BB134" s="21" t="n">
        <f aca="false">IF(OR($A134="",BB$4=""),0,COUNTIFS(Formulas!$A$2:$A$1501,BB$4,Formulas!$B$2:$B$1501,$A134))</f>
        <v>0</v>
      </c>
      <c r="BC134" s="21" t="n">
        <f aca="false">IF(OR($A134="",BC$4=""),0,COUNTIFS(Formulas!$A$2:$A$1501,BC$4,Formulas!$B$2:$B$1501,$A134))</f>
        <v>0</v>
      </c>
      <c r="BD134" s="21" t="n">
        <f aca="false">IF(OR($A134="",BD$4=""),0,COUNTIFS(Formulas!$A$2:$A$1501,BD$4,Formulas!$B$2:$B$1501,$A134))</f>
        <v>0</v>
      </c>
      <c r="BE134" s="21" t="n">
        <f aca="false">IF(OR($A134="",BE$4=""),0,COUNTIFS(Formulas!$A$2:$A$1501,BE$4,Formulas!$B$2:$B$1501,$A134))</f>
        <v>0</v>
      </c>
      <c r="BF134" s="21" t="n">
        <f aca="false">IF(OR($A134="",BF$4=""),0,COUNTIFS(Formulas!$A$2:$A$1501,BF$4,Formulas!$B$2:$B$1501,$A134))</f>
        <v>0</v>
      </c>
      <c r="BG134" s="21" t="n">
        <f aca="false">IF(OR($A134="",BG$4=""),0,COUNTIFS(Formulas!$A$2:$A$1501,BG$4,Formulas!$B$2:$B$1501,$A134))</f>
        <v>0</v>
      </c>
      <c r="BH134" s="21" t="n">
        <f aca="false">IF(OR($A134="",BH$4=""),0,COUNTIFS(Formulas!$A$2:$A$1501,BH$4,Formulas!$B$2:$B$1501,$A134))</f>
        <v>0</v>
      </c>
      <c r="BI134" s="21" t="n">
        <f aca="false">IF(OR($A134="",BI$4=""),0,COUNTIFS(Formulas!$A$2:$A$1501,BI$4,Formulas!$B$2:$B$1501,$A134))</f>
        <v>0</v>
      </c>
      <c r="BJ134" s="21" t="n">
        <f aca="false">IF(OR($A134="",BJ$4=""),0,COUNTIFS(Formulas!$A$2:$A$1501,BJ$4,Formulas!$B$2:$B$1501,$A134))</f>
        <v>0</v>
      </c>
    </row>
    <row r="135" customFormat="false" ht="15" hidden="false" customHeight="false" outlineLevel="0" collapsed="false">
      <c r="A135" s="13" t="str">
        <f aca="false">IF(INDEX(Materials!$A$2:$A$201,131)="","",INDEX(Materials!$A$2:$A$201,131))</f>
        <v/>
      </c>
      <c r="B135" s="19" t="str">
        <f aca="false">IF(A135="","",COUNTIF(C135:BJ135,"&gt;0"))</f>
        <v/>
      </c>
      <c r="C135" s="21" t="n">
        <f aca="false">IF(OR($A135="",C$4=""),0,COUNTIFS(Formulas!$A$2:$A$1501,C$4,Formulas!$B$2:$B$1501,$A135))</f>
        <v>0</v>
      </c>
      <c r="D135" s="21" t="n">
        <f aca="false">IF(OR($A135="",D$4=""),0,COUNTIFS(Formulas!$A$2:$A$1501,D$4,Formulas!$B$2:$B$1501,$A135))</f>
        <v>0</v>
      </c>
      <c r="E135" s="21" t="n">
        <f aca="false">IF(OR($A135="",E$4=""),0,COUNTIFS(Formulas!$A$2:$A$1501,E$4,Formulas!$B$2:$B$1501,$A135))</f>
        <v>0</v>
      </c>
      <c r="F135" s="21" t="n">
        <f aca="false">IF(OR($A135="",F$4=""),0,COUNTIFS(Formulas!$A$2:$A$1501,F$4,Formulas!$B$2:$B$1501,$A135))</f>
        <v>0</v>
      </c>
      <c r="G135" s="21" t="n">
        <f aca="false">IF(OR($A135="",G$4=""),0,COUNTIFS(Formulas!$A$2:$A$1501,G$4,Formulas!$B$2:$B$1501,$A135))</f>
        <v>0</v>
      </c>
      <c r="H135" s="21" t="n">
        <f aca="false">IF(OR($A135="",H$4=""),0,COUNTIFS(Formulas!$A$2:$A$1501,H$4,Formulas!$B$2:$B$1501,$A135))</f>
        <v>0</v>
      </c>
      <c r="I135" s="21" t="n">
        <f aca="false">IF(OR($A135="",I$4=""),0,COUNTIFS(Formulas!$A$2:$A$1501,I$4,Formulas!$B$2:$B$1501,$A135))</f>
        <v>0</v>
      </c>
      <c r="J135" s="21" t="n">
        <f aca="false">IF(OR($A135="",J$4=""),0,COUNTIFS(Formulas!$A$2:$A$1501,J$4,Formulas!$B$2:$B$1501,$A135))</f>
        <v>0</v>
      </c>
      <c r="K135" s="21" t="n">
        <f aca="false">IF(OR($A135="",K$4=""),0,COUNTIFS(Formulas!$A$2:$A$1501,K$4,Formulas!$B$2:$B$1501,$A135))</f>
        <v>0</v>
      </c>
      <c r="L135" s="21" t="n">
        <f aca="false">IF(OR($A135="",L$4=""),0,COUNTIFS(Formulas!$A$2:$A$1501,L$4,Formulas!$B$2:$B$1501,$A135))</f>
        <v>0</v>
      </c>
      <c r="M135" s="21" t="n">
        <f aca="false">IF(OR($A135="",M$4=""),0,COUNTIFS(Formulas!$A$2:$A$1501,M$4,Formulas!$B$2:$B$1501,$A135))</f>
        <v>0</v>
      </c>
      <c r="N135" s="21" t="n">
        <f aca="false">IF(OR($A135="",N$4=""),0,COUNTIFS(Formulas!$A$2:$A$1501,N$4,Formulas!$B$2:$B$1501,$A135))</f>
        <v>0</v>
      </c>
      <c r="O135" s="21" t="n">
        <f aca="false">IF(OR($A135="",O$4=""),0,COUNTIFS(Formulas!$A$2:$A$1501,O$4,Formulas!$B$2:$B$1501,$A135))</f>
        <v>0</v>
      </c>
      <c r="P135" s="21" t="n">
        <f aca="false">IF(OR($A135="",P$4=""),0,COUNTIFS(Formulas!$A$2:$A$1501,P$4,Formulas!$B$2:$B$1501,$A135))</f>
        <v>0</v>
      </c>
      <c r="Q135" s="21" t="n">
        <f aca="false">IF(OR($A135="",Q$4=""),0,COUNTIFS(Formulas!$A$2:$A$1501,Q$4,Formulas!$B$2:$B$1501,$A135))</f>
        <v>0</v>
      </c>
      <c r="R135" s="21" t="n">
        <f aca="false">IF(OR($A135="",R$4=""),0,COUNTIFS(Formulas!$A$2:$A$1501,R$4,Formulas!$B$2:$B$1501,$A135))</f>
        <v>0</v>
      </c>
      <c r="S135" s="21" t="n">
        <f aca="false">IF(OR($A135="",S$4=""),0,COUNTIFS(Formulas!$A$2:$A$1501,S$4,Formulas!$B$2:$B$1501,$A135))</f>
        <v>0</v>
      </c>
      <c r="T135" s="21" t="n">
        <f aca="false">IF(OR($A135="",T$4=""),0,COUNTIFS(Formulas!$A$2:$A$1501,T$4,Formulas!$B$2:$B$1501,$A135))</f>
        <v>0</v>
      </c>
      <c r="U135" s="21" t="n">
        <f aca="false">IF(OR($A135="",U$4=""),0,COUNTIFS(Formulas!$A$2:$A$1501,U$4,Formulas!$B$2:$B$1501,$A135))</f>
        <v>0</v>
      </c>
      <c r="V135" s="21" t="n">
        <f aca="false">IF(OR($A135="",V$4=""),0,COUNTIFS(Formulas!$A$2:$A$1501,V$4,Formulas!$B$2:$B$1501,$A135))</f>
        <v>0</v>
      </c>
      <c r="W135" s="21" t="n">
        <f aca="false">IF(OR($A135="",W$4=""),0,COUNTIFS(Formulas!$A$2:$A$1501,W$4,Formulas!$B$2:$B$1501,$A135))</f>
        <v>0</v>
      </c>
      <c r="X135" s="21" t="n">
        <f aca="false">IF(OR($A135="",X$4=""),0,COUNTIFS(Formulas!$A$2:$A$1501,X$4,Formulas!$B$2:$B$1501,$A135))</f>
        <v>0</v>
      </c>
      <c r="Y135" s="21" t="n">
        <f aca="false">IF(OR($A135="",Y$4=""),0,COUNTIFS(Formulas!$A$2:$A$1501,Y$4,Formulas!$B$2:$B$1501,$A135))</f>
        <v>0</v>
      </c>
      <c r="Z135" s="21" t="n">
        <f aca="false">IF(OR($A135="",Z$4=""),0,COUNTIFS(Formulas!$A$2:$A$1501,Z$4,Formulas!$B$2:$B$1501,$A135))</f>
        <v>0</v>
      </c>
      <c r="AA135" s="21" t="n">
        <f aca="false">IF(OR($A135="",AA$4=""),0,COUNTIFS(Formulas!$A$2:$A$1501,AA$4,Formulas!$B$2:$B$1501,$A135))</f>
        <v>0</v>
      </c>
      <c r="AB135" s="21" t="n">
        <f aca="false">IF(OR($A135="",AB$4=""),0,COUNTIFS(Formulas!$A$2:$A$1501,AB$4,Formulas!$B$2:$B$1501,$A135))</f>
        <v>0</v>
      </c>
      <c r="AC135" s="21" t="n">
        <f aca="false">IF(OR($A135="",AC$4=""),0,COUNTIFS(Formulas!$A$2:$A$1501,AC$4,Formulas!$B$2:$B$1501,$A135))</f>
        <v>0</v>
      </c>
      <c r="AD135" s="21" t="n">
        <f aca="false">IF(OR($A135="",AD$4=""),0,COUNTIFS(Formulas!$A$2:$A$1501,AD$4,Formulas!$B$2:$B$1501,$A135))</f>
        <v>0</v>
      </c>
      <c r="AE135" s="21" t="n">
        <f aca="false">IF(OR($A135="",AE$4=""),0,COUNTIFS(Formulas!$A$2:$A$1501,AE$4,Formulas!$B$2:$B$1501,$A135))</f>
        <v>0</v>
      </c>
      <c r="AF135" s="21" t="n">
        <f aca="false">IF(OR($A135="",AF$4=""),0,COUNTIFS(Formulas!$A$2:$A$1501,AF$4,Formulas!$B$2:$B$1501,$A135))</f>
        <v>0</v>
      </c>
      <c r="AG135" s="21" t="n">
        <f aca="false">IF(OR($A135="",AG$4=""),0,COUNTIFS(Formulas!$A$2:$A$1501,AG$4,Formulas!$B$2:$B$1501,$A135))</f>
        <v>0</v>
      </c>
      <c r="AH135" s="21" t="n">
        <f aca="false">IF(OR($A135="",AH$4=""),0,COUNTIFS(Formulas!$A$2:$A$1501,AH$4,Formulas!$B$2:$B$1501,$A135))</f>
        <v>0</v>
      </c>
      <c r="AI135" s="21" t="n">
        <f aca="false">IF(OR($A135="",AI$4=""),0,COUNTIFS(Formulas!$A$2:$A$1501,AI$4,Formulas!$B$2:$B$1501,$A135))</f>
        <v>0</v>
      </c>
      <c r="AJ135" s="21" t="n">
        <f aca="false">IF(OR($A135="",AJ$4=""),0,COUNTIFS(Formulas!$A$2:$A$1501,AJ$4,Formulas!$B$2:$B$1501,$A135))</f>
        <v>0</v>
      </c>
      <c r="AK135" s="21" t="n">
        <f aca="false">IF(OR($A135="",AK$4=""),0,COUNTIFS(Formulas!$A$2:$A$1501,AK$4,Formulas!$B$2:$B$1501,$A135))</f>
        <v>0</v>
      </c>
      <c r="AL135" s="21" t="n">
        <f aca="false">IF(OR($A135="",AL$4=""),0,COUNTIFS(Formulas!$A$2:$A$1501,AL$4,Formulas!$B$2:$B$1501,$A135))</f>
        <v>0</v>
      </c>
      <c r="AM135" s="21" t="n">
        <f aca="false">IF(OR($A135="",AM$4=""),0,COUNTIFS(Formulas!$A$2:$A$1501,AM$4,Formulas!$B$2:$B$1501,$A135))</f>
        <v>0</v>
      </c>
      <c r="AN135" s="21" t="n">
        <f aca="false">IF(OR($A135="",AN$4=""),0,COUNTIFS(Formulas!$A$2:$A$1501,AN$4,Formulas!$B$2:$B$1501,$A135))</f>
        <v>0</v>
      </c>
      <c r="AO135" s="21" t="n">
        <f aca="false">IF(OR($A135="",AO$4=""),0,COUNTIFS(Formulas!$A$2:$A$1501,AO$4,Formulas!$B$2:$B$1501,$A135))</f>
        <v>0</v>
      </c>
      <c r="AP135" s="21" t="n">
        <f aca="false">IF(OR($A135="",AP$4=""),0,COUNTIFS(Formulas!$A$2:$A$1501,AP$4,Formulas!$B$2:$B$1501,$A135))</f>
        <v>0</v>
      </c>
      <c r="AQ135" s="21" t="n">
        <f aca="false">IF(OR($A135="",AQ$4=""),0,COUNTIFS(Formulas!$A$2:$A$1501,AQ$4,Formulas!$B$2:$B$1501,$A135))</f>
        <v>0</v>
      </c>
      <c r="AR135" s="21" t="n">
        <f aca="false">IF(OR($A135="",AR$4=""),0,COUNTIFS(Formulas!$A$2:$A$1501,AR$4,Formulas!$B$2:$B$1501,$A135))</f>
        <v>0</v>
      </c>
      <c r="AS135" s="21" t="n">
        <f aca="false">IF(OR($A135="",AS$4=""),0,COUNTIFS(Formulas!$A$2:$A$1501,AS$4,Formulas!$B$2:$B$1501,$A135))</f>
        <v>0</v>
      </c>
      <c r="AT135" s="21" t="n">
        <f aca="false">IF(OR($A135="",AT$4=""),0,COUNTIFS(Formulas!$A$2:$A$1501,AT$4,Formulas!$B$2:$B$1501,$A135))</f>
        <v>0</v>
      </c>
      <c r="AU135" s="21" t="n">
        <f aca="false">IF(OR($A135="",AU$4=""),0,COUNTIFS(Formulas!$A$2:$A$1501,AU$4,Formulas!$B$2:$B$1501,$A135))</f>
        <v>0</v>
      </c>
      <c r="AV135" s="21" t="n">
        <f aca="false">IF(OR($A135="",AV$4=""),0,COUNTIFS(Formulas!$A$2:$A$1501,AV$4,Formulas!$B$2:$B$1501,$A135))</f>
        <v>0</v>
      </c>
      <c r="AW135" s="21" t="n">
        <f aca="false">IF(OR($A135="",AW$4=""),0,COUNTIFS(Formulas!$A$2:$A$1501,AW$4,Formulas!$B$2:$B$1501,$A135))</f>
        <v>0</v>
      </c>
      <c r="AX135" s="21" t="n">
        <f aca="false">IF(OR($A135="",AX$4=""),0,COUNTIFS(Formulas!$A$2:$A$1501,AX$4,Formulas!$B$2:$B$1501,$A135))</f>
        <v>0</v>
      </c>
      <c r="AY135" s="21" t="n">
        <f aca="false">IF(OR($A135="",AY$4=""),0,COUNTIFS(Formulas!$A$2:$A$1501,AY$4,Formulas!$B$2:$B$1501,$A135))</f>
        <v>0</v>
      </c>
      <c r="AZ135" s="21" t="n">
        <f aca="false">IF(OR($A135="",AZ$4=""),0,COUNTIFS(Formulas!$A$2:$A$1501,AZ$4,Formulas!$B$2:$B$1501,$A135))</f>
        <v>0</v>
      </c>
      <c r="BA135" s="21" t="n">
        <f aca="false">IF(OR($A135="",BA$4=""),0,COUNTIFS(Formulas!$A$2:$A$1501,BA$4,Formulas!$B$2:$B$1501,$A135))</f>
        <v>0</v>
      </c>
      <c r="BB135" s="21" t="n">
        <f aca="false">IF(OR($A135="",BB$4=""),0,COUNTIFS(Formulas!$A$2:$A$1501,BB$4,Formulas!$B$2:$B$1501,$A135))</f>
        <v>0</v>
      </c>
      <c r="BC135" s="21" t="n">
        <f aca="false">IF(OR($A135="",BC$4=""),0,COUNTIFS(Formulas!$A$2:$A$1501,BC$4,Formulas!$B$2:$B$1501,$A135))</f>
        <v>0</v>
      </c>
      <c r="BD135" s="21" t="n">
        <f aca="false">IF(OR($A135="",BD$4=""),0,COUNTIFS(Formulas!$A$2:$A$1501,BD$4,Formulas!$B$2:$B$1501,$A135))</f>
        <v>0</v>
      </c>
      <c r="BE135" s="21" t="n">
        <f aca="false">IF(OR($A135="",BE$4=""),0,COUNTIFS(Formulas!$A$2:$A$1501,BE$4,Formulas!$B$2:$B$1501,$A135))</f>
        <v>0</v>
      </c>
      <c r="BF135" s="21" t="n">
        <f aca="false">IF(OR($A135="",BF$4=""),0,COUNTIFS(Formulas!$A$2:$A$1501,BF$4,Formulas!$B$2:$B$1501,$A135))</f>
        <v>0</v>
      </c>
      <c r="BG135" s="21" t="n">
        <f aca="false">IF(OR($A135="",BG$4=""),0,COUNTIFS(Formulas!$A$2:$A$1501,BG$4,Formulas!$B$2:$B$1501,$A135))</f>
        <v>0</v>
      </c>
      <c r="BH135" s="21" t="n">
        <f aca="false">IF(OR($A135="",BH$4=""),0,COUNTIFS(Formulas!$A$2:$A$1501,BH$4,Formulas!$B$2:$B$1501,$A135))</f>
        <v>0</v>
      </c>
      <c r="BI135" s="21" t="n">
        <f aca="false">IF(OR($A135="",BI$4=""),0,COUNTIFS(Formulas!$A$2:$A$1501,BI$4,Formulas!$B$2:$B$1501,$A135))</f>
        <v>0</v>
      </c>
      <c r="BJ135" s="21" t="n">
        <f aca="false">IF(OR($A135="",BJ$4=""),0,COUNTIFS(Formulas!$A$2:$A$1501,BJ$4,Formulas!$B$2:$B$1501,$A135))</f>
        <v>0</v>
      </c>
    </row>
    <row r="136" customFormat="false" ht="15" hidden="false" customHeight="false" outlineLevel="0" collapsed="false">
      <c r="A136" s="13" t="str">
        <f aca="false">IF(INDEX(Materials!$A$2:$A$201,132)="","",INDEX(Materials!$A$2:$A$201,132))</f>
        <v/>
      </c>
      <c r="B136" s="19" t="str">
        <f aca="false">IF(A136="","",COUNTIF(C136:BJ136,"&gt;0"))</f>
        <v/>
      </c>
      <c r="C136" s="21" t="n">
        <f aca="false">IF(OR($A136="",C$4=""),0,COUNTIFS(Formulas!$A$2:$A$1501,C$4,Formulas!$B$2:$B$1501,$A136))</f>
        <v>0</v>
      </c>
      <c r="D136" s="21" t="n">
        <f aca="false">IF(OR($A136="",D$4=""),0,COUNTIFS(Formulas!$A$2:$A$1501,D$4,Formulas!$B$2:$B$1501,$A136))</f>
        <v>0</v>
      </c>
      <c r="E136" s="21" t="n">
        <f aca="false">IF(OR($A136="",E$4=""),0,COUNTIFS(Formulas!$A$2:$A$1501,E$4,Formulas!$B$2:$B$1501,$A136))</f>
        <v>0</v>
      </c>
      <c r="F136" s="21" t="n">
        <f aca="false">IF(OR($A136="",F$4=""),0,COUNTIFS(Formulas!$A$2:$A$1501,F$4,Formulas!$B$2:$B$1501,$A136))</f>
        <v>0</v>
      </c>
      <c r="G136" s="21" t="n">
        <f aca="false">IF(OR($A136="",G$4=""),0,COUNTIFS(Formulas!$A$2:$A$1501,G$4,Formulas!$B$2:$B$1501,$A136))</f>
        <v>0</v>
      </c>
      <c r="H136" s="21" t="n">
        <f aca="false">IF(OR($A136="",H$4=""),0,COUNTIFS(Formulas!$A$2:$A$1501,H$4,Formulas!$B$2:$B$1501,$A136))</f>
        <v>0</v>
      </c>
      <c r="I136" s="21" t="n">
        <f aca="false">IF(OR($A136="",I$4=""),0,COUNTIFS(Formulas!$A$2:$A$1501,I$4,Formulas!$B$2:$B$1501,$A136))</f>
        <v>0</v>
      </c>
      <c r="J136" s="21" t="n">
        <f aca="false">IF(OR($A136="",J$4=""),0,COUNTIFS(Formulas!$A$2:$A$1501,J$4,Formulas!$B$2:$B$1501,$A136))</f>
        <v>0</v>
      </c>
      <c r="K136" s="21" t="n">
        <f aca="false">IF(OR($A136="",K$4=""),0,COUNTIFS(Formulas!$A$2:$A$1501,K$4,Formulas!$B$2:$B$1501,$A136))</f>
        <v>0</v>
      </c>
      <c r="L136" s="21" t="n">
        <f aca="false">IF(OR($A136="",L$4=""),0,COUNTIFS(Formulas!$A$2:$A$1501,L$4,Formulas!$B$2:$B$1501,$A136))</f>
        <v>0</v>
      </c>
      <c r="M136" s="21" t="n">
        <f aca="false">IF(OR($A136="",M$4=""),0,COUNTIFS(Formulas!$A$2:$A$1501,M$4,Formulas!$B$2:$B$1501,$A136))</f>
        <v>0</v>
      </c>
      <c r="N136" s="21" t="n">
        <f aca="false">IF(OR($A136="",N$4=""),0,COUNTIFS(Formulas!$A$2:$A$1501,N$4,Formulas!$B$2:$B$1501,$A136))</f>
        <v>0</v>
      </c>
      <c r="O136" s="21" t="n">
        <f aca="false">IF(OR($A136="",O$4=""),0,COUNTIFS(Formulas!$A$2:$A$1501,O$4,Formulas!$B$2:$B$1501,$A136))</f>
        <v>0</v>
      </c>
      <c r="P136" s="21" t="n">
        <f aca="false">IF(OR($A136="",P$4=""),0,COUNTIFS(Formulas!$A$2:$A$1501,P$4,Formulas!$B$2:$B$1501,$A136))</f>
        <v>0</v>
      </c>
      <c r="Q136" s="21" t="n">
        <f aca="false">IF(OR($A136="",Q$4=""),0,COUNTIFS(Formulas!$A$2:$A$1501,Q$4,Formulas!$B$2:$B$1501,$A136))</f>
        <v>0</v>
      </c>
      <c r="R136" s="21" t="n">
        <f aca="false">IF(OR($A136="",R$4=""),0,COUNTIFS(Formulas!$A$2:$A$1501,R$4,Formulas!$B$2:$B$1501,$A136))</f>
        <v>0</v>
      </c>
      <c r="S136" s="21" t="n">
        <f aca="false">IF(OR($A136="",S$4=""),0,COUNTIFS(Formulas!$A$2:$A$1501,S$4,Formulas!$B$2:$B$1501,$A136))</f>
        <v>0</v>
      </c>
      <c r="T136" s="21" t="n">
        <f aca="false">IF(OR($A136="",T$4=""),0,COUNTIFS(Formulas!$A$2:$A$1501,T$4,Formulas!$B$2:$B$1501,$A136))</f>
        <v>0</v>
      </c>
      <c r="U136" s="21" t="n">
        <f aca="false">IF(OR($A136="",U$4=""),0,COUNTIFS(Formulas!$A$2:$A$1501,U$4,Formulas!$B$2:$B$1501,$A136))</f>
        <v>0</v>
      </c>
      <c r="V136" s="21" t="n">
        <f aca="false">IF(OR($A136="",V$4=""),0,COUNTIFS(Formulas!$A$2:$A$1501,V$4,Formulas!$B$2:$B$1501,$A136))</f>
        <v>0</v>
      </c>
      <c r="W136" s="21" t="n">
        <f aca="false">IF(OR($A136="",W$4=""),0,COUNTIFS(Formulas!$A$2:$A$1501,W$4,Formulas!$B$2:$B$1501,$A136))</f>
        <v>0</v>
      </c>
      <c r="X136" s="21" t="n">
        <f aca="false">IF(OR($A136="",X$4=""),0,COUNTIFS(Formulas!$A$2:$A$1501,X$4,Formulas!$B$2:$B$1501,$A136))</f>
        <v>0</v>
      </c>
      <c r="Y136" s="21" t="n">
        <f aca="false">IF(OR($A136="",Y$4=""),0,COUNTIFS(Formulas!$A$2:$A$1501,Y$4,Formulas!$B$2:$B$1501,$A136))</f>
        <v>0</v>
      </c>
      <c r="Z136" s="21" t="n">
        <f aca="false">IF(OR($A136="",Z$4=""),0,COUNTIFS(Formulas!$A$2:$A$1501,Z$4,Formulas!$B$2:$B$1501,$A136))</f>
        <v>0</v>
      </c>
      <c r="AA136" s="21" t="n">
        <f aca="false">IF(OR($A136="",AA$4=""),0,COUNTIFS(Formulas!$A$2:$A$1501,AA$4,Formulas!$B$2:$B$1501,$A136))</f>
        <v>0</v>
      </c>
      <c r="AB136" s="21" t="n">
        <f aca="false">IF(OR($A136="",AB$4=""),0,COUNTIFS(Formulas!$A$2:$A$1501,AB$4,Formulas!$B$2:$B$1501,$A136))</f>
        <v>0</v>
      </c>
      <c r="AC136" s="21" t="n">
        <f aca="false">IF(OR($A136="",AC$4=""),0,COUNTIFS(Formulas!$A$2:$A$1501,AC$4,Formulas!$B$2:$B$1501,$A136))</f>
        <v>0</v>
      </c>
      <c r="AD136" s="21" t="n">
        <f aca="false">IF(OR($A136="",AD$4=""),0,COUNTIFS(Formulas!$A$2:$A$1501,AD$4,Formulas!$B$2:$B$1501,$A136))</f>
        <v>0</v>
      </c>
      <c r="AE136" s="21" t="n">
        <f aca="false">IF(OR($A136="",AE$4=""),0,COUNTIFS(Formulas!$A$2:$A$1501,AE$4,Formulas!$B$2:$B$1501,$A136))</f>
        <v>0</v>
      </c>
      <c r="AF136" s="21" t="n">
        <f aca="false">IF(OR($A136="",AF$4=""),0,COUNTIFS(Formulas!$A$2:$A$1501,AF$4,Formulas!$B$2:$B$1501,$A136))</f>
        <v>0</v>
      </c>
      <c r="AG136" s="21" t="n">
        <f aca="false">IF(OR($A136="",AG$4=""),0,COUNTIFS(Formulas!$A$2:$A$1501,AG$4,Formulas!$B$2:$B$1501,$A136))</f>
        <v>0</v>
      </c>
      <c r="AH136" s="21" t="n">
        <f aca="false">IF(OR($A136="",AH$4=""),0,COUNTIFS(Formulas!$A$2:$A$1501,AH$4,Formulas!$B$2:$B$1501,$A136))</f>
        <v>0</v>
      </c>
      <c r="AI136" s="21" t="n">
        <f aca="false">IF(OR($A136="",AI$4=""),0,COUNTIFS(Formulas!$A$2:$A$1501,AI$4,Formulas!$B$2:$B$1501,$A136))</f>
        <v>0</v>
      </c>
      <c r="AJ136" s="21" t="n">
        <f aca="false">IF(OR($A136="",AJ$4=""),0,COUNTIFS(Formulas!$A$2:$A$1501,AJ$4,Formulas!$B$2:$B$1501,$A136))</f>
        <v>0</v>
      </c>
      <c r="AK136" s="21" t="n">
        <f aca="false">IF(OR($A136="",AK$4=""),0,COUNTIFS(Formulas!$A$2:$A$1501,AK$4,Formulas!$B$2:$B$1501,$A136))</f>
        <v>0</v>
      </c>
      <c r="AL136" s="21" t="n">
        <f aca="false">IF(OR($A136="",AL$4=""),0,COUNTIFS(Formulas!$A$2:$A$1501,AL$4,Formulas!$B$2:$B$1501,$A136))</f>
        <v>0</v>
      </c>
      <c r="AM136" s="21" t="n">
        <f aca="false">IF(OR($A136="",AM$4=""),0,COUNTIFS(Formulas!$A$2:$A$1501,AM$4,Formulas!$B$2:$B$1501,$A136))</f>
        <v>0</v>
      </c>
      <c r="AN136" s="21" t="n">
        <f aca="false">IF(OR($A136="",AN$4=""),0,COUNTIFS(Formulas!$A$2:$A$1501,AN$4,Formulas!$B$2:$B$1501,$A136))</f>
        <v>0</v>
      </c>
      <c r="AO136" s="21" t="n">
        <f aca="false">IF(OR($A136="",AO$4=""),0,COUNTIFS(Formulas!$A$2:$A$1501,AO$4,Formulas!$B$2:$B$1501,$A136))</f>
        <v>0</v>
      </c>
      <c r="AP136" s="21" t="n">
        <f aca="false">IF(OR($A136="",AP$4=""),0,COUNTIFS(Formulas!$A$2:$A$1501,AP$4,Formulas!$B$2:$B$1501,$A136))</f>
        <v>0</v>
      </c>
      <c r="AQ136" s="21" t="n">
        <f aca="false">IF(OR($A136="",AQ$4=""),0,COUNTIFS(Formulas!$A$2:$A$1501,AQ$4,Formulas!$B$2:$B$1501,$A136))</f>
        <v>0</v>
      </c>
      <c r="AR136" s="21" t="n">
        <f aca="false">IF(OR($A136="",AR$4=""),0,COUNTIFS(Formulas!$A$2:$A$1501,AR$4,Formulas!$B$2:$B$1501,$A136))</f>
        <v>0</v>
      </c>
      <c r="AS136" s="21" t="n">
        <f aca="false">IF(OR($A136="",AS$4=""),0,COUNTIFS(Formulas!$A$2:$A$1501,AS$4,Formulas!$B$2:$B$1501,$A136))</f>
        <v>0</v>
      </c>
      <c r="AT136" s="21" t="n">
        <f aca="false">IF(OR($A136="",AT$4=""),0,COUNTIFS(Formulas!$A$2:$A$1501,AT$4,Formulas!$B$2:$B$1501,$A136))</f>
        <v>0</v>
      </c>
      <c r="AU136" s="21" t="n">
        <f aca="false">IF(OR($A136="",AU$4=""),0,COUNTIFS(Formulas!$A$2:$A$1501,AU$4,Formulas!$B$2:$B$1501,$A136))</f>
        <v>0</v>
      </c>
      <c r="AV136" s="21" t="n">
        <f aca="false">IF(OR($A136="",AV$4=""),0,COUNTIFS(Formulas!$A$2:$A$1501,AV$4,Formulas!$B$2:$B$1501,$A136))</f>
        <v>0</v>
      </c>
      <c r="AW136" s="21" t="n">
        <f aca="false">IF(OR($A136="",AW$4=""),0,COUNTIFS(Formulas!$A$2:$A$1501,AW$4,Formulas!$B$2:$B$1501,$A136))</f>
        <v>0</v>
      </c>
      <c r="AX136" s="21" t="n">
        <f aca="false">IF(OR($A136="",AX$4=""),0,COUNTIFS(Formulas!$A$2:$A$1501,AX$4,Formulas!$B$2:$B$1501,$A136))</f>
        <v>0</v>
      </c>
      <c r="AY136" s="21" t="n">
        <f aca="false">IF(OR($A136="",AY$4=""),0,COUNTIFS(Formulas!$A$2:$A$1501,AY$4,Formulas!$B$2:$B$1501,$A136))</f>
        <v>0</v>
      </c>
      <c r="AZ136" s="21" t="n">
        <f aca="false">IF(OR($A136="",AZ$4=""),0,COUNTIFS(Formulas!$A$2:$A$1501,AZ$4,Formulas!$B$2:$B$1501,$A136))</f>
        <v>0</v>
      </c>
      <c r="BA136" s="21" t="n">
        <f aca="false">IF(OR($A136="",BA$4=""),0,COUNTIFS(Formulas!$A$2:$A$1501,BA$4,Formulas!$B$2:$B$1501,$A136))</f>
        <v>0</v>
      </c>
      <c r="BB136" s="21" t="n">
        <f aca="false">IF(OR($A136="",BB$4=""),0,COUNTIFS(Formulas!$A$2:$A$1501,BB$4,Formulas!$B$2:$B$1501,$A136))</f>
        <v>0</v>
      </c>
      <c r="BC136" s="21" t="n">
        <f aca="false">IF(OR($A136="",BC$4=""),0,COUNTIFS(Formulas!$A$2:$A$1501,BC$4,Formulas!$B$2:$B$1501,$A136))</f>
        <v>0</v>
      </c>
      <c r="BD136" s="21" t="n">
        <f aca="false">IF(OR($A136="",BD$4=""),0,COUNTIFS(Formulas!$A$2:$A$1501,BD$4,Formulas!$B$2:$B$1501,$A136))</f>
        <v>0</v>
      </c>
      <c r="BE136" s="21" t="n">
        <f aca="false">IF(OR($A136="",BE$4=""),0,COUNTIFS(Formulas!$A$2:$A$1501,BE$4,Formulas!$B$2:$B$1501,$A136))</f>
        <v>0</v>
      </c>
      <c r="BF136" s="21" t="n">
        <f aca="false">IF(OR($A136="",BF$4=""),0,COUNTIFS(Formulas!$A$2:$A$1501,BF$4,Formulas!$B$2:$B$1501,$A136))</f>
        <v>0</v>
      </c>
      <c r="BG136" s="21" t="n">
        <f aca="false">IF(OR($A136="",BG$4=""),0,COUNTIFS(Formulas!$A$2:$A$1501,BG$4,Formulas!$B$2:$B$1501,$A136))</f>
        <v>0</v>
      </c>
      <c r="BH136" s="21" t="n">
        <f aca="false">IF(OR($A136="",BH$4=""),0,COUNTIFS(Formulas!$A$2:$A$1501,BH$4,Formulas!$B$2:$B$1501,$A136))</f>
        <v>0</v>
      </c>
      <c r="BI136" s="21" t="n">
        <f aca="false">IF(OR($A136="",BI$4=""),0,COUNTIFS(Formulas!$A$2:$A$1501,BI$4,Formulas!$B$2:$B$1501,$A136))</f>
        <v>0</v>
      </c>
      <c r="BJ136" s="21" t="n">
        <f aca="false">IF(OR($A136="",BJ$4=""),0,COUNTIFS(Formulas!$A$2:$A$1501,BJ$4,Formulas!$B$2:$B$1501,$A136))</f>
        <v>0</v>
      </c>
    </row>
    <row r="137" customFormat="false" ht="15" hidden="false" customHeight="false" outlineLevel="0" collapsed="false">
      <c r="A137" s="13" t="str">
        <f aca="false">IF(INDEX(Materials!$A$2:$A$201,133)="","",INDEX(Materials!$A$2:$A$201,133))</f>
        <v/>
      </c>
      <c r="B137" s="19" t="str">
        <f aca="false">IF(A137="","",COUNTIF(C137:BJ137,"&gt;0"))</f>
        <v/>
      </c>
      <c r="C137" s="21" t="n">
        <f aca="false">IF(OR($A137="",C$4=""),0,COUNTIFS(Formulas!$A$2:$A$1501,C$4,Formulas!$B$2:$B$1501,$A137))</f>
        <v>0</v>
      </c>
      <c r="D137" s="21" t="n">
        <f aca="false">IF(OR($A137="",D$4=""),0,COUNTIFS(Formulas!$A$2:$A$1501,D$4,Formulas!$B$2:$B$1501,$A137))</f>
        <v>0</v>
      </c>
      <c r="E137" s="21" t="n">
        <f aca="false">IF(OR($A137="",E$4=""),0,COUNTIFS(Formulas!$A$2:$A$1501,E$4,Formulas!$B$2:$B$1501,$A137))</f>
        <v>0</v>
      </c>
      <c r="F137" s="21" t="n">
        <f aca="false">IF(OR($A137="",F$4=""),0,COUNTIFS(Formulas!$A$2:$A$1501,F$4,Formulas!$B$2:$B$1501,$A137))</f>
        <v>0</v>
      </c>
      <c r="G137" s="21" t="n">
        <f aca="false">IF(OR($A137="",G$4=""),0,COUNTIFS(Formulas!$A$2:$A$1501,G$4,Formulas!$B$2:$B$1501,$A137))</f>
        <v>0</v>
      </c>
      <c r="H137" s="21" t="n">
        <f aca="false">IF(OR($A137="",H$4=""),0,COUNTIFS(Formulas!$A$2:$A$1501,H$4,Formulas!$B$2:$B$1501,$A137))</f>
        <v>0</v>
      </c>
      <c r="I137" s="21" t="n">
        <f aca="false">IF(OR($A137="",I$4=""),0,COUNTIFS(Formulas!$A$2:$A$1501,I$4,Formulas!$B$2:$B$1501,$A137))</f>
        <v>0</v>
      </c>
      <c r="J137" s="21" t="n">
        <f aca="false">IF(OR($A137="",J$4=""),0,COUNTIFS(Formulas!$A$2:$A$1501,J$4,Formulas!$B$2:$B$1501,$A137))</f>
        <v>0</v>
      </c>
      <c r="K137" s="21" t="n">
        <f aca="false">IF(OR($A137="",K$4=""),0,COUNTIFS(Formulas!$A$2:$A$1501,K$4,Formulas!$B$2:$B$1501,$A137))</f>
        <v>0</v>
      </c>
      <c r="L137" s="21" t="n">
        <f aca="false">IF(OR($A137="",L$4=""),0,COUNTIFS(Formulas!$A$2:$A$1501,L$4,Formulas!$B$2:$B$1501,$A137))</f>
        <v>0</v>
      </c>
      <c r="M137" s="21" t="n">
        <f aca="false">IF(OR($A137="",M$4=""),0,COUNTIFS(Formulas!$A$2:$A$1501,M$4,Formulas!$B$2:$B$1501,$A137))</f>
        <v>0</v>
      </c>
      <c r="N137" s="21" t="n">
        <f aca="false">IF(OR($A137="",N$4=""),0,COUNTIFS(Formulas!$A$2:$A$1501,N$4,Formulas!$B$2:$B$1501,$A137))</f>
        <v>0</v>
      </c>
      <c r="O137" s="21" t="n">
        <f aca="false">IF(OR($A137="",O$4=""),0,COUNTIFS(Formulas!$A$2:$A$1501,O$4,Formulas!$B$2:$B$1501,$A137))</f>
        <v>0</v>
      </c>
      <c r="P137" s="21" t="n">
        <f aca="false">IF(OR($A137="",P$4=""),0,COUNTIFS(Formulas!$A$2:$A$1501,P$4,Formulas!$B$2:$B$1501,$A137))</f>
        <v>0</v>
      </c>
      <c r="Q137" s="21" t="n">
        <f aca="false">IF(OR($A137="",Q$4=""),0,COUNTIFS(Formulas!$A$2:$A$1501,Q$4,Formulas!$B$2:$B$1501,$A137))</f>
        <v>0</v>
      </c>
      <c r="R137" s="21" t="n">
        <f aca="false">IF(OR($A137="",R$4=""),0,COUNTIFS(Formulas!$A$2:$A$1501,R$4,Formulas!$B$2:$B$1501,$A137))</f>
        <v>0</v>
      </c>
      <c r="S137" s="21" t="n">
        <f aca="false">IF(OR($A137="",S$4=""),0,COUNTIFS(Formulas!$A$2:$A$1501,S$4,Formulas!$B$2:$B$1501,$A137))</f>
        <v>0</v>
      </c>
      <c r="T137" s="21" t="n">
        <f aca="false">IF(OR($A137="",T$4=""),0,COUNTIFS(Formulas!$A$2:$A$1501,T$4,Formulas!$B$2:$B$1501,$A137))</f>
        <v>0</v>
      </c>
      <c r="U137" s="21" t="n">
        <f aca="false">IF(OR($A137="",U$4=""),0,COUNTIFS(Formulas!$A$2:$A$1501,U$4,Formulas!$B$2:$B$1501,$A137))</f>
        <v>0</v>
      </c>
      <c r="V137" s="21" t="n">
        <f aca="false">IF(OR($A137="",V$4=""),0,COUNTIFS(Formulas!$A$2:$A$1501,V$4,Formulas!$B$2:$B$1501,$A137))</f>
        <v>0</v>
      </c>
      <c r="W137" s="21" t="n">
        <f aca="false">IF(OR($A137="",W$4=""),0,COUNTIFS(Formulas!$A$2:$A$1501,W$4,Formulas!$B$2:$B$1501,$A137))</f>
        <v>0</v>
      </c>
      <c r="X137" s="21" t="n">
        <f aca="false">IF(OR($A137="",X$4=""),0,COUNTIFS(Formulas!$A$2:$A$1501,X$4,Formulas!$B$2:$B$1501,$A137))</f>
        <v>0</v>
      </c>
      <c r="Y137" s="21" t="n">
        <f aca="false">IF(OR($A137="",Y$4=""),0,COUNTIFS(Formulas!$A$2:$A$1501,Y$4,Formulas!$B$2:$B$1501,$A137))</f>
        <v>0</v>
      </c>
      <c r="Z137" s="21" t="n">
        <f aca="false">IF(OR($A137="",Z$4=""),0,COUNTIFS(Formulas!$A$2:$A$1501,Z$4,Formulas!$B$2:$B$1501,$A137))</f>
        <v>0</v>
      </c>
      <c r="AA137" s="21" t="n">
        <f aca="false">IF(OR($A137="",AA$4=""),0,COUNTIFS(Formulas!$A$2:$A$1501,AA$4,Formulas!$B$2:$B$1501,$A137))</f>
        <v>0</v>
      </c>
      <c r="AB137" s="21" t="n">
        <f aca="false">IF(OR($A137="",AB$4=""),0,COUNTIFS(Formulas!$A$2:$A$1501,AB$4,Formulas!$B$2:$B$1501,$A137))</f>
        <v>0</v>
      </c>
      <c r="AC137" s="21" t="n">
        <f aca="false">IF(OR($A137="",AC$4=""),0,COUNTIFS(Formulas!$A$2:$A$1501,AC$4,Formulas!$B$2:$B$1501,$A137))</f>
        <v>0</v>
      </c>
      <c r="AD137" s="21" t="n">
        <f aca="false">IF(OR($A137="",AD$4=""),0,COUNTIFS(Formulas!$A$2:$A$1501,AD$4,Formulas!$B$2:$B$1501,$A137))</f>
        <v>0</v>
      </c>
      <c r="AE137" s="21" t="n">
        <f aca="false">IF(OR($A137="",AE$4=""),0,COUNTIFS(Formulas!$A$2:$A$1501,AE$4,Formulas!$B$2:$B$1501,$A137))</f>
        <v>0</v>
      </c>
      <c r="AF137" s="21" t="n">
        <f aca="false">IF(OR($A137="",AF$4=""),0,COUNTIFS(Formulas!$A$2:$A$1501,AF$4,Formulas!$B$2:$B$1501,$A137))</f>
        <v>0</v>
      </c>
      <c r="AG137" s="21" t="n">
        <f aca="false">IF(OR($A137="",AG$4=""),0,COUNTIFS(Formulas!$A$2:$A$1501,AG$4,Formulas!$B$2:$B$1501,$A137))</f>
        <v>0</v>
      </c>
      <c r="AH137" s="21" t="n">
        <f aca="false">IF(OR($A137="",AH$4=""),0,COUNTIFS(Formulas!$A$2:$A$1501,AH$4,Formulas!$B$2:$B$1501,$A137))</f>
        <v>0</v>
      </c>
      <c r="AI137" s="21" t="n">
        <f aca="false">IF(OR($A137="",AI$4=""),0,COUNTIFS(Formulas!$A$2:$A$1501,AI$4,Formulas!$B$2:$B$1501,$A137))</f>
        <v>0</v>
      </c>
      <c r="AJ137" s="21" t="n">
        <f aca="false">IF(OR($A137="",AJ$4=""),0,COUNTIFS(Formulas!$A$2:$A$1501,AJ$4,Formulas!$B$2:$B$1501,$A137))</f>
        <v>0</v>
      </c>
      <c r="AK137" s="21" t="n">
        <f aca="false">IF(OR($A137="",AK$4=""),0,COUNTIFS(Formulas!$A$2:$A$1501,AK$4,Formulas!$B$2:$B$1501,$A137))</f>
        <v>0</v>
      </c>
      <c r="AL137" s="21" t="n">
        <f aca="false">IF(OR($A137="",AL$4=""),0,COUNTIFS(Formulas!$A$2:$A$1501,AL$4,Formulas!$B$2:$B$1501,$A137))</f>
        <v>0</v>
      </c>
      <c r="AM137" s="21" t="n">
        <f aca="false">IF(OR($A137="",AM$4=""),0,COUNTIFS(Formulas!$A$2:$A$1501,AM$4,Formulas!$B$2:$B$1501,$A137))</f>
        <v>0</v>
      </c>
      <c r="AN137" s="21" t="n">
        <f aca="false">IF(OR($A137="",AN$4=""),0,COUNTIFS(Formulas!$A$2:$A$1501,AN$4,Formulas!$B$2:$B$1501,$A137))</f>
        <v>0</v>
      </c>
      <c r="AO137" s="21" t="n">
        <f aca="false">IF(OR($A137="",AO$4=""),0,COUNTIFS(Formulas!$A$2:$A$1501,AO$4,Formulas!$B$2:$B$1501,$A137))</f>
        <v>0</v>
      </c>
      <c r="AP137" s="21" t="n">
        <f aca="false">IF(OR($A137="",AP$4=""),0,COUNTIFS(Formulas!$A$2:$A$1501,AP$4,Formulas!$B$2:$B$1501,$A137))</f>
        <v>0</v>
      </c>
      <c r="AQ137" s="21" t="n">
        <f aca="false">IF(OR($A137="",AQ$4=""),0,COUNTIFS(Formulas!$A$2:$A$1501,AQ$4,Formulas!$B$2:$B$1501,$A137))</f>
        <v>0</v>
      </c>
      <c r="AR137" s="21" t="n">
        <f aca="false">IF(OR($A137="",AR$4=""),0,COUNTIFS(Formulas!$A$2:$A$1501,AR$4,Formulas!$B$2:$B$1501,$A137))</f>
        <v>0</v>
      </c>
      <c r="AS137" s="21" t="n">
        <f aca="false">IF(OR($A137="",AS$4=""),0,COUNTIFS(Formulas!$A$2:$A$1501,AS$4,Formulas!$B$2:$B$1501,$A137))</f>
        <v>0</v>
      </c>
      <c r="AT137" s="21" t="n">
        <f aca="false">IF(OR($A137="",AT$4=""),0,COUNTIFS(Formulas!$A$2:$A$1501,AT$4,Formulas!$B$2:$B$1501,$A137))</f>
        <v>0</v>
      </c>
      <c r="AU137" s="21" t="n">
        <f aca="false">IF(OR($A137="",AU$4=""),0,COUNTIFS(Formulas!$A$2:$A$1501,AU$4,Formulas!$B$2:$B$1501,$A137))</f>
        <v>0</v>
      </c>
      <c r="AV137" s="21" t="n">
        <f aca="false">IF(OR($A137="",AV$4=""),0,COUNTIFS(Formulas!$A$2:$A$1501,AV$4,Formulas!$B$2:$B$1501,$A137))</f>
        <v>0</v>
      </c>
      <c r="AW137" s="21" t="n">
        <f aca="false">IF(OR($A137="",AW$4=""),0,COUNTIFS(Formulas!$A$2:$A$1501,AW$4,Formulas!$B$2:$B$1501,$A137))</f>
        <v>0</v>
      </c>
      <c r="AX137" s="21" t="n">
        <f aca="false">IF(OR($A137="",AX$4=""),0,COUNTIFS(Formulas!$A$2:$A$1501,AX$4,Formulas!$B$2:$B$1501,$A137))</f>
        <v>0</v>
      </c>
      <c r="AY137" s="21" t="n">
        <f aca="false">IF(OR($A137="",AY$4=""),0,COUNTIFS(Formulas!$A$2:$A$1501,AY$4,Formulas!$B$2:$B$1501,$A137))</f>
        <v>0</v>
      </c>
      <c r="AZ137" s="21" t="n">
        <f aca="false">IF(OR($A137="",AZ$4=""),0,COUNTIFS(Formulas!$A$2:$A$1501,AZ$4,Formulas!$B$2:$B$1501,$A137))</f>
        <v>0</v>
      </c>
      <c r="BA137" s="21" t="n">
        <f aca="false">IF(OR($A137="",BA$4=""),0,COUNTIFS(Formulas!$A$2:$A$1501,BA$4,Formulas!$B$2:$B$1501,$A137))</f>
        <v>0</v>
      </c>
      <c r="BB137" s="21" t="n">
        <f aca="false">IF(OR($A137="",BB$4=""),0,COUNTIFS(Formulas!$A$2:$A$1501,BB$4,Formulas!$B$2:$B$1501,$A137))</f>
        <v>0</v>
      </c>
      <c r="BC137" s="21" t="n">
        <f aca="false">IF(OR($A137="",BC$4=""),0,COUNTIFS(Formulas!$A$2:$A$1501,BC$4,Formulas!$B$2:$B$1501,$A137))</f>
        <v>0</v>
      </c>
      <c r="BD137" s="21" t="n">
        <f aca="false">IF(OR($A137="",BD$4=""),0,COUNTIFS(Formulas!$A$2:$A$1501,BD$4,Formulas!$B$2:$B$1501,$A137))</f>
        <v>0</v>
      </c>
      <c r="BE137" s="21" t="n">
        <f aca="false">IF(OR($A137="",BE$4=""),0,COUNTIFS(Formulas!$A$2:$A$1501,BE$4,Formulas!$B$2:$B$1501,$A137))</f>
        <v>0</v>
      </c>
      <c r="BF137" s="21" t="n">
        <f aca="false">IF(OR($A137="",BF$4=""),0,COUNTIFS(Formulas!$A$2:$A$1501,BF$4,Formulas!$B$2:$B$1501,$A137))</f>
        <v>0</v>
      </c>
      <c r="BG137" s="21" t="n">
        <f aca="false">IF(OR($A137="",BG$4=""),0,COUNTIFS(Formulas!$A$2:$A$1501,BG$4,Formulas!$B$2:$B$1501,$A137))</f>
        <v>0</v>
      </c>
      <c r="BH137" s="21" t="n">
        <f aca="false">IF(OR($A137="",BH$4=""),0,COUNTIFS(Formulas!$A$2:$A$1501,BH$4,Formulas!$B$2:$B$1501,$A137))</f>
        <v>0</v>
      </c>
      <c r="BI137" s="21" t="n">
        <f aca="false">IF(OR($A137="",BI$4=""),0,COUNTIFS(Formulas!$A$2:$A$1501,BI$4,Formulas!$B$2:$B$1501,$A137))</f>
        <v>0</v>
      </c>
      <c r="BJ137" s="21" t="n">
        <f aca="false">IF(OR($A137="",BJ$4=""),0,COUNTIFS(Formulas!$A$2:$A$1501,BJ$4,Formulas!$B$2:$B$1501,$A137))</f>
        <v>0</v>
      </c>
    </row>
    <row r="138" customFormat="false" ht="15" hidden="false" customHeight="false" outlineLevel="0" collapsed="false">
      <c r="A138" s="13" t="str">
        <f aca="false">IF(INDEX(Materials!$A$2:$A$201,134)="","",INDEX(Materials!$A$2:$A$201,134))</f>
        <v/>
      </c>
      <c r="B138" s="19" t="str">
        <f aca="false">IF(A138="","",COUNTIF(C138:BJ138,"&gt;0"))</f>
        <v/>
      </c>
      <c r="C138" s="21" t="n">
        <f aca="false">IF(OR($A138="",C$4=""),0,COUNTIFS(Formulas!$A$2:$A$1501,C$4,Formulas!$B$2:$B$1501,$A138))</f>
        <v>0</v>
      </c>
      <c r="D138" s="21" t="n">
        <f aca="false">IF(OR($A138="",D$4=""),0,COUNTIFS(Formulas!$A$2:$A$1501,D$4,Formulas!$B$2:$B$1501,$A138))</f>
        <v>0</v>
      </c>
      <c r="E138" s="21" t="n">
        <f aca="false">IF(OR($A138="",E$4=""),0,COUNTIFS(Formulas!$A$2:$A$1501,E$4,Formulas!$B$2:$B$1501,$A138))</f>
        <v>0</v>
      </c>
      <c r="F138" s="21" t="n">
        <f aca="false">IF(OR($A138="",F$4=""),0,COUNTIFS(Formulas!$A$2:$A$1501,F$4,Formulas!$B$2:$B$1501,$A138))</f>
        <v>0</v>
      </c>
      <c r="G138" s="21" t="n">
        <f aca="false">IF(OR($A138="",G$4=""),0,COUNTIFS(Formulas!$A$2:$A$1501,G$4,Formulas!$B$2:$B$1501,$A138))</f>
        <v>0</v>
      </c>
      <c r="H138" s="21" t="n">
        <f aca="false">IF(OR($A138="",H$4=""),0,COUNTIFS(Formulas!$A$2:$A$1501,H$4,Formulas!$B$2:$B$1501,$A138))</f>
        <v>0</v>
      </c>
      <c r="I138" s="21" t="n">
        <f aca="false">IF(OR($A138="",I$4=""),0,COUNTIFS(Formulas!$A$2:$A$1501,I$4,Formulas!$B$2:$B$1501,$A138))</f>
        <v>0</v>
      </c>
      <c r="J138" s="21" t="n">
        <f aca="false">IF(OR($A138="",J$4=""),0,COUNTIFS(Formulas!$A$2:$A$1501,J$4,Formulas!$B$2:$B$1501,$A138))</f>
        <v>0</v>
      </c>
      <c r="K138" s="21" t="n">
        <f aca="false">IF(OR($A138="",K$4=""),0,COUNTIFS(Formulas!$A$2:$A$1501,K$4,Formulas!$B$2:$B$1501,$A138))</f>
        <v>0</v>
      </c>
      <c r="L138" s="21" t="n">
        <f aca="false">IF(OR($A138="",L$4=""),0,COUNTIFS(Formulas!$A$2:$A$1501,L$4,Formulas!$B$2:$B$1501,$A138))</f>
        <v>0</v>
      </c>
      <c r="M138" s="21" t="n">
        <f aca="false">IF(OR($A138="",M$4=""),0,COUNTIFS(Formulas!$A$2:$A$1501,M$4,Formulas!$B$2:$B$1501,$A138))</f>
        <v>0</v>
      </c>
      <c r="N138" s="21" t="n">
        <f aca="false">IF(OR($A138="",N$4=""),0,COUNTIFS(Formulas!$A$2:$A$1501,N$4,Formulas!$B$2:$B$1501,$A138))</f>
        <v>0</v>
      </c>
      <c r="O138" s="21" t="n">
        <f aca="false">IF(OR($A138="",O$4=""),0,COUNTIFS(Formulas!$A$2:$A$1501,O$4,Formulas!$B$2:$B$1501,$A138))</f>
        <v>0</v>
      </c>
      <c r="P138" s="21" t="n">
        <f aca="false">IF(OR($A138="",P$4=""),0,COUNTIFS(Formulas!$A$2:$A$1501,P$4,Formulas!$B$2:$B$1501,$A138))</f>
        <v>0</v>
      </c>
      <c r="Q138" s="21" t="n">
        <f aca="false">IF(OR($A138="",Q$4=""),0,COUNTIFS(Formulas!$A$2:$A$1501,Q$4,Formulas!$B$2:$B$1501,$A138))</f>
        <v>0</v>
      </c>
      <c r="R138" s="21" t="n">
        <f aca="false">IF(OR($A138="",R$4=""),0,COUNTIFS(Formulas!$A$2:$A$1501,R$4,Formulas!$B$2:$B$1501,$A138))</f>
        <v>0</v>
      </c>
      <c r="S138" s="21" t="n">
        <f aca="false">IF(OR($A138="",S$4=""),0,COUNTIFS(Formulas!$A$2:$A$1501,S$4,Formulas!$B$2:$B$1501,$A138))</f>
        <v>0</v>
      </c>
      <c r="T138" s="21" t="n">
        <f aca="false">IF(OR($A138="",T$4=""),0,COUNTIFS(Formulas!$A$2:$A$1501,T$4,Formulas!$B$2:$B$1501,$A138))</f>
        <v>0</v>
      </c>
      <c r="U138" s="21" t="n">
        <f aca="false">IF(OR($A138="",U$4=""),0,COUNTIFS(Formulas!$A$2:$A$1501,U$4,Formulas!$B$2:$B$1501,$A138))</f>
        <v>0</v>
      </c>
      <c r="V138" s="21" t="n">
        <f aca="false">IF(OR($A138="",V$4=""),0,COUNTIFS(Formulas!$A$2:$A$1501,V$4,Formulas!$B$2:$B$1501,$A138))</f>
        <v>0</v>
      </c>
      <c r="W138" s="21" t="n">
        <f aca="false">IF(OR($A138="",W$4=""),0,COUNTIFS(Formulas!$A$2:$A$1501,W$4,Formulas!$B$2:$B$1501,$A138))</f>
        <v>0</v>
      </c>
      <c r="X138" s="21" t="n">
        <f aca="false">IF(OR($A138="",X$4=""),0,COUNTIFS(Formulas!$A$2:$A$1501,X$4,Formulas!$B$2:$B$1501,$A138))</f>
        <v>0</v>
      </c>
      <c r="Y138" s="21" t="n">
        <f aca="false">IF(OR($A138="",Y$4=""),0,COUNTIFS(Formulas!$A$2:$A$1501,Y$4,Formulas!$B$2:$B$1501,$A138))</f>
        <v>0</v>
      </c>
      <c r="Z138" s="21" t="n">
        <f aca="false">IF(OR($A138="",Z$4=""),0,COUNTIFS(Formulas!$A$2:$A$1501,Z$4,Formulas!$B$2:$B$1501,$A138))</f>
        <v>0</v>
      </c>
      <c r="AA138" s="21" t="n">
        <f aca="false">IF(OR($A138="",AA$4=""),0,COUNTIFS(Formulas!$A$2:$A$1501,AA$4,Formulas!$B$2:$B$1501,$A138))</f>
        <v>0</v>
      </c>
      <c r="AB138" s="21" t="n">
        <f aca="false">IF(OR($A138="",AB$4=""),0,COUNTIFS(Formulas!$A$2:$A$1501,AB$4,Formulas!$B$2:$B$1501,$A138))</f>
        <v>0</v>
      </c>
      <c r="AC138" s="21" t="n">
        <f aca="false">IF(OR($A138="",AC$4=""),0,COUNTIFS(Formulas!$A$2:$A$1501,AC$4,Formulas!$B$2:$B$1501,$A138))</f>
        <v>0</v>
      </c>
      <c r="AD138" s="21" t="n">
        <f aca="false">IF(OR($A138="",AD$4=""),0,COUNTIFS(Formulas!$A$2:$A$1501,AD$4,Formulas!$B$2:$B$1501,$A138))</f>
        <v>0</v>
      </c>
      <c r="AE138" s="21" t="n">
        <f aca="false">IF(OR($A138="",AE$4=""),0,COUNTIFS(Formulas!$A$2:$A$1501,AE$4,Formulas!$B$2:$B$1501,$A138))</f>
        <v>0</v>
      </c>
      <c r="AF138" s="21" t="n">
        <f aca="false">IF(OR($A138="",AF$4=""),0,COUNTIFS(Formulas!$A$2:$A$1501,AF$4,Formulas!$B$2:$B$1501,$A138))</f>
        <v>0</v>
      </c>
      <c r="AG138" s="21" t="n">
        <f aca="false">IF(OR($A138="",AG$4=""),0,COUNTIFS(Formulas!$A$2:$A$1501,AG$4,Formulas!$B$2:$B$1501,$A138))</f>
        <v>0</v>
      </c>
      <c r="AH138" s="21" t="n">
        <f aca="false">IF(OR($A138="",AH$4=""),0,COUNTIFS(Formulas!$A$2:$A$1501,AH$4,Formulas!$B$2:$B$1501,$A138))</f>
        <v>0</v>
      </c>
      <c r="AI138" s="21" t="n">
        <f aca="false">IF(OR($A138="",AI$4=""),0,COUNTIFS(Formulas!$A$2:$A$1501,AI$4,Formulas!$B$2:$B$1501,$A138))</f>
        <v>0</v>
      </c>
      <c r="AJ138" s="21" t="n">
        <f aca="false">IF(OR($A138="",AJ$4=""),0,COUNTIFS(Formulas!$A$2:$A$1501,AJ$4,Formulas!$B$2:$B$1501,$A138))</f>
        <v>0</v>
      </c>
      <c r="AK138" s="21" t="n">
        <f aca="false">IF(OR($A138="",AK$4=""),0,COUNTIFS(Formulas!$A$2:$A$1501,AK$4,Formulas!$B$2:$B$1501,$A138))</f>
        <v>0</v>
      </c>
      <c r="AL138" s="21" t="n">
        <f aca="false">IF(OR($A138="",AL$4=""),0,COUNTIFS(Formulas!$A$2:$A$1501,AL$4,Formulas!$B$2:$B$1501,$A138))</f>
        <v>0</v>
      </c>
      <c r="AM138" s="21" t="n">
        <f aca="false">IF(OR($A138="",AM$4=""),0,COUNTIFS(Formulas!$A$2:$A$1501,AM$4,Formulas!$B$2:$B$1501,$A138))</f>
        <v>0</v>
      </c>
      <c r="AN138" s="21" t="n">
        <f aca="false">IF(OR($A138="",AN$4=""),0,COUNTIFS(Formulas!$A$2:$A$1501,AN$4,Formulas!$B$2:$B$1501,$A138))</f>
        <v>0</v>
      </c>
      <c r="AO138" s="21" t="n">
        <f aca="false">IF(OR($A138="",AO$4=""),0,COUNTIFS(Formulas!$A$2:$A$1501,AO$4,Formulas!$B$2:$B$1501,$A138))</f>
        <v>0</v>
      </c>
      <c r="AP138" s="21" t="n">
        <f aca="false">IF(OR($A138="",AP$4=""),0,COUNTIFS(Formulas!$A$2:$A$1501,AP$4,Formulas!$B$2:$B$1501,$A138))</f>
        <v>0</v>
      </c>
      <c r="AQ138" s="21" t="n">
        <f aca="false">IF(OR($A138="",AQ$4=""),0,COUNTIFS(Formulas!$A$2:$A$1501,AQ$4,Formulas!$B$2:$B$1501,$A138))</f>
        <v>0</v>
      </c>
      <c r="AR138" s="21" t="n">
        <f aca="false">IF(OR($A138="",AR$4=""),0,COUNTIFS(Formulas!$A$2:$A$1501,AR$4,Formulas!$B$2:$B$1501,$A138))</f>
        <v>0</v>
      </c>
      <c r="AS138" s="21" t="n">
        <f aca="false">IF(OR($A138="",AS$4=""),0,COUNTIFS(Formulas!$A$2:$A$1501,AS$4,Formulas!$B$2:$B$1501,$A138))</f>
        <v>0</v>
      </c>
      <c r="AT138" s="21" t="n">
        <f aca="false">IF(OR($A138="",AT$4=""),0,COUNTIFS(Formulas!$A$2:$A$1501,AT$4,Formulas!$B$2:$B$1501,$A138))</f>
        <v>0</v>
      </c>
      <c r="AU138" s="21" t="n">
        <f aca="false">IF(OR($A138="",AU$4=""),0,COUNTIFS(Formulas!$A$2:$A$1501,AU$4,Formulas!$B$2:$B$1501,$A138))</f>
        <v>0</v>
      </c>
      <c r="AV138" s="21" t="n">
        <f aca="false">IF(OR($A138="",AV$4=""),0,COUNTIFS(Formulas!$A$2:$A$1501,AV$4,Formulas!$B$2:$B$1501,$A138))</f>
        <v>0</v>
      </c>
      <c r="AW138" s="21" t="n">
        <f aca="false">IF(OR($A138="",AW$4=""),0,COUNTIFS(Formulas!$A$2:$A$1501,AW$4,Formulas!$B$2:$B$1501,$A138))</f>
        <v>0</v>
      </c>
      <c r="AX138" s="21" t="n">
        <f aca="false">IF(OR($A138="",AX$4=""),0,COUNTIFS(Formulas!$A$2:$A$1501,AX$4,Formulas!$B$2:$B$1501,$A138))</f>
        <v>0</v>
      </c>
      <c r="AY138" s="21" t="n">
        <f aca="false">IF(OR($A138="",AY$4=""),0,COUNTIFS(Formulas!$A$2:$A$1501,AY$4,Formulas!$B$2:$B$1501,$A138))</f>
        <v>0</v>
      </c>
      <c r="AZ138" s="21" t="n">
        <f aca="false">IF(OR($A138="",AZ$4=""),0,COUNTIFS(Formulas!$A$2:$A$1501,AZ$4,Formulas!$B$2:$B$1501,$A138))</f>
        <v>0</v>
      </c>
      <c r="BA138" s="21" t="n">
        <f aca="false">IF(OR($A138="",BA$4=""),0,COUNTIFS(Formulas!$A$2:$A$1501,BA$4,Formulas!$B$2:$B$1501,$A138))</f>
        <v>0</v>
      </c>
      <c r="BB138" s="21" t="n">
        <f aca="false">IF(OR($A138="",BB$4=""),0,COUNTIFS(Formulas!$A$2:$A$1501,BB$4,Formulas!$B$2:$B$1501,$A138))</f>
        <v>0</v>
      </c>
      <c r="BC138" s="21" t="n">
        <f aca="false">IF(OR($A138="",BC$4=""),0,COUNTIFS(Formulas!$A$2:$A$1501,BC$4,Formulas!$B$2:$B$1501,$A138))</f>
        <v>0</v>
      </c>
      <c r="BD138" s="21" t="n">
        <f aca="false">IF(OR($A138="",BD$4=""),0,COUNTIFS(Formulas!$A$2:$A$1501,BD$4,Formulas!$B$2:$B$1501,$A138))</f>
        <v>0</v>
      </c>
      <c r="BE138" s="21" t="n">
        <f aca="false">IF(OR($A138="",BE$4=""),0,COUNTIFS(Formulas!$A$2:$A$1501,BE$4,Formulas!$B$2:$B$1501,$A138))</f>
        <v>0</v>
      </c>
      <c r="BF138" s="21" t="n">
        <f aca="false">IF(OR($A138="",BF$4=""),0,COUNTIFS(Formulas!$A$2:$A$1501,BF$4,Formulas!$B$2:$B$1501,$A138))</f>
        <v>0</v>
      </c>
      <c r="BG138" s="21" t="n">
        <f aca="false">IF(OR($A138="",BG$4=""),0,COUNTIFS(Formulas!$A$2:$A$1501,BG$4,Formulas!$B$2:$B$1501,$A138))</f>
        <v>0</v>
      </c>
      <c r="BH138" s="21" t="n">
        <f aca="false">IF(OR($A138="",BH$4=""),0,COUNTIFS(Formulas!$A$2:$A$1501,BH$4,Formulas!$B$2:$B$1501,$A138))</f>
        <v>0</v>
      </c>
      <c r="BI138" s="21" t="n">
        <f aca="false">IF(OR($A138="",BI$4=""),0,COUNTIFS(Formulas!$A$2:$A$1501,BI$4,Formulas!$B$2:$B$1501,$A138))</f>
        <v>0</v>
      </c>
      <c r="BJ138" s="21" t="n">
        <f aca="false">IF(OR($A138="",BJ$4=""),0,COUNTIFS(Formulas!$A$2:$A$1501,BJ$4,Formulas!$B$2:$B$1501,$A138))</f>
        <v>0</v>
      </c>
    </row>
    <row r="139" customFormat="false" ht="15" hidden="false" customHeight="false" outlineLevel="0" collapsed="false">
      <c r="A139" s="13" t="str">
        <f aca="false">IF(INDEX(Materials!$A$2:$A$201,135)="","",INDEX(Materials!$A$2:$A$201,135))</f>
        <v/>
      </c>
      <c r="B139" s="19" t="str">
        <f aca="false">IF(A139="","",COUNTIF(C139:BJ139,"&gt;0"))</f>
        <v/>
      </c>
      <c r="C139" s="21" t="n">
        <f aca="false">IF(OR($A139="",C$4=""),0,COUNTIFS(Formulas!$A$2:$A$1501,C$4,Formulas!$B$2:$B$1501,$A139))</f>
        <v>0</v>
      </c>
      <c r="D139" s="21" t="n">
        <f aca="false">IF(OR($A139="",D$4=""),0,COUNTIFS(Formulas!$A$2:$A$1501,D$4,Formulas!$B$2:$B$1501,$A139))</f>
        <v>0</v>
      </c>
      <c r="E139" s="21" t="n">
        <f aca="false">IF(OR($A139="",E$4=""),0,COUNTIFS(Formulas!$A$2:$A$1501,E$4,Formulas!$B$2:$B$1501,$A139))</f>
        <v>0</v>
      </c>
      <c r="F139" s="21" t="n">
        <f aca="false">IF(OR($A139="",F$4=""),0,COUNTIFS(Formulas!$A$2:$A$1501,F$4,Formulas!$B$2:$B$1501,$A139))</f>
        <v>0</v>
      </c>
      <c r="G139" s="21" t="n">
        <f aca="false">IF(OR($A139="",G$4=""),0,COUNTIFS(Formulas!$A$2:$A$1501,G$4,Formulas!$B$2:$B$1501,$A139))</f>
        <v>0</v>
      </c>
      <c r="H139" s="21" t="n">
        <f aca="false">IF(OR($A139="",H$4=""),0,COUNTIFS(Formulas!$A$2:$A$1501,H$4,Formulas!$B$2:$B$1501,$A139))</f>
        <v>0</v>
      </c>
      <c r="I139" s="21" t="n">
        <f aca="false">IF(OR($A139="",I$4=""),0,COUNTIFS(Formulas!$A$2:$A$1501,I$4,Formulas!$B$2:$B$1501,$A139))</f>
        <v>0</v>
      </c>
      <c r="J139" s="21" t="n">
        <f aca="false">IF(OR($A139="",J$4=""),0,COUNTIFS(Formulas!$A$2:$A$1501,J$4,Formulas!$B$2:$B$1501,$A139))</f>
        <v>0</v>
      </c>
      <c r="K139" s="21" t="n">
        <f aca="false">IF(OR($A139="",K$4=""),0,COUNTIFS(Formulas!$A$2:$A$1501,K$4,Formulas!$B$2:$B$1501,$A139))</f>
        <v>0</v>
      </c>
      <c r="L139" s="21" t="n">
        <f aca="false">IF(OR($A139="",L$4=""),0,COUNTIFS(Formulas!$A$2:$A$1501,L$4,Formulas!$B$2:$B$1501,$A139))</f>
        <v>0</v>
      </c>
      <c r="M139" s="21" t="n">
        <f aca="false">IF(OR($A139="",M$4=""),0,COUNTIFS(Formulas!$A$2:$A$1501,M$4,Formulas!$B$2:$B$1501,$A139))</f>
        <v>0</v>
      </c>
      <c r="N139" s="21" t="n">
        <f aca="false">IF(OR($A139="",N$4=""),0,COUNTIFS(Formulas!$A$2:$A$1501,N$4,Formulas!$B$2:$B$1501,$A139))</f>
        <v>0</v>
      </c>
      <c r="O139" s="21" t="n">
        <f aca="false">IF(OR($A139="",O$4=""),0,COUNTIFS(Formulas!$A$2:$A$1501,O$4,Formulas!$B$2:$B$1501,$A139))</f>
        <v>0</v>
      </c>
      <c r="P139" s="21" t="n">
        <f aca="false">IF(OR($A139="",P$4=""),0,COUNTIFS(Formulas!$A$2:$A$1501,P$4,Formulas!$B$2:$B$1501,$A139))</f>
        <v>0</v>
      </c>
      <c r="Q139" s="21" t="n">
        <f aca="false">IF(OR($A139="",Q$4=""),0,COUNTIFS(Formulas!$A$2:$A$1501,Q$4,Formulas!$B$2:$B$1501,$A139))</f>
        <v>0</v>
      </c>
      <c r="R139" s="21" t="n">
        <f aca="false">IF(OR($A139="",R$4=""),0,COUNTIFS(Formulas!$A$2:$A$1501,R$4,Formulas!$B$2:$B$1501,$A139))</f>
        <v>0</v>
      </c>
      <c r="S139" s="21" t="n">
        <f aca="false">IF(OR($A139="",S$4=""),0,COUNTIFS(Formulas!$A$2:$A$1501,S$4,Formulas!$B$2:$B$1501,$A139))</f>
        <v>0</v>
      </c>
      <c r="T139" s="21" t="n">
        <f aca="false">IF(OR($A139="",T$4=""),0,COUNTIFS(Formulas!$A$2:$A$1501,T$4,Formulas!$B$2:$B$1501,$A139))</f>
        <v>0</v>
      </c>
      <c r="U139" s="21" t="n">
        <f aca="false">IF(OR($A139="",U$4=""),0,COUNTIFS(Formulas!$A$2:$A$1501,U$4,Formulas!$B$2:$B$1501,$A139))</f>
        <v>0</v>
      </c>
      <c r="V139" s="21" t="n">
        <f aca="false">IF(OR($A139="",V$4=""),0,COUNTIFS(Formulas!$A$2:$A$1501,V$4,Formulas!$B$2:$B$1501,$A139))</f>
        <v>0</v>
      </c>
      <c r="W139" s="21" t="n">
        <f aca="false">IF(OR($A139="",W$4=""),0,COUNTIFS(Formulas!$A$2:$A$1501,W$4,Formulas!$B$2:$B$1501,$A139))</f>
        <v>0</v>
      </c>
      <c r="X139" s="21" t="n">
        <f aca="false">IF(OR($A139="",X$4=""),0,COUNTIFS(Formulas!$A$2:$A$1501,X$4,Formulas!$B$2:$B$1501,$A139))</f>
        <v>0</v>
      </c>
      <c r="Y139" s="21" t="n">
        <f aca="false">IF(OR($A139="",Y$4=""),0,COUNTIFS(Formulas!$A$2:$A$1501,Y$4,Formulas!$B$2:$B$1501,$A139))</f>
        <v>0</v>
      </c>
      <c r="Z139" s="21" t="n">
        <f aca="false">IF(OR($A139="",Z$4=""),0,COUNTIFS(Formulas!$A$2:$A$1501,Z$4,Formulas!$B$2:$B$1501,$A139))</f>
        <v>0</v>
      </c>
      <c r="AA139" s="21" t="n">
        <f aca="false">IF(OR($A139="",AA$4=""),0,COUNTIFS(Formulas!$A$2:$A$1501,AA$4,Formulas!$B$2:$B$1501,$A139))</f>
        <v>0</v>
      </c>
      <c r="AB139" s="21" t="n">
        <f aca="false">IF(OR($A139="",AB$4=""),0,COUNTIFS(Formulas!$A$2:$A$1501,AB$4,Formulas!$B$2:$B$1501,$A139))</f>
        <v>0</v>
      </c>
      <c r="AC139" s="21" t="n">
        <f aca="false">IF(OR($A139="",AC$4=""),0,COUNTIFS(Formulas!$A$2:$A$1501,AC$4,Formulas!$B$2:$B$1501,$A139))</f>
        <v>0</v>
      </c>
      <c r="AD139" s="21" t="n">
        <f aca="false">IF(OR($A139="",AD$4=""),0,COUNTIFS(Formulas!$A$2:$A$1501,AD$4,Formulas!$B$2:$B$1501,$A139))</f>
        <v>0</v>
      </c>
      <c r="AE139" s="21" t="n">
        <f aca="false">IF(OR($A139="",AE$4=""),0,COUNTIFS(Formulas!$A$2:$A$1501,AE$4,Formulas!$B$2:$B$1501,$A139))</f>
        <v>0</v>
      </c>
      <c r="AF139" s="21" t="n">
        <f aca="false">IF(OR($A139="",AF$4=""),0,COUNTIFS(Formulas!$A$2:$A$1501,AF$4,Formulas!$B$2:$B$1501,$A139))</f>
        <v>0</v>
      </c>
      <c r="AG139" s="21" t="n">
        <f aca="false">IF(OR($A139="",AG$4=""),0,COUNTIFS(Formulas!$A$2:$A$1501,AG$4,Formulas!$B$2:$B$1501,$A139))</f>
        <v>0</v>
      </c>
      <c r="AH139" s="21" t="n">
        <f aca="false">IF(OR($A139="",AH$4=""),0,COUNTIFS(Formulas!$A$2:$A$1501,AH$4,Formulas!$B$2:$B$1501,$A139))</f>
        <v>0</v>
      </c>
      <c r="AI139" s="21" t="n">
        <f aca="false">IF(OR($A139="",AI$4=""),0,COUNTIFS(Formulas!$A$2:$A$1501,AI$4,Formulas!$B$2:$B$1501,$A139))</f>
        <v>0</v>
      </c>
      <c r="AJ139" s="21" t="n">
        <f aca="false">IF(OR($A139="",AJ$4=""),0,COUNTIFS(Formulas!$A$2:$A$1501,AJ$4,Formulas!$B$2:$B$1501,$A139))</f>
        <v>0</v>
      </c>
      <c r="AK139" s="21" t="n">
        <f aca="false">IF(OR($A139="",AK$4=""),0,COUNTIFS(Formulas!$A$2:$A$1501,AK$4,Formulas!$B$2:$B$1501,$A139))</f>
        <v>0</v>
      </c>
      <c r="AL139" s="21" t="n">
        <f aca="false">IF(OR($A139="",AL$4=""),0,COUNTIFS(Formulas!$A$2:$A$1501,AL$4,Formulas!$B$2:$B$1501,$A139))</f>
        <v>0</v>
      </c>
      <c r="AM139" s="21" t="n">
        <f aca="false">IF(OR($A139="",AM$4=""),0,COUNTIFS(Formulas!$A$2:$A$1501,AM$4,Formulas!$B$2:$B$1501,$A139))</f>
        <v>0</v>
      </c>
      <c r="AN139" s="21" t="n">
        <f aca="false">IF(OR($A139="",AN$4=""),0,COUNTIFS(Formulas!$A$2:$A$1501,AN$4,Formulas!$B$2:$B$1501,$A139))</f>
        <v>0</v>
      </c>
      <c r="AO139" s="21" t="n">
        <f aca="false">IF(OR($A139="",AO$4=""),0,COUNTIFS(Formulas!$A$2:$A$1501,AO$4,Formulas!$B$2:$B$1501,$A139))</f>
        <v>0</v>
      </c>
      <c r="AP139" s="21" t="n">
        <f aca="false">IF(OR($A139="",AP$4=""),0,COUNTIFS(Formulas!$A$2:$A$1501,AP$4,Formulas!$B$2:$B$1501,$A139))</f>
        <v>0</v>
      </c>
      <c r="AQ139" s="21" t="n">
        <f aca="false">IF(OR($A139="",AQ$4=""),0,COUNTIFS(Formulas!$A$2:$A$1501,AQ$4,Formulas!$B$2:$B$1501,$A139))</f>
        <v>0</v>
      </c>
      <c r="AR139" s="21" t="n">
        <f aca="false">IF(OR($A139="",AR$4=""),0,COUNTIFS(Formulas!$A$2:$A$1501,AR$4,Formulas!$B$2:$B$1501,$A139))</f>
        <v>0</v>
      </c>
      <c r="AS139" s="21" t="n">
        <f aca="false">IF(OR($A139="",AS$4=""),0,COUNTIFS(Formulas!$A$2:$A$1501,AS$4,Formulas!$B$2:$B$1501,$A139))</f>
        <v>0</v>
      </c>
      <c r="AT139" s="21" t="n">
        <f aca="false">IF(OR($A139="",AT$4=""),0,COUNTIFS(Formulas!$A$2:$A$1501,AT$4,Formulas!$B$2:$B$1501,$A139))</f>
        <v>0</v>
      </c>
      <c r="AU139" s="21" t="n">
        <f aca="false">IF(OR($A139="",AU$4=""),0,COUNTIFS(Formulas!$A$2:$A$1501,AU$4,Formulas!$B$2:$B$1501,$A139))</f>
        <v>0</v>
      </c>
      <c r="AV139" s="21" t="n">
        <f aca="false">IF(OR($A139="",AV$4=""),0,COUNTIFS(Formulas!$A$2:$A$1501,AV$4,Formulas!$B$2:$B$1501,$A139))</f>
        <v>0</v>
      </c>
      <c r="AW139" s="21" t="n">
        <f aca="false">IF(OR($A139="",AW$4=""),0,COUNTIFS(Formulas!$A$2:$A$1501,AW$4,Formulas!$B$2:$B$1501,$A139))</f>
        <v>0</v>
      </c>
      <c r="AX139" s="21" t="n">
        <f aca="false">IF(OR($A139="",AX$4=""),0,COUNTIFS(Formulas!$A$2:$A$1501,AX$4,Formulas!$B$2:$B$1501,$A139))</f>
        <v>0</v>
      </c>
      <c r="AY139" s="21" t="n">
        <f aca="false">IF(OR($A139="",AY$4=""),0,COUNTIFS(Formulas!$A$2:$A$1501,AY$4,Formulas!$B$2:$B$1501,$A139))</f>
        <v>0</v>
      </c>
      <c r="AZ139" s="21" t="n">
        <f aca="false">IF(OR($A139="",AZ$4=""),0,COUNTIFS(Formulas!$A$2:$A$1501,AZ$4,Formulas!$B$2:$B$1501,$A139))</f>
        <v>0</v>
      </c>
      <c r="BA139" s="21" t="n">
        <f aca="false">IF(OR($A139="",BA$4=""),0,COUNTIFS(Formulas!$A$2:$A$1501,BA$4,Formulas!$B$2:$B$1501,$A139))</f>
        <v>0</v>
      </c>
      <c r="BB139" s="21" t="n">
        <f aca="false">IF(OR($A139="",BB$4=""),0,COUNTIFS(Formulas!$A$2:$A$1501,BB$4,Formulas!$B$2:$B$1501,$A139))</f>
        <v>0</v>
      </c>
      <c r="BC139" s="21" t="n">
        <f aca="false">IF(OR($A139="",BC$4=""),0,COUNTIFS(Formulas!$A$2:$A$1501,BC$4,Formulas!$B$2:$B$1501,$A139))</f>
        <v>0</v>
      </c>
      <c r="BD139" s="21" t="n">
        <f aca="false">IF(OR($A139="",BD$4=""),0,COUNTIFS(Formulas!$A$2:$A$1501,BD$4,Formulas!$B$2:$B$1501,$A139))</f>
        <v>0</v>
      </c>
      <c r="BE139" s="21" t="n">
        <f aca="false">IF(OR($A139="",BE$4=""),0,COUNTIFS(Formulas!$A$2:$A$1501,BE$4,Formulas!$B$2:$B$1501,$A139))</f>
        <v>0</v>
      </c>
      <c r="BF139" s="21" t="n">
        <f aca="false">IF(OR($A139="",BF$4=""),0,COUNTIFS(Formulas!$A$2:$A$1501,BF$4,Formulas!$B$2:$B$1501,$A139))</f>
        <v>0</v>
      </c>
      <c r="BG139" s="21" t="n">
        <f aca="false">IF(OR($A139="",BG$4=""),0,COUNTIFS(Formulas!$A$2:$A$1501,BG$4,Formulas!$B$2:$B$1501,$A139))</f>
        <v>0</v>
      </c>
      <c r="BH139" s="21" t="n">
        <f aca="false">IF(OR($A139="",BH$4=""),0,COUNTIFS(Formulas!$A$2:$A$1501,BH$4,Formulas!$B$2:$B$1501,$A139))</f>
        <v>0</v>
      </c>
      <c r="BI139" s="21" t="n">
        <f aca="false">IF(OR($A139="",BI$4=""),0,COUNTIFS(Formulas!$A$2:$A$1501,BI$4,Formulas!$B$2:$B$1501,$A139))</f>
        <v>0</v>
      </c>
      <c r="BJ139" s="21" t="n">
        <f aca="false">IF(OR($A139="",BJ$4=""),0,COUNTIFS(Formulas!$A$2:$A$1501,BJ$4,Formulas!$B$2:$B$1501,$A139))</f>
        <v>0</v>
      </c>
    </row>
    <row r="140" customFormat="false" ht="15" hidden="false" customHeight="false" outlineLevel="0" collapsed="false">
      <c r="A140" s="13" t="str">
        <f aca="false">IF(INDEX(Materials!$A$2:$A$201,136)="","",INDEX(Materials!$A$2:$A$201,136))</f>
        <v/>
      </c>
      <c r="B140" s="19" t="str">
        <f aca="false">IF(A140="","",COUNTIF(C140:BJ140,"&gt;0"))</f>
        <v/>
      </c>
      <c r="C140" s="21" t="n">
        <f aca="false">IF(OR($A140="",C$4=""),0,COUNTIFS(Formulas!$A$2:$A$1501,C$4,Formulas!$B$2:$B$1501,$A140))</f>
        <v>0</v>
      </c>
      <c r="D140" s="21" t="n">
        <f aca="false">IF(OR($A140="",D$4=""),0,COUNTIFS(Formulas!$A$2:$A$1501,D$4,Formulas!$B$2:$B$1501,$A140))</f>
        <v>0</v>
      </c>
      <c r="E140" s="21" t="n">
        <f aca="false">IF(OR($A140="",E$4=""),0,COUNTIFS(Formulas!$A$2:$A$1501,E$4,Formulas!$B$2:$B$1501,$A140))</f>
        <v>0</v>
      </c>
      <c r="F140" s="21" t="n">
        <f aca="false">IF(OR($A140="",F$4=""),0,COUNTIFS(Formulas!$A$2:$A$1501,F$4,Formulas!$B$2:$B$1501,$A140))</f>
        <v>0</v>
      </c>
      <c r="G140" s="21" t="n">
        <f aca="false">IF(OR($A140="",G$4=""),0,COUNTIFS(Formulas!$A$2:$A$1501,G$4,Formulas!$B$2:$B$1501,$A140))</f>
        <v>0</v>
      </c>
      <c r="H140" s="21" t="n">
        <f aca="false">IF(OR($A140="",H$4=""),0,COUNTIFS(Formulas!$A$2:$A$1501,H$4,Formulas!$B$2:$B$1501,$A140))</f>
        <v>0</v>
      </c>
      <c r="I140" s="21" t="n">
        <f aca="false">IF(OR($A140="",I$4=""),0,COUNTIFS(Formulas!$A$2:$A$1501,I$4,Formulas!$B$2:$B$1501,$A140))</f>
        <v>0</v>
      </c>
      <c r="J140" s="21" t="n">
        <f aca="false">IF(OR($A140="",J$4=""),0,COUNTIFS(Formulas!$A$2:$A$1501,J$4,Formulas!$B$2:$B$1501,$A140))</f>
        <v>0</v>
      </c>
      <c r="K140" s="21" t="n">
        <f aca="false">IF(OR($A140="",K$4=""),0,COUNTIFS(Formulas!$A$2:$A$1501,K$4,Formulas!$B$2:$B$1501,$A140))</f>
        <v>0</v>
      </c>
      <c r="L140" s="21" t="n">
        <f aca="false">IF(OR($A140="",L$4=""),0,COUNTIFS(Formulas!$A$2:$A$1501,L$4,Formulas!$B$2:$B$1501,$A140))</f>
        <v>0</v>
      </c>
      <c r="M140" s="21" t="n">
        <f aca="false">IF(OR($A140="",M$4=""),0,COUNTIFS(Formulas!$A$2:$A$1501,M$4,Formulas!$B$2:$B$1501,$A140))</f>
        <v>0</v>
      </c>
      <c r="N140" s="21" t="n">
        <f aca="false">IF(OR($A140="",N$4=""),0,COUNTIFS(Formulas!$A$2:$A$1501,N$4,Formulas!$B$2:$B$1501,$A140))</f>
        <v>0</v>
      </c>
      <c r="O140" s="21" t="n">
        <f aca="false">IF(OR($A140="",O$4=""),0,COUNTIFS(Formulas!$A$2:$A$1501,O$4,Formulas!$B$2:$B$1501,$A140))</f>
        <v>0</v>
      </c>
      <c r="P140" s="21" t="n">
        <f aca="false">IF(OR($A140="",P$4=""),0,COUNTIFS(Formulas!$A$2:$A$1501,P$4,Formulas!$B$2:$B$1501,$A140))</f>
        <v>0</v>
      </c>
      <c r="Q140" s="21" t="n">
        <f aca="false">IF(OR($A140="",Q$4=""),0,COUNTIFS(Formulas!$A$2:$A$1501,Q$4,Formulas!$B$2:$B$1501,$A140))</f>
        <v>0</v>
      </c>
      <c r="R140" s="21" t="n">
        <f aca="false">IF(OR($A140="",R$4=""),0,COUNTIFS(Formulas!$A$2:$A$1501,R$4,Formulas!$B$2:$B$1501,$A140))</f>
        <v>0</v>
      </c>
      <c r="S140" s="21" t="n">
        <f aca="false">IF(OR($A140="",S$4=""),0,COUNTIFS(Formulas!$A$2:$A$1501,S$4,Formulas!$B$2:$B$1501,$A140))</f>
        <v>0</v>
      </c>
      <c r="T140" s="21" t="n">
        <f aca="false">IF(OR($A140="",T$4=""),0,COUNTIFS(Formulas!$A$2:$A$1501,T$4,Formulas!$B$2:$B$1501,$A140))</f>
        <v>0</v>
      </c>
      <c r="U140" s="21" t="n">
        <f aca="false">IF(OR($A140="",U$4=""),0,COUNTIFS(Formulas!$A$2:$A$1501,U$4,Formulas!$B$2:$B$1501,$A140))</f>
        <v>0</v>
      </c>
      <c r="V140" s="21" t="n">
        <f aca="false">IF(OR($A140="",V$4=""),0,COUNTIFS(Formulas!$A$2:$A$1501,V$4,Formulas!$B$2:$B$1501,$A140))</f>
        <v>0</v>
      </c>
      <c r="W140" s="21" t="n">
        <f aca="false">IF(OR($A140="",W$4=""),0,COUNTIFS(Formulas!$A$2:$A$1501,W$4,Formulas!$B$2:$B$1501,$A140))</f>
        <v>0</v>
      </c>
      <c r="X140" s="21" t="n">
        <f aca="false">IF(OR($A140="",X$4=""),0,COUNTIFS(Formulas!$A$2:$A$1501,X$4,Formulas!$B$2:$B$1501,$A140))</f>
        <v>0</v>
      </c>
      <c r="Y140" s="21" t="n">
        <f aca="false">IF(OR($A140="",Y$4=""),0,COUNTIFS(Formulas!$A$2:$A$1501,Y$4,Formulas!$B$2:$B$1501,$A140))</f>
        <v>0</v>
      </c>
      <c r="Z140" s="21" t="n">
        <f aca="false">IF(OR($A140="",Z$4=""),0,COUNTIFS(Formulas!$A$2:$A$1501,Z$4,Formulas!$B$2:$B$1501,$A140))</f>
        <v>0</v>
      </c>
      <c r="AA140" s="21" t="n">
        <f aca="false">IF(OR($A140="",AA$4=""),0,COUNTIFS(Formulas!$A$2:$A$1501,AA$4,Formulas!$B$2:$B$1501,$A140))</f>
        <v>0</v>
      </c>
      <c r="AB140" s="21" t="n">
        <f aca="false">IF(OR($A140="",AB$4=""),0,COUNTIFS(Formulas!$A$2:$A$1501,AB$4,Formulas!$B$2:$B$1501,$A140))</f>
        <v>0</v>
      </c>
      <c r="AC140" s="21" t="n">
        <f aca="false">IF(OR($A140="",AC$4=""),0,COUNTIFS(Formulas!$A$2:$A$1501,AC$4,Formulas!$B$2:$B$1501,$A140))</f>
        <v>0</v>
      </c>
      <c r="AD140" s="21" t="n">
        <f aca="false">IF(OR($A140="",AD$4=""),0,COUNTIFS(Formulas!$A$2:$A$1501,AD$4,Formulas!$B$2:$B$1501,$A140))</f>
        <v>0</v>
      </c>
      <c r="AE140" s="21" t="n">
        <f aca="false">IF(OR($A140="",AE$4=""),0,COUNTIFS(Formulas!$A$2:$A$1501,AE$4,Formulas!$B$2:$B$1501,$A140))</f>
        <v>0</v>
      </c>
      <c r="AF140" s="21" t="n">
        <f aca="false">IF(OR($A140="",AF$4=""),0,COUNTIFS(Formulas!$A$2:$A$1501,AF$4,Formulas!$B$2:$B$1501,$A140))</f>
        <v>0</v>
      </c>
      <c r="AG140" s="21" t="n">
        <f aca="false">IF(OR($A140="",AG$4=""),0,COUNTIFS(Formulas!$A$2:$A$1501,AG$4,Formulas!$B$2:$B$1501,$A140))</f>
        <v>0</v>
      </c>
      <c r="AH140" s="21" t="n">
        <f aca="false">IF(OR($A140="",AH$4=""),0,COUNTIFS(Formulas!$A$2:$A$1501,AH$4,Formulas!$B$2:$B$1501,$A140))</f>
        <v>0</v>
      </c>
      <c r="AI140" s="21" t="n">
        <f aca="false">IF(OR($A140="",AI$4=""),0,COUNTIFS(Formulas!$A$2:$A$1501,AI$4,Formulas!$B$2:$B$1501,$A140))</f>
        <v>0</v>
      </c>
      <c r="AJ140" s="21" t="n">
        <f aca="false">IF(OR($A140="",AJ$4=""),0,COUNTIFS(Formulas!$A$2:$A$1501,AJ$4,Formulas!$B$2:$B$1501,$A140))</f>
        <v>0</v>
      </c>
      <c r="AK140" s="21" t="n">
        <f aca="false">IF(OR($A140="",AK$4=""),0,COUNTIFS(Formulas!$A$2:$A$1501,AK$4,Formulas!$B$2:$B$1501,$A140))</f>
        <v>0</v>
      </c>
      <c r="AL140" s="21" t="n">
        <f aca="false">IF(OR($A140="",AL$4=""),0,COUNTIFS(Formulas!$A$2:$A$1501,AL$4,Formulas!$B$2:$B$1501,$A140))</f>
        <v>0</v>
      </c>
      <c r="AM140" s="21" t="n">
        <f aca="false">IF(OR($A140="",AM$4=""),0,COUNTIFS(Formulas!$A$2:$A$1501,AM$4,Formulas!$B$2:$B$1501,$A140))</f>
        <v>0</v>
      </c>
      <c r="AN140" s="21" t="n">
        <f aca="false">IF(OR($A140="",AN$4=""),0,COUNTIFS(Formulas!$A$2:$A$1501,AN$4,Formulas!$B$2:$B$1501,$A140))</f>
        <v>0</v>
      </c>
      <c r="AO140" s="21" t="n">
        <f aca="false">IF(OR($A140="",AO$4=""),0,COUNTIFS(Formulas!$A$2:$A$1501,AO$4,Formulas!$B$2:$B$1501,$A140))</f>
        <v>0</v>
      </c>
      <c r="AP140" s="21" t="n">
        <f aca="false">IF(OR($A140="",AP$4=""),0,COUNTIFS(Formulas!$A$2:$A$1501,AP$4,Formulas!$B$2:$B$1501,$A140))</f>
        <v>0</v>
      </c>
      <c r="AQ140" s="21" t="n">
        <f aca="false">IF(OR($A140="",AQ$4=""),0,COUNTIFS(Formulas!$A$2:$A$1501,AQ$4,Formulas!$B$2:$B$1501,$A140))</f>
        <v>0</v>
      </c>
      <c r="AR140" s="21" t="n">
        <f aca="false">IF(OR($A140="",AR$4=""),0,COUNTIFS(Formulas!$A$2:$A$1501,AR$4,Formulas!$B$2:$B$1501,$A140))</f>
        <v>0</v>
      </c>
      <c r="AS140" s="21" t="n">
        <f aca="false">IF(OR($A140="",AS$4=""),0,COUNTIFS(Formulas!$A$2:$A$1501,AS$4,Formulas!$B$2:$B$1501,$A140))</f>
        <v>0</v>
      </c>
      <c r="AT140" s="21" t="n">
        <f aca="false">IF(OR($A140="",AT$4=""),0,COUNTIFS(Formulas!$A$2:$A$1501,AT$4,Formulas!$B$2:$B$1501,$A140))</f>
        <v>0</v>
      </c>
      <c r="AU140" s="21" t="n">
        <f aca="false">IF(OR($A140="",AU$4=""),0,COUNTIFS(Formulas!$A$2:$A$1501,AU$4,Formulas!$B$2:$B$1501,$A140))</f>
        <v>0</v>
      </c>
      <c r="AV140" s="21" t="n">
        <f aca="false">IF(OR($A140="",AV$4=""),0,COUNTIFS(Formulas!$A$2:$A$1501,AV$4,Formulas!$B$2:$B$1501,$A140))</f>
        <v>0</v>
      </c>
      <c r="AW140" s="21" t="n">
        <f aca="false">IF(OR($A140="",AW$4=""),0,COUNTIFS(Formulas!$A$2:$A$1501,AW$4,Formulas!$B$2:$B$1501,$A140))</f>
        <v>0</v>
      </c>
      <c r="AX140" s="21" t="n">
        <f aca="false">IF(OR($A140="",AX$4=""),0,COUNTIFS(Formulas!$A$2:$A$1501,AX$4,Formulas!$B$2:$B$1501,$A140))</f>
        <v>0</v>
      </c>
      <c r="AY140" s="21" t="n">
        <f aca="false">IF(OR($A140="",AY$4=""),0,COUNTIFS(Formulas!$A$2:$A$1501,AY$4,Formulas!$B$2:$B$1501,$A140))</f>
        <v>0</v>
      </c>
      <c r="AZ140" s="21" t="n">
        <f aca="false">IF(OR($A140="",AZ$4=""),0,COUNTIFS(Formulas!$A$2:$A$1501,AZ$4,Formulas!$B$2:$B$1501,$A140))</f>
        <v>0</v>
      </c>
      <c r="BA140" s="21" t="n">
        <f aca="false">IF(OR($A140="",BA$4=""),0,COUNTIFS(Formulas!$A$2:$A$1501,BA$4,Formulas!$B$2:$B$1501,$A140))</f>
        <v>0</v>
      </c>
      <c r="BB140" s="21" t="n">
        <f aca="false">IF(OR($A140="",BB$4=""),0,COUNTIFS(Formulas!$A$2:$A$1501,BB$4,Formulas!$B$2:$B$1501,$A140))</f>
        <v>0</v>
      </c>
      <c r="BC140" s="21" t="n">
        <f aca="false">IF(OR($A140="",BC$4=""),0,COUNTIFS(Formulas!$A$2:$A$1501,BC$4,Formulas!$B$2:$B$1501,$A140))</f>
        <v>0</v>
      </c>
      <c r="BD140" s="21" t="n">
        <f aca="false">IF(OR($A140="",BD$4=""),0,COUNTIFS(Formulas!$A$2:$A$1501,BD$4,Formulas!$B$2:$B$1501,$A140))</f>
        <v>0</v>
      </c>
      <c r="BE140" s="21" t="n">
        <f aca="false">IF(OR($A140="",BE$4=""),0,COUNTIFS(Formulas!$A$2:$A$1501,BE$4,Formulas!$B$2:$B$1501,$A140))</f>
        <v>0</v>
      </c>
      <c r="BF140" s="21" t="n">
        <f aca="false">IF(OR($A140="",BF$4=""),0,COUNTIFS(Formulas!$A$2:$A$1501,BF$4,Formulas!$B$2:$B$1501,$A140))</f>
        <v>0</v>
      </c>
      <c r="BG140" s="21" t="n">
        <f aca="false">IF(OR($A140="",BG$4=""),0,COUNTIFS(Formulas!$A$2:$A$1501,BG$4,Formulas!$B$2:$B$1501,$A140))</f>
        <v>0</v>
      </c>
      <c r="BH140" s="21" t="n">
        <f aca="false">IF(OR($A140="",BH$4=""),0,COUNTIFS(Formulas!$A$2:$A$1501,BH$4,Formulas!$B$2:$B$1501,$A140))</f>
        <v>0</v>
      </c>
      <c r="BI140" s="21" t="n">
        <f aca="false">IF(OR($A140="",BI$4=""),0,COUNTIFS(Formulas!$A$2:$A$1501,BI$4,Formulas!$B$2:$B$1501,$A140))</f>
        <v>0</v>
      </c>
      <c r="BJ140" s="21" t="n">
        <f aca="false">IF(OR($A140="",BJ$4=""),0,COUNTIFS(Formulas!$A$2:$A$1501,BJ$4,Formulas!$B$2:$B$1501,$A140))</f>
        <v>0</v>
      </c>
    </row>
    <row r="141" customFormat="false" ht="15" hidden="false" customHeight="false" outlineLevel="0" collapsed="false">
      <c r="A141" s="13" t="str">
        <f aca="false">IF(INDEX(Materials!$A$2:$A$201,137)="","",INDEX(Materials!$A$2:$A$201,137))</f>
        <v/>
      </c>
      <c r="B141" s="19" t="str">
        <f aca="false">IF(A141="","",COUNTIF(C141:BJ141,"&gt;0"))</f>
        <v/>
      </c>
      <c r="C141" s="21" t="n">
        <f aca="false">IF(OR($A141="",C$4=""),0,COUNTIFS(Formulas!$A$2:$A$1501,C$4,Formulas!$B$2:$B$1501,$A141))</f>
        <v>0</v>
      </c>
      <c r="D141" s="21" t="n">
        <f aca="false">IF(OR($A141="",D$4=""),0,COUNTIFS(Formulas!$A$2:$A$1501,D$4,Formulas!$B$2:$B$1501,$A141))</f>
        <v>0</v>
      </c>
      <c r="E141" s="21" t="n">
        <f aca="false">IF(OR($A141="",E$4=""),0,COUNTIFS(Formulas!$A$2:$A$1501,E$4,Formulas!$B$2:$B$1501,$A141))</f>
        <v>0</v>
      </c>
      <c r="F141" s="21" t="n">
        <f aca="false">IF(OR($A141="",F$4=""),0,COUNTIFS(Formulas!$A$2:$A$1501,F$4,Formulas!$B$2:$B$1501,$A141))</f>
        <v>0</v>
      </c>
      <c r="G141" s="21" t="n">
        <f aca="false">IF(OR($A141="",G$4=""),0,COUNTIFS(Formulas!$A$2:$A$1501,G$4,Formulas!$B$2:$B$1501,$A141))</f>
        <v>0</v>
      </c>
      <c r="H141" s="21" t="n">
        <f aca="false">IF(OR($A141="",H$4=""),0,COUNTIFS(Formulas!$A$2:$A$1501,H$4,Formulas!$B$2:$B$1501,$A141))</f>
        <v>0</v>
      </c>
      <c r="I141" s="21" t="n">
        <f aca="false">IF(OR($A141="",I$4=""),0,COUNTIFS(Formulas!$A$2:$A$1501,I$4,Formulas!$B$2:$B$1501,$A141))</f>
        <v>0</v>
      </c>
      <c r="J141" s="21" t="n">
        <f aca="false">IF(OR($A141="",J$4=""),0,COUNTIFS(Formulas!$A$2:$A$1501,J$4,Formulas!$B$2:$B$1501,$A141))</f>
        <v>0</v>
      </c>
      <c r="K141" s="21" t="n">
        <f aca="false">IF(OR($A141="",K$4=""),0,COUNTIFS(Formulas!$A$2:$A$1501,K$4,Formulas!$B$2:$B$1501,$A141))</f>
        <v>0</v>
      </c>
      <c r="L141" s="21" t="n">
        <f aca="false">IF(OR($A141="",L$4=""),0,COUNTIFS(Formulas!$A$2:$A$1501,L$4,Formulas!$B$2:$B$1501,$A141))</f>
        <v>0</v>
      </c>
      <c r="M141" s="21" t="n">
        <f aca="false">IF(OR($A141="",M$4=""),0,COUNTIFS(Formulas!$A$2:$A$1501,M$4,Formulas!$B$2:$B$1501,$A141))</f>
        <v>0</v>
      </c>
      <c r="N141" s="21" t="n">
        <f aca="false">IF(OR($A141="",N$4=""),0,COUNTIFS(Formulas!$A$2:$A$1501,N$4,Formulas!$B$2:$B$1501,$A141))</f>
        <v>0</v>
      </c>
      <c r="O141" s="21" t="n">
        <f aca="false">IF(OR($A141="",O$4=""),0,COUNTIFS(Formulas!$A$2:$A$1501,O$4,Formulas!$B$2:$B$1501,$A141))</f>
        <v>0</v>
      </c>
      <c r="P141" s="21" t="n">
        <f aca="false">IF(OR($A141="",P$4=""),0,COUNTIFS(Formulas!$A$2:$A$1501,P$4,Formulas!$B$2:$B$1501,$A141))</f>
        <v>0</v>
      </c>
      <c r="Q141" s="21" t="n">
        <f aca="false">IF(OR($A141="",Q$4=""),0,COUNTIFS(Formulas!$A$2:$A$1501,Q$4,Formulas!$B$2:$B$1501,$A141))</f>
        <v>0</v>
      </c>
      <c r="R141" s="21" t="n">
        <f aca="false">IF(OR($A141="",R$4=""),0,COUNTIFS(Formulas!$A$2:$A$1501,R$4,Formulas!$B$2:$B$1501,$A141))</f>
        <v>0</v>
      </c>
      <c r="S141" s="21" t="n">
        <f aca="false">IF(OR($A141="",S$4=""),0,COUNTIFS(Formulas!$A$2:$A$1501,S$4,Formulas!$B$2:$B$1501,$A141))</f>
        <v>0</v>
      </c>
      <c r="T141" s="21" t="n">
        <f aca="false">IF(OR($A141="",T$4=""),0,COUNTIFS(Formulas!$A$2:$A$1501,T$4,Formulas!$B$2:$B$1501,$A141))</f>
        <v>0</v>
      </c>
      <c r="U141" s="21" t="n">
        <f aca="false">IF(OR($A141="",U$4=""),0,COUNTIFS(Formulas!$A$2:$A$1501,U$4,Formulas!$B$2:$B$1501,$A141))</f>
        <v>0</v>
      </c>
      <c r="V141" s="21" t="n">
        <f aca="false">IF(OR($A141="",V$4=""),0,COUNTIFS(Formulas!$A$2:$A$1501,V$4,Formulas!$B$2:$B$1501,$A141))</f>
        <v>0</v>
      </c>
      <c r="W141" s="21" t="n">
        <f aca="false">IF(OR($A141="",W$4=""),0,COUNTIFS(Formulas!$A$2:$A$1501,W$4,Formulas!$B$2:$B$1501,$A141))</f>
        <v>0</v>
      </c>
      <c r="X141" s="21" t="n">
        <f aca="false">IF(OR($A141="",X$4=""),0,COUNTIFS(Formulas!$A$2:$A$1501,X$4,Formulas!$B$2:$B$1501,$A141))</f>
        <v>0</v>
      </c>
      <c r="Y141" s="21" t="n">
        <f aca="false">IF(OR($A141="",Y$4=""),0,COUNTIFS(Formulas!$A$2:$A$1501,Y$4,Formulas!$B$2:$B$1501,$A141))</f>
        <v>0</v>
      </c>
      <c r="Z141" s="21" t="n">
        <f aca="false">IF(OR($A141="",Z$4=""),0,COUNTIFS(Formulas!$A$2:$A$1501,Z$4,Formulas!$B$2:$B$1501,$A141))</f>
        <v>0</v>
      </c>
      <c r="AA141" s="21" t="n">
        <f aca="false">IF(OR($A141="",AA$4=""),0,COUNTIFS(Formulas!$A$2:$A$1501,AA$4,Formulas!$B$2:$B$1501,$A141))</f>
        <v>0</v>
      </c>
      <c r="AB141" s="21" t="n">
        <f aca="false">IF(OR($A141="",AB$4=""),0,COUNTIFS(Formulas!$A$2:$A$1501,AB$4,Formulas!$B$2:$B$1501,$A141))</f>
        <v>0</v>
      </c>
      <c r="AC141" s="21" t="n">
        <f aca="false">IF(OR($A141="",AC$4=""),0,COUNTIFS(Formulas!$A$2:$A$1501,AC$4,Formulas!$B$2:$B$1501,$A141))</f>
        <v>0</v>
      </c>
      <c r="AD141" s="21" t="n">
        <f aca="false">IF(OR($A141="",AD$4=""),0,COUNTIFS(Formulas!$A$2:$A$1501,AD$4,Formulas!$B$2:$B$1501,$A141))</f>
        <v>0</v>
      </c>
      <c r="AE141" s="21" t="n">
        <f aca="false">IF(OR($A141="",AE$4=""),0,COUNTIFS(Formulas!$A$2:$A$1501,AE$4,Formulas!$B$2:$B$1501,$A141))</f>
        <v>0</v>
      </c>
      <c r="AF141" s="21" t="n">
        <f aca="false">IF(OR($A141="",AF$4=""),0,COUNTIFS(Formulas!$A$2:$A$1501,AF$4,Formulas!$B$2:$B$1501,$A141))</f>
        <v>0</v>
      </c>
      <c r="AG141" s="21" t="n">
        <f aca="false">IF(OR($A141="",AG$4=""),0,COUNTIFS(Formulas!$A$2:$A$1501,AG$4,Formulas!$B$2:$B$1501,$A141))</f>
        <v>0</v>
      </c>
      <c r="AH141" s="21" t="n">
        <f aca="false">IF(OR($A141="",AH$4=""),0,COUNTIFS(Formulas!$A$2:$A$1501,AH$4,Formulas!$B$2:$B$1501,$A141))</f>
        <v>0</v>
      </c>
      <c r="AI141" s="21" t="n">
        <f aca="false">IF(OR($A141="",AI$4=""),0,COUNTIFS(Formulas!$A$2:$A$1501,AI$4,Formulas!$B$2:$B$1501,$A141))</f>
        <v>0</v>
      </c>
      <c r="AJ141" s="21" t="n">
        <f aca="false">IF(OR($A141="",AJ$4=""),0,COUNTIFS(Formulas!$A$2:$A$1501,AJ$4,Formulas!$B$2:$B$1501,$A141))</f>
        <v>0</v>
      </c>
      <c r="AK141" s="21" t="n">
        <f aca="false">IF(OR($A141="",AK$4=""),0,COUNTIFS(Formulas!$A$2:$A$1501,AK$4,Formulas!$B$2:$B$1501,$A141))</f>
        <v>0</v>
      </c>
      <c r="AL141" s="21" t="n">
        <f aca="false">IF(OR($A141="",AL$4=""),0,COUNTIFS(Formulas!$A$2:$A$1501,AL$4,Formulas!$B$2:$B$1501,$A141))</f>
        <v>0</v>
      </c>
      <c r="AM141" s="21" t="n">
        <f aca="false">IF(OR($A141="",AM$4=""),0,COUNTIFS(Formulas!$A$2:$A$1501,AM$4,Formulas!$B$2:$B$1501,$A141))</f>
        <v>0</v>
      </c>
      <c r="AN141" s="21" t="n">
        <f aca="false">IF(OR($A141="",AN$4=""),0,COUNTIFS(Formulas!$A$2:$A$1501,AN$4,Formulas!$B$2:$B$1501,$A141))</f>
        <v>0</v>
      </c>
      <c r="AO141" s="21" t="n">
        <f aca="false">IF(OR($A141="",AO$4=""),0,COUNTIFS(Formulas!$A$2:$A$1501,AO$4,Formulas!$B$2:$B$1501,$A141))</f>
        <v>0</v>
      </c>
      <c r="AP141" s="21" t="n">
        <f aca="false">IF(OR($A141="",AP$4=""),0,COUNTIFS(Formulas!$A$2:$A$1501,AP$4,Formulas!$B$2:$B$1501,$A141))</f>
        <v>0</v>
      </c>
      <c r="AQ141" s="21" t="n">
        <f aca="false">IF(OR($A141="",AQ$4=""),0,COUNTIFS(Formulas!$A$2:$A$1501,AQ$4,Formulas!$B$2:$B$1501,$A141))</f>
        <v>0</v>
      </c>
      <c r="AR141" s="21" t="n">
        <f aca="false">IF(OR($A141="",AR$4=""),0,COUNTIFS(Formulas!$A$2:$A$1501,AR$4,Formulas!$B$2:$B$1501,$A141))</f>
        <v>0</v>
      </c>
      <c r="AS141" s="21" t="n">
        <f aca="false">IF(OR($A141="",AS$4=""),0,COUNTIFS(Formulas!$A$2:$A$1501,AS$4,Formulas!$B$2:$B$1501,$A141))</f>
        <v>0</v>
      </c>
      <c r="AT141" s="21" t="n">
        <f aca="false">IF(OR($A141="",AT$4=""),0,COUNTIFS(Formulas!$A$2:$A$1501,AT$4,Formulas!$B$2:$B$1501,$A141))</f>
        <v>0</v>
      </c>
      <c r="AU141" s="21" t="n">
        <f aca="false">IF(OR($A141="",AU$4=""),0,COUNTIFS(Formulas!$A$2:$A$1501,AU$4,Formulas!$B$2:$B$1501,$A141))</f>
        <v>0</v>
      </c>
      <c r="AV141" s="21" t="n">
        <f aca="false">IF(OR($A141="",AV$4=""),0,COUNTIFS(Formulas!$A$2:$A$1501,AV$4,Formulas!$B$2:$B$1501,$A141))</f>
        <v>0</v>
      </c>
      <c r="AW141" s="21" t="n">
        <f aca="false">IF(OR($A141="",AW$4=""),0,COUNTIFS(Formulas!$A$2:$A$1501,AW$4,Formulas!$B$2:$B$1501,$A141))</f>
        <v>0</v>
      </c>
      <c r="AX141" s="21" t="n">
        <f aca="false">IF(OR($A141="",AX$4=""),0,COUNTIFS(Formulas!$A$2:$A$1501,AX$4,Formulas!$B$2:$B$1501,$A141))</f>
        <v>0</v>
      </c>
      <c r="AY141" s="21" t="n">
        <f aca="false">IF(OR($A141="",AY$4=""),0,COUNTIFS(Formulas!$A$2:$A$1501,AY$4,Formulas!$B$2:$B$1501,$A141))</f>
        <v>0</v>
      </c>
      <c r="AZ141" s="21" t="n">
        <f aca="false">IF(OR($A141="",AZ$4=""),0,COUNTIFS(Formulas!$A$2:$A$1501,AZ$4,Formulas!$B$2:$B$1501,$A141))</f>
        <v>0</v>
      </c>
      <c r="BA141" s="21" t="n">
        <f aca="false">IF(OR($A141="",BA$4=""),0,COUNTIFS(Formulas!$A$2:$A$1501,BA$4,Formulas!$B$2:$B$1501,$A141))</f>
        <v>0</v>
      </c>
      <c r="BB141" s="21" t="n">
        <f aca="false">IF(OR($A141="",BB$4=""),0,COUNTIFS(Formulas!$A$2:$A$1501,BB$4,Formulas!$B$2:$B$1501,$A141))</f>
        <v>0</v>
      </c>
      <c r="BC141" s="21" t="n">
        <f aca="false">IF(OR($A141="",BC$4=""),0,COUNTIFS(Formulas!$A$2:$A$1501,BC$4,Formulas!$B$2:$B$1501,$A141))</f>
        <v>0</v>
      </c>
      <c r="BD141" s="21" t="n">
        <f aca="false">IF(OR($A141="",BD$4=""),0,COUNTIFS(Formulas!$A$2:$A$1501,BD$4,Formulas!$B$2:$B$1501,$A141))</f>
        <v>0</v>
      </c>
      <c r="BE141" s="21" t="n">
        <f aca="false">IF(OR($A141="",BE$4=""),0,COUNTIFS(Formulas!$A$2:$A$1501,BE$4,Formulas!$B$2:$B$1501,$A141))</f>
        <v>0</v>
      </c>
      <c r="BF141" s="21" t="n">
        <f aca="false">IF(OR($A141="",BF$4=""),0,COUNTIFS(Formulas!$A$2:$A$1501,BF$4,Formulas!$B$2:$B$1501,$A141))</f>
        <v>0</v>
      </c>
      <c r="BG141" s="21" t="n">
        <f aca="false">IF(OR($A141="",BG$4=""),0,COUNTIFS(Formulas!$A$2:$A$1501,BG$4,Formulas!$B$2:$B$1501,$A141))</f>
        <v>0</v>
      </c>
      <c r="BH141" s="21" t="n">
        <f aca="false">IF(OR($A141="",BH$4=""),0,COUNTIFS(Formulas!$A$2:$A$1501,BH$4,Formulas!$B$2:$B$1501,$A141))</f>
        <v>0</v>
      </c>
      <c r="BI141" s="21" t="n">
        <f aca="false">IF(OR($A141="",BI$4=""),0,COUNTIFS(Formulas!$A$2:$A$1501,BI$4,Formulas!$B$2:$B$1501,$A141))</f>
        <v>0</v>
      </c>
      <c r="BJ141" s="21" t="n">
        <f aca="false">IF(OR($A141="",BJ$4=""),0,COUNTIFS(Formulas!$A$2:$A$1501,BJ$4,Formulas!$B$2:$B$1501,$A141))</f>
        <v>0</v>
      </c>
    </row>
    <row r="142" customFormat="false" ht="15" hidden="false" customHeight="false" outlineLevel="0" collapsed="false">
      <c r="A142" s="13" t="str">
        <f aca="false">IF(INDEX(Materials!$A$2:$A$201,138)="","",INDEX(Materials!$A$2:$A$201,138))</f>
        <v/>
      </c>
      <c r="B142" s="19" t="str">
        <f aca="false">IF(A142="","",COUNTIF(C142:BJ142,"&gt;0"))</f>
        <v/>
      </c>
      <c r="C142" s="21" t="n">
        <f aca="false">IF(OR($A142="",C$4=""),0,COUNTIFS(Formulas!$A$2:$A$1501,C$4,Formulas!$B$2:$B$1501,$A142))</f>
        <v>0</v>
      </c>
      <c r="D142" s="21" t="n">
        <f aca="false">IF(OR($A142="",D$4=""),0,COUNTIFS(Formulas!$A$2:$A$1501,D$4,Formulas!$B$2:$B$1501,$A142))</f>
        <v>0</v>
      </c>
      <c r="E142" s="21" t="n">
        <f aca="false">IF(OR($A142="",E$4=""),0,COUNTIFS(Formulas!$A$2:$A$1501,E$4,Formulas!$B$2:$B$1501,$A142))</f>
        <v>0</v>
      </c>
      <c r="F142" s="21" t="n">
        <f aca="false">IF(OR($A142="",F$4=""),0,COUNTIFS(Formulas!$A$2:$A$1501,F$4,Formulas!$B$2:$B$1501,$A142))</f>
        <v>0</v>
      </c>
      <c r="G142" s="21" t="n">
        <f aca="false">IF(OR($A142="",G$4=""),0,COUNTIFS(Formulas!$A$2:$A$1501,G$4,Formulas!$B$2:$B$1501,$A142))</f>
        <v>0</v>
      </c>
      <c r="H142" s="21" t="n">
        <f aca="false">IF(OR($A142="",H$4=""),0,COUNTIFS(Formulas!$A$2:$A$1501,H$4,Formulas!$B$2:$B$1501,$A142))</f>
        <v>0</v>
      </c>
      <c r="I142" s="21" t="n">
        <f aca="false">IF(OR($A142="",I$4=""),0,COUNTIFS(Formulas!$A$2:$A$1501,I$4,Formulas!$B$2:$B$1501,$A142))</f>
        <v>0</v>
      </c>
      <c r="J142" s="21" t="n">
        <f aca="false">IF(OR($A142="",J$4=""),0,COUNTIFS(Formulas!$A$2:$A$1501,J$4,Formulas!$B$2:$B$1501,$A142))</f>
        <v>0</v>
      </c>
      <c r="K142" s="21" t="n">
        <f aca="false">IF(OR($A142="",K$4=""),0,COUNTIFS(Formulas!$A$2:$A$1501,K$4,Formulas!$B$2:$B$1501,$A142))</f>
        <v>0</v>
      </c>
      <c r="L142" s="21" t="n">
        <f aca="false">IF(OR($A142="",L$4=""),0,COUNTIFS(Formulas!$A$2:$A$1501,L$4,Formulas!$B$2:$B$1501,$A142))</f>
        <v>0</v>
      </c>
      <c r="M142" s="21" t="n">
        <f aca="false">IF(OR($A142="",M$4=""),0,COUNTIFS(Formulas!$A$2:$A$1501,M$4,Formulas!$B$2:$B$1501,$A142))</f>
        <v>0</v>
      </c>
      <c r="N142" s="21" t="n">
        <f aca="false">IF(OR($A142="",N$4=""),0,COUNTIFS(Formulas!$A$2:$A$1501,N$4,Formulas!$B$2:$B$1501,$A142))</f>
        <v>0</v>
      </c>
      <c r="O142" s="21" t="n">
        <f aca="false">IF(OR($A142="",O$4=""),0,COUNTIFS(Formulas!$A$2:$A$1501,O$4,Formulas!$B$2:$B$1501,$A142))</f>
        <v>0</v>
      </c>
      <c r="P142" s="21" t="n">
        <f aca="false">IF(OR($A142="",P$4=""),0,COUNTIFS(Formulas!$A$2:$A$1501,P$4,Formulas!$B$2:$B$1501,$A142))</f>
        <v>0</v>
      </c>
      <c r="Q142" s="21" t="n">
        <f aca="false">IF(OR($A142="",Q$4=""),0,COUNTIFS(Formulas!$A$2:$A$1501,Q$4,Formulas!$B$2:$B$1501,$A142))</f>
        <v>0</v>
      </c>
      <c r="R142" s="21" t="n">
        <f aca="false">IF(OR($A142="",R$4=""),0,COUNTIFS(Formulas!$A$2:$A$1501,R$4,Formulas!$B$2:$B$1501,$A142))</f>
        <v>0</v>
      </c>
      <c r="S142" s="21" t="n">
        <f aca="false">IF(OR($A142="",S$4=""),0,COUNTIFS(Formulas!$A$2:$A$1501,S$4,Formulas!$B$2:$B$1501,$A142))</f>
        <v>0</v>
      </c>
      <c r="T142" s="21" t="n">
        <f aca="false">IF(OR($A142="",T$4=""),0,COUNTIFS(Formulas!$A$2:$A$1501,T$4,Formulas!$B$2:$B$1501,$A142))</f>
        <v>0</v>
      </c>
      <c r="U142" s="21" t="n">
        <f aca="false">IF(OR($A142="",U$4=""),0,COUNTIFS(Formulas!$A$2:$A$1501,U$4,Formulas!$B$2:$B$1501,$A142))</f>
        <v>0</v>
      </c>
      <c r="V142" s="21" t="n">
        <f aca="false">IF(OR($A142="",V$4=""),0,COUNTIFS(Formulas!$A$2:$A$1501,V$4,Formulas!$B$2:$B$1501,$A142))</f>
        <v>0</v>
      </c>
      <c r="W142" s="21" t="n">
        <f aca="false">IF(OR($A142="",W$4=""),0,COUNTIFS(Formulas!$A$2:$A$1501,W$4,Formulas!$B$2:$B$1501,$A142))</f>
        <v>0</v>
      </c>
      <c r="X142" s="21" t="n">
        <f aca="false">IF(OR($A142="",X$4=""),0,COUNTIFS(Formulas!$A$2:$A$1501,X$4,Formulas!$B$2:$B$1501,$A142))</f>
        <v>0</v>
      </c>
      <c r="Y142" s="21" t="n">
        <f aca="false">IF(OR($A142="",Y$4=""),0,COUNTIFS(Formulas!$A$2:$A$1501,Y$4,Formulas!$B$2:$B$1501,$A142))</f>
        <v>0</v>
      </c>
      <c r="Z142" s="21" t="n">
        <f aca="false">IF(OR($A142="",Z$4=""),0,COUNTIFS(Formulas!$A$2:$A$1501,Z$4,Formulas!$B$2:$B$1501,$A142))</f>
        <v>0</v>
      </c>
      <c r="AA142" s="21" t="n">
        <f aca="false">IF(OR($A142="",AA$4=""),0,COUNTIFS(Formulas!$A$2:$A$1501,AA$4,Formulas!$B$2:$B$1501,$A142))</f>
        <v>0</v>
      </c>
      <c r="AB142" s="21" t="n">
        <f aca="false">IF(OR($A142="",AB$4=""),0,COUNTIFS(Formulas!$A$2:$A$1501,AB$4,Formulas!$B$2:$B$1501,$A142))</f>
        <v>0</v>
      </c>
      <c r="AC142" s="21" t="n">
        <f aca="false">IF(OR($A142="",AC$4=""),0,COUNTIFS(Formulas!$A$2:$A$1501,AC$4,Formulas!$B$2:$B$1501,$A142))</f>
        <v>0</v>
      </c>
      <c r="AD142" s="21" t="n">
        <f aca="false">IF(OR($A142="",AD$4=""),0,COUNTIFS(Formulas!$A$2:$A$1501,AD$4,Formulas!$B$2:$B$1501,$A142))</f>
        <v>0</v>
      </c>
      <c r="AE142" s="21" t="n">
        <f aca="false">IF(OR($A142="",AE$4=""),0,COUNTIFS(Formulas!$A$2:$A$1501,AE$4,Formulas!$B$2:$B$1501,$A142))</f>
        <v>0</v>
      </c>
      <c r="AF142" s="21" t="n">
        <f aca="false">IF(OR($A142="",AF$4=""),0,COUNTIFS(Formulas!$A$2:$A$1501,AF$4,Formulas!$B$2:$B$1501,$A142))</f>
        <v>0</v>
      </c>
      <c r="AG142" s="21" t="n">
        <f aca="false">IF(OR($A142="",AG$4=""),0,COUNTIFS(Formulas!$A$2:$A$1501,AG$4,Formulas!$B$2:$B$1501,$A142))</f>
        <v>0</v>
      </c>
      <c r="AH142" s="21" t="n">
        <f aca="false">IF(OR($A142="",AH$4=""),0,COUNTIFS(Formulas!$A$2:$A$1501,AH$4,Formulas!$B$2:$B$1501,$A142))</f>
        <v>0</v>
      </c>
      <c r="AI142" s="21" t="n">
        <f aca="false">IF(OR($A142="",AI$4=""),0,COUNTIFS(Formulas!$A$2:$A$1501,AI$4,Formulas!$B$2:$B$1501,$A142))</f>
        <v>0</v>
      </c>
      <c r="AJ142" s="21" t="n">
        <f aca="false">IF(OR($A142="",AJ$4=""),0,COUNTIFS(Formulas!$A$2:$A$1501,AJ$4,Formulas!$B$2:$B$1501,$A142))</f>
        <v>0</v>
      </c>
      <c r="AK142" s="21" t="n">
        <f aca="false">IF(OR($A142="",AK$4=""),0,COUNTIFS(Formulas!$A$2:$A$1501,AK$4,Formulas!$B$2:$B$1501,$A142))</f>
        <v>0</v>
      </c>
      <c r="AL142" s="21" t="n">
        <f aca="false">IF(OR($A142="",AL$4=""),0,COUNTIFS(Formulas!$A$2:$A$1501,AL$4,Formulas!$B$2:$B$1501,$A142))</f>
        <v>0</v>
      </c>
      <c r="AM142" s="21" t="n">
        <f aca="false">IF(OR($A142="",AM$4=""),0,COUNTIFS(Formulas!$A$2:$A$1501,AM$4,Formulas!$B$2:$B$1501,$A142))</f>
        <v>0</v>
      </c>
      <c r="AN142" s="21" t="n">
        <f aca="false">IF(OR($A142="",AN$4=""),0,COUNTIFS(Formulas!$A$2:$A$1501,AN$4,Formulas!$B$2:$B$1501,$A142))</f>
        <v>0</v>
      </c>
      <c r="AO142" s="21" t="n">
        <f aca="false">IF(OR($A142="",AO$4=""),0,COUNTIFS(Formulas!$A$2:$A$1501,AO$4,Formulas!$B$2:$B$1501,$A142))</f>
        <v>0</v>
      </c>
      <c r="AP142" s="21" t="n">
        <f aca="false">IF(OR($A142="",AP$4=""),0,COUNTIFS(Formulas!$A$2:$A$1501,AP$4,Formulas!$B$2:$B$1501,$A142))</f>
        <v>0</v>
      </c>
      <c r="AQ142" s="21" t="n">
        <f aca="false">IF(OR($A142="",AQ$4=""),0,COUNTIFS(Formulas!$A$2:$A$1501,AQ$4,Formulas!$B$2:$B$1501,$A142))</f>
        <v>0</v>
      </c>
      <c r="AR142" s="21" t="n">
        <f aca="false">IF(OR($A142="",AR$4=""),0,COUNTIFS(Formulas!$A$2:$A$1501,AR$4,Formulas!$B$2:$B$1501,$A142))</f>
        <v>0</v>
      </c>
      <c r="AS142" s="21" t="n">
        <f aca="false">IF(OR($A142="",AS$4=""),0,COUNTIFS(Formulas!$A$2:$A$1501,AS$4,Formulas!$B$2:$B$1501,$A142))</f>
        <v>0</v>
      </c>
      <c r="AT142" s="21" t="n">
        <f aca="false">IF(OR($A142="",AT$4=""),0,COUNTIFS(Formulas!$A$2:$A$1501,AT$4,Formulas!$B$2:$B$1501,$A142))</f>
        <v>0</v>
      </c>
      <c r="AU142" s="21" t="n">
        <f aca="false">IF(OR($A142="",AU$4=""),0,COUNTIFS(Formulas!$A$2:$A$1501,AU$4,Formulas!$B$2:$B$1501,$A142))</f>
        <v>0</v>
      </c>
      <c r="AV142" s="21" t="n">
        <f aca="false">IF(OR($A142="",AV$4=""),0,COUNTIFS(Formulas!$A$2:$A$1501,AV$4,Formulas!$B$2:$B$1501,$A142))</f>
        <v>0</v>
      </c>
      <c r="AW142" s="21" t="n">
        <f aca="false">IF(OR($A142="",AW$4=""),0,COUNTIFS(Formulas!$A$2:$A$1501,AW$4,Formulas!$B$2:$B$1501,$A142))</f>
        <v>0</v>
      </c>
      <c r="AX142" s="21" t="n">
        <f aca="false">IF(OR($A142="",AX$4=""),0,COUNTIFS(Formulas!$A$2:$A$1501,AX$4,Formulas!$B$2:$B$1501,$A142))</f>
        <v>0</v>
      </c>
      <c r="AY142" s="21" t="n">
        <f aca="false">IF(OR($A142="",AY$4=""),0,COUNTIFS(Formulas!$A$2:$A$1501,AY$4,Formulas!$B$2:$B$1501,$A142))</f>
        <v>0</v>
      </c>
      <c r="AZ142" s="21" t="n">
        <f aca="false">IF(OR($A142="",AZ$4=""),0,COUNTIFS(Formulas!$A$2:$A$1501,AZ$4,Formulas!$B$2:$B$1501,$A142))</f>
        <v>0</v>
      </c>
      <c r="BA142" s="21" t="n">
        <f aca="false">IF(OR($A142="",BA$4=""),0,COUNTIFS(Formulas!$A$2:$A$1501,BA$4,Formulas!$B$2:$B$1501,$A142))</f>
        <v>0</v>
      </c>
      <c r="BB142" s="21" t="n">
        <f aca="false">IF(OR($A142="",BB$4=""),0,COUNTIFS(Formulas!$A$2:$A$1501,BB$4,Formulas!$B$2:$B$1501,$A142))</f>
        <v>0</v>
      </c>
      <c r="BC142" s="21" t="n">
        <f aca="false">IF(OR($A142="",BC$4=""),0,COUNTIFS(Formulas!$A$2:$A$1501,BC$4,Formulas!$B$2:$B$1501,$A142))</f>
        <v>0</v>
      </c>
      <c r="BD142" s="21" t="n">
        <f aca="false">IF(OR($A142="",BD$4=""),0,COUNTIFS(Formulas!$A$2:$A$1501,BD$4,Formulas!$B$2:$B$1501,$A142))</f>
        <v>0</v>
      </c>
      <c r="BE142" s="21" t="n">
        <f aca="false">IF(OR($A142="",BE$4=""),0,COUNTIFS(Formulas!$A$2:$A$1501,BE$4,Formulas!$B$2:$B$1501,$A142))</f>
        <v>0</v>
      </c>
      <c r="BF142" s="21" t="n">
        <f aca="false">IF(OR($A142="",BF$4=""),0,COUNTIFS(Formulas!$A$2:$A$1501,BF$4,Formulas!$B$2:$B$1501,$A142))</f>
        <v>0</v>
      </c>
      <c r="BG142" s="21" t="n">
        <f aca="false">IF(OR($A142="",BG$4=""),0,COUNTIFS(Formulas!$A$2:$A$1501,BG$4,Formulas!$B$2:$B$1501,$A142))</f>
        <v>0</v>
      </c>
      <c r="BH142" s="21" t="n">
        <f aca="false">IF(OR($A142="",BH$4=""),0,COUNTIFS(Formulas!$A$2:$A$1501,BH$4,Formulas!$B$2:$B$1501,$A142))</f>
        <v>0</v>
      </c>
      <c r="BI142" s="21" t="n">
        <f aca="false">IF(OR($A142="",BI$4=""),0,COUNTIFS(Formulas!$A$2:$A$1501,BI$4,Formulas!$B$2:$B$1501,$A142))</f>
        <v>0</v>
      </c>
      <c r="BJ142" s="21" t="n">
        <f aca="false">IF(OR($A142="",BJ$4=""),0,COUNTIFS(Formulas!$A$2:$A$1501,BJ$4,Formulas!$B$2:$B$1501,$A142))</f>
        <v>0</v>
      </c>
    </row>
    <row r="143" customFormat="false" ht="15" hidden="false" customHeight="false" outlineLevel="0" collapsed="false">
      <c r="A143" s="13" t="str">
        <f aca="false">IF(INDEX(Materials!$A$2:$A$201,139)="","",INDEX(Materials!$A$2:$A$201,139))</f>
        <v/>
      </c>
      <c r="B143" s="19" t="str">
        <f aca="false">IF(A143="","",COUNTIF(C143:BJ143,"&gt;0"))</f>
        <v/>
      </c>
      <c r="C143" s="21" t="n">
        <f aca="false">IF(OR($A143="",C$4=""),0,COUNTIFS(Formulas!$A$2:$A$1501,C$4,Formulas!$B$2:$B$1501,$A143))</f>
        <v>0</v>
      </c>
      <c r="D143" s="21" t="n">
        <f aca="false">IF(OR($A143="",D$4=""),0,COUNTIFS(Formulas!$A$2:$A$1501,D$4,Formulas!$B$2:$B$1501,$A143))</f>
        <v>0</v>
      </c>
      <c r="E143" s="21" t="n">
        <f aca="false">IF(OR($A143="",E$4=""),0,COUNTIFS(Formulas!$A$2:$A$1501,E$4,Formulas!$B$2:$B$1501,$A143))</f>
        <v>0</v>
      </c>
      <c r="F143" s="21" t="n">
        <f aca="false">IF(OR($A143="",F$4=""),0,COUNTIFS(Formulas!$A$2:$A$1501,F$4,Formulas!$B$2:$B$1501,$A143))</f>
        <v>0</v>
      </c>
      <c r="G143" s="21" t="n">
        <f aca="false">IF(OR($A143="",G$4=""),0,COUNTIFS(Formulas!$A$2:$A$1501,G$4,Formulas!$B$2:$B$1501,$A143))</f>
        <v>0</v>
      </c>
      <c r="H143" s="21" t="n">
        <f aca="false">IF(OR($A143="",H$4=""),0,COUNTIFS(Formulas!$A$2:$A$1501,H$4,Formulas!$B$2:$B$1501,$A143))</f>
        <v>0</v>
      </c>
      <c r="I143" s="21" t="n">
        <f aca="false">IF(OR($A143="",I$4=""),0,COUNTIFS(Formulas!$A$2:$A$1501,I$4,Formulas!$B$2:$B$1501,$A143))</f>
        <v>0</v>
      </c>
      <c r="J143" s="21" t="n">
        <f aca="false">IF(OR($A143="",J$4=""),0,COUNTIFS(Formulas!$A$2:$A$1501,J$4,Formulas!$B$2:$B$1501,$A143))</f>
        <v>0</v>
      </c>
      <c r="K143" s="21" t="n">
        <f aca="false">IF(OR($A143="",K$4=""),0,COUNTIFS(Formulas!$A$2:$A$1501,K$4,Formulas!$B$2:$B$1501,$A143))</f>
        <v>0</v>
      </c>
      <c r="L143" s="21" t="n">
        <f aca="false">IF(OR($A143="",L$4=""),0,COUNTIFS(Formulas!$A$2:$A$1501,L$4,Formulas!$B$2:$B$1501,$A143))</f>
        <v>0</v>
      </c>
      <c r="M143" s="21" t="n">
        <f aca="false">IF(OR($A143="",M$4=""),0,COUNTIFS(Formulas!$A$2:$A$1501,M$4,Formulas!$B$2:$B$1501,$A143))</f>
        <v>0</v>
      </c>
      <c r="N143" s="21" t="n">
        <f aca="false">IF(OR($A143="",N$4=""),0,COUNTIFS(Formulas!$A$2:$A$1501,N$4,Formulas!$B$2:$B$1501,$A143))</f>
        <v>0</v>
      </c>
      <c r="O143" s="21" t="n">
        <f aca="false">IF(OR($A143="",O$4=""),0,COUNTIFS(Formulas!$A$2:$A$1501,O$4,Formulas!$B$2:$B$1501,$A143))</f>
        <v>0</v>
      </c>
      <c r="P143" s="21" t="n">
        <f aca="false">IF(OR($A143="",P$4=""),0,COUNTIFS(Formulas!$A$2:$A$1501,P$4,Formulas!$B$2:$B$1501,$A143))</f>
        <v>0</v>
      </c>
      <c r="Q143" s="21" t="n">
        <f aca="false">IF(OR($A143="",Q$4=""),0,COUNTIFS(Formulas!$A$2:$A$1501,Q$4,Formulas!$B$2:$B$1501,$A143))</f>
        <v>0</v>
      </c>
      <c r="R143" s="21" t="n">
        <f aca="false">IF(OR($A143="",R$4=""),0,COUNTIFS(Formulas!$A$2:$A$1501,R$4,Formulas!$B$2:$B$1501,$A143))</f>
        <v>0</v>
      </c>
      <c r="S143" s="21" t="n">
        <f aca="false">IF(OR($A143="",S$4=""),0,COUNTIFS(Formulas!$A$2:$A$1501,S$4,Formulas!$B$2:$B$1501,$A143))</f>
        <v>0</v>
      </c>
      <c r="T143" s="21" t="n">
        <f aca="false">IF(OR($A143="",T$4=""),0,COUNTIFS(Formulas!$A$2:$A$1501,T$4,Formulas!$B$2:$B$1501,$A143))</f>
        <v>0</v>
      </c>
      <c r="U143" s="21" t="n">
        <f aca="false">IF(OR($A143="",U$4=""),0,COUNTIFS(Formulas!$A$2:$A$1501,U$4,Formulas!$B$2:$B$1501,$A143))</f>
        <v>0</v>
      </c>
      <c r="V143" s="21" t="n">
        <f aca="false">IF(OR($A143="",V$4=""),0,COUNTIFS(Formulas!$A$2:$A$1501,V$4,Formulas!$B$2:$B$1501,$A143))</f>
        <v>0</v>
      </c>
      <c r="W143" s="21" t="n">
        <f aca="false">IF(OR($A143="",W$4=""),0,COUNTIFS(Formulas!$A$2:$A$1501,W$4,Formulas!$B$2:$B$1501,$A143))</f>
        <v>0</v>
      </c>
      <c r="X143" s="21" t="n">
        <f aca="false">IF(OR($A143="",X$4=""),0,COUNTIFS(Formulas!$A$2:$A$1501,X$4,Formulas!$B$2:$B$1501,$A143))</f>
        <v>0</v>
      </c>
      <c r="Y143" s="21" t="n">
        <f aca="false">IF(OR($A143="",Y$4=""),0,COUNTIFS(Formulas!$A$2:$A$1501,Y$4,Formulas!$B$2:$B$1501,$A143))</f>
        <v>0</v>
      </c>
      <c r="Z143" s="21" t="n">
        <f aca="false">IF(OR($A143="",Z$4=""),0,COUNTIFS(Formulas!$A$2:$A$1501,Z$4,Formulas!$B$2:$B$1501,$A143))</f>
        <v>0</v>
      </c>
      <c r="AA143" s="21" t="n">
        <f aca="false">IF(OR($A143="",AA$4=""),0,COUNTIFS(Formulas!$A$2:$A$1501,AA$4,Formulas!$B$2:$B$1501,$A143))</f>
        <v>0</v>
      </c>
      <c r="AB143" s="21" t="n">
        <f aca="false">IF(OR($A143="",AB$4=""),0,COUNTIFS(Formulas!$A$2:$A$1501,AB$4,Formulas!$B$2:$B$1501,$A143))</f>
        <v>0</v>
      </c>
      <c r="AC143" s="21" t="n">
        <f aca="false">IF(OR($A143="",AC$4=""),0,COUNTIFS(Formulas!$A$2:$A$1501,AC$4,Formulas!$B$2:$B$1501,$A143))</f>
        <v>0</v>
      </c>
      <c r="AD143" s="21" t="n">
        <f aca="false">IF(OR($A143="",AD$4=""),0,COUNTIFS(Formulas!$A$2:$A$1501,AD$4,Formulas!$B$2:$B$1501,$A143))</f>
        <v>0</v>
      </c>
      <c r="AE143" s="21" t="n">
        <f aca="false">IF(OR($A143="",AE$4=""),0,COUNTIFS(Formulas!$A$2:$A$1501,AE$4,Formulas!$B$2:$B$1501,$A143))</f>
        <v>0</v>
      </c>
      <c r="AF143" s="21" t="n">
        <f aca="false">IF(OR($A143="",AF$4=""),0,COUNTIFS(Formulas!$A$2:$A$1501,AF$4,Formulas!$B$2:$B$1501,$A143))</f>
        <v>0</v>
      </c>
      <c r="AG143" s="21" t="n">
        <f aca="false">IF(OR($A143="",AG$4=""),0,COUNTIFS(Formulas!$A$2:$A$1501,AG$4,Formulas!$B$2:$B$1501,$A143))</f>
        <v>0</v>
      </c>
      <c r="AH143" s="21" t="n">
        <f aca="false">IF(OR($A143="",AH$4=""),0,COUNTIFS(Formulas!$A$2:$A$1501,AH$4,Formulas!$B$2:$B$1501,$A143))</f>
        <v>0</v>
      </c>
      <c r="AI143" s="21" t="n">
        <f aca="false">IF(OR($A143="",AI$4=""),0,COUNTIFS(Formulas!$A$2:$A$1501,AI$4,Formulas!$B$2:$B$1501,$A143))</f>
        <v>0</v>
      </c>
      <c r="AJ143" s="21" t="n">
        <f aca="false">IF(OR($A143="",AJ$4=""),0,COUNTIFS(Formulas!$A$2:$A$1501,AJ$4,Formulas!$B$2:$B$1501,$A143))</f>
        <v>0</v>
      </c>
      <c r="AK143" s="21" t="n">
        <f aca="false">IF(OR($A143="",AK$4=""),0,COUNTIFS(Formulas!$A$2:$A$1501,AK$4,Formulas!$B$2:$B$1501,$A143))</f>
        <v>0</v>
      </c>
      <c r="AL143" s="21" t="n">
        <f aca="false">IF(OR($A143="",AL$4=""),0,COUNTIFS(Formulas!$A$2:$A$1501,AL$4,Formulas!$B$2:$B$1501,$A143))</f>
        <v>0</v>
      </c>
      <c r="AM143" s="21" t="n">
        <f aca="false">IF(OR($A143="",AM$4=""),0,COUNTIFS(Formulas!$A$2:$A$1501,AM$4,Formulas!$B$2:$B$1501,$A143))</f>
        <v>0</v>
      </c>
      <c r="AN143" s="21" t="n">
        <f aca="false">IF(OR($A143="",AN$4=""),0,COUNTIFS(Formulas!$A$2:$A$1501,AN$4,Formulas!$B$2:$B$1501,$A143))</f>
        <v>0</v>
      </c>
      <c r="AO143" s="21" t="n">
        <f aca="false">IF(OR($A143="",AO$4=""),0,COUNTIFS(Formulas!$A$2:$A$1501,AO$4,Formulas!$B$2:$B$1501,$A143))</f>
        <v>0</v>
      </c>
      <c r="AP143" s="21" t="n">
        <f aca="false">IF(OR($A143="",AP$4=""),0,COUNTIFS(Formulas!$A$2:$A$1501,AP$4,Formulas!$B$2:$B$1501,$A143))</f>
        <v>0</v>
      </c>
      <c r="AQ143" s="21" t="n">
        <f aca="false">IF(OR($A143="",AQ$4=""),0,COUNTIFS(Formulas!$A$2:$A$1501,AQ$4,Formulas!$B$2:$B$1501,$A143))</f>
        <v>0</v>
      </c>
      <c r="AR143" s="21" t="n">
        <f aca="false">IF(OR($A143="",AR$4=""),0,COUNTIFS(Formulas!$A$2:$A$1501,AR$4,Formulas!$B$2:$B$1501,$A143))</f>
        <v>0</v>
      </c>
      <c r="AS143" s="21" t="n">
        <f aca="false">IF(OR($A143="",AS$4=""),0,COUNTIFS(Formulas!$A$2:$A$1501,AS$4,Formulas!$B$2:$B$1501,$A143))</f>
        <v>0</v>
      </c>
      <c r="AT143" s="21" t="n">
        <f aca="false">IF(OR($A143="",AT$4=""),0,COUNTIFS(Formulas!$A$2:$A$1501,AT$4,Formulas!$B$2:$B$1501,$A143))</f>
        <v>0</v>
      </c>
      <c r="AU143" s="21" t="n">
        <f aca="false">IF(OR($A143="",AU$4=""),0,COUNTIFS(Formulas!$A$2:$A$1501,AU$4,Formulas!$B$2:$B$1501,$A143))</f>
        <v>0</v>
      </c>
      <c r="AV143" s="21" t="n">
        <f aca="false">IF(OR($A143="",AV$4=""),0,COUNTIFS(Formulas!$A$2:$A$1501,AV$4,Formulas!$B$2:$B$1501,$A143))</f>
        <v>0</v>
      </c>
      <c r="AW143" s="21" t="n">
        <f aca="false">IF(OR($A143="",AW$4=""),0,COUNTIFS(Formulas!$A$2:$A$1501,AW$4,Formulas!$B$2:$B$1501,$A143))</f>
        <v>0</v>
      </c>
      <c r="AX143" s="21" t="n">
        <f aca="false">IF(OR($A143="",AX$4=""),0,COUNTIFS(Formulas!$A$2:$A$1501,AX$4,Formulas!$B$2:$B$1501,$A143))</f>
        <v>0</v>
      </c>
      <c r="AY143" s="21" t="n">
        <f aca="false">IF(OR($A143="",AY$4=""),0,COUNTIFS(Formulas!$A$2:$A$1501,AY$4,Formulas!$B$2:$B$1501,$A143))</f>
        <v>0</v>
      </c>
      <c r="AZ143" s="21" t="n">
        <f aca="false">IF(OR($A143="",AZ$4=""),0,COUNTIFS(Formulas!$A$2:$A$1501,AZ$4,Formulas!$B$2:$B$1501,$A143))</f>
        <v>0</v>
      </c>
      <c r="BA143" s="21" t="n">
        <f aca="false">IF(OR($A143="",BA$4=""),0,COUNTIFS(Formulas!$A$2:$A$1501,BA$4,Formulas!$B$2:$B$1501,$A143))</f>
        <v>0</v>
      </c>
      <c r="BB143" s="21" t="n">
        <f aca="false">IF(OR($A143="",BB$4=""),0,COUNTIFS(Formulas!$A$2:$A$1501,BB$4,Formulas!$B$2:$B$1501,$A143))</f>
        <v>0</v>
      </c>
      <c r="BC143" s="21" t="n">
        <f aca="false">IF(OR($A143="",BC$4=""),0,COUNTIFS(Formulas!$A$2:$A$1501,BC$4,Formulas!$B$2:$B$1501,$A143))</f>
        <v>0</v>
      </c>
      <c r="BD143" s="21" t="n">
        <f aca="false">IF(OR($A143="",BD$4=""),0,COUNTIFS(Formulas!$A$2:$A$1501,BD$4,Formulas!$B$2:$B$1501,$A143))</f>
        <v>0</v>
      </c>
      <c r="BE143" s="21" t="n">
        <f aca="false">IF(OR($A143="",BE$4=""),0,COUNTIFS(Formulas!$A$2:$A$1501,BE$4,Formulas!$B$2:$B$1501,$A143))</f>
        <v>0</v>
      </c>
      <c r="BF143" s="21" t="n">
        <f aca="false">IF(OR($A143="",BF$4=""),0,COUNTIFS(Formulas!$A$2:$A$1501,BF$4,Formulas!$B$2:$B$1501,$A143))</f>
        <v>0</v>
      </c>
      <c r="BG143" s="21" t="n">
        <f aca="false">IF(OR($A143="",BG$4=""),0,COUNTIFS(Formulas!$A$2:$A$1501,BG$4,Formulas!$B$2:$B$1501,$A143))</f>
        <v>0</v>
      </c>
      <c r="BH143" s="21" t="n">
        <f aca="false">IF(OR($A143="",BH$4=""),0,COUNTIFS(Formulas!$A$2:$A$1501,BH$4,Formulas!$B$2:$B$1501,$A143))</f>
        <v>0</v>
      </c>
      <c r="BI143" s="21" t="n">
        <f aca="false">IF(OR($A143="",BI$4=""),0,COUNTIFS(Formulas!$A$2:$A$1501,BI$4,Formulas!$B$2:$B$1501,$A143))</f>
        <v>0</v>
      </c>
      <c r="BJ143" s="21" t="n">
        <f aca="false">IF(OR($A143="",BJ$4=""),0,COUNTIFS(Formulas!$A$2:$A$1501,BJ$4,Formulas!$B$2:$B$1501,$A143))</f>
        <v>0</v>
      </c>
    </row>
    <row r="144" customFormat="false" ht="15" hidden="false" customHeight="false" outlineLevel="0" collapsed="false">
      <c r="A144" s="13" t="str">
        <f aca="false">IF(INDEX(Materials!$A$2:$A$201,140)="","",INDEX(Materials!$A$2:$A$201,140))</f>
        <v/>
      </c>
      <c r="B144" s="19" t="str">
        <f aca="false">IF(A144="","",COUNTIF(C144:BJ144,"&gt;0"))</f>
        <v/>
      </c>
      <c r="C144" s="21" t="n">
        <f aca="false">IF(OR($A144="",C$4=""),0,COUNTIFS(Formulas!$A$2:$A$1501,C$4,Formulas!$B$2:$B$1501,$A144))</f>
        <v>0</v>
      </c>
      <c r="D144" s="21" t="n">
        <f aca="false">IF(OR($A144="",D$4=""),0,COUNTIFS(Formulas!$A$2:$A$1501,D$4,Formulas!$B$2:$B$1501,$A144))</f>
        <v>0</v>
      </c>
      <c r="E144" s="21" t="n">
        <f aca="false">IF(OR($A144="",E$4=""),0,COUNTIFS(Formulas!$A$2:$A$1501,E$4,Formulas!$B$2:$B$1501,$A144))</f>
        <v>0</v>
      </c>
      <c r="F144" s="21" t="n">
        <f aca="false">IF(OR($A144="",F$4=""),0,COUNTIFS(Formulas!$A$2:$A$1501,F$4,Formulas!$B$2:$B$1501,$A144))</f>
        <v>0</v>
      </c>
      <c r="G144" s="21" t="n">
        <f aca="false">IF(OR($A144="",G$4=""),0,COUNTIFS(Formulas!$A$2:$A$1501,G$4,Formulas!$B$2:$B$1501,$A144))</f>
        <v>0</v>
      </c>
      <c r="H144" s="21" t="n">
        <f aca="false">IF(OR($A144="",H$4=""),0,COUNTIFS(Formulas!$A$2:$A$1501,H$4,Formulas!$B$2:$B$1501,$A144))</f>
        <v>0</v>
      </c>
      <c r="I144" s="21" t="n">
        <f aca="false">IF(OR($A144="",I$4=""),0,COUNTIFS(Formulas!$A$2:$A$1501,I$4,Formulas!$B$2:$B$1501,$A144))</f>
        <v>0</v>
      </c>
      <c r="J144" s="21" t="n">
        <f aca="false">IF(OR($A144="",J$4=""),0,COUNTIFS(Formulas!$A$2:$A$1501,J$4,Formulas!$B$2:$B$1501,$A144))</f>
        <v>0</v>
      </c>
      <c r="K144" s="21" t="n">
        <f aca="false">IF(OR($A144="",K$4=""),0,COUNTIFS(Formulas!$A$2:$A$1501,K$4,Formulas!$B$2:$B$1501,$A144))</f>
        <v>0</v>
      </c>
      <c r="L144" s="21" t="n">
        <f aca="false">IF(OR($A144="",L$4=""),0,COUNTIFS(Formulas!$A$2:$A$1501,L$4,Formulas!$B$2:$B$1501,$A144))</f>
        <v>0</v>
      </c>
      <c r="M144" s="21" t="n">
        <f aca="false">IF(OR($A144="",M$4=""),0,COUNTIFS(Formulas!$A$2:$A$1501,M$4,Formulas!$B$2:$B$1501,$A144))</f>
        <v>0</v>
      </c>
      <c r="N144" s="21" t="n">
        <f aca="false">IF(OR($A144="",N$4=""),0,COUNTIFS(Formulas!$A$2:$A$1501,N$4,Formulas!$B$2:$B$1501,$A144))</f>
        <v>0</v>
      </c>
      <c r="O144" s="21" t="n">
        <f aca="false">IF(OR($A144="",O$4=""),0,COUNTIFS(Formulas!$A$2:$A$1501,O$4,Formulas!$B$2:$B$1501,$A144))</f>
        <v>0</v>
      </c>
      <c r="P144" s="21" t="n">
        <f aca="false">IF(OR($A144="",P$4=""),0,COUNTIFS(Formulas!$A$2:$A$1501,P$4,Formulas!$B$2:$B$1501,$A144))</f>
        <v>0</v>
      </c>
      <c r="Q144" s="21" t="n">
        <f aca="false">IF(OR($A144="",Q$4=""),0,COUNTIFS(Formulas!$A$2:$A$1501,Q$4,Formulas!$B$2:$B$1501,$A144))</f>
        <v>0</v>
      </c>
      <c r="R144" s="21" t="n">
        <f aca="false">IF(OR($A144="",R$4=""),0,COUNTIFS(Formulas!$A$2:$A$1501,R$4,Formulas!$B$2:$B$1501,$A144))</f>
        <v>0</v>
      </c>
      <c r="S144" s="21" t="n">
        <f aca="false">IF(OR($A144="",S$4=""),0,COUNTIFS(Formulas!$A$2:$A$1501,S$4,Formulas!$B$2:$B$1501,$A144))</f>
        <v>0</v>
      </c>
      <c r="T144" s="21" t="n">
        <f aca="false">IF(OR($A144="",T$4=""),0,COUNTIFS(Formulas!$A$2:$A$1501,T$4,Formulas!$B$2:$B$1501,$A144))</f>
        <v>0</v>
      </c>
      <c r="U144" s="21" t="n">
        <f aca="false">IF(OR($A144="",U$4=""),0,COUNTIFS(Formulas!$A$2:$A$1501,U$4,Formulas!$B$2:$B$1501,$A144))</f>
        <v>0</v>
      </c>
      <c r="V144" s="21" t="n">
        <f aca="false">IF(OR($A144="",V$4=""),0,COUNTIFS(Formulas!$A$2:$A$1501,V$4,Formulas!$B$2:$B$1501,$A144))</f>
        <v>0</v>
      </c>
      <c r="W144" s="21" t="n">
        <f aca="false">IF(OR($A144="",W$4=""),0,COUNTIFS(Formulas!$A$2:$A$1501,W$4,Formulas!$B$2:$B$1501,$A144))</f>
        <v>0</v>
      </c>
      <c r="X144" s="21" t="n">
        <f aca="false">IF(OR($A144="",X$4=""),0,COUNTIFS(Formulas!$A$2:$A$1501,X$4,Formulas!$B$2:$B$1501,$A144))</f>
        <v>0</v>
      </c>
      <c r="Y144" s="21" t="n">
        <f aca="false">IF(OR($A144="",Y$4=""),0,COUNTIFS(Formulas!$A$2:$A$1501,Y$4,Formulas!$B$2:$B$1501,$A144))</f>
        <v>0</v>
      </c>
      <c r="Z144" s="21" t="n">
        <f aca="false">IF(OR($A144="",Z$4=""),0,COUNTIFS(Formulas!$A$2:$A$1501,Z$4,Formulas!$B$2:$B$1501,$A144))</f>
        <v>0</v>
      </c>
      <c r="AA144" s="21" t="n">
        <f aca="false">IF(OR($A144="",AA$4=""),0,COUNTIFS(Formulas!$A$2:$A$1501,AA$4,Formulas!$B$2:$B$1501,$A144))</f>
        <v>0</v>
      </c>
      <c r="AB144" s="21" t="n">
        <f aca="false">IF(OR($A144="",AB$4=""),0,COUNTIFS(Formulas!$A$2:$A$1501,AB$4,Formulas!$B$2:$B$1501,$A144))</f>
        <v>0</v>
      </c>
      <c r="AC144" s="21" t="n">
        <f aca="false">IF(OR($A144="",AC$4=""),0,COUNTIFS(Formulas!$A$2:$A$1501,AC$4,Formulas!$B$2:$B$1501,$A144))</f>
        <v>0</v>
      </c>
      <c r="AD144" s="21" t="n">
        <f aca="false">IF(OR($A144="",AD$4=""),0,COUNTIFS(Formulas!$A$2:$A$1501,AD$4,Formulas!$B$2:$B$1501,$A144))</f>
        <v>0</v>
      </c>
      <c r="AE144" s="21" t="n">
        <f aca="false">IF(OR($A144="",AE$4=""),0,COUNTIFS(Formulas!$A$2:$A$1501,AE$4,Formulas!$B$2:$B$1501,$A144))</f>
        <v>0</v>
      </c>
      <c r="AF144" s="21" t="n">
        <f aca="false">IF(OR($A144="",AF$4=""),0,COUNTIFS(Formulas!$A$2:$A$1501,AF$4,Formulas!$B$2:$B$1501,$A144))</f>
        <v>0</v>
      </c>
      <c r="AG144" s="21" t="n">
        <f aca="false">IF(OR($A144="",AG$4=""),0,COUNTIFS(Formulas!$A$2:$A$1501,AG$4,Formulas!$B$2:$B$1501,$A144))</f>
        <v>0</v>
      </c>
      <c r="AH144" s="21" t="n">
        <f aca="false">IF(OR($A144="",AH$4=""),0,COUNTIFS(Formulas!$A$2:$A$1501,AH$4,Formulas!$B$2:$B$1501,$A144))</f>
        <v>0</v>
      </c>
      <c r="AI144" s="21" t="n">
        <f aca="false">IF(OR($A144="",AI$4=""),0,COUNTIFS(Formulas!$A$2:$A$1501,AI$4,Formulas!$B$2:$B$1501,$A144))</f>
        <v>0</v>
      </c>
      <c r="AJ144" s="21" t="n">
        <f aca="false">IF(OR($A144="",AJ$4=""),0,COUNTIFS(Formulas!$A$2:$A$1501,AJ$4,Formulas!$B$2:$B$1501,$A144))</f>
        <v>0</v>
      </c>
      <c r="AK144" s="21" t="n">
        <f aca="false">IF(OR($A144="",AK$4=""),0,COUNTIFS(Formulas!$A$2:$A$1501,AK$4,Formulas!$B$2:$B$1501,$A144))</f>
        <v>0</v>
      </c>
      <c r="AL144" s="21" t="n">
        <f aca="false">IF(OR($A144="",AL$4=""),0,COUNTIFS(Formulas!$A$2:$A$1501,AL$4,Formulas!$B$2:$B$1501,$A144))</f>
        <v>0</v>
      </c>
      <c r="AM144" s="21" t="n">
        <f aca="false">IF(OR($A144="",AM$4=""),0,COUNTIFS(Formulas!$A$2:$A$1501,AM$4,Formulas!$B$2:$B$1501,$A144))</f>
        <v>0</v>
      </c>
      <c r="AN144" s="21" t="n">
        <f aca="false">IF(OR($A144="",AN$4=""),0,COUNTIFS(Formulas!$A$2:$A$1501,AN$4,Formulas!$B$2:$B$1501,$A144))</f>
        <v>0</v>
      </c>
      <c r="AO144" s="21" t="n">
        <f aca="false">IF(OR($A144="",AO$4=""),0,COUNTIFS(Formulas!$A$2:$A$1501,AO$4,Formulas!$B$2:$B$1501,$A144))</f>
        <v>0</v>
      </c>
      <c r="AP144" s="21" t="n">
        <f aca="false">IF(OR($A144="",AP$4=""),0,COUNTIFS(Formulas!$A$2:$A$1501,AP$4,Formulas!$B$2:$B$1501,$A144))</f>
        <v>0</v>
      </c>
      <c r="AQ144" s="21" t="n">
        <f aca="false">IF(OR($A144="",AQ$4=""),0,COUNTIFS(Formulas!$A$2:$A$1501,AQ$4,Formulas!$B$2:$B$1501,$A144))</f>
        <v>0</v>
      </c>
      <c r="AR144" s="21" t="n">
        <f aca="false">IF(OR($A144="",AR$4=""),0,COUNTIFS(Formulas!$A$2:$A$1501,AR$4,Formulas!$B$2:$B$1501,$A144))</f>
        <v>0</v>
      </c>
      <c r="AS144" s="21" t="n">
        <f aca="false">IF(OR($A144="",AS$4=""),0,COUNTIFS(Formulas!$A$2:$A$1501,AS$4,Formulas!$B$2:$B$1501,$A144))</f>
        <v>0</v>
      </c>
      <c r="AT144" s="21" t="n">
        <f aca="false">IF(OR($A144="",AT$4=""),0,COUNTIFS(Formulas!$A$2:$A$1501,AT$4,Formulas!$B$2:$B$1501,$A144))</f>
        <v>0</v>
      </c>
      <c r="AU144" s="21" t="n">
        <f aca="false">IF(OR($A144="",AU$4=""),0,COUNTIFS(Formulas!$A$2:$A$1501,AU$4,Formulas!$B$2:$B$1501,$A144))</f>
        <v>0</v>
      </c>
      <c r="AV144" s="21" t="n">
        <f aca="false">IF(OR($A144="",AV$4=""),0,COUNTIFS(Formulas!$A$2:$A$1501,AV$4,Formulas!$B$2:$B$1501,$A144))</f>
        <v>0</v>
      </c>
      <c r="AW144" s="21" t="n">
        <f aca="false">IF(OR($A144="",AW$4=""),0,COUNTIFS(Formulas!$A$2:$A$1501,AW$4,Formulas!$B$2:$B$1501,$A144))</f>
        <v>0</v>
      </c>
      <c r="AX144" s="21" t="n">
        <f aca="false">IF(OR($A144="",AX$4=""),0,COUNTIFS(Formulas!$A$2:$A$1501,AX$4,Formulas!$B$2:$B$1501,$A144))</f>
        <v>0</v>
      </c>
      <c r="AY144" s="21" t="n">
        <f aca="false">IF(OR($A144="",AY$4=""),0,COUNTIFS(Formulas!$A$2:$A$1501,AY$4,Formulas!$B$2:$B$1501,$A144))</f>
        <v>0</v>
      </c>
      <c r="AZ144" s="21" t="n">
        <f aca="false">IF(OR($A144="",AZ$4=""),0,COUNTIFS(Formulas!$A$2:$A$1501,AZ$4,Formulas!$B$2:$B$1501,$A144))</f>
        <v>0</v>
      </c>
      <c r="BA144" s="21" t="n">
        <f aca="false">IF(OR($A144="",BA$4=""),0,COUNTIFS(Formulas!$A$2:$A$1501,BA$4,Formulas!$B$2:$B$1501,$A144))</f>
        <v>0</v>
      </c>
      <c r="BB144" s="21" t="n">
        <f aca="false">IF(OR($A144="",BB$4=""),0,COUNTIFS(Formulas!$A$2:$A$1501,BB$4,Formulas!$B$2:$B$1501,$A144))</f>
        <v>0</v>
      </c>
      <c r="BC144" s="21" t="n">
        <f aca="false">IF(OR($A144="",BC$4=""),0,COUNTIFS(Formulas!$A$2:$A$1501,BC$4,Formulas!$B$2:$B$1501,$A144))</f>
        <v>0</v>
      </c>
      <c r="BD144" s="21" t="n">
        <f aca="false">IF(OR($A144="",BD$4=""),0,COUNTIFS(Formulas!$A$2:$A$1501,BD$4,Formulas!$B$2:$B$1501,$A144))</f>
        <v>0</v>
      </c>
      <c r="BE144" s="21" t="n">
        <f aca="false">IF(OR($A144="",BE$4=""),0,COUNTIFS(Formulas!$A$2:$A$1501,BE$4,Formulas!$B$2:$B$1501,$A144))</f>
        <v>0</v>
      </c>
      <c r="BF144" s="21" t="n">
        <f aca="false">IF(OR($A144="",BF$4=""),0,COUNTIFS(Formulas!$A$2:$A$1501,BF$4,Formulas!$B$2:$B$1501,$A144))</f>
        <v>0</v>
      </c>
      <c r="BG144" s="21" t="n">
        <f aca="false">IF(OR($A144="",BG$4=""),0,COUNTIFS(Formulas!$A$2:$A$1501,BG$4,Formulas!$B$2:$B$1501,$A144))</f>
        <v>0</v>
      </c>
      <c r="BH144" s="21" t="n">
        <f aca="false">IF(OR($A144="",BH$4=""),0,COUNTIFS(Formulas!$A$2:$A$1501,BH$4,Formulas!$B$2:$B$1501,$A144))</f>
        <v>0</v>
      </c>
      <c r="BI144" s="21" t="n">
        <f aca="false">IF(OR($A144="",BI$4=""),0,COUNTIFS(Formulas!$A$2:$A$1501,BI$4,Formulas!$B$2:$B$1501,$A144))</f>
        <v>0</v>
      </c>
      <c r="BJ144" s="21" t="n">
        <f aca="false">IF(OR($A144="",BJ$4=""),0,COUNTIFS(Formulas!$A$2:$A$1501,BJ$4,Formulas!$B$2:$B$1501,$A144))</f>
        <v>0</v>
      </c>
    </row>
    <row r="145" customFormat="false" ht="15" hidden="false" customHeight="false" outlineLevel="0" collapsed="false">
      <c r="A145" s="13" t="str">
        <f aca="false">IF(INDEX(Materials!$A$2:$A$201,141)="","",INDEX(Materials!$A$2:$A$201,141))</f>
        <v/>
      </c>
      <c r="B145" s="19" t="str">
        <f aca="false">IF(A145="","",COUNTIF(C145:BJ145,"&gt;0"))</f>
        <v/>
      </c>
      <c r="C145" s="21" t="n">
        <f aca="false">IF(OR($A145="",C$4=""),0,COUNTIFS(Formulas!$A$2:$A$1501,C$4,Formulas!$B$2:$B$1501,$A145))</f>
        <v>0</v>
      </c>
      <c r="D145" s="21" t="n">
        <f aca="false">IF(OR($A145="",D$4=""),0,COUNTIFS(Formulas!$A$2:$A$1501,D$4,Formulas!$B$2:$B$1501,$A145))</f>
        <v>0</v>
      </c>
      <c r="E145" s="21" t="n">
        <f aca="false">IF(OR($A145="",E$4=""),0,COUNTIFS(Formulas!$A$2:$A$1501,E$4,Formulas!$B$2:$B$1501,$A145))</f>
        <v>0</v>
      </c>
      <c r="F145" s="21" t="n">
        <f aca="false">IF(OR($A145="",F$4=""),0,COUNTIFS(Formulas!$A$2:$A$1501,F$4,Formulas!$B$2:$B$1501,$A145))</f>
        <v>0</v>
      </c>
      <c r="G145" s="21" t="n">
        <f aca="false">IF(OR($A145="",G$4=""),0,COUNTIFS(Formulas!$A$2:$A$1501,G$4,Formulas!$B$2:$B$1501,$A145))</f>
        <v>0</v>
      </c>
      <c r="H145" s="21" t="n">
        <f aca="false">IF(OR($A145="",H$4=""),0,COUNTIFS(Formulas!$A$2:$A$1501,H$4,Formulas!$B$2:$B$1501,$A145))</f>
        <v>0</v>
      </c>
      <c r="I145" s="21" t="n">
        <f aca="false">IF(OR($A145="",I$4=""),0,COUNTIFS(Formulas!$A$2:$A$1501,I$4,Formulas!$B$2:$B$1501,$A145))</f>
        <v>0</v>
      </c>
      <c r="J145" s="21" t="n">
        <f aca="false">IF(OR($A145="",J$4=""),0,COUNTIFS(Formulas!$A$2:$A$1501,J$4,Formulas!$B$2:$B$1501,$A145))</f>
        <v>0</v>
      </c>
      <c r="K145" s="21" t="n">
        <f aca="false">IF(OR($A145="",K$4=""),0,COUNTIFS(Formulas!$A$2:$A$1501,K$4,Formulas!$B$2:$B$1501,$A145))</f>
        <v>0</v>
      </c>
      <c r="L145" s="21" t="n">
        <f aca="false">IF(OR($A145="",L$4=""),0,COUNTIFS(Formulas!$A$2:$A$1501,L$4,Formulas!$B$2:$B$1501,$A145))</f>
        <v>0</v>
      </c>
      <c r="M145" s="21" t="n">
        <f aca="false">IF(OR($A145="",M$4=""),0,COUNTIFS(Formulas!$A$2:$A$1501,M$4,Formulas!$B$2:$B$1501,$A145))</f>
        <v>0</v>
      </c>
      <c r="N145" s="21" t="n">
        <f aca="false">IF(OR($A145="",N$4=""),0,COUNTIFS(Formulas!$A$2:$A$1501,N$4,Formulas!$B$2:$B$1501,$A145))</f>
        <v>0</v>
      </c>
      <c r="O145" s="21" t="n">
        <f aca="false">IF(OR($A145="",O$4=""),0,COUNTIFS(Formulas!$A$2:$A$1501,O$4,Formulas!$B$2:$B$1501,$A145))</f>
        <v>0</v>
      </c>
      <c r="P145" s="21" t="n">
        <f aca="false">IF(OR($A145="",P$4=""),0,COUNTIFS(Formulas!$A$2:$A$1501,P$4,Formulas!$B$2:$B$1501,$A145))</f>
        <v>0</v>
      </c>
      <c r="Q145" s="21" t="n">
        <f aca="false">IF(OR($A145="",Q$4=""),0,COUNTIFS(Formulas!$A$2:$A$1501,Q$4,Formulas!$B$2:$B$1501,$A145))</f>
        <v>0</v>
      </c>
      <c r="R145" s="21" t="n">
        <f aca="false">IF(OR($A145="",R$4=""),0,COUNTIFS(Formulas!$A$2:$A$1501,R$4,Formulas!$B$2:$B$1501,$A145))</f>
        <v>0</v>
      </c>
      <c r="S145" s="21" t="n">
        <f aca="false">IF(OR($A145="",S$4=""),0,COUNTIFS(Formulas!$A$2:$A$1501,S$4,Formulas!$B$2:$B$1501,$A145))</f>
        <v>0</v>
      </c>
      <c r="T145" s="21" t="n">
        <f aca="false">IF(OR($A145="",T$4=""),0,COUNTIFS(Formulas!$A$2:$A$1501,T$4,Formulas!$B$2:$B$1501,$A145))</f>
        <v>0</v>
      </c>
      <c r="U145" s="21" t="n">
        <f aca="false">IF(OR($A145="",U$4=""),0,COUNTIFS(Formulas!$A$2:$A$1501,U$4,Formulas!$B$2:$B$1501,$A145))</f>
        <v>0</v>
      </c>
      <c r="V145" s="21" t="n">
        <f aca="false">IF(OR($A145="",V$4=""),0,COUNTIFS(Formulas!$A$2:$A$1501,V$4,Formulas!$B$2:$B$1501,$A145))</f>
        <v>0</v>
      </c>
      <c r="W145" s="21" t="n">
        <f aca="false">IF(OR($A145="",W$4=""),0,COUNTIFS(Formulas!$A$2:$A$1501,W$4,Formulas!$B$2:$B$1501,$A145))</f>
        <v>0</v>
      </c>
      <c r="X145" s="21" t="n">
        <f aca="false">IF(OR($A145="",X$4=""),0,COUNTIFS(Formulas!$A$2:$A$1501,X$4,Formulas!$B$2:$B$1501,$A145))</f>
        <v>0</v>
      </c>
      <c r="Y145" s="21" t="n">
        <f aca="false">IF(OR($A145="",Y$4=""),0,COUNTIFS(Formulas!$A$2:$A$1501,Y$4,Formulas!$B$2:$B$1501,$A145))</f>
        <v>0</v>
      </c>
      <c r="Z145" s="21" t="n">
        <f aca="false">IF(OR($A145="",Z$4=""),0,COUNTIFS(Formulas!$A$2:$A$1501,Z$4,Formulas!$B$2:$B$1501,$A145))</f>
        <v>0</v>
      </c>
      <c r="AA145" s="21" t="n">
        <f aca="false">IF(OR($A145="",AA$4=""),0,COUNTIFS(Formulas!$A$2:$A$1501,AA$4,Formulas!$B$2:$B$1501,$A145))</f>
        <v>0</v>
      </c>
      <c r="AB145" s="21" t="n">
        <f aca="false">IF(OR($A145="",AB$4=""),0,COUNTIFS(Formulas!$A$2:$A$1501,AB$4,Formulas!$B$2:$B$1501,$A145))</f>
        <v>0</v>
      </c>
      <c r="AC145" s="21" t="n">
        <f aca="false">IF(OR($A145="",AC$4=""),0,COUNTIFS(Formulas!$A$2:$A$1501,AC$4,Formulas!$B$2:$B$1501,$A145))</f>
        <v>0</v>
      </c>
      <c r="AD145" s="21" t="n">
        <f aca="false">IF(OR($A145="",AD$4=""),0,COUNTIFS(Formulas!$A$2:$A$1501,AD$4,Formulas!$B$2:$B$1501,$A145))</f>
        <v>0</v>
      </c>
      <c r="AE145" s="21" t="n">
        <f aca="false">IF(OR($A145="",AE$4=""),0,COUNTIFS(Formulas!$A$2:$A$1501,AE$4,Formulas!$B$2:$B$1501,$A145))</f>
        <v>0</v>
      </c>
      <c r="AF145" s="21" t="n">
        <f aca="false">IF(OR($A145="",AF$4=""),0,COUNTIFS(Formulas!$A$2:$A$1501,AF$4,Formulas!$B$2:$B$1501,$A145))</f>
        <v>0</v>
      </c>
      <c r="AG145" s="21" t="n">
        <f aca="false">IF(OR($A145="",AG$4=""),0,COUNTIFS(Formulas!$A$2:$A$1501,AG$4,Formulas!$B$2:$B$1501,$A145))</f>
        <v>0</v>
      </c>
      <c r="AH145" s="21" t="n">
        <f aca="false">IF(OR($A145="",AH$4=""),0,COUNTIFS(Formulas!$A$2:$A$1501,AH$4,Formulas!$B$2:$B$1501,$A145))</f>
        <v>0</v>
      </c>
      <c r="AI145" s="21" t="n">
        <f aca="false">IF(OR($A145="",AI$4=""),0,COUNTIFS(Formulas!$A$2:$A$1501,AI$4,Formulas!$B$2:$B$1501,$A145))</f>
        <v>0</v>
      </c>
      <c r="AJ145" s="21" t="n">
        <f aca="false">IF(OR($A145="",AJ$4=""),0,COUNTIFS(Formulas!$A$2:$A$1501,AJ$4,Formulas!$B$2:$B$1501,$A145))</f>
        <v>0</v>
      </c>
      <c r="AK145" s="21" t="n">
        <f aca="false">IF(OR($A145="",AK$4=""),0,COUNTIFS(Formulas!$A$2:$A$1501,AK$4,Formulas!$B$2:$B$1501,$A145))</f>
        <v>0</v>
      </c>
      <c r="AL145" s="21" t="n">
        <f aca="false">IF(OR($A145="",AL$4=""),0,COUNTIFS(Formulas!$A$2:$A$1501,AL$4,Formulas!$B$2:$B$1501,$A145))</f>
        <v>0</v>
      </c>
      <c r="AM145" s="21" t="n">
        <f aca="false">IF(OR($A145="",AM$4=""),0,COUNTIFS(Formulas!$A$2:$A$1501,AM$4,Formulas!$B$2:$B$1501,$A145))</f>
        <v>0</v>
      </c>
      <c r="AN145" s="21" t="n">
        <f aca="false">IF(OR($A145="",AN$4=""),0,COUNTIFS(Formulas!$A$2:$A$1501,AN$4,Formulas!$B$2:$B$1501,$A145))</f>
        <v>0</v>
      </c>
      <c r="AO145" s="21" t="n">
        <f aca="false">IF(OR($A145="",AO$4=""),0,COUNTIFS(Formulas!$A$2:$A$1501,AO$4,Formulas!$B$2:$B$1501,$A145))</f>
        <v>0</v>
      </c>
      <c r="AP145" s="21" t="n">
        <f aca="false">IF(OR($A145="",AP$4=""),0,COUNTIFS(Formulas!$A$2:$A$1501,AP$4,Formulas!$B$2:$B$1501,$A145))</f>
        <v>0</v>
      </c>
      <c r="AQ145" s="21" t="n">
        <f aca="false">IF(OR($A145="",AQ$4=""),0,COUNTIFS(Formulas!$A$2:$A$1501,AQ$4,Formulas!$B$2:$B$1501,$A145))</f>
        <v>0</v>
      </c>
      <c r="AR145" s="21" t="n">
        <f aca="false">IF(OR($A145="",AR$4=""),0,COUNTIFS(Formulas!$A$2:$A$1501,AR$4,Formulas!$B$2:$B$1501,$A145))</f>
        <v>0</v>
      </c>
      <c r="AS145" s="21" t="n">
        <f aca="false">IF(OR($A145="",AS$4=""),0,COUNTIFS(Formulas!$A$2:$A$1501,AS$4,Formulas!$B$2:$B$1501,$A145))</f>
        <v>0</v>
      </c>
      <c r="AT145" s="21" t="n">
        <f aca="false">IF(OR($A145="",AT$4=""),0,COUNTIFS(Formulas!$A$2:$A$1501,AT$4,Formulas!$B$2:$B$1501,$A145))</f>
        <v>0</v>
      </c>
      <c r="AU145" s="21" t="n">
        <f aca="false">IF(OR($A145="",AU$4=""),0,COUNTIFS(Formulas!$A$2:$A$1501,AU$4,Formulas!$B$2:$B$1501,$A145))</f>
        <v>0</v>
      </c>
      <c r="AV145" s="21" t="n">
        <f aca="false">IF(OR($A145="",AV$4=""),0,COUNTIFS(Formulas!$A$2:$A$1501,AV$4,Formulas!$B$2:$B$1501,$A145))</f>
        <v>0</v>
      </c>
      <c r="AW145" s="21" t="n">
        <f aca="false">IF(OR($A145="",AW$4=""),0,COUNTIFS(Formulas!$A$2:$A$1501,AW$4,Formulas!$B$2:$B$1501,$A145))</f>
        <v>0</v>
      </c>
      <c r="AX145" s="21" t="n">
        <f aca="false">IF(OR($A145="",AX$4=""),0,COUNTIFS(Formulas!$A$2:$A$1501,AX$4,Formulas!$B$2:$B$1501,$A145))</f>
        <v>0</v>
      </c>
      <c r="AY145" s="21" t="n">
        <f aca="false">IF(OR($A145="",AY$4=""),0,COUNTIFS(Formulas!$A$2:$A$1501,AY$4,Formulas!$B$2:$B$1501,$A145))</f>
        <v>0</v>
      </c>
      <c r="AZ145" s="21" t="n">
        <f aca="false">IF(OR($A145="",AZ$4=""),0,COUNTIFS(Formulas!$A$2:$A$1501,AZ$4,Formulas!$B$2:$B$1501,$A145))</f>
        <v>0</v>
      </c>
      <c r="BA145" s="21" t="n">
        <f aca="false">IF(OR($A145="",BA$4=""),0,COUNTIFS(Formulas!$A$2:$A$1501,BA$4,Formulas!$B$2:$B$1501,$A145))</f>
        <v>0</v>
      </c>
      <c r="BB145" s="21" t="n">
        <f aca="false">IF(OR($A145="",BB$4=""),0,COUNTIFS(Formulas!$A$2:$A$1501,BB$4,Formulas!$B$2:$B$1501,$A145))</f>
        <v>0</v>
      </c>
      <c r="BC145" s="21" t="n">
        <f aca="false">IF(OR($A145="",BC$4=""),0,COUNTIFS(Formulas!$A$2:$A$1501,BC$4,Formulas!$B$2:$B$1501,$A145))</f>
        <v>0</v>
      </c>
      <c r="BD145" s="21" t="n">
        <f aca="false">IF(OR($A145="",BD$4=""),0,COUNTIFS(Formulas!$A$2:$A$1501,BD$4,Formulas!$B$2:$B$1501,$A145))</f>
        <v>0</v>
      </c>
      <c r="BE145" s="21" t="n">
        <f aca="false">IF(OR($A145="",BE$4=""),0,COUNTIFS(Formulas!$A$2:$A$1501,BE$4,Formulas!$B$2:$B$1501,$A145))</f>
        <v>0</v>
      </c>
      <c r="BF145" s="21" t="n">
        <f aca="false">IF(OR($A145="",BF$4=""),0,COUNTIFS(Formulas!$A$2:$A$1501,BF$4,Formulas!$B$2:$B$1501,$A145))</f>
        <v>0</v>
      </c>
      <c r="BG145" s="21" t="n">
        <f aca="false">IF(OR($A145="",BG$4=""),0,COUNTIFS(Formulas!$A$2:$A$1501,BG$4,Formulas!$B$2:$B$1501,$A145))</f>
        <v>0</v>
      </c>
      <c r="BH145" s="21" t="n">
        <f aca="false">IF(OR($A145="",BH$4=""),0,COUNTIFS(Formulas!$A$2:$A$1501,BH$4,Formulas!$B$2:$B$1501,$A145))</f>
        <v>0</v>
      </c>
      <c r="BI145" s="21" t="n">
        <f aca="false">IF(OR($A145="",BI$4=""),0,COUNTIFS(Formulas!$A$2:$A$1501,BI$4,Formulas!$B$2:$B$1501,$A145))</f>
        <v>0</v>
      </c>
      <c r="BJ145" s="21" t="n">
        <f aca="false">IF(OR($A145="",BJ$4=""),0,COUNTIFS(Formulas!$A$2:$A$1501,BJ$4,Formulas!$B$2:$B$1501,$A145))</f>
        <v>0</v>
      </c>
    </row>
    <row r="146" customFormat="false" ht="15" hidden="false" customHeight="false" outlineLevel="0" collapsed="false">
      <c r="A146" s="13" t="str">
        <f aca="false">IF(INDEX(Materials!$A$2:$A$201,142)="","",INDEX(Materials!$A$2:$A$201,142))</f>
        <v/>
      </c>
      <c r="B146" s="19" t="str">
        <f aca="false">IF(A146="","",COUNTIF(C146:BJ146,"&gt;0"))</f>
        <v/>
      </c>
      <c r="C146" s="21" t="n">
        <f aca="false">IF(OR($A146="",C$4=""),0,COUNTIFS(Formulas!$A$2:$A$1501,C$4,Formulas!$B$2:$B$1501,$A146))</f>
        <v>0</v>
      </c>
      <c r="D146" s="21" t="n">
        <f aca="false">IF(OR($A146="",D$4=""),0,COUNTIFS(Formulas!$A$2:$A$1501,D$4,Formulas!$B$2:$B$1501,$A146))</f>
        <v>0</v>
      </c>
      <c r="E146" s="21" t="n">
        <f aca="false">IF(OR($A146="",E$4=""),0,COUNTIFS(Formulas!$A$2:$A$1501,E$4,Formulas!$B$2:$B$1501,$A146))</f>
        <v>0</v>
      </c>
      <c r="F146" s="21" t="n">
        <f aca="false">IF(OR($A146="",F$4=""),0,COUNTIFS(Formulas!$A$2:$A$1501,F$4,Formulas!$B$2:$B$1501,$A146))</f>
        <v>0</v>
      </c>
      <c r="G146" s="21" t="n">
        <f aca="false">IF(OR($A146="",G$4=""),0,COUNTIFS(Formulas!$A$2:$A$1501,G$4,Formulas!$B$2:$B$1501,$A146))</f>
        <v>0</v>
      </c>
      <c r="H146" s="21" t="n">
        <f aca="false">IF(OR($A146="",H$4=""),0,COUNTIFS(Formulas!$A$2:$A$1501,H$4,Formulas!$B$2:$B$1501,$A146))</f>
        <v>0</v>
      </c>
      <c r="I146" s="21" t="n">
        <f aca="false">IF(OR($A146="",I$4=""),0,COUNTIFS(Formulas!$A$2:$A$1501,I$4,Formulas!$B$2:$B$1501,$A146))</f>
        <v>0</v>
      </c>
      <c r="J146" s="21" t="n">
        <f aca="false">IF(OR($A146="",J$4=""),0,COUNTIFS(Formulas!$A$2:$A$1501,J$4,Formulas!$B$2:$B$1501,$A146))</f>
        <v>0</v>
      </c>
      <c r="K146" s="21" t="n">
        <f aca="false">IF(OR($A146="",K$4=""),0,COUNTIFS(Formulas!$A$2:$A$1501,K$4,Formulas!$B$2:$B$1501,$A146))</f>
        <v>0</v>
      </c>
      <c r="L146" s="21" t="n">
        <f aca="false">IF(OR($A146="",L$4=""),0,COUNTIFS(Formulas!$A$2:$A$1501,L$4,Formulas!$B$2:$B$1501,$A146))</f>
        <v>0</v>
      </c>
      <c r="M146" s="21" t="n">
        <f aca="false">IF(OR($A146="",M$4=""),0,COUNTIFS(Formulas!$A$2:$A$1501,M$4,Formulas!$B$2:$B$1501,$A146))</f>
        <v>0</v>
      </c>
      <c r="N146" s="21" t="n">
        <f aca="false">IF(OR($A146="",N$4=""),0,COUNTIFS(Formulas!$A$2:$A$1501,N$4,Formulas!$B$2:$B$1501,$A146))</f>
        <v>0</v>
      </c>
      <c r="O146" s="21" t="n">
        <f aca="false">IF(OR($A146="",O$4=""),0,COUNTIFS(Formulas!$A$2:$A$1501,O$4,Formulas!$B$2:$B$1501,$A146))</f>
        <v>0</v>
      </c>
      <c r="P146" s="21" t="n">
        <f aca="false">IF(OR($A146="",P$4=""),0,COUNTIFS(Formulas!$A$2:$A$1501,P$4,Formulas!$B$2:$B$1501,$A146))</f>
        <v>0</v>
      </c>
      <c r="Q146" s="21" t="n">
        <f aca="false">IF(OR($A146="",Q$4=""),0,COUNTIFS(Formulas!$A$2:$A$1501,Q$4,Formulas!$B$2:$B$1501,$A146))</f>
        <v>0</v>
      </c>
      <c r="R146" s="21" t="n">
        <f aca="false">IF(OR($A146="",R$4=""),0,COUNTIFS(Formulas!$A$2:$A$1501,R$4,Formulas!$B$2:$B$1501,$A146))</f>
        <v>0</v>
      </c>
      <c r="S146" s="21" t="n">
        <f aca="false">IF(OR($A146="",S$4=""),0,COUNTIFS(Formulas!$A$2:$A$1501,S$4,Formulas!$B$2:$B$1501,$A146))</f>
        <v>0</v>
      </c>
      <c r="T146" s="21" t="n">
        <f aca="false">IF(OR($A146="",T$4=""),0,COUNTIFS(Formulas!$A$2:$A$1501,T$4,Formulas!$B$2:$B$1501,$A146))</f>
        <v>0</v>
      </c>
      <c r="U146" s="21" t="n">
        <f aca="false">IF(OR($A146="",U$4=""),0,COUNTIFS(Formulas!$A$2:$A$1501,U$4,Formulas!$B$2:$B$1501,$A146))</f>
        <v>0</v>
      </c>
      <c r="V146" s="21" t="n">
        <f aca="false">IF(OR($A146="",V$4=""),0,COUNTIFS(Formulas!$A$2:$A$1501,V$4,Formulas!$B$2:$B$1501,$A146))</f>
        <v>0</v>
      </c>
      <c r="W146" s="21" t="n">
        <f aca="false">IF(OR($A146="",W$4=""),0,COUNTIFS(Formulas!$A$2:$A$1501,W$4,Formulas!$B$2:$B$1501,$A146))</f>
        <v>0</v>
      </c>
      <c r="X146" s="21" t="n">
        <f aca="false">IF(OR($A146="",X$4=""),0,COUNTIFS(Formulas!$A$2:$A$1501,X$4,Formulas!$B$2:$B$1501,$A146))</f>
        <v>0</v>
      </c>
      <c r="Y146" s="21" t="n">
        <f aca="false">IF(OR($A146="",Y$4=""),0,COUNTIFS(Formulas!$A$2:$A$1501,Y$4,Formulas!$B$2:$B$1501,$A146))</f>
        <v>0</v>
      </c>
      <c r="Z146" s="21" t="n">
        <f aca="false">IF(OR($A146="",Z$4=""),0,COUNTIFS(Formulas!$A$2:$A$1501,Z$4,Formulas!$B$2:$B$1501,$A146))</f>
        <v>0</v>
      </c>
      <c r="AA146" s="21" t="n">
        <f aca="false">IF(OR($A146="",AA$4=""),0,COUNTIFS(Formulas!$A$2:$A$1501,AA$4,Formulas!$B$2:$B$1501,$A146))</f>
        <v>0</v>
      </c>
      <c r="AB146" s="21" t="n">
        <f aca="false">IF(OR($A146="",AB$4=""),0,COUNTIFS(Formulas!$A$2:$A$1501,AB$4,Formulas!$B$2:$B$1501,$A146))</f>
        <v>0</v>
      </c>
      <c r="AC146" s="21" t="n">
        <f aca="false">IF(OR($A146="",AC$4=""),0,COUNTIFS(Formulas!$A$2:$A$1501,AC$4,Formulas!$B$2:$B$1501,$A146))</f>
        <v>0</v>
      </c>
      <c r="AD146" s="21" t="n">
        <f aca="false">IF(OR($A146="",AD$4=""),0,COUNTIFS(Formulas!$A$2:$A$1501,AD$4,Formulas!$B$2:$B$1501,$A146))</f>
        <v>0</v>
      </c>
      <c r="AE146" s="21" t="n">
        <f aca="false">IF(OR($A146="",AE$4=""),0,COUNTIFS(Formulas!$A$2:$A$1501,AE$4,Formulas!$B$2:$B$1501,$A146))</f>
        <v>0</v>
      </c>
      <c r="AF146" s="21" t="n">
        <f aca="false">IF(OR($A146="",AF$4=""),0,COUNTIFS(Formulas!$A$2:$A$1501,AF$4,Formulas!$B$2:$B$1501,$A146))</f>
        <v>0</v>
      </c>
      <c r="AG146" s="21" t="n">
        <f aca="false">IF(OR($A146="",AG$4=""),0,COUNTIFS(Formulas!$A$2:$A$1501,AG$4,Formulas!$B$2:$B$1501,$A146))</f>
        <v>0</v>
      </c>
      <c r="AH146" s="21" t="n">
        <f aca="false">IF(OR($A146="",AH$4=""),0,COUNTIFS(Formulas!$A$2:$A$1501,AH$4,Formulas!$B$2:$B$1501,$A146))</f>
        <v>0</v>
      </c>
      <c r="AI146" s="21" t="n">
        <f aca="false">IF(OR($A146="",AI$4=""),0,COUNTIFS(Formulas!$A$2:$A$1501,AI$4,Formulas!$B$2:$B$1501,$A146))</f>
        <v>0</v>
      </c>
      <c r="AJ146" s="21" t="n">
        <f aca="false">IF(OR($A146="",AJ$4=""),0,COUNTIFS(Formulas!$A$2:$A$1501,AJ$4,Formulas!$B$2:$B$1501,$A146))</f>
        <v>0</v>
      </c>
      <c r="AK146" s="21" t="n">
        <f aca="false">IF(OR($A146="",AK$4=""),0,COUNTIFS(Formulas!$A$2:$A$1501,AK$4,Formulas!$B$2:$B$1501,$A146))</f>
        <v>0</v>
      </c>
      <c r="AL146" s="21" t="n">
        <f aca="false">IF(OR($A146="",AL$4=""),0,COUNTIFS(Formulas!$A$2:$A$1501,AL$4,Formulas!$B$2:$B$1501,$A146))</f>
        <v>0</v>
      </c>
      <c r="AM146" s="21" t="n">
        <f aca="false">IF(OR($A146="",AM$4=""),0,COUNTIFS(Formulas!$A$2:$A$1501,AM$4,Formulas!$B$2:$B$1501,$A146))</f>
        <v>0</v>
      </c>
      <c r="AN146" s="21" t="n">
        <f aca="false">IF(OR($A146="",AN$4=""),0,COUNTIFS(Formulas!$A$2:$A$1501,AN$4,Formulas!$B$2:$B$1501,$A146))</f>
        <v>0</v>
      </c>
      <c r="AO146" s="21" t="n">
        <f aca="false">IF(OR($A146="",AO$4=""),0,COUNTIFS(Formulas!$A$2:$A$1501,AO$4,Formulas!$B$2:$B$1501,$A146))</f>
        <v>0</v>
      </c>
      <c r="AP146" s="21" t="n">
        <f aca="false">IF(OR($A146="",AP$4=""),0,COUNTIFS(Formulas!$A$2:$A$1501,AP$4,Formulas!$B$2:$B$1501,$A146))</f>
        <v>0</v>
      </c>
      <c r="AQ146" s="21" t="n">
        <f aca="false">IF(OR($A146="",AQ$4=""),0,COUNTIFS(Formulas!$A$2:$A$1501,AQ$4,Formulas!$B$2:$B$1501,$A146))</f>
        <v>0</v>
      </c>
      <c r="AR146" s="21" t="n">
        <f aca="false">IF(OR($A146="",AR$4=""),0,COUNTIFS(Formulas!$A$2:$A$1501,AR$4,Formulas!$B$2:$B$1501,$A146))</f>
        <v>0</v>
      </c>
      <c r="AS146" s="21" t="n">
        <f aca="false">IF(OR($A146="",AS$4=""),0,COUNTIFS(Formulas!$A$2:$A$1501,AS$4,Formulas!$B$2:$B$1501,$A146))</f>
        <v>0</v>
      </c>
      <c r="AT146" s="21" t="n">
        <f aca="false">IF(OR($A146="",AT$4=""),0,COUNTIFS(Formulas!$A$2:$A$1501,AT$4,Formulas!$B$2:$B$1501,$A146))</f>
        <v>0</v>
      </c>
      <c r="AU146" s="21" t="n">
        <f aca="false">IF(OR($A146="",AU$4=""),0,COUNTIFS(Formulas!$A$2:$A$1501,AU$4,Formulas!$B$2:$B$1501,$A146))</f>
        <v>0</v>
      </c>
      <c r="AV146" s="21" t="n">
        <f aca="false">IF(OR($A146="",AV$4=""),0,COUNTIFS(Formulas!$A$2:$A$1501,AV$4,Formulas!$B$2:$B$1501,$A146))</f>
        <v>0</v>
      </c>
      <c r="AW146" s="21" t="n">
        <f aca="false">IF(OR($A146="",AW$4=""),0,COUNTIFS(Formulas!$A$2:$A$1501,AW$4,Formulas!$B$2:$B$1501,$A146))</f>
        <v>0</v>
      </c>
      <c r="AX146" s="21" t="n">
        <f aca="false">IF(OR($A146="",AX$4=""),0,COUNTIFS(Formulas!$A$2:$A$1501,AX$4,Formulas!$B$2:$B$1501,$A146))</f>
        <v>0</v>
      </c>
      <c r="AY146" s="21" t="n">
        <f aca="false">IF(OR($A146="",AY$4=""),0,COUNTIFS(Formulas!$A$2:$A$1501,AY$4,Formulas!$B$2:$B$1501,$A146))</f>
        <v>0</v>
      </c>
      <c r="AZ146" s="21" t="n">
        <f aca="false">IF(OR($A146="",AZ$4=""),0,COUNTIFS(Formulas!$A$2:$A$1501,AZ$4,Formulas!$B$2:$B$1501,$A146))</f>
        <v>0</v>
      </c>
      <c r="BA146" s="21" t="n">
        <f aca="false">IF(OR($A146="",BA$4=""),0,COUNTIFS(Formulas!$A$2:$A$1501,BA$4,Formulas!$B$2:$B$1501,$A146))</f>
        <v>0</v>
      </c>
      <c r="BB146" s="21" t="n">
        <f aca="false">IF(OR($A146="",BB$4=""),0,COUNTIFS(Formulas!$A$2:$A$1501,BB$4,Formulas!$B$2:$B$1501,$A146))</f>
        <v>0</v>
      </c>
      <c r="BC146" s="21" t="n">
        <f aca="false">IF(OR($A146="",BC$4=""),0,COUNTIFS(Formulas!$A$2:$A$1501,BC$4,Formulas!$B$2:$B$1501,$A146))</f>
        <v>0</v>
      </c>
      <c r="BD146" s="21" t="n">
        <f aca="false">IF(OR($A146="",BD$4=""),0,COUNTIFS(Formulas!$A$2:$A$1501,BD$4,Formulas!$B$2:$B$1501,$A146))</f>
        <v>0</v>
      </c>
      <c r="BE146" s="21" t="n">
        <f aca="false">IF(OR($A146="",BE$4=""),0,COUNTIFS(Formulas!$A$2:$A$1501,BE$4,Formulas!$B$2:$B$1501,$A146))</f>
        <v>0</v>
      </c>
      <c r="BF146" s="21" t="n">
        <f aca="false">IF(OR($A146="",BF$4=""),0,COUNTIFS(Formulas!$A$2:$A$1501,BF$4,Formulas!$B$2:$B$1501,$A146))</f>
        <v>0</v>
      </c>
      <c r="BG146" s="21" t="n">
        <f aca="false">IF(OR($A146="",BG$4=""),0,COUNTIFS(Formulas!$A$2:$A$1501,BG$4,Formulas!$B$2:$B$1501,$A146))</f>
        <v>0</v>
      </c>
      <c r="BH146" s="21" t="n">
        <f aca="false">IF(OR($A146="",BH$4=""),0,COUNTIFS(Formulas!$A$2:$A$1501,BH$4,Formulas!$B$2:$B$1501,$A146))</f>
        <v>0</v>
      </c>
      <c r="BI146" s="21" t="n">
        <f aca="false">IF(OR($A146="",BI$4=""),0,COUNTIFS(Formulas!$A$2:$A$1501,BI$4,Formulas!$B$2:$B$1501,$A146))</f>
        <v>0</v>
      </c>
      <c r="BJ146" s="21" t="n">
        <f aca="false">IF(OR($A146="",BJ$4=""),0,COUNTIFS(Formulas!$A$2:$A$1501,BJ$4,Formulas!$B$2:$B$1501,$A146))</f>
        <v>0</v>
      </c>
    </row>
    <row r="147" customFormat="false" ht="15" hidden="false" customHeight="false" outlineLevel="0" collapsed="false">
      <c r="A147" s="13" t="str">
        <f aca="false">IF(INDEX(Materials!$A$2:$A$201,143)="","",INDEX(Materials!$A$2:$A$201,143))</f>
        <v/>
      </c>
      <c r="B147" s="19" t="str">
        <f aca="false">IF(A147="","",COUNTIF(C147:BJ147,"&gt;0"))</f>
        <v/>
      </c>
      <c r="C147" s="21" t="n">
        <f aca="false">IF(OR($A147="",C$4=""),0,COUNTIFS(Formulas!$A$2:$A$1501,C$4,Formulas!$B$2:$B$1501,$A147))</f>
        <v>0</v>
      </c>
      <c r="D147" s="21" t="n">
        <f aca="false">IF(OR($A147="",D$4=""),0,COUNTIFS(Formulas!$A$2:$A$1501,D$4,Formulas!$B$2:$B$1501,$A147))</f>
        <v>0</v>
      </c>
      <c r="E147" s="21" t="n">
        <f aca="false">IF(OR($A147="",E$4=""),0,COUNTIFS(Formulas!$A$2:$A$1501,E$4,Formulas!$B$2:$B$1501,$A147))</f>
        <v>0</v>
      </c>
      <c r="F147" s="21" t="n">
        <f aca="false">IF(OR($A147="",F$4=""),0,COUNTIFS(Formulas!$A$2:$A$1501,F$4,Formulas!$B$2:$B$1501,$A147))</f>
        <v>0</v>
      </c>
      <c r="G147" s="21" t="n">
        <f aca="false">IF(OR($A147="",G$4=""),0,COUNTIFS(Formulas!$A$2:$A$1501,G$4,Formulas!$B$2:$B$1501,$A147))</f>
        <v>0</v>
      </c>
      <c r="H147" s="21" t="n">
        <f aca="false">IF(OR($A147="",H$4=""),0,COUNTIFS(Formulas!$A$2:$A$1501,H$4,Formulas!$B$2:$B$1501,$A147))</f>
        <v>0</v>
      </c>
      <c r="I147" s="21" t="n">
        <f aca="false">IF(OR($A147="",I$4=""),0,COUNTIFS(Formulas!$A$2:$A$1501,I$4,Formulas!$B$2:$B$1501,$A147))</f>
        <v>0</v>
      </c>
      <c r="J147" s="21" t="n">
        <f aca="false">IF(OR($A147="",J$4=""),0,COUNTIFS(Formulas!$A$2:$A$1501,J$4,Formulas!$B$2:$B$1501,$A147))</f>
        <v>0</v>
      </c>
      <c r="K147" s="21" t="n">
        <f aca="false">IF(OR($A147="",K$4=""),0,COUNTIFS(Formulas!$A$2:$A$1501,K$4,Formulas!$B$2:$B$1501,$A147))</f>
        <v>0</v>
      </c>
      <c r="L147" s="21" t="n">
        <f aca="false">IF(OR($A147="",L$4=""),0,COUNTIFS(Formulas!$A$2:$A$1501,L$4,Formulas!$B$2:$B$1501,$A147))</f>
        <v>0</v>
      </c>
      <c r="M147" s="21" t="n">
        <f aca="false">IF(OR($A147="",M$4=""),0,COUNTIFS(Formulas!$A$2:$A$1501,M$4,Formulas!$B$2:$B$1501,$A147))</f>
        <v>0</v>
      </c>
      <c r="N147" s="21" t="n">
        <f aca="false">IF(OR($A147="",N$4=""),0,COUNTIFS(Formulas!$A$2:$A$1501,N$4,Formulas!$B$2:$B$1501,$A147))</f>
        <v>0</v>
      </c>
      <c r="O147" s="21" t="n">
        <f aca="false">IF(OR($A147="",O$4=""),0,COUNTIFS(Formulas!$A$2:$A$1501,O$4,Formulas!$B$2:$B$1501,$A147))</f>
        <v>0</v>
      </c>
      <c r="P147" s="21" t="n">
        <f aca="false">IF(OR($A147="",P$4=""),0,COUNTIFS(Formulas!$A$2:$A$1501,P$4,Formulas!$B$2:$B$1501,$A147))</f>
        <v>0</v>
      </c>
      <c r="Q147" s="21" t="n">
        <f aca="false">IF(OR($A147="",Q$4=""),0,COUNTIFS(Formulas!$A$2:$A$1501,Q$4,Formulas!$B$2:$B$1501,$A147))</f>
        <v>0</v>
      </c>
      <c r="R147" s="21" t="n">
        <f aca="false">IF(OR($A147="",R$4=""),0,COUNTIFS(Formulas!$A$2:$A$1501,R$4,Formulas!$B$2:$B$1501,$A147))</f>
        <v>0</v>
      </c>
      <c r="S147" s="21" t="n">
        <f aca="false">IF(OR($A147="",S$4=""),0,COUNTIFS(Formulas!$A$2:$A$1501,S$4,Formulas!$B$2:$B$1501,$A147))</f>
        <v>0</v>
      </c>
      <c r="T147" s="21" t="n">
        <f aca="false">IF(OR($A147="",T$4=""),0,COUNTIFS(Formulas!$A$2:$A$1501,T$4,Formulas!$B$2:$B$1501,$A147))</f>
        <v>0</v>
      </c>
      <c r="U147" s="21" t="n">
        <f aca="false">IF(OR($A147="",U$4=""),0,COUNTIFS(Formulas!$A$2:$A$1501,U$4,Formulas!$B$2:$B$1501,$A147))</f>
        <v>0</v>
      </c>
      <c r="V147" s="21" t="n">
        <f aca="false">IF(OR($A147="",V$4=""),0,COUNTIFS(Formulas!$A$2:$A$1501,V$4,Formulas!$B$2:$B$1501,$A147))</f>
        <v>0</v>
      </c>
      <c r="W147" s="21" t="n">
        <f aca="false">IF(OR($A147="",W$4=""),0,COUNTIFS(Formulas!$A$2:$A$1501,W$4,Formulas!$B$2:$B$1501,$A147))</f>
        <v>0</v>
      </c>
      <c r="X147" s="21" t="n">
        <f aca="false">IF(OR($A147="",X$4=""),0,COUNTIFS(Formulas!$A$2:$A$1501,X$4,Formulas!$B$2:$B$1501,$A147))</f>
        <v>0</v>
      </c>
      <c r="Y147" s="21" t="n">
        <f aca="false">IF(OR($A147="",Y$4=""),0,COUNTIFS(Formulas!$A$2:$A$1501,Y$4,Formulas!$B$2:$B$1501,$A147))</f>
        <v>0</v>
      </c>
      <c r="Z147" s="21" t="n">
        <f aca="false">IF(OR($A147="",Z$4=""),0,COUNTIFS(Formulas!$A$2:$A$1501,Z$4,Formulas!$B$2:$B$1501,$A147))</f>
        <v>0</v>
      </c>
      <c r="AA147" s="21" t="n">
        <f aca="false">IF(OR($A147="",AA$4=""),0,COUNTIFS(Formulas!$A$2:$A$1501,AA$4,Formulas!$B$2:$B$1501,$A147))</f>
        <v>0</v>
      </c>
      <c r="AB147" s="21" t="n">
        <f aca="false">IF(OR($A147="",AB$4=""),0,COUNTIFS(Formulas!$A$2:$A$1501,AB$4,Formulas!$B$2:$B$1501,$A147))</f>
        <v>0</v>
      </c>
      <c r="AC147" s="21" t="n">
        <f aca="false">IF(OR($A147="",AC$4=""),0,COUNTIFS(Formulas!$A$2:$A$1501,AC$4,Formulas!$B$2:$B$1501,$A147))</f>
        <v>0</v>
      </c>
      <c r="AD147" s="21" t="n">
        <f aca="false">IF(OR($A147="",AD$4=""),0,COUNTIFS(Formulas!$A$2:$A$1501,AD$4,Formulas!$B$2:$B$1501,$A147))</f>
        <v>0</v>
      </c>
      <c r="AE147" s="21" t="n">
        <f aca="false">IF(OR($A147="",AE$4=""),0,COUNTIFS(Formulas!$A$2:$A$1501,AE$4,Formulas!$B$2:$B$1501,$A147))</f>
        <v>0</v>
      </c>
      <c r="AF147" s="21" t="n">
        <f aca="false">IF(OR($A147="",AF$4=""),0,COUNTIFS(Formulas!$A$2:$A$1501,AF$4,Formulas!$B$2:$B$1501,$A147))</f>
        <v>0</v>
      </c>
      <c r="AG147" s="21" t="n">
        <f aca="false">IF(OR($A147="",AG$4=""),0,COUNTIFS(Formulas!$A$2:$A$1501,AG$4,Formulas!$B$2:$B$1501,$A147))</f>
        <v>0</v>
      </c>
      <c r="AH147" s="21" t="n">
        <f aca="false">IF(OR($A147="",AH$4=""),0,COUNTIFS(Formulas!$A$2:$A$1501,AH$4,Formulas!$B$2:$B$1501,$A147))</f>
        <v>0</v>
      </c>
      <c r="AI147" s="21" t="n">
        <f aca="false">IF(OR($A147="",AI$4=""),0,COUNTIFS(Formulas!$A$2:$A$1501,AI$4,Formulas!$B$2:$B$1501,$A147))</f>
        <v>0</v>
      </c>
      <c r="AJ147" s="21" t="n">
        <f aca="false">IF(OR($A147="",AJ$4=""),0,COUNTIFS(Formulas!$A$2:$A$1501,AJ$4,Formulas!$B$2:$B$1501,$A147))</f>
        <v>0</v>
      </c>
      <c r="AK147" s="21" t="n">
        <f aca="false">IF(OR($A147="",AK$4=""),0,COUNTIFS(Formulas!$A$2:$A$1501,AK$4,Formulas!$B$2:$B$1501,$A147))</f>
        <v>0</v>
      </c>
      <c r="AL147" s="21" t="n">
        <f aca="false">IF(OR($A147="",AL$4=""),0,COUNTIFS(Formulas!$A$2:$A$1501,AL$4,Formulas!$B$2:$B$1501,$A147))</f>
        <v>0</v>
      </c>
      <c r="AM147" s="21" t="n">
        <f aca="false">IF(OR($A147="",AM$4=""),0,COUNTIFS(Formulas!$A$2:$A$1501,AM$4,Formulas!$B$2:$B$1501,$A147))</f>
        <v>0</v>
      </c>
      <c r="AN147" s="21" t="n">
        <f aca="false">IF(OR($A147="",AN$4=""),0,COUNTIFS(Formulas!$A$2:$A$1501,AN$4,Formulas!$B$2:$B$1501,$A147))</f>
        <v>0</v>
      </c>
      <c r="AO147" s="21" t="n">
        <f aca="false">IF(OR($A147="",AO$4=""),0,COUNTIFS(Formulas!$A$2:$A$1501,AO$4,Formulas!$B$2:$B$1501,$A147))</f>
        <v>0</v>
      </c>
      <c r="AP147" s="21" t="n">
        <f aca="false">IF(OR($A147="",AP$4=""),0,COUNTIFS(Formulas!$A$2:$A$1501,AP$4,Formulas!$B$2:$B$1501,$A147))</f>
        <v>0</v>
      </c>
      <c r="AQ147" s="21" t="n">
        <f aca="false">IF(OR($A147="",AQ$4=""),0,COUNTIFS(Formulas!$A$2:$A$1501,AQ$4,Formulas!$B$2:$B$1501,$A147))</f>
        <v>0</v>
      </c>
      <c r="AR147" s="21" t="n">
        <f aca="false">IF(OR($A147="",AR$4=""),0,COUNTIFS(Formulas!$A$2:$A$1501,AR$4,Formulas!$B$2:$B$1501,$A147))</f>
        <v>0</v>
      </c>
      <c r="AS147" s="21" t="n">
        <f aca="false">IF(OR($A147="",AS$4=""),0,COUNTIFS(Formulas!$A$2:$A$1501,AS$4,Formulas!$B$2:$B$1501,$A147))</f>
        <v>0</v>
      </c>
      <c r="AT147" s="21" t="n">
        <f aca="false">IF(OR($A147="",AT$4=""),0,COUNTIFS(Formulas!$A$2:$A$1501,AT$4,Formulas!$B$2:$B$1501,$A147))</f>
        <v>0</v>
      </c>
      <c r="AU147" s="21" t="n">
        <f aca="false">IF(OR($A147="",AU$4=""),0,COUNTIFS(Formulas!$A$2:$A$1501,AU$4,Formulas!$B$2:$B$1501,$A147))</f>
        <v>0</v>
      </c>
      <c r="AV147" s="21" t="n">
        <f aca="false">IF(OR($A147="",AV$4=""),0,COUNTIFS(Formulas!$A$2:$A$1501,AV$4,Formulas!$B$2:$B$1501,$A147))</f>
        <v>0</v>
      </c>
      <c r="AW147" s="21" t="n">
        <f aca="false">IF(OR($A147="",AW$4=""),0,COUNTIFS(Formulas!$A$2:$A$1501,AW$4,Formulas!$B$2:$B$1501,$A147))</f>
        <v>0</v>
      </c>
      <c r="AX147" s="21" t="n">
        <f aca="false">IF(OR($A147="",AX$4=""),0,COUNTIFS(Formulas!$A$2:$A$1501,AX$4,Formulas!$B$2:$B$1501,$A147))</f>
        <v>0</v>
      </c>
      <c r="AY147" s="21" t="n">
        <f aca="false">IF(OR($A147="",AY$4=""),0,COUNTIFS(Formulas!$A$2:$A$1501,AY$4,Formulas!$B$2:$B$1501,$A147))</f>
        <v>0</v>
      </c>
      <c r="AZ147" s="21" t="n">
        <f aca="false">IF(OR($A147="",AZ$4=""),0,COUNTIFS(Formulas!$A$2:$A$1501,AZ$4,Formulas!$B$2:$B$1501,$A147))</f>
        <v>0</v>
      </c>
      <c r="BA147" s="21" t="n">
        <f aca="false">IF(OR($A147="",BA$4=""),0,COUNTIFS(Formulas!$A$2:$A$1501,BA$4,Formulas!$B$2:$B$1501,$A147))</f>
        <v>0</v>
      </c>
      <c r="BB147" s="21" t="n">
        <f aca="false">IF(OR($A147="",BB$4=""),0,COUNTIFS(Formulas!$A$2:$A$1501,BB$4,Formulas!$B$2:$B$1501,$A147))</f>
        <v>0</v>
      </c>
      <c r="BC147" s="21" t="n">
        <f aca="false">IF(OR($A147="",BC$4=""),0,COUNTIFS(Formulas!$A$2:$A$1501,BC$4,Formulas!$B$2:$B$1501,$A147))</f>
        <v>0</v>
      </c>
      <c r="BD147" s="21" t="n">
        <f aca="false">IF(OR($A147="",BD$4=""),0,COUNTIFS(Formulas!$A$2:$A$1501,BD$4,Formulas!$B$2:$B$1501,$A147))</f>
        <v>0</v>
      </c>
      <c r="BE147" s="21" t="n">
        <f aca="false">IF(OR($A147="",BE$4=""),0,COUNTIFS(Formulas!$A$2:$A$1501,BE$4,Formulas!$B$2:$B$1501,$A147))</f>
        <v>0</v>
      </c>
      <c r="BF147" s="21" t="n">
        <f aca="false">IF(OR($A147="",BF$4=""),0,COUNTIFS(Formulas!$A$2:$A$1501,BF$4,Formulas!$B$2:$B$1501,$A147))</f>
        <v>0</v>
      </c>
      <c r="BG147" s="21" t="n">
        <f aca="false">IF(OR($A147="",BG$4=""),0,COUNTIFS(Formulas!$A$2:$A$1501,BG$4,Formulas!$B$2:$B$1501,$A147))</f>
        <v>0</v>
      </c>
      <c r="BH147" s="21" t="n">
        <f aca="false">IF(OR($A147="",BH$4=""),0,COUNTIFS(Formulas!$A$2:$A$1501,BH$4,Formulas!$B$2:$B$1501,$A147))</f>
        <v>0</v>
      </c>
      <c r="BI147" s="21" t="n">
        <f aca="false">IF(OR($A147="",BI$4=""),0,COUNTIFS(Formulas!$A$2:$A$1501,BI$4,Formulas!$B$2:$B$1501,$A147))</f>
        <v>0</v>
      </c>
      <c r="BJ147" s="21" t="n">
        <f aca="false">IF(OR($A147="",BJ$4=""),0,COUNTIFS(Formulas!$A$2:$A$1501,BJ$4,Formulas!$B$2:$B$1501,$A147))</f>
        <v>0</v>
      </c>
    </row>
    <row r="148" customFormat="false" ht="15" hidden="false" customHeight="false" outlineLevel="0" collapsed="false">
      <c r="A148" s="13" t="str">
        <f aca="false">IF(INDEX(Materials!$A$2:$A$201,144)="","",INDEX(Materials!$A$2:$A$201,144))</f>
        <v/>
      </c>
      <c r="B148" s="19" t="str">
        <f aca="false">IF(A148="","",COUNTIF(C148:BJ148,"&gt;0"))</f>
        <v/>
      </c>
      <c r="C148" s="21" t="n">
        <f aca="false">IF(OR($A148="",C$4=""),0,COUNTIFS(Formulas!$A$2:$A$1501,C$4,Formulas!$B$2:$B$1501,$A148))</f>
        <v>0</v>
      </c>
      <c r="D148" s="21" t="n">
        <f aca="false">IF(OR($A148="",D$4=""),0,COUNTIFS(Formulas!$A$2:$A$1501,D$4,Formulas!$B$2:$B$1501,$A148))</f>
        <v>0</v>
      </c>
      <c r="E148" s="21" t="n">
        <f aca="false">IF(OR($A148="",E$4=""),0,COUNTIFS(Formulas!$A$2:$A$1501,E$4,Formulas!$B$2:$B$1501,$A148))</f>
        <v>0</v>
      </c>
      <c r="F148" s="21" t="n">
        <f aca="false">IF(OR($A148="",F$4=""),0,COUNTIFS(Formulas!$A$2:$A$1501,F$4,Formulas!$B$2:$B$1501,$A148))</f>
        <v>0</v>
      </c>
      <c r="G148" s="21" t="n">
        <f aca="false">IF(OR($A148="",G$4=""),0,COUNTIFS(Formulas!$A$2:$A$1501,G$4,Formulas!$B$2:$B$1501,$A148))</f>
        <v>0</v>
      </c>
      <c r="H148" s="21" t="n">
        <f aca="false">IF(OR($A148="",H$4=""),0,COUNTIFS(Formulas!$A$2:$A$1501,H$4,Formulas!$B$2:$B$1501,$A148))</f>
        <v>0</v>
      </c>
      <c r="I148" s="21" t="n">
        <f aca="false">IF(OR($A148="",I$4=""),0,COUNTIFS(Formulas!$A$2:$A$1501,I$4,Formulas!$B$2:$B$1501,$A148))</f>
        <v>0</v>
      </c>
      <c r="J148" s="21" t="n">
        <f aca="false">IF(OR($A148="",J$4=""),0,COUNTIFS(Formulas!$A$2:$A$1501,J$4,Formulas!$B$2:$B$1501,$A148))</f>
        <v>0</v>
      </c>
      <c r="K148" s="21" t="n">
        <f aca="false">IF(OR($A148="",K$4=""),0,COUNTIFS(Formulas!$A$2:$A$1501,K$4,Formulas!$B$2:$B$1501,$A148))</f>
        <v>0</v>
      </c>
      <c r="L148" s="21" t="n">
        <f aca="false">IF(OR($A148="",L$4=""),0,COUNTIFS(Formulas!$A$2:$A$1501,L$4,Formulas!$B$2:$B$1501,$A148))</f>
        <v>0</v>
      </c>
      <c r="M148" s="21" t="n">
        <f aca="false">IF(OR($A148="",M$4=""),0,COUNTIFS(Formulas!$A$2:$A$1501,M$4,Formulas!$B$2:$B$1501,$A148))</f>
        <v>0</v>
      </c>
      <c r="N148" s="21" t="n">
        <f aca="false">IF(OR($A148="",N$4=""),0,COUNTIFS(Formulas!$A$2:$A$1501,N$4,Formulas!$B$2:$B$1501,$A148))</f>
        <v>0</v>
      </c>
      <c r="O148" s="21" t="n">
        <f aca="false">IF(OR($A148="",O$4=""),0,COUNTIFS(Formulas!$A$2:$A$1501,O$4,Formulas!$B$2:$B$1501,$A148))</f>
        <v>0</v>
      </c>
      <c r="P148" s="21" t="n">
        <f aca="false">IF(OR($A148="",P$4=""),0,COUNTIFS(Formulas!$A$2:$A$1501,P$4,Formulas!$B$2:$B$1501,$A148))</f>
        <v>0</v>
      </c>
      <c r="Q148" s="21" t="n">
        <f aca="false">IF(OR($A148="",Q$4=""),0,COUNTIFS(Formulas!$A$2:$A$1501,Q$4,Formulas!$B$2:$B$1501,$A148))</f>
        <v>0</v>
      </c>
      <c r="R148" s="21" t="n">
        <f aca="false">IF(OR($A148="",R$4=""),0,COUNTIFS(Formulas!$A$2:$A$1501,R$4,Formulas!$B$2:$B$1501,$A148))</f>
        <v>0</v>
      </c>
      <c r="S148" s="21" t="n">
        <f aca="false">IF(OR($A148="",S$4=""),0,COUNTIFS(Formulas!$A$2:$A$1501,S$4,Formulas!$B$2:$B$1501,$A148))</f>
        <v>0</v>
      </c>
      <c r="T148" s="21" t="n">
        <f aca="false">IF(OR($A148="",T$4=""),0,COUNTIFS(Formulas!$A$2:$A$1501,T$4,Formulas!$B$2:$B$1501,$A148))</f>
        <v>0</v>
      </c>
      <c r="U148" s="21" t="n">
        <f aca="false">IF(OR($A148="",U$4=""),0,COUNTIFS(Formulas!$A$2:$A$1501,U$4,Formulas!$B$2:$B$1501,$A148))</f>
        <v>0</v>
      </c>
      <c r="V148" s="21" t="n">
        <f aca="false">IF(OR($A148="",V$4=""),0,COUNTIFS(Formulas!$A$2:$A$1501,V$4,Formulas!$B$2:$B$1501,$A148))</f>
        <v>0</v>
      </c>
      <c r="W148" s="21" t="n">
        <f aca="false">IF(OR($A148="",W$4=""),0,COUNTIFS(Formulas!$A$2:$A$1501,W$4,Formulas!$B$2:$B$1501,$A148))</f>
        <v>0</v>
      </c>
      <c r="X148" s="21" t="n">
        <f aca="false">IF(OR($A148="",X$4=""),0,COUNTIFS(Formulas!$A$2:$A$1501,X$4,Formulas!$B$2:$B$1501,$A148))</f>
        <v>0</v>
      </c>
      <c r="Y148" s="21" t="n">
        <f aca="false">IF(OR($A148="",Y$4=""),0,COUNTIFS(Formulas!$A$2:$A$1501,Y$4,Formulas!$B$2:$B$1501,$A148))</f>
        <v>0</v>
      </c>
      <c r="Z148" s="21" t="n">
        <f aca="false">IF(OR($A148="",Z$4=""),0,COUNTIFS(Formulas!$A$2:$A$1501,Z$4,Formulas!$B$2:$B$1501,$A148))</f>
        <v>0</v>
      </c>
      <c r="AA148" s="21" t="n">
        <f aca="false">IF(OR($A148="",AA$4=""),0,COUNTIFS(Formulas!$A$2:$A$1501,AA$4,Formulas!$B$2:$B$1501,$A148))</f>
        <v>0</v>
      </c>
      <c r="AB148" s="21" t="n">
        <f aca="false">IF(OR($A148="",AB$4=""),0,COUNTIFS(Formulas!$A$2:$A$1501,AB$4,Formulas!$B$2:$B$1501,$A148))</f>
        <v>0</v>
      </c>
      <c r="AC148" s="21" t="n">
        <f aca="false">IF(OR($A148="",AC$4=""),0,COUNTIFS(Formulas!$A$2:$A$1501,AC$4,Formulas!$B$2:$B$1501,$A148))</f>
        <v>0</v>
      </c>
      <c r="AD148" s="21" t="n">
        <f aca="false">IF(OR($A148="",AD$4=""),0,COUNTIFS(Formulas!$A$2:$A$1501,AD$4,Formulas!$B$2:$B$1501,$A148))</f>
        <v>0</v>
      </c>
      <c r="AE148" s="21" t="n">
        <f aca="false">IF(OR($A148="",AE$4=""),0,COUNTIFS(Formulas!$A$2:$A$1501,AE$4,Formulas!$B$2:$B$1501,$A148))</f>
        <v>0</v>
      </c>
      <c r="AF148" s="21" t="n">
        <f aca="false">IF(OR($A148="",AF$4=""),0,COUNTIFS(Formulas!$A$2:$A$1501,AF$4,Formulas!$B$2:$B$1501,$A148))</f>
        <v>0</v>
      </c>
      <c r="AG148" s="21" t="n">
        <f aca="false">IF(OR($A148="",AG$4=""),0,COUNTIFS(Formulas!$A$2:$A$1501,AG$4,Formulas!$B$2:$B$1501,$A148))</f>
        <v>0</v>
      </c>
      <c r="AH148" s="21" t="n">
        <f aca="false">IF(OR($A148="",AH$4=""),0,COUNTIFS(Formulas!$A$2:$A$1501,AH$4,Formulas!$B$2:$B$1501,$A148))</f>
        <v>0</v>
      </c>
      <c r="AI148" s="21" t="n">
        <f aca="false">IF(OR($A148="",AI$4=""),0,COUNTIFS(Formulas!$A$2:$A$1501,AI$4,Formulas!$B$2:$B$1501,$A148))</f>
        <v>0</v>
      </c>
      <c r="AJ148" s="21" t="n">
        <f aca="false">IF(OR($A148="",AJ$4=""),0,COUNTIFS(Formulas!$A$2:$A$1501,AJ$4,Formulas!$B$2:$B$1501,$A148))</f>
        <v>0</v>
      </c>
      <c r="AK148" s="21" t="n">
        <f aca="false">IF(OR($A148="",AK$4=""),0,COUNTIFS(Formulas!$A$2:$A$1501,AK$4,Formulas!$B$2:$B$1501,$A148))</f>
        <v>0</v>
      </c>
      <c r="AL148" s="21" t="n">
        <f aca="false">IF(OR($A148="",AL$4=""),0,COUNTIFS(Formulas!$A$2:$A$1501,AL$4,Formulas!$B$2:$B$1501,$A148))</f>
        <v>0</v>
      </c>
      <c r="AM148" s="21" t="n">
        <f aca="false">IF(OR($A148="",AM$4=""),0,COUNTIFS(Formulas!$A$2:$A$1501,AM$4,Formulas!$B$2:$B$1501,$A148))</f>
        <v>0</v>
      </c>
      <c r="AN148" s="21" t="n">
        <f aca="false">IF(OR($A148="",AN$4=""),0,COUNTIFS(Formulas!$A$2:$A$1501,AN$4,Formulas!$B$2:$B$1501,$A148))</f>
        <v>0</v>
      </c>
      <c r="AO148" s="21" t="n">
        <f aca="false">IF(OR($A148="",AO$4=""),0,COUNTIFS(Formulas!$A$2:$A$1501,AO$4,Formulas!$B$2:$B$1501,$A148))</f>
        <v>0</v>
      </c>
      <c r="AP148" s="21" t="n">
        <f aca="false">IF(OR($A148="",AP$4=""),0,COUNTIFS(Formulas!$A$2:$A$1501,AP$4,Formulas!$B$2:$B$1501,$A148))</f>
        <v>0</v>
      </c>
      <c r="AQ148" s="21" t="n">
        <f aca="false">IF(OR($A148="",AQ$4=""),0,COUNTIFS(Formulas!$A$2:$A$1501,AQ$4,Formulas!$B$2:$B$1501,$A148))</f>
        <v>0</v>
      </c>
      <c r="AR148" s="21" t="n">
        <f aca="false">IF(OR($A148="",AR$4=""),0,COUNTIFS(Formulas!$A$2:$A$1501,AR$4,Formulas!$B$2:$B$1501,$A148))</f>
        <v>0</v>
      </c>
      <c r="AS148" s="21" t="n">
        <f aca="false">IF(OR($A148="",AS$4=""),0,COUNTIFS(Formulas!$A$2:$A$1501,AS$4,Formulas!$B$2:$B$1501,$A148))</f>
        <v>0</v>
      </c>
      <c r="AT148" s="21" t="n">
        <f aca="false">IF(OR($A148="",AT$4=""),0,COUNTIFS(Formulas!$A$2:$A$1501,AT$4,Formulas!$B$2:$B$1501,$A148))</f>
        <v>0</v>
      </c>
      <c r="AU148" s="21" t="n">
        <f aca="false">IF(OR($A148="",AU$4=""),0,COUNTIFS(Formulas!$A$2:$A$1501,AU$4,Formulas!$B$2:$B$1501,$A148))</f>
        <v>0</v>
      </c>
      <c r="AV148" s="21" t="n">
        <f aca="false">IF(OR($A148="",AV$4=""),0,COUNTIFS(Formulas!$A$2:$A$1501,AV$4,Formulas!$B$2:$B$1501,$A148))</f>
        <v>0</v>
      </c>
      <c r="AW148" s="21" t="n">
        <f aca="false">IF(OR($A148="",AW$4=""),0,COUNTIFS(Formulas!$A$2:$A$1501,AW$4,Formulas!$B$2:$B$1501,$A148))</f>
        <v>0</v>
      </c>
      <c r="AX148" s="21" t="n">
        <f aca="false">IF(OR($A148="",AX$4=""),0,COUNTIFS(Formulas!$A$2:$A$1501,AX$4,Formulas!$B$2:$B$1501,$A148))</f>
        <v>0</v>
      </c>
      <c r="AY148" s="21" t="n">
        <f aca="false">IF(OR($A148="",AY$4=""),0,COUNTIFS(Formulas!$A$2:$A$1501,AY$4,Formulas!$B$2:$B$1501,$A148))</f>
        <v>0</v>
      </c>
      <c r="AZ148" s="21" t="n">
        <f aca="false">IF(OR($A148="",AZ$4=""),0,COUNTIFS(Formulas!$A$2:$A$1501,AZ$4,Formulas!$B$2:$B$1501,$A148))</f>
        <v>0</v>
      </c>
      <c r="BA148" s="21" t="n">
        <f aca="false">IF(OR($A148="",BA$4=""),0,COUNTIFS(Formulas!$A$2:$A$1501,BA$4,Formulas!$B$2:$B$1501,$A148))</f>
        <v>0</v>
      </c>
      <c r="BB148" s="21" t="n">
        <f aca="false">IF(OR($A148="",BB$4=""),0,COUNTIFS(Formulas!$A$2:$A$1501,BB$4,Formulas!$B$2:$B$1501,$A148))</f>
        <v>0</v>
      </c>
      <c r="BC148" s="21" t="n">
        <f aca="false">IF(OR($A148="",BC$4=""),0,COUNTIFS(Formulas!$A$2:$A$1501,BC$4,Formulas!$B$2:$B$1501,$A148))</f>
        <v>0</v>
      </c>
      <c r="BD148" s="21" t="n">
        <f aca="false">IF(OR($A148="",BD$4=""),0,COUNTIFS(Formulas!$A$2:$A$1501,BD$4,Formulas!$B$2:$B$1501,$A148))</f>
        <v>0</v>
      </c>
      <c r="BE148" s="21" t="n">
        <f aca="false">IF(OR($A148="",BE$4=""),0,COUNTIFS(Formulas!$A$2:$A$1501,BE$4,Formulas!$B$2:$B$1501,$A148))</f>
        <v>0</v>
      </c>
      <c r="BF148" s="21" t="n">
        <f aca="false">IF(OR($A148="",BF$4=""),0,COUNTIFS(Formulas!$A$2:$A$1501,BF$4,Formulas!$B$2:$B$1501,$A148))</f>
        <v>0</v>
      </c>
      <c r="BG148" s="21" t="n">
        <f aca="false">IF(OR($A148="",BG$4=""),0,COUNTIFS(Formulas!$A$2:$A$1501,BG$4,Formulas!$B$2:$B$1501,$A148))</f>
        <v>0</v>
      </c>
      <c r="BH148" s="21" t="n">
        <f aca="false">IF(OR($A148="",BH$4=""),0,COUNTIFS(Formulas!$A$2:$A$1501,BH$4,Formulas!$B$2:$B$1501,$A148))</f>
        <v>0</v>
      </c>
      <c r="BI148" s="21" t="n">
        <f aca="false">IF(OR($A148="",BI$4=""),0,COUNTIFS(Formulas!$A$2:$A$1501,BI$4,Formulas!$B$2:$B$1501,$A148))</f>
        <v>0</v>
      </c>
      <c r="BJ148" s="21" t="n">
        <f aca="false">IF(OR($A148="",BJ$4=""),0,COUNTIFS(Formulas!$A$2:$A$1501,BJ$4,Formulas!$B$2:$B$1501,$A148))</f>
        <v>0</v>
      </c>
    </row>
    <row r="149" customFormat="false" ht="15" hidden="false" customHeight="false" outlineLevel="0" collapsed="false">
      <c r="A149" s="13" t="str">
        <f aca="false">IF(INDEX(Materials!$A$2:$A$201,145)="","",INDEX(Materials!$A$2:$A$201,145))</f>
        <v/>
      </c>
      <c r="B149" s="19" t="str">
        <f aca="false">IF(A149="","",COUNTIF(C149:BJ149,"&gt;0"))</f>
        <v/>
      </c>
      <c r="C149" s="21" t="n">
        <f aca="false">IF(OR($A149="",C$4=""),0,COUNTIFS(Formulas!$A$2:$A$1501,C$4,Formulas!$B$2:$B$1501,$A149))</f>
        <v>0</v>
      </c>
      <c r="D149" s="21" t="n">
        <f aca="false">IF(OR($A149="",D$4=""),0,COUNTIFS(Formulas!$A$2:$A$1501,D$4,Formulas!$B$2:$B$1501,$A149))</f>
        <v>0</v>
      </c>
      <c r="E149" s="21" t="n">
        <f aca="false">IF(OR($A149="",E$4=""),0,COUNTIFS(Formulas!$A$2:$A$1501,E$4,Formulas!$B$2:$B$1501,$A149))</f>
        <v>0</v>
      </c>
      <c r="F149" s="21" t="n">
        <f aca="false">IF(OR($A149="",F$4=""),0,COUNTIFS(Formulas!$A$2:$A$1501,F$4,Formulas!$B$2:$B$1501,$A149))</f>
        <v>0</v>
      </c>
      <c r="G149" s="21" t="n">
        <f aca="false">IF(OR($A149="",G$4=""),0,COUNTIFS(Formulas!$A$2:$A$1501,G$4,Formulas!$B$2:$B$1501,$A149))</f>
        <v>0</v>
      </c>
      <c r="H149" s="21" t="n">
        <f aca="false">IF(OR($A149="",H$4=""),0,COUNTIFS(Formulas!$A$2:$A$1501,H$4,Formulas!$B$2:$B$1501,$A149))</f>
        <v>0</v>
      </c>
      <c r="I149" s="21" t="n">
        <f aca="false">IF(OR($A149="",I$4=""),0,COUNTIFS(Formulas!$A$2:$A$1501,I$4,Formulas!$B$2:$B$1501,$A149))</f>
        <v>0</v>
      </c>
      <c r="J149" s="21" t="n">
        <f aca="false">IF(OR($A149="",J$4=""),0,COUNTIFS(Formulas!$A$2:$A$1501,J$4,Formulas!$B$2:$B$1501,$A149))</f>
        <v>0</v>
      </c>
      <c r="K149" s="21" t="n">
        <f aca="false">IF(OR($A149="",K$4=""),0,COUNTIFS(Formulas!$A$2:$A$1501,K$4,Formulas!$B$2:$B$1501,$A149))</f>
        <v>0</v>
      </c>
      <c r="L149" s="21" t="n">
        <f aca="false">IF(OR($A149="",L$4=""),0,COUNTIFS(Formulas!$A$2:$A$1501,L$4,Formulas!$B$2:$B$1501,$A149))</f>
        <v>0</v>
      </c>
      <c r="M149" s="21" t="n">
        <f aca="false">IF(OR($A149="",M$4=""),0,COUNTIFS(Formulas!$A$2:$A$1501,M$4,Formulas!$B$2:$B$1501,$A149))</f>
        <v>0</v>
      </c>
      <c r="N149" s="21" t="n">
        <f aca="false">IF(OR($A149="",N$4=""),0,COUNTIFS(Formulas!$A$2:$A$1501,N$4,Formulas!$B$2:$B$1501,$A149))</f>
        <v>0</v>
      </c>
      <c r="O149" s="21" t="n">
        <f aca="false">IF(OR($A149="",O$4=""),0,COUNTIFS(Formulas!$A$2:$A$1501,O$4,Formulas!$B$2:$B$1501,$A149))</f>
        <v>0</v>
      </c>
      <c r="P149" s="21" t="n">
        <f aca="false">IF(OR($A149="",P$4=""),0,COUNTIFS(Formulas!$A$2:$A$1501,P$4,Formulas!$B$2:$B$1501,$A149))</f>
        <v>0</v>
      </c>
      <c r="Q149" s="21" t="n">
        <f aca="false">IF(OR($A149="",Q$4=""),0,COUNTIFS(Formulas!$A$2:$A$1501,Q$4,Formulas!$B$2:$B$1501,$A149))</f>
        <v>0</v>
      </c>
      <c r="R149" s="21" t="n">
        <f aca="false">IF(OR($A149="",R$4=""),0,COUNTIFS(Formulas!$A$2:$A$1501,R$4,Formulas!$B$2:$B$1501,$A149))</f>
        <v>0</v>
      </c>
      <c r="S149" s="21" t="n">
        <f aca="false">IF(OR($A149="",S$4=""),0,COUNTIFS(Formulas!$A$2:$A$1501,S$4,Formulas!$B$2:$B$1501,$A149))</f>
        <v>0</v>
      </c>
      <c r="T149" s="21" t="n">
        <f aca="false">IF(OR($A149="",T$4=""),0,COUNTIFS(Formulas!$A$2:$A$1501,T$4,Formulas!$B$2:$B$1501,$A149))</f>
        <v>0</v>
      </c>
      <c r="U149" s="21" t="n">
        <f aca="false">IF(OR($A149="",U$4=""),0,COUNTIFS(Formulas!$A$2:$A$1501,U$4,Formulas!$B$2:$B$1501,$A149))</f>
        <v>0</v>
      </c>
      <c r="V149" s="21" t="n">
        <f aca="false">IF(OR($A149="",V$4=""),0,COUNTIFS(Formulas!$A$2:$A$1501,V$4,Formulas!$B$2:$B$1501,$A149))</f>
        <v>0</v>
      </c>
      <c r="W149" s="21" t="n">
        <f aca="false">IF(OR($A149="",W$4=""),0,COUNTIFS(Formulas!$A$2:$A$1501,W$4,Formulas!$B$2:$B$1501,$A149))</f>
        <v>0</v>
      </c>
      <c r="X149" s="21" t="n">
        <f aca="false">IF(OR($A149="",X$4=""),0,COUNTIFS(Formulas!$A$2:$A$1501,X$4,Formulas!$B$2:$B$1501,$A149))</f>
        <v>0</v>
      </c>
      <c r="Y149" s="21" t="n">
        <f aca="false">IF(OR($A149="",Y$4=""),0,COUNTIFS(Formulas!$A$2:$A$1501,Y$4,Formulas!$B$2:$B$1501,$A149))</f>
        <v>0</v>
      </c>
      <c r="Z149" s="21" t="n">
        <f aca="false">IF(OR($A149="",Z$4=""),0,COUNTIFS(Formulas!$A$2:$A$1501,Z$4,Formulas!$B$2:$B$1501,$A149))</f>
        <v>0</v>
      </c>
      <c r="AA149" s="21" t="n">
        <f aca="false">IF(OR($A149="",AA$4=""),0,COUNTIFS(Formulas!$A$2:$A$1501,AA$4,Formulas!$B$2:$B$1501,$A149))</f>
        <v>0</v>
      </c>
      <c r="AB149" s="21" t="n">
        <f aca="false">IF(OR($A149="",AB$4=""),0,COUNTIFS(Formulas!$A$2:$A$1501,AB$4,Formulas!$B$2:$B$1501,$A149))</f>
        <v>0</v>
      </c>
      <c r="AC149" s="21" t="n">
        <f aca="false">IF(OR($A149="",AC$4=""),0,COUNTIFS(Formulas!$A$2:$A$1501,AC$4,Formulas!$B$2:$B$1501,$A149))</f>
        <v>0</v>
      </c>
      <c r="AD149" s="21" t="n">
        <f aca="false">IF(OR($A149="",AD$4=""),0,COUNTIFS(Formulas!$A$2:$A$1501,AD$4,Formulas!$B$2:$B$1501,$A149))</f>
        <v>0</v>
      </c>
      <c r="AE149" s="21" t="n">
        <f aca="false">IF(OR($A149="",AE$4=""),0,COUNTIFS(Formulas!$A$2:$A$1501,AE$4,Formulas!$B$2:$B$1501,$A149))</f>
        <v>0</v>
      </c>
      <c r="AF149" s="21" t="n">
        <f aca="false">IF(OR($A149="",AF$4=""),0,COUNTIFS(Formulas!$A$2:$A$1501,AF$4,Formulas!$B$2:$B$1501,$A149))</f>
        <v>0</v>
      </c>
      <c r="AG149" s="21" t="n">
        <f aca="false">IF(OR($A149="",AG$4=""),0,COUNTIFS(Formulas!$A$2:$A$1501,AG$4,Formulas!$B$2:$B$1501,$A149))</f>
        <v>0</v>
      </c>
      <c r="AH149" s="21" t="n">
        <f aca="false">IF(OR($A149="",AH$4=""),0,COUNTIFS(Formulas!$A$2:$A$1501,AH$4,Formulas!$B$2:$B$1501,$A149))</f>
        <v>0</v>
      </c>
      <c r="AI149" s="21" t="n">
        <f aca="false">IF(OR($A149="",AI$4=""),0,COUNTIFS(Formulas!$A$2:$A$1501,AI$4,Formulas!$B$2:$B$1501,$A149))</f>
        <v>0</v>
      </c>
      <c r="AJ149" s="21" t="n">
        <f aca="false">IF(OR($A149="",AJ$4=""),0,COUNTIFS(Formulas!$A$2:$A$1501,AJ$4,Formulas!$B$2:$B$1501,$A149))</f>
        <v>0</v>
      </c>
      <c r="AK149" s="21" t="n">
        <f aca="false">IF(OR($A149="",AK$4=""),0,COUNTIFS(Formulas!$A$2:$A$1501,AK$4,Formulas!$B$2:$B$1501,$A149))</f>
        <v>0</v>
      </c>
      <c r="AL149" s="21" t="n">
        <f aca="false">IF(OR($A149="",AL$4=""),0,COUNTIFS(Formulas!$A$2:$A$1501,AL$4,Formulas!$B$2:$B$1501,$A149))</f>
        <v>0</v>
      </c>
      <c r="AM149" s="21" t="n">
        <f aca="false">IF(OR($A149="",AM$4=""),0,COUNTIFS(Formulas!$A$2:$A$1501,AM$4,Formulas!$B$2:$B$1501,$A149))</f>
        <v>0</v>
      </c>
      <c r="AN149" s="21" t="n">
        <f aca="false">IF(OR($A149="",AN$4=""),0,COUNTIFS(Formulas!$A$2:$A$1501,AN$4,Formulas!$B$2:$B$1501,$A149))</f>
        <v>0</v>
      </c>
      <c r="AO149" s="21" t="n">
        <f aca="false">IF(OR($A149="",AO$4=""),0,COUNTIFS(Formulas!$A$2:$A$1501,AO$4,Formulas!$B$2:$B$1501,$A149))</f>
        <v>0</v>
      </c>
      <c r="AP149" s="21" t="n">
        <f aca="false">IF(OR($A149="",AP$4=""),0,COUNTIFS(Formulas!$A$2:$A$1501,AP$4,Formulas!$B$2:$B$1501,$A149))</f>
        <v>0</v>
      </c>
      <c r="AQ149" s="21" t="n">
        <f aca="false">IF(OR($A149="",AQ$4=""),0,COUNTIFS(Formulas!$A$2:$A$1501,AQ$4,Formulas!$B$2:$B$1501,$A149))</f>
        <v>0</v>
      </c>
      <c r="AR149" s="21" t="n">
        <f aca="false">IF(OR($A149="",AR$4=""),0,COUNTIFS(Formulas!$A$2:$A$1501,AR$4,Formulas!$B$2:$B$1501,$A149))</f>
        <v>0</v>
      </c>
      <c r="AS149" s="21" t="n">
        <f aca="false">IF(OR($A149="",AS$4=""),0,COUNTIFS(Formulas!$A$2:$A$1501,AS$4,Formulas!$B$2:$B$1501,$A149))</f>
        <v>0</v>
      </c>
      <c r="AT149" s="21" t="n">
        <f aca="false">IF(OR($A149="",AT$4=""),0,COUNTIFS(Formulas!$A$2:$A$1501,AT$4,Formulas!$B$2:$B$1501,$A149))</f>
        <v>0</v>
      </c>
      <c r="AU149" s="21" t="n">
        <f aca="false">IF(OR($A149="",AU$4=""),0,COUNTIFS(Formulas!$A$2:$A$1501,AU$4,Formulas!$B$2:$B$1501,$A149))</f>
        <v>0</v>
      </c>
      <c r="AV149" s="21" t="n">
        <f aca="false">IF(OR($A149="",AV$4=""),0,COUNTIFS(Formulas!$A$2:$A$1501,AV$4,Formulas!$B$2:$B$1501,$A149))</f>
        <v>0</v>
      </c>
      <c r="AW149" s="21" t="n">
        <f aca="false">IF(OR($A149="",AW$4=""),0,COUNTIFS(Formulas!$A$2:$A$1501,AW$4,Formulas!$B$2:$B$1501,$A149))</f>
        <v>0</v>
      </c>
      <c r="AX149" s="21" t="n">
        <f aca="false">IF(OR($A149="",AX$4=""),0,COUNTIFS(Formulas!$A$2:$A$1501,AX$4,Formulas!$B$2:$B$1501,$A149))</f>
        <v>0</v>
      </c>
      <c r="AY149" s="21" t="n">
        <f aca="false">IF(OR($A149="",AY$4=""),0,COUNTIFS(Formulas!$A$2:$A$1501,AY$4,Formulas!$B$2:$B$1501,$A149))</f>
        <v>0</v>
      </c>
      <c r="AZ149" s="21" t="n">
        <f aca="false">IF(OR($A149="",AZ$4=""),0,COUNTIFS(Formulas!$A$2:$A$1501,AZ$4,Formulas!$B$2:$B$1501,$A149))</f>
        <v>0</v>
      </c>
      <c r="BA149" s="21" t="n">
        <f aca="false">IF(OR($A149="",BA$4=""),0,COUNTIFS(Formulas!$A$2:$A$1501,BA$4,Formulas!$B$2:$B$1501,$A149))</f>
        <v>0</v>
      </c>
      <c r="BB149" s="21" t="n">
        <f aca="false">IF(OR($A149="",BB$4=""),0,COUNTIFS(Formulas!$A$2:$A$1501,BB$4,Formulas!$B$2:$B$1501,$A149))</f>
        <v>0</v>
      </c>
      <c r="BC149" s="21" t="n">
        <f aca="false">IF(OR($A149="",BC$4=""),0,COUNTIFS(Formulas!$A$2:$A$1501,BC$4,Formulas!$B$2:$B$1501,$A149))</f>
        <v>0</v>
      </c>
      <c r="BD149" s="21" t="n">
        <f aca="false">IF(OR($A149="",BD$4=""),0,COUNTIFS(Formulas!$A$2:$A$1501,BD$4,Formulas!$B$2:$B$1501,$A149))</f>
        <v>0</v>
      </c>
      <c r="BE149" s="21" t="n">
        <f aca="false">IF(OR($A149="",BE$4=""),0,COUNTIFS(Formulas!$A$2:$A$1501,BE$4,Formulas!$B$2:$B$1501,$A149))</f>
        <v>0</v>
      </c>
      <c r="BF149" s="21" t="n">
        <f aca="false">IF(OR($A149="",BF$4=""),0,COUNTIFS(Formulas!$A$2:$A$1501,BF$4,Formulas!$B$2:$B$1501,$A149))</f>
        <v>0</v>
      </c>
      <c r="BG149" s="21" t="n">
        <f aca="false">IF(OR($A149="",BG$4=""),0,COUNTIFS(Formulas!$A$2:$A$1501,BG$4,Formulas!$B$2:$B$1501,$A149))</f>
        <v>0</v>
      </c>
      <c r="BH149" s="21" t="n">
        <f aca="false">IF(OR($A149="",BH$4=""),0,COUNTIFS(Formulas!$A$2:$A$1501,BH$4,Formulas!$B$2:$B$1501,$A149))</f>
        <v>0</v>
      </c>
      <c r="BI149" s="21" t="n">
        <f aca="false">IF(OR($A149="",BI$4=""),0,COUNTIFS(Formulas!$A$2:$A$1501,BI$4,Formulas!$B$2:$B$1501,$A149))</f>
        <v>0</v>
      </c>
      <c r="BJ149" s="21" t="n">
        <f aca="false">IF(OR($A149="",BJ$4=""),0,COUNTIFS(Formulas!$A$2:$A$1501,BJ$4,Formulas!$B$2:$B$1501,$A149))</f>
        <v>0</v>
      </c>
    </row>
    <row r="150" customFormat="false" ht="15" hidden="false" customHeight="false" outlineLevel="0" collapsed="false">
      <c r="A150" s="13" t="str">
        <f aca="false">IF(INDEX(Materials!$A$2:$A$201,146)="","",INDEX(Materials!$A$2:$A$201,146))</f>
        <v/>
      </c>
      <c r="B150" s="19" t="str">
        <f aca="false">IF(A150="","",COUNTIF(C150:BJ150,"&gt;0"))</f>
        <v/>
      </c>
      <c r="C150" s="21" t="n">
        <f aca="false">IF(OR($A150="",C$4=""),0,COUNTIFS(Formulas!$A$2:$A$1501,C$4,Formulas!$B$2:$B$1501,$A150))</f>
        <v>0</v>
      </c>
      <c r="D150" s="21" t="n">
        <f aca="false">IF(OR($A150="",D$4=""),0,COUNTIFS(Formulas!$A$2:$A$1501,D$4,Formulas!$B$2:$B$1501,$A150))</f>
        <v>0</v>
      </c>
      <c r="E150" s="21" t="n">
        <f aca="false">IF(OR($A150="",E$4=""),0,COUNTIFS(Formulas!$A$2:$A$1501,E$4,Formulas!$B$2:$B$1501,$A150))</f>
        <v>0</v>
      </c>
      <c r="F150" s="21" t="n">
        <f aca="false">IF(OR($A150="",F$4=""),0,COUNTIFS(Formulas!$A$2:$A$1501,F$4,Formulas!$B$2:$B$1501,$A150))</f>
        <v>0</v>
      </c>
      <c r="G150" s="21" t="n">
        <f aca="false">IF(OR($A150="",G$4=""),0,COUNTIFS(Formulas!$A$2:$A$1501,G$4,Formulas!$B$2:$B$1501,$A150))</f>
        <v>0</v>
      </c>
      <c r="H150" s="21" t="n">
        <f aca="false">IF(OR($A150="",H$4=""),0,COUNTIFS(Formulas!$A$2:$A$1501,H$4,Formulas!$B$2:$B$1501,$A150))</f>
        <v>0</v>
      </c>
      <c r="I150" s="21" t="n">
        <f aca="false">IF(OR($A150="",I$4=""),0,COUNTIFS(Formulas!$A$2:$A$1501,I$4,Formulas!$B$2:$B$1501,$A150))</f>
        <v>0</v>
      </c>
      <c r="J150" s="21" t="n">
        <f aca="false">IF(OR($A150="",J$4=""),0,COUNTIFS(Formulas!$A$2:$A$1501,J$4,Formulas!$B$2:$B$1501,$A150))</f>
        <v>0</v>
      </c>
      <c r="K150" s="21" t="n">
        <f aca="false">IF(OR($A150="",K$4=""),0,COUNTIFS(Formulas!$A$2:$A$1501,K$4,Formulas!$B$2:$B$1501,$A150))</f>
        <v>0</v>
      </c>
      <c r="L150" s="21" t="n">
        <f aca="false">IF(OR($A150="",L$4=""),0,COUNTIFS(Formulas!$A$2:$A$1501,L$4,Formulas!$B$2:$B$1501,$A150))</f>
        <v>0</v>
      </c>
      <c r="M150" s="21" t="n">
        <f aca="false">IF(OR($A150="",M$4=""),0,COUNTIFS(Formulas!$A$2:$A$1501,M$4,Formulas!$B$2:$B$1501,$A150))</f>
        <v>0</v>
      </c>
      <c r="N150" s="21" t="n">
        <f aca="false">IF(OR($A150="",N$4=""),0,COUNTIFS(Formulas!$A$2:$A$1501,N$4,Formulas!$B$2:$B$1501,$A150))</f>
        <v>0</v>
      </c>
      <c r="O150" s="21" t="n">
        <f aca="false">IF(OR($A150="",O$4=""),0,COUNTIFS(Formulas!$A$2:$A$1501,O$4,Formulas!$B$2:$B$1501,$A150))</f>
        <v>0</v>
      </c>
      <c r="P150" s="21" t="n">
        <f aca="false">IF(OR($A150="",P$4=""),0,COUNTIFS(Formulas!$A$2:$A$1501,P$4,Formulas!$B$2:$B$1501,$A150))</f>
        <v>0</v>
      </c>
      <c r="Q150" s="21" t="n">
        <f aca="false">IF(OR($A150="",Q$4=""),0,COUNTIFS(Formulas!$A$2:$A$1501,Q$4,Formulas!$B$2:$B$1501,$A150))</f>
        <v>0</v>
      </c>
      <c r="R150" s="21" t="n">
        <f aca="false">IF(OR($A150="",R$4=""),0,COUNTIFS(Formulas!$A$2:$A$1501,R$4,Formulas!$B$2:$B$1501,$A150))</f>
        <v>0</v>
      </c>
      <c r="S150" s="21" t="n">
        <f aca="false">IF(OR($A150="",S$4=""),0,COUNTIFS(Formulas!$A$2:$A$1501,S$4,Formulas!$B$2:$B$1501,$A150))</f>
        <v>0</v>
      </c>
      <c r="T150" s="21" t="n">
        <f aca="false">IF(OR($A150="",T$4=""),0,COUNTIFS(Formulas!$A$2:$A$1501,T$4,Formulas!$B$2:$B$1501,$A150))</f>
        <v>0</v>
      </c>
      <c r="U150" s="21" t="n">
        <f aca="false">IF(OR($A150="",U$4=""),0,COUNTIFS(Formulas!$A$2:$A$1501,U$4,Formulas!$B$2:$B$1501,$A150))</f>
        <v>0</v>
      </c>
      <c r="V150" s="21" t="n">
        <f aca="false">IF(OR($A150="",V$4=""),0,COUNTIFS(Formulas!$A$2:$A$1501,V$4,Formulas!$B$2:$B$1501,$A150))</f>
        <v>0</v>
      </c>
      <c r="W150" s="21" t="n">
        <f aca="false">IF(OR($A150="",W$4=""),0,COUNTIFS(Formulas!$A$2:$A$1501,W$4,Formulas!$B$2:$B$1501,$A150))</f>
        <v>0</v>
      </c>
      <c r="X150" s="21" t="n">
        <f aca="false">IF(OR($A150="",X$4=""),0,COUNTIFS(Formulas!$A$2:$A$1501,X$4,Formulas!$B$2:$B$1501,$A150))</f>
        <v>0</v>
      </c>
      <c r="Y150" s="21" t="n">
        <f aca="false">IF(OR($A150="",Y$4=""),0,COUNTIFS(Formulas!$A$2:$A$1501,Y$4,Formulas!$B$2:$B$1501,$A150))</f>
        <v>0</v>
      </c>
      <c r="Z150" s="21" t="n">
        <f aca="false">IF(OR($A150="",Z$4=""),0,COUNTIFS(Formulas!$A$2:$A$1501,Z$4,Formulas!$B$2:$B$1501,$A150))</f>
        <v>0</v>
      </c>
      <c r="AA150" s="21" t="n">
        <f aca="false">IF(OR($A150="",AA$4=""),0,COUNTIFS(Formulas!$A$2:$A$1501,AA$4,Formulas!$B$2:$B$1501,$A150))</f>
        <v>0</v>
      </c>
      <c r="AB150" s="21" t="n">
        <f aca="false">IF(OR($A150="",AB$4=""),0,COUNTIFS(Formulas!$A$2:$A$1501,AB$4,Formulas!$B$2:$B$1501,$A150))</f>
        <v>0</v>
      </c>
      <c r="AC150" s="21" t="n">
        <f aca="false">IF(OR($A150="",AC$4=""),0,COUNTIFS(Formulas!$A$2:$A$1501,AC$4,Formulas!$B$2:$B$1501,$A150))</f>
        <v>0</v>
      </c>
      <c r="AD150" s="21" t="n">
        <f aca="false">IF(OR($A150="",AD$4=""),0,COUNTIFS(Formulas!$A$2:$A$1501,AD$4,Formulas!$B$2:$B$1501,$A150))</f>
        <v>0</v>
      </c>
      <c r="AE150" s="21" t="n">
        <f aca="false">IF(OR($A150="",AE$4=""),0,COUNTIFS(Formulas!$A$2:$A$1501,AE$4,Formulas!$B$2:$B$1501,$A150))</f>
        <v>0</v>
      </c>
      <c r="AF150" s="21" t="n">
        <f aca="false">IF(OR($A150="",AF$4=""),0,COUNTIFS(Formulas!$A$2:$A$1501,AF$4,Formulas!$B$2:$B$1501,$A150))</f>
        <v>0</v>
      </c>
      <c r="AG150" s="21" t="n">
        <f aca="false">IF(OR($A150="",AG$4=""),0,COUNTIFS(Formulas!$A$2:$A$1501,AG$4,Formulas!$B$2:$B$1501,$A150))</f>
        <v>0</v>
      </c>
      <c r="AH150" s="21" t="n">
        <f aca="false">IF(OR($A150="",AH$4=""),0,COUNTIFS(Formulas!$A$2:$A$1501,AH$4,Formulas!$B$2:$B$1501,$A150))</f>
        <v>0</v>
      </c>
      <c r="AI150" s="21" t="n">
        <f aca="false">IF(OR($A150="",AI$4=""),0,COUNTIFS(Formulas!$A$2:$A$1501,AI$4,Formulas!$B$2:$B$1501,$A150))</f>
        <v>0</v>
      </c>
      <c r="AJ150" s="21" t="n">
        <f aca="false">IF(OR($A150="",AJ$4=""),0,COUNTIFS(Formulas!$A$2:$A$1501,AJ$4,Formulas!$B$2:$B$1501,$A150))</f>
        <v>0</v>
      </c>
      <c r="AK150" s="21" t="n">
        <f aca="false">IF(OR($A150="",AK$4=""),0,COUNTIFS(Formulas!$A$2:$A$1501,AK$4,Formulas!$B$2:$B$1501,$A150))</f>
        <v>0</v>
      </c>
      <c r="AL150" s="21" t="n">
        <f aca="false">IF(OR($A150="",AL$4=""),0,COUNTIFS(Formulas!$A$2:$A$1501,AL$4,Formulas!$B$2:$B$1501,$A150))</f>
        <v>0</v>
      </c>
      <c r="AM150" s="21" t="n">
        <f aca="false">IF(OR($A150="",AM$4=""),0,COUNTIFS(Formulas!$A$2:$A$1501,AM$4,Formulas!$B$2:$B$1501,$A150))</f>
        <v>0</v>
      </c>
      <c r="AN150" s="21" t="n">
        <f aca="false">IF(OR($A150="",AN$4=""),0,COUNTIFS(Formulas!$A$2:$A$1501,AN$4,Formulas!$B$2:$B$1501,$A150))</f>
        <v>0</v>
      </c>
      <c r="AO150" s="21" t="n">
        <f aca="false">IF(OR($A150="",AO$4=""),0,COUNTIFS(Formulas!$A$2:$A$1501,AO$4,Formulas!$B$2:$B$1501,$A150))</f>
        <v>0</v>
      </c>
      <c r="AP150" s="21" t="n">
        <f aca="false">IF(OR($A150="",AP$4=""),0,COUNTIFS(Formulas!$A$2:$A$1501,AP$4,Formulas!$B$2:$B$1501,$A150))</f>
        <v>0</v>
      </c>
      <c r="AQ150" s="21" t="n">
        <f aca="false">IF(OR($A150="",AQ$4=""),0,COUNTIFS(Formulas!$A$2:$A$1501,AQ$4,Formulas!$B$2:$B$1501,$A150))</f>
        <v>0</v>
      </c>
      <c r="AR150" s="21" t="n">
        <f aca="false">IF(OR($A150="",AR$4=""),0,COUNTIFS(Formulas!$A$2:$A$1501,AR$4,Formulas!$B$2:$B$1501,$A150))</f>
        <v>0</v>
      </c>
      <c r="AS150" s="21" t="n">
        <f aca="false">IF(OR($A150="",AS$4=""),0,COUNTIFS(Formulas!$A$2:$A$1501,AS$4,Formulas!$B$2:$B$1501,$A150))</f>
        <v>0</v>
      </c>
      <c r="AT150" s="21" t="n">
        <f aca="false">IF(OR($A150="",AT$4=""),0,COUNTIFS(Formulas!$A$2:$A$1501,AT$4,Formulas!$B$2:$B$1501,$A150))</f>
        <v>0</v>
      </c>
      <c r="AU150" s="21" t="n">
        <f aca="false">IF(OR($A150="",AU$4=""),0,COUNTIFS(Formulas!$A$2:$A$1501,AU$4,Formulas!$B$2:$B$1501,$A150))</f>
        <v>0</v>
      </c>
      <c r="AV150" s="21" t="n">
        <f aca="false">IF(OR($A150="",AV$4=""),0,COUNTIFS(Formulas!$A$2:$A$1501,AV$4,Formulas!$B$2:$B$1501,$A150))</f>
        <v>0</v>
      </c>
      <c r="AW150" s="21" t="n">
        <f aca="false">IF(OR($A150="",AW$4=""),0,COUNTIFS(Formulas!$A$2:$A$1501,AW$4,Formulas!$B$2:$B$1501,$A150))</f>
        <v>0</v>
      </c>
      <c r="AX150" s="21" t="n">
        <f aca="false">IF(OR($A150="",AX$4=""),0,COUNTIFS(Formulas!$A$2:$A$1501,AX$4,Formulas!$B$2:$B$1501,$A150))</f>
        <v>0</v>
      </c>
      <c r="AY150" s="21" t="n">
        <f aca="false">IF(OR($A150="",AY$4=""),0,COUNTIFS(Formulas!$A$2:$A$1501,AY$4,Formulas!$B$2:$B$1501,$A150))</f>
        <v>0</v>
      </c>
      <c r="AZ150" s="21" t="n">
        <f aca="false">IF(OR($A150="",AZ$4=""),0,COUNTIFS(Formulas!$A$2:$A$1501,AZ$4,Formulas!$B$2:$B$1501,$A150))</f>
        <v>0</v>
      </c>
      <c r="BA150" s="21" t="n">
        <f aca="false">IF(OR($A150="",BA$4=""),0,COUNTIFS(Formulas!$A$2:$A$1501,BA$4,Formulas!$B$2:$B$1501,$A150))</f>
        <v>0</v>
      </c>
      <c r="BB150" s="21" t="n">
        <f aca="false">IF(OR($A150="",BB$4=""),0,COUNTIFS(Formulas!$A$2:$A$1501,BB$4,Formulas!$B$2:$B$1501,$A150))</f>
        <v>0</v>
      </c>
      <c r="BC150" s="21" t="n">
        <f aca="false">IF(OR($A150="",BC$4=""),0,COUNTIFS(Formulas!$A$2:$A$1501,BC$4,Formulas!$B$2:$B$1501,$A150))</f>
        <v>0</v>
      </c>
      <c r="BD150" s="21" t="n">
        <f aca="false">IF(OR($A150="",BD$4=""),0,COUNTIFS(Formulas!$A$2:$A$1501,BD$4,Formulas!$B$2:$B$1501,$A150))</f>
        <v>0</v>
      </c>
      <c r="BE150" s="21" t="n">
        <f aca="false">IF(OR($A150="",BE$4=""),0,COUNTIFS(Formulas!$A$2:$A$1501,BE$4,Formulas!$B$2:$B$1501,$A150))</f>
        <v>0</v>
      </c>
      <c r="BF150" s="21" t="n">
        <f aca="false">IF(OR($A150="",BF$4=""),0,COUNTIFS(Formulas!$A$2:$A$1501,BF$4,Formulas!$B$2:$B$1501,$A150))</f>
        <v>0</v>
      </c>
      <c r="BG150" s="21" t="n">
        <f aca="false">IF(OR($A150="",BG$4=""),0,COUNTIFS(Formulas!$A$2:$A$1501,BG$4,Formulas!$B$2:$B$1501,$A150))</f>
        <v>0</v>
      </c>
      <c r="BH150" s="21" t="n">
        <f aca="false">IF(OR($A150="",BH$4=""),0,COUNTIFS(Formulas!$A$2:$A$1501,BH$4,Formulas!$B$2:$B$1501,$A150))</f>
        <v>0</v>
      </c>
      <c r="BI150" s="21" t="n">
        <f aca="false">IF(OR($A150="",BI$4=""),0,COUNTIFS(Formulas!$A$2:$A$1501,BI$4,Formulas!$B$2:$B$1501,$A150))</f>
        <v>0</v>
      </c>
      <c r="BJ150" s="21" t="n">
        <f aca="false">IF(OR($A150="",BJ$4=""),0,COUNTIFS(Formulas!$A$2:$A$1501,BJ$4,Formulas!$B$2:$B$1501,$A150))</f>
        <v>0</v>
      </c>
    </row>
    <row r="151" customFormat="false" ht="15" hidden="false" customHeight="false" outlineLevel="0" collapsed="false">
      <c r="A151" s="13" t="str">
        <f aca="false">IF(INDEX(Materials!$A$2:$A$201,147)="","",INDEX(Materials!$A$2:$A$201,147))</f>
        <v/>
      </c>
      <c r="B151" s="19" t="str">
        <f aca="false">IF(A151="","",COUNTIF(C151:BJ151,"&gt;0"))</f>
        <v/>
      </c>
      <c r="C151" s="21" t="n">
        <f aca="false">IF(OR($A151="",C$4=""),0,COUNTIFS(Formulas!$A$2:$A$1501,C$4,Formulas!$B$2:$B$1501,$A151))</f>
        <v>0</v>
      </c>
      <c r="D151" s="21" t="n">
        <f aca="false">IF(OR($A151="",D$4=""),0,COUNTIFS(Formulas!$A$2:$A$1501,D$4,Formulas!$B$2:$B$1501,$A151))</f>
        <v>0</v>
      </c>
      <c r="E151" s="21" t="n">
        <f aca="false">IF(OR($A151="",E$4=""),0,COUNTIFS(Formulas!$A$2:$A$1501,E$4,Formulas!$B$2:$B$1501,$A151))</f>
        <v>0</v>
      </c>
      <c r="F151" s="21" t="n">
        <f aca="false">IF(OR($A151="",F$4=""),0,COUNTIFS(Formulas!$A$2:$A$1501,F$4,Formulas!$B$2:$B$1501,$A151))</f>
        <v>0</v>
      </c>
      <c r="G151" s="21" t="n">
        <f aca="false">IF(OR($A151="",G$4=""),0,COUNTIFS(Formulas!$A$2:$A$1501,G$4,Formulas!$B$2:$B$1501,$A151))</f>
        <v>0</v>
      </c>
      <c r="H151" s="21" t="n">
        <f aca="false">IF(OR($A151="",H$4=""),0,COUNTIFS(Formulas!$A$2:$A$1501,H$4,Formulas!$B$2:$B$1501,$A151))</f>
        <v>0</v>
      </c>
      <c r="I151" s="21" t="n">
        <f aca="false">IF(OR($A151="",I$4=""),0,COUNTIFS(Formulas!$A$2:$A$1501,I$4,Formulas!$B$2:$B$1501,$A151))</f>
        <v>0</v>
      </c>
      <c r="J151" s="21" t="n">
        <f aca="false">IF(OR($A151="",J$4=""),0,COUNTIFS(Formulas!$A$2:$A$1501,J$4,Formulas!$B$2:$B$1501,$A151))</f>
        <v>0</v>
      </c>
      <c r="K151" s="21" t="n">
        <f aca="false">IF(OR($A151="",K$4=""),0,COUNTIFS(Formulas!$A$2:$A$1501,K$4,Formulas!$B$2:$B$1501,$A151))</f>
        <v>0</v>
      </c>
      <c r="L151" s="21" t="n">
        <f aca="false">IF(OR($A151="",L$4=""),0,COUNTIFS(Formulas!$A$2:$A$1501,L$4,Formulas!$B$2:$B$1501,$A151))</f>
        <v>0</v>
      </c>
      <c r="M151" s="21" t="n">
        <f aca="false">IF(OR($A151="",M$4=""),0,COUNTIFS(Formulas!$A$2:$A$1501,M$4,Formulas!$B$2:$B$1501,$A151))</f>
        <v>0</v>
      </c>
      <c r="N151" s="21" t="n">
        <f aca="false">IF(OR($A151="",N$4=""),0,COUNTIFS(Formulas!$A$2:$A$1501,N$4,Formulas!$B$2:$B$1501,$A151))</f>
        <v>0</v>
      </c>
      <c r="O151" s="21" t="n">
        <f aca="false">IF(OR($A151="",O$4=""),0,COUNTIFS(Formulas!$A$2:$A$1501,O$4,Formulas!$B$2:$B$1501,$A151))</f>
        <v>0</v>
      </c>
      <c r="P151" s="21" t="n">
        <f aca="false">IF(OR($A151="",P$4=""),0,COUNTIFS(Formulas!$A$2:$A$1501,P$4,Formulas!$B$2:$B$1501,$A151))</f>
        <v>0</v>
      </c>
      <c r="Q151" s="21" t="n">
        <f aca="false">IF(OR($A151="",Q$4=""),0,COUNTIFS(Formulas!$A$2:$A$1501,Q$4,Formulas!$B$2:$B$1501,$A151))</f>
        <v>0</v>
      </c>
      <c r="R151" s="21" t="n">
        <f aca="false">IF(OR($A151="",R$4=""),0,COUNTIFS(Formulas!$A$2:$A$1501,R$4,Formulas!$B$2:$B$1501,$A151))</f>
        <v>0</v>
      </c>
      <c r="S151" s="21" t="n">
        <f aca="false">IF(OR($A151="",S$4=""),0,COUNTIFS(Formulas!$A$2:$A$1501,S$4,Formulas!$B$2:$B$1501,$A151))</f>
        <v>0</v>
      </c>
      <c r="T151" s="21" t="n">
        <f aca="false">IF(OR($A151="",T$4=""),0,COUNTIFS(Formulas!$A$2:$A$1501,T$4,Formulas!$B$2:$B$1501,$A151))</f>
        <v>0</v>
      </c>
      <c r="U151" s="21" t="n">
        <f aca="false">IF(OR($A151="",U$4=""),0,COUNTIFS(Formulas!$A$2:$A$1501,U$4,Formulas!$B$2:$B$1501,$A151))</f>
        <v>0</v>
      </c>
      <c r="V151" s="21" t="n">
        <f aca="false">IF(OR($A151="",V$4=""),0,COUNTIFS(Formulas!$A$2:$A$1501,V$4,Formulas!$B$2:$B$1501,$A151))</f>
        <v>0</v>
      </c>
      <c r="W151" s="21" t="n">
        <f aca="false">IF(OR($A151="",W$4=""),0,COUNTIFS(Formulas!$A$2:$A$1501,W$4,Formulas!$B$2:$B$1501,$A151))</f>
        <v>0</v>
      </c>
      <c r="X151" s="21" t="n">
        <f aca="false">IF(OR($A151="",X$4=""),0,COUNTIFS(Formulas!$A$2:$A$1501,X$4,Formulas!$B$2:$B$1501,$A151))</f>
        <v>0</v>
      </c>
      <c r="Y151" s="21" t="n">
        <f aca="false">IF(OR($A151="",Y$4=""),0,COUNTIFS(Formulas!$A$2:$A$1501,Y$4,Formulas!$B$2:$B$1501,$A151))</f>
        <v>0</v>
      </c>
      <c r="Z151" s="21" t="n">
        <f aca="false">IF(OR($A151="",Z$4=""),0,COUNTIFS(Formulas!$A$2:$A$1501,Z$4,Formulas!$B$2:$B$1501,$A151))</f>
        <v>0</v>
      </c>
      <c r="AA151" s="21" t="n">
        <f aca="false">IF(OR($A151="",AA$4=""),0,COUNTIFS(Formulas!$A$2:$A$1501,AA$4,Formulas!$B$2:$B$1501,$A151))</f>
        <v>0</v>
      </c>
      <c r="AB151" s="21" t="n">
        <f aca="false">IF(OR($A151="",AB$4=""),0,COUNTIFS(Formulas!$A$2:$A$1501,AB$4,Formulas!$B$2:$B$1501,$A151))</f>
        <v>0</v>
      </c>
      <c r="AC151" s="21" t="n">
        <f aca="false">IF(OR($A151="",AC$4=""),0,COUNTIFS(Formulas!$A$2:$A$1501,AC$4,Formulas!$B$2:$B$1501,$A151))</f>
        <v>0</v>
      </c>
      <c r="AD151" s="21" t="n">
        <f aca="false">IF(OR($A151="",AD$4=""),0,COUNTIFS(Formulas!$A$2:$A$1501,AD$4,Formulas!$B$2:$B$1501,$A151))</f>
        <v>0</v>
      </c>
      <c r="AE151" s="21" t="n">
        <f aca="false">IF(OR($A151="",AE$4=""),0,COUNTIFS(Formulas!$A$2:$A$1501,AE$4,Formulas!$B$2:$B$1501,$A151))</f>
        <v>0</v>
      </c>
      <c r="AF151" s="21" t="n">
        <f aca="false">IF(OR($A151="",AF$4=""),0,COUNTIFS(Formulas!$A$2:$A$1501,AF$4,Formulas!$B$2:$B$1501,$A151))</f>
        <v>0</v>
      </c>
      <c r="AG151" s="21" t="n">
        <f aca="false">IF(OR($A151="",AG$4=""),0,COUNTIFS(Formulas!$A$2:$A$1501,AG$4,Formulas!$B$2:$B$1501,$A151))</f>
        <v>0</v>
      </c>
      <c r="AH151" s="21" t="n">
        <f aca="false">IF(OR($A151="",AH$4=""),0,COUNTIFS(Formulas!$A$2:$A$1501,AH$4,Formulas!$B$2:$B$1501,$A151))</f>
        <v>0</v>
      </c>
      <c r="AI151" s="21" t="n">
        <f aca="false">IF(OR($A151="",AI$4=""),0,COUNTIFS(Formulas!$A$2:$A$1501,AI$4,Formulas!$B$2:$B$1501,$A151))</f>
        <v>0</v>
      </c>
      <c r="AJ151" s="21" t="n">
        <f aca="false">IF(OR($A151="",AJ$4=""),0,COUNTIFS(Formulas!$A$2:$A$1501,AJ$4,Formulas!$B$2:$B$1501,$A151))</f>
        <v>0</v>
      </c>
      <c r="AK151" s="21" t="n">
        <f aca="false">IF(OR($A151="",AK$4=""),0,COUNTIFS(Formulas!$A$2:$A$1501,AK$4,Formulas!$B$2:$B$1501,$A151))</f>
        <v>0</v>
      </c>
      <c r="AL151" s="21" t="n">
        <f aca="false">IF(OR($A151="",AL$4=""),0,COUNTIFS(Formulas!$A$2:$A$1501,AL$4,Formulas!$B$2:$B$1501,$A151))</f>
        <v>0</v>
      </c>
      <c r="AM151" s="21" t="n">
        <f aca="false">IF(OR($A151="",AM$4=""),0,COUNTIFS(Formulas!$A$2:$A$1501,AM$4,Formulas!$B$2:$B$1501,$A151))</f>
        <v>0</v>
      </c>
      <c r="AN151" s="21" t="n">
        <f aca="false">IF(OR($A151="",AN$4=""),0,COUNTIFS(Formulas!$A$2:$A$1501,AN$4,Formulas!$B$2:$B$1501,$A151))</f>
        <v>0</v>
      </c>
      <c r="AO151" s="21" t="n">
        <f aca="false">IF(OR($A151="",AO$4=""),0,COUNTIFS(Formulas!$A$2:$A$1501,AO$4,Formulas!$B$2:$B$1501,$A151))</f>
        <v>0</v>
      </c>
      <c r="AP151" s="21" t="n">
        <f aca="false">IF(OR($A151="",AP$4=""),0,COUNTIFS(Formulas!$A$2:$A$1501,AP$4,Formulas!$B$2:$B$1501,$A151))</f>
        <v>0</v>
      </c>
      <c r="AQ151" s="21" t="n">
        <f aca="false">IF(OR($A151="",AQ$4=""),0,COUNTIFS(Formulas!$A$2:$A$1501,AQ$4,Formulas!$B$2:$B$1501,$A151))</f>
        <v>0</v>
      </c>
      <c r="AR151" s="21" t="n">
        <f aca="false">IF(OR($A151="",AR$4=""),0,COUNTIFS(Formulas!$A$2:$A$1501,AR$4,Formulas!$B$2:$B$1501,$A151))</f>
        <v>0</v>
      </c>
      <c r="AS151" s="21" t="n">
        <f aca="false">IF(OR($A151="",AS$4=""),0,COUNTIFS(Formulas!$A$2:$A$1501,AS$4,Formulas!$B$2:$B$1501,$A151))</f>
        <v>0</v>
      </c>
      <c r="AT151" s="21" t="n">
        <f aca="false">IF(OR($A151="",AT$4=""),0,COUNTIFS(Formulas!$A$2:$A$1501,AT$4,Formulas!$B$2:$B$1501,$A151))</f>
        <v>0</v>
      </c>
      <c r="AU151" s="21" t="n">
        <f aca="false">IF(OR($A151="",AU$4=""),0,COUNTIFS(Formulas!$A$2:$A$1501,AU$4,Formulas!$B$2:$B$1501,$A151))</f>
        <v>0</v>
      </c>
      <c r="AV151" s="21" t="n">
        <f aca="false">IF(OR($A151="",AV$4=""),0,COUNTIFS(Formulas!$A$2:$A$1501,AV$4,Formulas!$B$2:$B$1501,$A151))</f>
        <v>0</v>
      </c>
      <c r="AW151" s="21" t="n">
        <f aca="false">IF(OR($A151="",AW$4=""),0,COUNTIFS(Formulas!$A$2:$A$1501,AW$4,Formulas!$B$2:$B$1501,$A151))</f>
        <v>0</v>
      </c>
      <c r="AX151" s="21" t="n">
        <f aca="false">IF(OR($A151="",AX$4=""),0,COUNTIFS(Formulas!$A$2:$A$1501,AX$4,Formulas!$B$2:$B$1501,$A151))</f>
        <v>0</v>
      </c>
      <c r="AY151" s="21" t="n">
        <f aca="false">IF(OR($A151="",AY$4=""),0,COUNTIFS(Formulas!$A$2:$A$1501,AY$4,Formulas!$B$2:$B$1501,$A151))</f>
        <v>0</v>
      </c>
      <c r="AZ151" s="21" t="n">
        <f aca="false">IF(OR($A151="",AZ$4=""),0,COUNTIFS(Formulas!$A$2:$A$1501,AZ$4,Formulas!$B$2:$B$1501,$A151))</f>
        <v>0</v>
      </c>
      <c r="BA151" s="21" t="n">
        <f aca="false">IF(OR($A151="",BA$4=""),0,COUNTIFS(Formulas!$A$2:$A$1501,BA$4,Formulas!$B$2:$B$1501,$A151))</f>
        <v>0</v>
      </c>
      <c r="BB151" s="21" t="n">
        <f aca="false">IF(OR($A151="",BB$4=""),0,COUNTIFS(Formulas!$A$2:$A$1501,BB$4,Formulas!$B$2:$B$1501,$A151))</f>
        <v>0</v>
      </c>
      <c r="BC151" s="21" t="n">
        <f aca="false">IF(OR($A151="",BC$4=""),0,COUNTIFS(Formulas!$A$2:$A$1501,BC$4,Formulas!$B$2:$B$1501,$A151))</f>
        <v>0</v>
      </c>
      <c r="BD151" s="21" t="n">
        <f aca="false">IF(OR($A151="",BD$4=""),0,COUNTIFS(Formulas!$A$2:$A$1501,BD$4,Formulas!$B$2:$B$1501,$A151))</f>
        <v>0</v>
      </c>
      <c r="BE151" s="21" t="n">
        <f aca="false">IF(OR($A151="",BE$4=""),0,COUNTIFS(Formulas!$A$2:$A$1501,BE$4,Formulas!$B$2:$B$1501,$A151))</f>
        <v>0</v>
      </c>
      <c r="BF151" s="21" t="n">
        <f aca="false">IF(OR($A151="",BF$4=""),0,COUNTIFS(Formulas!$A$2:$A$1501,BF$4,Formulas!$B$2:$B$1501,$A151))</f>
        <v>0</v>
      </c>
      <c r="BG151" s="21" t="n">
        <f aca="false">IF(OR($A151="",BG$4=""),0,COUNTIFS(Formulas!$A$2:$A$1501,BG$4,Formulas!$B$2:$B$1501,$A151))</f>
        <v>0</v>
      </c>
      <c r="BH151" s="21" t="n">
        <f aca="false">IF(OR($A151="",BH$4=""),0,COUNTIFS(Formulas!$A$2:$A$1501,BH$4,Formulas!$B$2:$B$1501,$A151))</f>
        <v>0</v>
      </c>
      <c r="BI151" s="21" t="n">
        <f aca="false">IF(OR($A151="",BI$4=""),0,COUNTIFS(Formulas!$A$2:$A$1501,BI$4,Formulas!$B$2:$B$1501,$A151))</f>
        <v>0</v>
      </c>
      <c r="BJ151" s="21" t="n">
        <f aca="false">IF(OR($A151="",BJ$4=""),0,COUNTIFS(Formulas!$A$2:$A$1501,BJ$4,Formulas!$B$2:$B$1501,$A151))</f>
        <v>0</v>
      </c>
    </row>
    <row r="152" customFormat="false" ht="15" hidden="false" customHeight="false" outlineLevel="0" collapsed="false">
      <c r="A152" s="13" t="str">
        <f aca="false">IF(INDEX(Materials!$A$2:$A$201,148)="","",INDEX(Materials!$A$2:$A$201,148))</f>
        <v/>
      </c>
      <c r="B152" s="19" t="str">
        <f aca="false">IF(A152="","",COUNTIF(C152:BJ152,"&gt;0"))</f>
        <v/>
      </c>
      <c r="C152" s="21" t="n">
        <f aca="false">IF(OR($A152="",C$4=""),0,COUNTIFS(Formulas!$A$2:$A$1501,C$4,Formulas!$B$2:$B$1501,$A152))</f>
        <v>0</v>
      </c>
      <c r="D152" s="21" t="n">
        <f aca="false">IF(OR($A152="",D$4=""),0,COUNTIFS(Formulas!$A$2:$A$1501,D$4,Formulas!$B$2:$B$1501,$A152))</f>
        <v>0</v>
      </c>
      <c r="E152" s="21" t="n">
        <f aca="false">IF(OR($A152="",E$4=""),0,COUNTIFS(Formulas!$A$2:$A$1501,E$4,Formulas!$B$2:$B$1501,$A152))</f>
        <v>0</v>
      </c>
      <c r="F152" s="21" t="n">
        <f aca="false">IF(OR($A152="",F$4=""),0,COUNTIFS(Formulas!$A$2:$A$1501,F$4,Formulas!$B$2:$B$1501,$A152))</f>
        <v>0</v>
      </c>
      <c r="G152" s="21" t="n">
        <f aca="false">IF(OR($A152="",G$4=""),0,COUNTIFS(Formulas!$A$2:$A$1501,G$4,Formulas!$B$2:$B$1501,$A152))</f>
        <v>0</v>
      </c>
      <c r="H152" s="21" t="n">
        <f aca="false">IF(OR($A152="",H$4=""),0,COUNTIFS(Formulas!$A$2:$A$1501,H$4,Formulas!$B$2:$B$1501,$A152))</f>
        <v>0</v>
      </c>
      <c r="I152" s="21" t="n">
        <f aca="false">IF(OR($A152="",I$4=""),0,COUNTIFS(Formulas!$A$2:$A$1501,I$4,Formulas!$B$2:$B$1501,$A152))</f>
        <v>0</v>
      </c>
      <c r="J152" s="21" t="n">
        <f aca="false">IF(OR($A152="",J$4=""),0,COUNTIFS(Formulas!$A$2:$A$1501,J$4,Formulas!$B$2:$B$1501,$A152))</f>
        <v>0</v>
      </c>
      <c r="K152" s="21" t="n">
        <f aca="false">IF(OR($A152="",K$4=""),0,COUNTIFS(Formulas!$A$2:$A$1501,K$4,Formulas!$B$2:$B$1501,$A152))</f>
        <v>0</v>
      </c>
      <c r="L152" s="21" t="n">
        <f aca="false">IF(OR($A152="",L$4=""),0,COUNTIFS(Formulas!$A$2:$A$1501,L$4,Formulas!$B$2:$B$1501,$A152))</f>
        <v>0</v>
      </c>
      <c r="M152" s="21" t="n">
        <f aca="false">IF(OR($A152="",M$4=""),0,COUNTIFS(Formulas!$A$2:$A$1501,M$4,Formulas!$B$2:$B$1501,$A152))</f>
        <v>0</v>
      </c>
      <c r="N152" s="21" t="n">
        <f aca="false">IF(OR($A152="",N$4=""),0,COUNTIFS(Formulas!$A$2:$A$1501,N$4,Formulas!$B$2:$B$1501,$A152))</f>
        <v>0</v>
      </c>
      <c r="O152" s="21" t="n">
        <f aca="false">IF(OR($A152="",O$4=""),0,COUNTIFS(Formulas!$A$2:$A$1501,O$4,Formulas!$B$2:$B$1501,$A152))</f>
        <v>0</v>
      </c>
      <c r="P152" s="21" t="n">
        <f aca="false">IF(OR($A152="",P$4=""),0,COUNTIFS(Formulas!$A$2:$A$1501,P$4,Formulas!$B$2:$B$1501,$A152))</f>
        <v>0</v>
      </c>
      <c r="Q152" s="21" t="n">
        <f aca="false">IF(OR($A152="",Q$4=""),0,COUNTIFS(Formulas!$A$2:$A$1501,Q$4,Formulas!$B$2:$B$1501,$A152))</f>
        <v>0</v>
      </c>
      <c r="R152" s="21" t="n">
        <f aca="false">IF(OR($A152="",R$4=""),0,COUNTIFS(Formulas!$A$2:$A$1501,R$4,Formulas!$B$2:$B$1501,$A152))</f>
        <v>0</v>
      </c>
      <c r="S152" s="21" t="n">
        <f aca="false">IF(OR($A152="",S$4=""),0,COUNTIFS(Formulas!$A$2:$A$1501,S$4,Formulas!$B$2:$B$1501,$A152))</f>
        <v>0</v>
      </c>
      <c r="T152" s="21" t="n">
        <f aca="false">IF(OR($A152="",T$4=""),0,COUNTIFS(Formulas!$A$2:$A$1501,T$4,Formulas!$B$2:$B$1501,$A152))</f>
        <v>0</v>
      </c>
      <c r="U152" s="21" t="n">
        <f aca="false">IF(OR($A152="",U$4=""),0,COUNTIFS(Formulas!$A$2:$A$1501,U$4,Formulas!$B$2:$B$1501,$A152))</f>
        <v>0</v>
      </c>
      <c r="V152" s="21" t="n">
        <f aca="false">IF(OR($A152="",V$4=""),0,COUNTIFS(Formulas!$A$2:$A$1501,V$4,Formulas!$B$2:$B$1501,$A152))</f>
        <v>0</v>
      </c>
      <c r="W152" s="21" t="n">
        <f aca="false">IF(OR($A152="",W$4=""),0,COUNTIFS(Formulas!$A$2:$A$1501,W$4,Formulas!$B$2:$B$1501,$A152))</f>
        <v>0</v>
      </c>
      <c r="X152" s="21" t="n">
        <f aca="false">IF(OR($A152="",X$4=""),0,COUNTIFS(Formulas!$A$2:$A$1501,X$4,Formulas!$B$2:$B$1501,$A152))</f>
        <v>0</v>
      </c>
      <c r="Y152" s="21" t="n">
        <f aca="false">IF(OR($A152="",Y$4=""),0,COUNTIFS(Formulas!$A$2:$A$1501,Y$4,Formulas!$B$2:$B$1501,$A152))</f>
        <v>0</v>
      </c>
      <c r="Z152" s="21" t="n">
        <f aca="false">IF(OR($A152="",Z$4=""),0,COUNTIFS(Formulas!$A$2:$A$1501,Z$4,Formulas!$B$2:$B$1501,$A152))</f>
        <v>0</v>
      </c>
      <c r="AA152" s="21" t="n">
        <f aca="false">IF(OR($A152="",AA$4=""),0,COUNTIFS(Formulas!$A$2:$A$1501,AA$4,Formulas!$B$2:$B$1501,$A152))</f>
        <v>0</v>
      </c>
      <c r="AB152" s="21" t="n">
        <f aca="false">IF(OR($A152="",AB$4=""),0,COUNTIFS(Formulas!$A$2:$A$1501,AB$4,Formulas!$B$2:$B$1501,$A152))</f>
        <v>0</v>
      </c>
      <c r="AC152" s="21" t="n">
        <f aca="false">IF(OR($A152="",AC$4=""),0,COUNTIFS(Formulas!$A$2:$A$1501,AC$4,Formulas!$B$2:$B$1501,$A152))</f>
        <v>0</v>
      </c>
      <c r="AD152" s="21" t="n">
        <f aca="false">IF(OR($A152="",AD$4=""),0,COUNTIFS(Formulas!$A$2:$A$1501,AD$4,Formulas!$B$2:$B$1501,$A152))</f>
        <v>0</v>
      </c>
      <c r="AE152" s="21" t="n">
        <f aca="false">IF(OR($A152="",AE$4=""),0,COUNTIFS(Formulas!$A$2:$A$1501,AE$4,Formulas!$B$2:$B$1501,$A152))</f>
        <v>0</v>
      </c>
      <c r="AF152" s="21" t="n">
        <f aca="false">IF(OR($A152="",AF$4=""),0,COUNTIFS(Formulas!$A$2:$A$1501,AF$4,Formulas!$B$2:$B$1501,$A152))</f>
        <v>0</v>
      </c>
      <c r="AG152" s="21" t="n">
        <f aca="false">IF(OR($A152="",AG$4=""),0,COUNTIFS(Formulas!$A$2:$A$1501,AG$4,Formulas!$B$2:$B$1501,$A152))</f>
        <v>0</v>
      </c>
      <c r="AH152" s="21" t="n">
        <f aca="false">IF(OR($A152="",AH$4=""),0,COUNTIFS(Formulas!$A$2:$A$1501,AH$4,Formulas!$B$2:$B$1501,$A152))</f>
        <v>0</v>
      </c>
      <c r="AI152" s="21" t="n">
        <f aca="false">IF(OR($A152="",AI$4=""),0,COUNTIFS(Formulas!$A$2:$A$1501,AI$4,Formulas!$B$2:$B$1501,$A152))</f>
        <v>0</v>
      </c>
      <c r="AJ152" s="21" t="n">
        <f aca="false">IF(OR($A152="",AJ$4=""),0,COUNTIFS(Formulas!$A$2:$A$1501,AJ$4,Formulas!$B$2:$B$1501,$A152))</f>
        <v>0</v>
      </c>
      <c r="AK152" s="21" t="n">
        <f aca="false">IF(OR($A152="",AK$4=""),0,COUNTIFS(Formulas!$A$2:$A$1501,AK$4,Formulas!$B$2:$B$1501,$A152))</f>
        <v>0</v>
      </c>
      <c r="AL152" s="21" t="n">
        <f aca="false">IF(OR($A152="",AL$4=""),0,COUNTIFS(Formulas!$A$2:$A$1501,AL$4,Formulas!$B$2:$B$1501,$A152))</f>
        <v>0</v>
      </c>
      <c r="AM152" s="21" t="n">
        <f aca="false">IF(OR($A152="",AM$4=""),0,COUNTIFS(Formulas!$A$2:$A$1501,AM$4,Formulas!$B$2:$B$1501,$A152))</f>
        <v>0</v>
      </c>
      <c r="AN152" s="21" t="n">
        <f aca="false">IF(OR($A152="",AN$4=""),0,COUNTIFS(Formulas!$A$2:$A$1501,AN$4,Formulas!$B$2:$B$1501,$A152))</f>
        <v>0</v>
      </c>
      <c r="AO152" s="21" t="n">
        <f aca="false">IF(OR($A152="",AO$4=""),0,COUNTIFS(Formulas!$A$2:$A$1501,AO$4,Formulas!$B$2:$B$1501,$A152))</f>
        <v>0</v>
      </c>
      <c r="AP152" s="21" t="n">
        <f aca="false">IF(OR($A152="",AP$4=""),0,COUNTIFS(Formulas!$A$2:$A$1501,AP$4,Formulas!$B$2:$B$1501,$A152))</f>
        <v>0</v>
      </c>
      <c r="AQ152" s="21" t="n">
        <f aca="false">IF(OR($A152="",AQ$4=""),0,COUNTIFS(Formulas!$A$2:$A$1501,AQ$4,Formulas!$B$2:$B$1501,$A152))</f>
        <v>0</v>
      </c>
      <c r="AR152" s="21" t="n">
        <f aca="false">IF(OR($A152="",AR$4=""),0,COUNTIFS(Formulas!$A$2:$A$1501,AR$4,Formulas!$B$2:$B$1501,$A152))</f>
        <v>0</v>
      </c>
      <c r="AS152" s="21" t="n">
        <f aca="false">IF(OR($A152="",AS$4=""),0,COUNTIFS(Formulas!$A$2:$A$1501,AS$4,Formulas!$B$2:$B$1501,$A152))</f>
        <v>0</v>
      </c>
      <c r="AT152" s="21" t="n">
        <f aca="false">IF(OR($A152="",AT$4=""),0,COUNTIFS(Formulas!$A$2:$A$1501,AT$4,Formulas!$B$2:$B$1501,$A152))</f>
        <v>0</v>
      </c>
      <c r="AU152" s="21" t="n">
        <f aca="false">IF(OR($A152="",AU$4=""),0,COUNTIFS(Formulas!$A$2:$A$1501,AU$4,Formulas!$B$2:$B$1501,$A152))</f>
        <v>0</v>
      </c>
      <c r="AV152" s="21" t="n">
        <f aca="false">IF(OR($A152="",AV$4=""),0,COUNTIFS(Formulas!$A$2:$A$1501,AV$4,Formulas!$B$2:$B$1501,$A152))</f>
        <v>0</v>
      </c>
      <c r="AW152" s="21" t="n">
        <f aca="false">IF(OR($A152="",AW$4=""),0,COUNTIFS(Formulas!$A$2:$A$1501,AW$4,Formulas!$B$2:$B$1501,$A152))</f>
        <v>0</v>
      </c>
      <c r="AX152" s="21" t="n">
        <f aca="false">IF(OR($A152="",AX$4=""),0,COUNTIFS(Formulas!$A$2:$A$1501,AX$4,Formulas!$B$2:$B$1501,$A152))</f>
        <v>0</v>
      </c>
      <c r="AY152" s="21" t="n">
        <f aca="false">IF(OR($A152="",AY$4=""),0,COUNTIFS(Formulas!$A$2:$A$1501,AY$4,Formulas!$B$2:$B$1501,$A152))</f>
        <v>0</v>
      </c>
      <c r="AZ152" s="21" t="n">
        <f aca="false">IF(OR($A152="",AZ$4=""),0,COUNTIFS(Formulas!$A$2:$A$1501,AZ$4,Formulas!$B$2:$B$1501,$A152))</f>
        <v>0</v>
      </c>
      <c r="BA152" s="21" t="n">
        <f aca="false">IF(OR($A152="",BA$4=""),0,COUNTIFS(Formulas!$A$2:$A$1501,BA$4,Formulas!$B$2:$B$1501,$A152))</f>
        <v>0</v>
      </c>
      <c r="BB152" s="21" t="n">
        <f aca="false">IF(OR($A152="",BB$4=""),0,COUNTIFS(Formulas!$A$2:$A$1501,BB$4,Formulas!$B$2:$B$1501,$A152))</f>
        <v>0</v>
      </c>
      <c r="BC152" s="21" t="n">
        <f aca="false">IF(OR($A152="",BC$4=""),0,COUNTIFS(Formulas!$A$2:$A$1501,BC$4,Formulas!$B$2:$B$1501,$A152))</f>
        <v>0</v>
      </c>
      <c r="BD152" s="21" t="n">
        <f aca="false">IF(OR($A152="",BD$4=""),0,COUNTIFS(Formulas!$A$2:$A$1501,BD$4,Formulas!$B$2:$B$1501,$A152))</f>
        <v>0</v>
      </c>
      <c r="BE152" s="21" t="n">
        <f aca="false">IF(OR($A152="",BE$4=""),0,COUNTIFS(Formulas!$A$2:$A$1501,BE$4,Formulas!$B$2:$B$1501,$A152))</f>
        <v>0</v>
      </c>
      <c r="BF152" s="21" t="n">
        <f aca="false">IF(OR($A152="",BF$4=""),0,COUNTIFS(Formulas!$A$2:$A$1501,BF$4,Formulas!$B$2:$B$1501,$A152))</f>
        <v>0</v>
      </c>
      <c r="BG152" s="21" t="n">
        <f aca="false">IF(OR($A152="",BG$4=""),0,COUNTIFS(Formulas!$A$2:$A$1501,BG$4,Formulas!$B$2:$B$1501,$A152))</f>
        <v>0</v>
      </c>
      <c r="BH152" s="21" t="n">
        <f aca="false">IF(OR($A152="",BH$4=""),0,COUNTIFS(Formulas!$A$2:$A$1501,BH$4,Formulas!$B$2:$B$1501,$A152))</f>
        <v>0</v>
      </c>
      <c r="BI152" s="21" t="n">
        <f aca="false">IF(OR($A152="",BI$4=""),0,COUNTIFS(Formulas!$A$2:$A$1501,BI$4,Formulas!$B$2:$B$1501,$A152))</f>
        <v>0</v>
      </c>
      <c r="BJ152" s="21" t="n">
        <f aca="false">IF(OR($A152="",BJ$4=""),0,COUNTIFS(Formulas!$A$2:$A$1501,BJ$4,Formulas!$B$2:$B$1501,$A152))</f>
        <v>0</v>
      </c>
    </row>
    <row r="153" customFormat="false" ht="15" hidden="false" customHeight="false" outlineLevel="0" collapsed="false">
      <c r="A153" s="13" t="str">
        <f aca="false">IF(INDEX(Materials!$A$2:$A$201,149)="","",INDEX(Materials!$A$2:$A$201,149))</f>
        <v/>
      </c>
      <c r="B153" s="19" t="str">
        <f aca="false">IF(A153="","",COUNTIF(C153:BJ153,"&gt;0"))</f>
        <v/>
      </c>
      <c r="C153" s="21" t="n">
        <f aca="false">IF(OR($A153="",C$4=""),0,COUNTIFS(Formulas!$A$2:$A$1501,C$4,Formulas!$B$2:$B$1501,$A153))</f>
        <v>0</v>
      </c>
      <c r="D153" s="21" t="n">
        <f aca="false">IF(OR($A153="",D$4=""),0,COUNTIFS(Formulas!$A$2:$A$1501,D$4,Formulas!$B$2:$B$1501,$A153))</f>
        <v>0</v>
      </c>
      <c r="E153" s="21" t="n">
        <f aca="false">IF(OR($A153="",E$4=""),0,COUNTIFS(Formulas!$A$2:$A$1501,E$4,Formulas!$B$2:$B$1501,$A153))</f>
        <v>0</v>
      </c>
      <c r="F153" s="21" t="n">
        <f aca="false">IF(OR($A153="",F$4=""),0,COUNTIFS(Formulas!$A$2:$A$1501,F$4,Formulas!$B$2:$B$1501,$A153))</f>
        <v>0</v>
      </c>
      <c r="G153" s="21" t="n">
        <f aca="false">IF(OR($A153="",G$4=""),0,COUNTIFS(Formulas!$A$2:$A$1501,G$4,Formulas!$B$2:$B$1501,$A153))</f>
        <v>0</v>
      </c>
      <c r="H153" s="21" t="n">
        <f aca="false">IF(OR($A153="",H$4=""),0,COUNTIFS(Formulas!$A$2:$A$1501,H$4,Formulas!$B$2:$B$1501,$A153))</f>
        <v>0</v>
      </c>
      <c r="I153" s="21" t="n">
        <f aca="false">IF(OR($A153="",I$4=""),0,COUNTIFS(Formulas!$A$2:$A$1501,I$4,Formulas!$B$2:$B$1501,$A153))</f>
        <v>0</v>
      </c>
      <c r="J153" s="21" t="n">
        <f aca="false">IF(OR($A153="",J$4=""),0,COUNTIFS(Formulas!$A$2:$A$1501,J$4,Formulas!$B$2:$B$1501,$A153))</f>
        <v>0</v>
      </c>
      <c r="K153" s="21" t="n">
        <f aca="false">IF(OR($A153="",K$4=""),0,COUNTIFS(Formulas!$A$2:$A$1501,K$4,Formulas!$B$2:$B$1501,$A153))</f>
        <v>0</v>
      </c>
      <c r="L153" s="21" t="n">
        <f aca="false">IF(OR($A153="",L$4=""),0,COUNTIFS(Formulas!$A$2:$A$1501,L$4,Formulas!$B$2:$B$1501,$A153))</f>
        <v>0</v>
      </c>
      <c r="M153" s="21" t="n">
        <f aca="false">IF(OR($A153="",M$4=""),0,COUNTIFS(Formulas!$A$2:$A$1501,M$4,Formulas!$B$2:$B$1501,$A153))</f>
        <v>0</v>
      </c>
      <c r="N153" s="21" t="n">
        <f aca="false">IF(OR($A153="",N$4=""),0,COUNTIFS(Formulas!$A$2:$A$1501,N$4,Formulas!$B$2:$B$1501,$A153))</f>
        <v>0</v>
      </c>
      <c r="O153" s="21" t="n">
        <f aca="false">IF(OR($A153="",O$4=""),0,COUNTIFS(Formulas!$A$2:$A$1501,O$4,Formulas!$B$2:$B$1501,$A153))</f>
        <v>0</v>
      </c>
      <c r="P153" s="21" t="n">
        <f aca="false">IF(OR($A153="",P$4=""),0,COUNTIFS(Formulas!$A$2:$A$1501,P$4,Formulas!$B$2:$B$1501,$A153))</f>
        <v>0</v>
      </c>
      <c r="Q153" s="21" t="n">
        <f aca="false">IF(OR($A153="",Q$4=""),0,COUNTIFS(Formulas!$A$2:$A$1501,Q$4,Formulas!$B$2:$B$1501,$A153))</f>
        <v>0</v>
      </c>
      <c r="R153" s="21" t="n">
        <f aca="false">IF(OR($A153="",R$4=""),0,COUNTIFS(Formulas!$A$2:$A$1501,R$4,Formulas!$B$2:$B$1501,$A153))</f>
        <v>0</v>
      </c>
      <c r="S153" s="21" t="n">
        <f aca="false">IF(OR($A153="",S$4=""),0,COUNTIFS(Formulas!$A$2:$A$1501,S$4,Formulas!$B$2:$B$1501,$A153))</f>
        <v>0</v>
      </c>
      <c r="T153" s="21" t="n">
        <f aca="false">IF(OR($A153="",T$4=""),0,COUNTIFS(Formulas!$A$2:$A$1501,T$4,Formulas!$B$2:$B$1501,$A153))</f>
        <v>0</v>
      </c>
      <c r="U153" s="21" t="n">
        <f aca="false">IF(OR($A153="",U$4=""),0,COUNTIFS(Formulas!$A$2:$A$1501,U$4,Formulas!$B$2:$B$1501,$A153))</f>
        <v>0</v>
      </c>
      <c r="V153" s="21" t="n">
        <f aca="false">IF(OR($A153="",V$4=""),0,COUNTIFS(Formulas!$A$2:$A$1501,V$4,Formulas!$B$2:$B$1501,$A153))</f>
        <v>0</v>
      </c>
      <c r="W153" s="21" t="n">
        <f aca="false">IF(OR($A153="",W$4=""),0,COUNTIFS(Formulas!$A$2:$A$1501,W$4,Formulas!$B$2:$B$1501,$A153))</f>
        <v>0</v>
      </c>
      <c r="X153" s="21" t="n">
        <f aca="false">IF(OR($A153="",X$4=""),0,COUNTIFS(Formulas!$A$2:$A$1501,X$4,Formulas!$B$2:$B$1501,$A153))</f>
        <v>0</v>
      </c>
      <c r="Y153" s="21" t="n">
        <f aca="false">IF(OR($A153="",Y$4=""),0,COUNTIFS(Formulas!$A$2:$A$1501,Y$4,Formulas!$B$2:$B$1501,$A153))</f>
        <v>0</v>
      </c>
      <c r="Z153" s="21" t="n">
        <f aca="false">IF(OR($A153="",Z$4=""),0,COUNTIFS(Formulas!$A$2:$A$1501,Z$4,Formulas!$B$2:$B$1501,$A153))</f>
        <v>0</v>
      </c>
      <c r="AA153" s="21" t="n">
        <f aca="false">IF(OR($A153="",AA$4=""),0,COUNTIFS(Formulas!$A$2:$A$1501,AA$4,Formulas!$B$2:$B$1501,$A153))</f>
        <v>0</v>
      </c>
      <c r="AB153" s="21" t="n">
        <f aca="false">IF(OR($A153="",AB$4=""),0,COUNTIFS(Formulas!$A$2:$A$1501,AB$4,Formulas!$B$2:$B$1501,$A153))</f>
        <v>0</v>
      </c>
      <c r="AC153" s="21" t="n">
        <f aca="false">IF(OR($A153="",AC$4=""),0,COUNTIFS(Formulas!$A$2:$A$1501,AC$4,Formulas!$B$2:$B$1501,$A153))</f>
        <v>0</v>
      </c>
      <c r="AD153" s="21" t="n">
        <f aca="false">IF(OR($A153="",AD$4=""),0,COUNTIFS(Formulas!$A$2:$A$1501,AD$4,Formulas!$B$2:$B$1501,$A153))</f>
        <v>0</v>
      </c>
      <c r="AE153" s="21" t="n">
        <f aca="false">IF(OR($A153="",AE$4=""),0,COUNTIFS(Formulas!$A$2:$A$1501,AE$4,Formulas!$B$2:$B$1501,$A153))</f>
        <v>0</v>
      </c>
      <c r="AF153" s="21" t="n">
        <f aca="false">IF(OR($A153="",AF$4=""),0,COUNTIFS(Formulas!$A$2:$A$1501,AF$4,Formulas!$B$2:$B$1501,$A153))</f>
        <v>0</v>
      </c>
      <c r="AG153" s="21" t="n">
        <f aca="false">IF(OR($A153="",AG$4=""),0,COUNTIFS(Formulas!$A$2:$A$1501,AG$4,Formulas!$B$2:$B$1501,$A153))</f>
        <v>0</v>
      </c>
      <c r="AH153" s="21" t="n">
        <f aca="false">IF(OR($A153="",AH$4=""),0,COUNTIFS(Formulas!$A$2:$A$1501,AH$4,Formulas!$B$2:$B$1501,$A153))</f>
        <v>0</v>
      </c>
      <c r="AI153" s="21" t="n">
        <f aca="false">IF(OR($A153="",AI$4=""),0,COUNTIFS(Formulas!$A$2:$A$1501,AI$4,Formulas!$B$2:$B$1501,$A153))</f>
        <v>0</v>
      </c>
      <c r="AJ153" s="21" t="n">
        <f aca="false">IF(OR($A153="",AJ$4=""),0,COUNTIFS(Formulas!$A$2:$A$1501,AJ$4,Formulas!$B$2:$B$1501,$A153))</f>
        <v>0</v>
      </c>
      <c r="AK153" s="21" t="n">
        <f aca="false">IF(OR($A153="",AK$4=""),0,COUNTIFS(Formulas!$A$2:$A$1501,AK$4,Formulas!$B$2:$B$1501,$A153))</f>
        <v>0</v>
      </c>
      <c r="AL153" s="21" t="n">
        <f aca="false">IF(OR($A153="",AL$4=""),0,COUNTIFS(Formulas!$A$2:$A$1501,AL$4,Formulas!$B$2:$B$1501,$A153))</f>
        <v>0</v>
      </c>
      <c r="AM153" s="21" t="n">
        <f aca="false">IF(OR($A153="",AM$4=""),0,COUNTIFS(Formulas!$A$2:$A$1501,AM$4,Formulas!$B$2:$B$1501,$A153))</f>
        <v>0</v>
      </c>
      <c r="AN153" s="21" t="n">
        <f aca="false">IF(OR($A153="",AN$4=""),0,COUNTIFS(Formulas!$A$2:$A$1501,AN$4,Formulas!$B$2:$B$1501,$A153))</f>
        <v>0</v>
      </c>
      <c r="AO153" s="21" t="n">
        <f aca="false">IF(OR($A153="",AO$4=""),0,COUNTIFS(Formulas!$A$2:$A$1501,AO$4,Formulas!$B$2:$B$1501,$A153))</f>
        <v>0</v>
      </c>
      <c r="AP153" s="21" t="n">
        <f aca="false">IF(OR($A153="",AP$4=""),0,COUNTIFS(Formulas!$A$2:$A$1501,AP$4,Formulas!$B$2:$B$1501,$A153))</f>
        <v>0</v>
      </c>
      <c r="AQ153" s="21" t="n">
        <f aca="false">IF(OR($A153="",AQ$4=""),0,COUNTIFS(Formulas!$A$2:$A$1501,AQ$4,Formulas!$B$2:$B$1501,$A153))</f>
        <v>0</v>
      </c>
      <c r="AR153" s="21" t="n">
        <f aca="false">IF(OR($A153="",AR$4=""),0,COUNTIFS(Formulas!$A$2:$A$1501,AR$4,Formulas!$B$2:$B$1501,$A153))</f>
        <v>0</v>
      </c>
      <c r="AS153" s="21" t="n">
        <f aca="false">IF(OR($A153="",AS$4=""),0,COUNTIFS(Formulas!$A$2:$A$1501,AS$4,Formulas!$B$2:$B$1501,$A153))</f>
        <v>0</v>
      </c>
      <c r="AT153" s="21" t="n">
        <f aca="false">IF(OR($A153="",AT$4=""),0,COUNTIFS(Formulas!$A$2:$A$1501,AT$4,Formulas!$B$2:$B$1501,$A153))</f>
        <v>0</v>
      </c>
      <c r="AU153" s="21" t="n">
        <f aca="false">IF(OR($A153="",AU$4=""),0,COUNTIFS(Formulas!$A$2:$A$1501,AU$4,Formulas!$B$2:$B$1501,$A153))</f>
        <v>0</v>
      </c>
      <c r="AV153" s="21" t="n">
        <f aca="false">IF(OR($A153="",AV$4=""),0,COUNTIFS(Formulas!$A$2:$A$1501,AV$4,Formulas!$B$2:$B$1501,$A153))</f>
        <v>0</v>
      </c>
      <c r="AW153" s="21" t="n">
        <f aca="false">IF(OR($A153="",AW$4=""),0,COUNTIFS(Formulas!$A$2:$A$1501,AW$4,Formulas!$B$2:$B$1501,$A153))</f>
        <v>0</v>
      </c>
      <c r="AX153" s="21" t="n">
        <f aca="false">IF(OR($A153="",AX$4=""),0,COUNTIFS(Formulas!$A$2:$A$1501,AX$4,Formulas!$B$2:$B$1501,$A153))</f>
        <v>0</v>
      </c>
      <c r="AY153" s="21" t="n">
        <f aca="false">IF(OR($A153="",AY$4=""),0,COUNTIFS(Formulas!$A$2:$A$1501,AY$4,Formulas!$B$2:$B$1501,$A153))</f>
        <v>0</v>
      </c>
      <c r="AZ153" s="21" t="n">
        <f aca="false">IF(OR($A153="",AZ$4=""),0,COUNTIFS(Formulas!$A$2:$A$1501,AZ$4,Formulas!$B$2:$B$1501,$A153))</f>
        <v>0</v>
      </c>
      <c r="BA153" s="21" t="n">
        <f aca="false">IF(OR($A153="",BA$4=""),0,COUNTIFS(Formulas!$A$2:$A$1501,BA$4,Formulas!$B$2:$B$1501,$A153))</f>
        <v>0</v>
      </c>
      <c r="BB153" s="21" t="n">
        <f aca="false">IF(OR($A153="",BB$4=""),0,COUNTIFS(Formulas!$A$2:$A$1501,BB$4,Formulas!$B$2:$B$1501,$A153))</f>
        <v>0</v>
      </c>
      <c r="BC153" s="21" t="n">
        <f aca="false">IF(OR($A153="",BC$4=""),0,COUNTIFS(Formulas!$A$2:$A$1501,BC$4,Formulas!$B$2:$B$1501,$A153))</f>
        <v>0</v>
      </c>
      <c r="BD153" s="21" t="n">
        <f aca="false">IF(OR($A153="",BD$4=""),0,COUNTIFS(Formulas!$A$2:$A$1501,BD$4,Formulas!$B$2:$B$1501,$A153))</f>
        <v>0</v>
      </c>
      <c r="BE153" s="21" t="n">
        <f aca="false">IF(OR($A153="",BE$4=""),0,COUNTIFS(Formulas!$A$2:$A$1501,BE$4,Formulas!$B$2:$B$1501,$A153))</f>
        <v>0</v>
      </c>
      <c r="BF153" s="21" t="n">
        <f aca="false">IF(OR($A153="",BF$4=""),0,COUNTIFS(Formulas!$A$2:$A$1501,BF$4,Formulas!$B$2:$B$1501,$A153))</f>
        <v>0</v>
      </c>
      <c r="BG153" s="21" t="n">
        <f aca="false">IF(OR($A153="",BG$4=""),0,COUNTIFS(Formulas!$A$2:$A$1501,BG$4,Formulas!$B$2:$B$1501,$A153))</f>
        <v>0</v>
      </c>
      <c r="BH153" s="21" t="n">
        <f aca="false">IF(OR($A153="",BH$4=""),0,COUNTIFS(Formulas!$A$2:$A$1501,BH$4,Formulas!$B$2:$B$1501,$A153))</f>
        <v>0</v>
      </c>
      <c r="BI153" s="21" t="n">
        <f aca="false">IF(OR($A153="",BI$4=""),0,COUNTIFS(Formulas!$A$2:$A$1501,BI$4,Formulas!$B$2:$B$1501,$A153))</f>
        <v>0</v>
      </c>
      <c r="BJ153" s="21" t="n">
        <f aca="false">IF(OR($A153="",BJ$4=""),0,COUNTIFS(Formulas!$A$2:$A$1501,BJ$4,Formulas!$B$2:$B$1501,$A153))</f>
        <v>0</v>
      </c>
    </row>
    <row r="154" customFormat="false" ht="15" hidden="false" customHeight="false" outlineLevel="0" collapsed="false">
      <c r="A154" s="13" t="str">
        <f aca="false">IF(INDEX(Materials!$A$2:$A$201,150)="","",INDEX(Materials!$A$2:$A$201,150))</f>
        <v/>
      </c>
      <c r="B154" s="19" t="str">
        <f aca="false">IF(A154="","",COUNTIF(C154:BJ154,"&gt;0"))</f>
        <v/>
      </c>
      <c r="C154" s="21" t="n">
        <f aca="false">IF(OR($A154="",C$4=""),0,COUNTIFS(Formulas!$A$2:$A$1501,C$4,Formulas!$B$2:$B$1501,$A154))</f>
        <v>0</v>
      </c>
      <c r="D154" s="21" t="n">
        <f aca="false">IF(OR($A154="",D$4=""),0,COUNTIFS(Formulas!$A$2:$A$1501,D$4,Formulas!$B$2:$B$1501,$A154))</f>
        <v>0</v>
      </c>
      <c r="E154" s="21" t="n">
        <f aca="false">IF(OR($A154="",E$4=""),0,COUNTIFS(Formulas!$A$2:$A$1501,E$4,Formulas!$B$2:$B$1501,$A154))</f>
        <v>0</v>
      </c>
      <c r="F154" s="21" t="n">
        <f aca="false">IF(OR($A154="",F$4=""),0,COUNTIFS(Formulas!$A$2:$A$1501,F$4,Formulas!$B$2:$B$1501,$A154))</f>
        <v>0</v>
      </c>
      <c r="G154" s="21" t="n">
        <f aca="false">IF(OR($A154="",G$4=""),0,COUNTIFS(Formulas!$A$2:$A$1501,G$4,Formulas!$B$2:$B$1501,$A154))</f>
        <v>0</v>
      </c>
      <c r="H154" s="21" t="n">
        <f aca="false">IF(OR($A154="",H$4=""),0,COUNTIFS(Formulas!$A$2:$A$1501,H$4,Formulas!$B$2:$B$1501,$A154))</f>
        <v>0</v>
      </c>
      <c r="I154" s="21" t="n">
        <f aca="false">IF(OR($A154="",I$4=""),0,COUNTIFS(Formulas!$A$2:$A$1501,I$4,Formulas!$B$2:$B$1501,$A154))</f>
        <v>0</v>
      </c>
      <c r="J154" s="21" t="n">
        <f aca="false">IF(OR($A154="",J$4=""),0,COUNTIFS(Formulas!$A$2:$A$1501,J$4,Formulas!$B$2:$B$1501,$A154))</f>
        <v>0</v>
      </c>
      <c r="K154" s="21" t="n">
        <f aca="false">IF(OR($A154="",K$4=""),0,COUNTIFS(Formulas!$A$2:$A$1501,K$4,Formulas!$B$2:$B$1501,$A154))</f>
        <v>0</v>
      </c>
      <c r="L154" s="21" t="n">
        <f aca="false">IF(OR($A154="",L$4=""),0,COUNTIFS(Formulas!$A$2:$A$1501,L$4,Formulas!$B$2:$B$1501,$A154))</f>
        <v>0</v>
      </c>
      <c r="M154" s="21" t="n">
        <f aca="false">IF(OR($A154="",M$4=""),0,COUNTIFS(Formulas!$A$2:$A$1501,M$4,Formulas!$B$2:$B$1501,$A154))</f>
        <v>0</v>
      </c>
      <c r="N154" s="21" t="n">
        <f aca="false">IF(OR($A154="",N$4=""),0,COUNTIFS(Formulas!$A$2:$A$1501,N$4,Formulas!$B$2:$B$1501,$A154))</f>
        <v>0</v>
      </c>
      <c r="O154" s="21" t="n">
        <f aca="false">IF(OR($A154="",O$4=""),0,COUNTIFS(Formulas!$A$2:$A$1501,O$4,Formulas!$B$2:$B$1501,$A154))</f>
        <v>0</v>
      </c>
      <c r="P154" s="21" t="n">
        <f aca="false">IF(OR($A154="",P$4=""),0,COUNTIFS(Formulas!$A$2:$A$1501,P$4,Formulas!$B$2:$B$1501,$A154))</f>
        <v>0</v>
      </c>
      <c r="Q154" s="21" t="n">
        <f aca="false">IF(OR($A154="",Q$4=""),0,COUNTIFS(Formulas!$A$2:$A$1501,Q$4,Formulas!$B$2:$B$1501,$A154))</f>
        <v>0</v>
      </c>
      <c r="R154" s="21" t="n">
        <f aca="false">IF(OR($A154="",R$4=""),0,COUNTIFS(Formulas!$A$2:$A$1501,R$4,Formulas!$B$2:$B$1501,$A154))</f>
        <v>0</v>
      </c>
      <c r="S154" s="21" t="n">
        <f aca="false">IF(OR($A154="",S$4=""),0,COUNTIFS(Formulas!$A$2:$A$1501,S$4,Formulas!$B$2:$B$1501,$A154))</f>
        <v>0</v>
      </c>
      <c r="T154" s="21" t="n">
        <f aca="false">IF(OR($A154="",T$4=""),0,COUNTIFS(Formulas!$A$2:$A$1501,T$4,Formulas!$B$2:$B$1501,$A154))</f>
        <v>0</v>
      </c>
      <c r="U154" s="21" t="n">
        <f aca="false">IF(OR($A154="",U$4=""),0,COUNTIFS(Formulas!$A$2:$A$1501,U$4,Formulas!$B$2:$B$1501,$A154))</f>
        <v>0</v>
      </c>
      <c r="V154" s="21" t="n">
        <f aca="false">IF(OR($A154="",V$4=""),0,COUNTIFS(Formulas!$A$2:$A$1501,V$4,Formulas!$B$2:$B$1501,$A154))</f>
        <v>0</v>
      </c>
      <c r="W154" s="21" t="n">
        <f aca="false">IF(OR($A154="",W$4=""),0,COUNTIFS(Formulas!$A$2:$A$1501,W$4,Formulas!$B$2:$B$1501,$A154))</f>
        <v>0</v>
      </c>
      <c r="X154" s="21" t="n">
        <f aca="false">IF(OR($A154="",X$4=""),0,COUNTIFS(Formulas!$A$2:$A$1501,X$4,Formulas!$B$2:$B$1501,$A154))</f>
        <v>0</v>
      </c>
      <c r="Y154" s="21" t="n">
        <f aca="false">IF(OR($A154="",Y$4=""),0,COUNTIFS(Formulas!$A$2:$A$1501,Y$4,Formulas!$B$2:$B$1501,$A154))</f>
        <v>0</v>
      </c>
      <c r="Z154" s="21" t="n">
        <f aca="false">IF(OR($A154="",Z$4=""),0,COUNTIFS(Formulas!$A$2:$A$1501,Z$4,Formulas!$B$2:$B$1501,$A154))</f>
        <v>0</v>
      </c>
      <c r="AA154" s="21" t="n">
        <f aca="false">IF(OR($A154="",AA$4=""),0,COUNTIFS(Formulas!$A$2:$A$1501,AA$4,Formulas!$B$2:$B$1501,$A154))</f>
        <v>0</v>
      </c>
      <c r="AB154" s="21" t="n">
        <f aca="false">IF(OR($A154="",AB$4=""),0,COUNTIFS(Formulas!$A$2:$A$1501,AB$4,Formulas!$B$2:$B$1501,$A154))</f>
        <v>0</v>
      </c>
      <c r="AC154" s="21" t="n">
        <f aca="false">IF(OR($A154="",AC$4=""),0,COUNTIFS(Formulas!$A$2:$A$1501,AC$4,Formulas!$B$2:$B$1501,$A154))</f>
        <v>0</v>
      </c>
      <c r="AD154" s="21" t="n">
        <f aca="false">IF(OR($A154="",AD$4=""),0,COUNTIFS(Formulas!$A$2:$A$1501,AD$4,Formulas!$B$2:$B$1501,$A154))</f>
        <v>0</v>
      </c>
      <c r="AE154" s="21" t="n">
        <f aca="false">IF(OR($A154="",AE$4=""),0,COUNTIFS(Formulas!$A$2:$A$1501,AE$4,Formulas!$B$2:$B$1501,$A154))</f>
        <v>0</v>
      </c>
      <c r="AF154" s="21" t="n">
        <f aca="false">IF(OR($A154="",AF$4=""),0,COUNTIFS(Formulas!$A$2:$A$1501,AF$4,Formulas!$B$2:$B$1501,$A154))</f>
        <v>0</v>
      </c>
      <c r="AG154" s="21" t="n">
        <f aca="false">IF(OR($A154="",AG$4=""),0,COUNTIFS(Formulas!$A$2:$A$1501,AG$4,Formulas!$B$2:$B$1501,$A154))</f>
        <v>0</v>
      </c>
      <c r="AH154" s="21" t="n">
        <f aca="false">IF(OR($A154="",AH$4=""),0,COUNTIFS(Formulas!$A$2:$A$1501,AH$4,Formulas!$B$2:$B$1501,$A154))</f>
        <v>0</v>
      </c>
      <c r="AI154" s="21" t="n">
        <f aca="false">IF(OR($A154="",AI$4=""),0,COUNTIFS(Formulas!$A$2:$A$1501,AI$4,Formulas!$B$2:$B$1501,$A154))</f>
        <v>0</v>
      </c>
      <c r="AJ154" s="21" t="n">
        <f aca="false">IF(OR($A154="",AJ$4=""),0,COUNTIFS(Formulas!$A$2:$A$1501,AJ$4,Formulas!$B$2:$B$1501,$A154))</f>
        <v>0</v>
      </c>
      <c r="AK154" s="21" t="n">
        <f aca="false">IF(OR($A154="",AK$4=""),0,COUNTIFS(Formulas!$A$2:$A$1501,AK$4,Formulas!$B$2:$B$1501,$A154))</f>
        <v>0</v>
      </c>
      <c r="AL154" s="21" t="n">
        <f aca="false">IF(OR($A154="",AL$4=""),0,COUNTIFS(Formulas!$A$2:$A$1501,AL$4,Formulas!$B$2:$B$1501,$A154))</f>
        <v>0</v>
      </c>
      <c r="AM154" s="21" t="n">
        <f aca="false">IF(OR($A154="",AM$4=""),0,COUNTIFS(Formulas!$A$2:$A$1501,AM$4,Formulas!$B$2:$B$1501,$A154))</f>
        <v>0</v>
      </c>
      <c r="AN154" s="21" t="n">
        <f aca="false">IF(OR($A154="",AN$4=""),0,COUNTIFS(Formulas!$A$2:$A$1501,AN$4,Formulas!$B$2:$B$1501,$A154))</f>
        <v>0</v>
      </c>
      <c r="AO154" s="21" t="n">
        <f aca="false">IF(OR($A154="",AO$4=""),0,COUNTIFS(Formulas!$A$2:$A$1501,AO$4,Formulas!$B$2:$B$1501,$A154))</f>
        <v>0</v>
      </c>
      <c r="AP154" s="21" t="n">
        <f aca="false">IF(OR($A154="",AP$4=""),0,COUNTIFS(Formulas!$A$2:$A$1501,AP$4,Formulas!$B$2:$B$1501,$A154))</f>
        <v>0</v>
      </c>
      <c r="AQ154" s="21" t="n">
        <f aca="false">IF(OR($A154="",AQ$4=""),0,COUNTIFS(Formulas!$A$2:$A$1501,AQ$4,Formulas!$B$2:$B$1501,$A154))</f>
        <v>0</v>
      </c>
      <c r="AR154" s="21" t="n">
        <f aca="false">IF(OR($A154="",AR$4=""),0,COUNTIFS(Formulas!$A$2:$A$1501,AR$4,Formulas!$B$2:$B$1501,$A154))</f>
        <v>0</v>
      </c>
      <c r="AS154" s="21" t="n">
        <f aca="false">IF(OR($A154="",AS$4=""),0,COUNTIFS(Formulas!$A$2:$A$1501,AS$4,Formulas!$B$2:$B$1501,$A154))</f>
        <v>0</v>
      </c>
      <c r="AT154" s="21" t="n">
        <f aca="false">IF(OR($A154="",AT$4=""),0,COUNTIFS(Formulas!$A$2:$A$1501,AT$4,Formulas!$B$2:$B$1501,$A154))</f>
        <v>0</v>
      </c>
      <c r="AU154" s="21" t="n">
        <f aca="false">IF(OR($A154="",AU$4=""),0,COUNTIFS(Formulas!$A$2:$A$1501,AU$4,Formulas!$B$2:$B$1501,$A154))</f>
        <v>0</v>
      </c>
      <c r="AV154" s="21" t="n">
        <f aca="false">IF(OR($A154="",AV$4=""),0,COUNTIFS(Formulas!$A$2:$A$1501,AV$4,Formulas!$B$2:$B$1501,$A154))</f>
        <v>0</v>
      </c>
      <c r="AW154" s="21" t="n">
        <f aca="false">IF(OR($A154="",AW$4=""),0,COUNTIFS(Formulas!$A$2:$A$1501,AW$4,Formulas!$B$2:$B$1501,$A154))</f>
        <v>0</v>
      </c>
      <c r="AX154" s="21" t="n">
        <f aca="false">IF(OR($A154="",AX$4=""),0,COUNTIFS(Formulas!$A$2:$A$1501,AX$4,Formulas!$B$2:$B$1501,$A154))</f>
        <v>0</v>
      </c>
      <c r="AY154" s="21" t="n">
        <f aca="false">IF(OR($A154="",AY$4=""),0,COUNTIFS(Formulas!$A$2:$A$1501,AY$4,Formulas!$B$2:$B$1501,$A154))</f>
        <v>0</v>
      </c>
      <c r="AZ154" s="21" t="n">
        <f aca="false">IF(OR($A154="",AZ$4=""),0,COUNTIFS(Formulas!$A$2:$A$1501,AZ$4,Formulas!$B$2:$B$1501,$A154))</f>
        <v>0</v>
      </c>
      <c r="BA154" s="21" t="n">
        <f aca="false">IF(OR($A154="",BA$4=""),0,COUNTIFS(Formulas!$A$2:$A$1501,BA$4,Formulas!$B$2:$B$1501,$A154))</f>
        <v>0</v>
      </c>
      <c r="BB154" s="21" t="n">
        <f aca="false">IF(OR($A154="",BB$4=""),0,COUNTIFS(Formulas!$A$2:$A$1501,BB$4,Formulas!$B$2:$B$1501,$A154))</f>
        <v>0</v>
      </c>
      <c r="BC154" s="21" t="n">
        <f aca="false">IF(OR($A154="",BC$4=""),0,COUNTIFS(Formulas!$A$2:$A$1501,BC$4,Formulas!$B$2:$B$1501,$A154))</f>
        <v>0</v>
      </c>
      <c r="BD154" s="21" t="n">
        <f aca="false">IF(OR($A154="",BD$4=""),0,COUNTIFS(Formulas!$A$2:$A$1501,BD$4,Formulas!$B$2:$B$1501,$A154))</f>
        <v>0</v>
      </c>
      <c r="BE154" s="21" t="n">
        <f aca="false">IF(OR($A154="",BE$4=""),0,COUNTIFS(Formulas!$A$2:$A$1501,BE$4,Formulas!$B$2:$B$1501,$A154))</f>
        <v>0</v>
      </c>
      <c r="BF154" s="21" t="n">
        <f aca="false">IF(OR($A154="",BF$4=""),0,COUNTIFS(Formulas!$A$2:$A$1501,BF$4,Formulas!$B$2:$B$1501,$A154))</f>
        <v>0</v>
      </c>
      <c r="BG154" s="21" t="n">
        <f aca="false">IF(OR($A154="",BG$4=""),0,COUNTIFS(Formulas!$A$2:$A$1501,BG$4,Formulas!$B$2:$B$1501,$A154))</f>
        <v>0</v>
      </c>
      <c r="BH154" s="21" t="n">
        <f aca="false">IF(OR($A154="",BH$4=""),0,COUNTIFS(Formulas!$A$2:$A$1501,BH$4,Formulas!$B$2:$B$1501,$A154))</f>
        <v>0</v>
      </c>
      <c r="BI154" s="21" t="n">
        <f aca="false">IF(OR($A154="",BI$4=""),0,COUNTIFS(Formulas!$A$2:$A$1501,BI$4,Formulas!$B$2:$B$1501,$A154))</f>
        <v>0</v>
      </c>
      <c r="BJ154" s="21" t="n">
        <f aca="false">IF(OR($A154="",BJ$4=""),0,COUNTIFS(Formulas!$A$2:$A$1501,BJ$4,Formulas!$B$2:$B$1501,$A154))</f>
        <v>0</v>
      </c>
    </row>
    <row r="155" customFormat="false" ht="15" hidden="false" customHeight="false" outlineLevel="0" collapsed="false">
      <c r="A155" s="13" t="str">
        <f aca="false">IF(INDEX(Materials!$A$2:$A$201,151)="","",INDEX(Materials!$A$2:$A$201,151))</f>
        <v/>
      </c>
      <c r="B155" s="19" t="str">
        <f aca="false">IF(A155="","",COUNTIF(C155:BJ155,"&gt;0"))</f>
        <v/>
      </c>
      <c r="C155" s="21" t="n">
        <f aca="false">IF(OR($A155="",C$4=""),0,COUNTIFS(Formulas!$A$2:$A$1501,C$4,Formulas!$B$2:$B$1501,$A155))</f>
        <v>0</v>
      </c>
      <c r="D155" s="21" t="n">
        <f aca="false">IF(OR($A155="",D$4=""),0,COUNTIFS(Formulas!$A$2:$A$1501,D$4,Formulas!$B$2:$B$1501,$A155))</f>
        <v>0</v>
      </c>
      <c r="E155" s="21" t="n">
        <f aca="false">IF(OR($A155="",E$4=""),0,COUNTIFS(Formulas!$A$2:$A$1501,E$4,Formulas!$B$2:$B$1501,$A155))</f>
        <v>0</v>
      </c>
      <c r="F155" s="21" t="n">
        <f aca="false">IF(OR($A155="",F$4=""),0,COUNTIFS(Formulas!$A$2:$A$1501,F$4,Formulas!$B$2:$B$1501,$A155))</f>
        <v>0</v>
      </c>
      <c r="G155" s="21" t="n">
        <f aca="false">IF(OR($A155="",G$4=""),0,COUNTIFS(Formulas!$A$2:$A$1501,G$4,Formulas!$B$2:$B$1501,$A155))</f>
        <v>0</v>
      </c>
      <c r="H155" s="21" t="n">
        <f aca="false">IF(OR($A155="",H$4=""),0,COUNTIFS(Formulas!$A$2:$A$1501,H$4,Formulas!$B$2:$B$1501,$A155))</f>
        <v>0</v>
      </c>
      <c r="I155" s="21" t="n">
        <f aca="false">IF(OR($A155="",I$4=""),0,COUNTIFS(Formulas!$A$2:$A$1501,I$4,Formulas!$B$2:$B$1501,$A155))</f>
        <v>0</v>
      </c>
      <c r="J155" s="21" t="n">
        <f aca="false">IF(OR($A155="",J$4=""),0,COUNTIFS(Formulas!$A$2:$A$1501,J$4,Formulas!$B$2:$B$1501,$A155))</f>
        <v>0</v>
      </c>
      <c r="K155" s="21" t="n">
        <f aca="false">IF(OR($A155="",K$4=""),0,COUNTIFS(Formulas!$A$2:$A$1501,K$4,Formulas!$B$2:$B$1501,$A155))</f>
        <v>0</v>
      </c>
      <c r="L155" s="21" t="n">
        <f aca="false">IF(OR($A155="",L$4=""),0,COUNTIFS(Formulas!$A$2:$A$1501,L$4,Formulas!$B$2:$B$1501,$A155))</f>
        <v>0</v>
      </c>
      <c r="M155" s="21" t="n">
        <f aca="false">IF(OR($A155="",M$4=""),0,COUNTIFS(Formulas!$A$2:$A$1501,M$4,Formulas!$B$2:$B$1501,$A155))</f>
        <v>0</v>
      </c>
      <c r="N155" s="21" t="n">
        <f aca="false">IF(OR($A155="",N$4=""),0,COUNTIFS(Formulas!$A$2:$A$1501,N$4,Formulas!$B$2:$B$1501,$A155))</f>
        <v>0</v>
      </c>
      <c r="O155" s="21" t="n">
        <f aca="false">IF(OR($A155="",O$4=""),0,COUNTIFS(Formulas!$A$2:$A$1501,O$4,Formulas!$B$2:$B$1501,$A155))</f>
        <v>0</v>
      </c>
      <c r="P155" s="21" t="n">
        <f aca="false">IF(OR($A155="",P$4=""),0,COUNTIFS(Formulas!$A$2:$A$1501,P$4,Formulas!$B$2:$B$1501,$A155))</f>
        <v>0</v>
      </c>
      <c r="Q155" s="21" t="n">
        <f aca="false">IF(OR($A155="",Q$4=""),0,COUNTIFS(Formulas!$A$2:$A$1501,Q$4,Formulas!$B$2:$B$1501,$A155))</f>
        <v>0</v>
      </c>
      <c r="R155" s="21" t="n">
        <f aca="false">IF(OR($A155="",R$4=""),0,COUNTIFS(Formulas!$A$2:$A$1501,R$4,Formulas!$B$2:$B$1501,$A155))</f>
        <v>0</v>
      </c>
      <c r="S155" s="21" t="n">
        <f aca="false">IF(OR($A155="",S$4=""),0,COUNTIFS(Formulas!$A$2:$A$1501,S$4,Formulas!$B$2:$B$1501,$A155))</f>
        <v>0</v>
      </c>
      <c r="T155" s="21" t="n">
        <f aca="false">IF(OR($A155="",T$4=""),0,COUNTIFS(Formulas!$A$2:$A$1501,T$4,Formulas!$B$2:$B$1501,$A155))</f>
        <v>0</v>
      </c>
      <c r="U155" s="21" t="n">
        <f aca="false">IF(OR($A155="",U$4=""),0,COUNTIFS(Formulas!$A$2:$A$1501,U$4,Formulas!$B$2:$B$1501,$A155))</f>
        <v>0</v>
      </c>
      <c r="V155" s="21" t="n">
        <f aca="false">IF(OR($A155="",V$4=""),0,COUNTIFS(Formulas!$A$2:$A$1501,V$4,Formulas!$B$2:$B$1501,$A155))</f>
        <v>0</v>
      </c>
      <c r="W155" s="21" t="n">
        <f aca="false">IF(OR($A155="",W$4=""),0,COUNTIFS(Formulas!$A$2:$A$1501,W$4,Formulas!$B$2:$B$1501,$A155))</f>
        <v>0</v>
      </c>
      <c r="X155" s="21" t="n">
        <f aca="false">IF(OR($A155="",X$4=""),0,COUNTIFS(Formulas!$A$2:$A$1501,X$4,Formulas!$B$2:$B$1501,$A155))</f>
        <v>0</v>
      </c>
      <c r="Y155" s="21" t="n">
        <f aca="false">IF(OR($A155="",Y$4=""),0,COUNTIFS(Formulas!$A$2:$A$1501,Y$4,Formulas!$B$2:$B$1501,$A155))</f>
        <v>0</v>
      </c>
      <c r="Z155" s="21" t="n">
        <f aca="false">IF(OR($A155="",Z$4=""),0,COUNTIFS(Formulas!$A$2:$A$1501,Z$4,Formulas!$B$2:$B$1501,$A155))</f>
        <v>0</v>
      </c>
      <c r="AA155" s="21" t="n">
        <f aca="false">IF(OR($A155="",AA$4=""),0,COUNTIFS(Formulas!$A$2:$A$1501,AA$4,Formulas!$B$2:$B$1501,$A155))</f>
        <v>0</v>
      </c>
      <c r="AB155" s="21" t="n">
        <f aca="false">IF(OR($A155="",AB$4=""),0,COUNTIFS(Formulas!$A$2:$A$1501,AB$4,Formulas!$B$2:$B$1501,$A155))</f>
        <v>0</v>
      </c>
      <c r="AC155" s="21" t="n">
        <f aca="false">IF(OR($A155="",AC$4=""),0,COUNTIFS(Formulas!$A$2:$A$1501,AC$4,Formulas!$B$2:$B$1501,$A155))</f>
        <v>0</v>
      </c>
      <c r="AD155" s="21" t="n">
        <f aca="false">IF(OR($A155="",AD$4=""),0,COUNTIFS(Formulas!$A$2:$A$1501,AD$4,Formulas!$B$2:$B$1501,$A155))</f>
        <v>0</v>
      </c>
      <c r="AE155" s="21" t="n">
        <f aca="false">IF(OR($A155="",AE$4=""),0,COUNTIFS(Formulas!$A$2:$A$1501,AE$4,Formulas!$B$2:$B$1501,$A155))</f>
        <v>0</v>
      </c>
      <c r="AF155" s="21" t="n">
        <f aca="false">IF(OR($A155="",AF$4=""),0,COUNTIFS(Formulas!$A$2:$A$1501,AF$4,Formulas!$B$2:$B$1501,$A155))</f>
        <v>0</v>
      </c>
      <c r="AG155" s="21" t="n">
        <f aca="false">IF(OR($A155="",AG$4=""),0,COUNTIFS(Formulas!$A$2:$A$1501,AG$4,Formulas!$B$2:$B$1501,$A155))</f>
        <v>0</v>
      </c>
      <c r="AH155" s="21" t="n">
        <f aca="false">IF(OR($A155="",AH$4=""),0,COUNTIFS(Formulas!$A$2:$A$1501,AH$4,Formulas!$B$2:$B$1501,$A155))</f>
        <v>0</v>
      </c>
      <c r="AI155" s="21" t="n">
        <f aca="false">IF(OR($A155="",AI$4=""),0,COUNTIFS(Formulas!$A$2:$A$1501,AI$4,Formulas!$B$2:$B$1501,$A155))</f>
        <v>0</v>
      </c>
      <c r="AJ155" s="21" t="n">
        <f aca="false">IF(OR($A155="",AJ$4=""),0,COUNTIFS(Formulas!$A$2:$A$1501,AJ$4,Formulas!$B$2:$B$1501,$A155))</f>
        <v>0</v>
      </c>
      <c r="AK155" s="21" t="n">
        <f aca="false">IF(OR($A155="",AK$4=""),0,COUNTIFS(Formulas!$A$2:$A$1501,AK$4,Formulas!$B$2:$B$1501,$A155))</f>
        <v>0</v>
      </c>
      <c r="AL155" s="21" t="n">
        <f aca="false">IF(OR($A155="",AL$4=""),0,COUNTIFS(Formulas!$A$2:$A$1501,AL$4,Formulas!$B$2:$B$1501,$A155))</f>
        <v>0</v>
      </c>
      <c r="AM155" s="21" t="n">
        <f aca="false">IF(OR($A155="",AM$4=""),0,COUNTIFS(Formulas!$A$2:$A$1501,AM$4,Formulas!$B$2:$B$1501,$A155))</f>
        <v>0</v>
      </c>
      <c r="AN155" s="21" t="n">
        <f aca="false">IF(OR($A155="",AN$4=""),0,COUNTIFS(Formulas!$A$2:$A$1501,AN$4,Formulas!$B$2:$B$1501,$A155))</f>
        <v>0</v>
      </c>
      <c r="AO155" s="21" t="n">
        <f aca="false">IF(OR($A155="",AO$4=""),0,COUNTIFS(Formulas!$A$2:$A$1501,AO$4,Formulas!$B$2:$B$1501,$A155))</f>
        <v>0</v>
      </c>
      <c r="AP155" s="21" t="n">
        <f aca="false">IF(OR($A155="",AP$4=""),0,COUNTIFS(Formulas!$A$2:$A$1501,AP$4,Formulas!$B$2:$B$1501,$A155))</f>
        <v>0</v>
      </c>
      <c r="AQ155" s="21" t="n">
        <f aca="false">IF(OR($A155="",AQ$4=""),0,COUNTIFS(Formulas!$A$2:$A$1501,AQ$4,Formulas!$B$2:$B$1501,$A155))</f>
        <v>0</v>
      </c>
      <c r="AR155" s="21" t="n">
        <f aca="false">IF(OR($A155="",AR$4=""),0,COUNTIFS(Formulas!$A$2:$A$1501,AR$4,Formulas!$B$2:$B$1501,$A155))</f>
        <v>0</v>
      </c>
      <c r="AS155" s="21" t="n">
        <f aca="false">IF(OR($A155="",AS$4=""),0,COUNTIFS(Formulas!$A$2:$A$1501,AS$4,Formulas!$B$2:$B$1501,$A155))</f>
        <v>0</v>
      </c>
      <c r="AT155" s="21" t="n">
        <f aca="false">IF(OR($A155="",AT$4=""),0,COUNTIFS(Formulas!$A$2:$A$1501,AT$4,Formulas!$B$2:$B$1501,$A155))</f>
        <v>0</v>
      </c>
      <c r="AU155" s="21" t="n">
        <f aca="false">IF(OR($A155="",AU$4=""),0,COUNTIFS(Formulas!$A$2:$A$1501,AU$4,Formulas!$B$2:$B$1501,$A155))</f>
        <v>0</v>
      </c>
      <c r="AV155" s="21" t="n">
        <f aca="false">IF(OR($A155="",AV$4=""),0,COUNTIFS(Formulas!$A$2:$A$1501,AV$4,Formulas!$B$2:$B$1501,$A155))</f>
        <v>0</v>
      </c>
      <c r="AW155" s="21" t="n">
        <f aca="false">IF(OR($A155="",AW$4=""),0,COUNTIFS(Formulas!$A$2:$A$1501,AW$4,Formulas!$B$2:$B$1501,$A155))</f>
        <v>0</v>
      </c>
      <c r="AX155" s="21" t="n">
        <f aca="false">IF(OR($A155="",AX$4=""),0,COUNTIFS(Formulas!$A$2:$A$1501,AX$4,Formulas!$B$2:$B$1501,$A155))</f>
        <v>0</v>
      </c>
      <c r="AY155" s="21" t="n">
        <f aca="false">IF(OR($A155="",AY$4=""),0,COUNTIFS(Formulas!$A$2:$A$1501,AY$4,Formulas!$B$2:$B$1501,$A155))</f>
        <v>0</v>
      </c>
      <c r="AZ155" s="21" t="n">
        <f aca="false">IF(OR($A155="",AZ$4=""),0,COUNTIFS(Formulas!$A$2:$A$1501,AZ$4,Formulas!$B$2:$B$1501,$A155))</f>
        <v>0</v>
      </c>
      <c r="BA155" s="21" t="n">
        <f aca="false">IF(OR($A155="",BA$4=""),0,COUNTIFS(Formulas!$A$2:$A$1501,BA$4,Formulas!$B$2:$B$1501,$A155))</f>
        <v>0</v>
      </c>
      <c r="BB155" s="21" t="n">
        <f aca="false">IF(OR($A155="",BB$4=""),0,COUNTIFS(Formulas!$A$2:$A$1501,BB$4,Formulas!$B$2:$B$1501,$A155))</f>
        <v>0</v>
      </c>
      <c r="BC155" s="21" t="n">
        <f aca="false">IF(OR($A155="",BC$4=""),0,COUNTIFS(Formulas!$A$2:$A$1501,BC$4,Formulas!$B$2:$B$1501,$A155))</f>
        <v>0</v>
      </c>
      <c r="BD155" s="21" t="n">
        <f aca="false">IF(OR($A155="",BD$4=""),0,COUNTIFS(Formulas!$A$2:$A$1501,BD$4,Formulas!$B$2:$B$1501,$A155))</f>
        <v>0</v>
      </c>
      <c r="BE155" s="21" t="n">
        <f aca="false">IF(OR($A155="",BE$4=""),0,COUNTIFS(Formulas!$A$2:$A$1501,BE$4,Formulas!$B$2:$B$1501,$A155))</f>
        <v>0</v>
      </c>
      <c r="BF155" s="21" t="n">
        <f aca="false">IF(OR($A155="",BF$4=""),0,COUNTIFS(Formulas!$A$2:$A$1501,BF$4,Formulas!$B$2:$B$1501,$A155))</f>
        <v>0</v>
      </c>
      <c r="BG155" s="21" t="n">
        <f aca="false">IF(OR($A155="",BG$4=""),0,COUNTIFS(Formulas!$A$2:$A$1501,BG$4,Formulas!$B$2:$B$1501,$A155))</f>
        <v>0</v>
      </c>
      <c r="BH155" s="21" t="n">
        <f aca="false">IF(OR($A155="",BH$4=""),0,COUNTIFS(Formulas!$A$2:$A$1501,BH$4,Formulas!$B$2:$B$1501,$A155))</f>
        <v>0</v>
      </c>
      <c r="BI155" s="21" t="n">
        <f aca="false">IF(OR($A155="",BI$4=""),0,COUNTIFS(Formulas!$A$2:$A$1501,BI$4,Formulas!$B$2:$B$1501,$A155))</f>
        <v>0</v>
      </c>
      <c r="BJ155" s="21" t="n">
        <f aca="false">IF(OR($A155="",BJ$4=""),0,COUNTIFS(Formulas!$A$2:$A$1501,BJ$4,Formulas!$B$2:$B$1501,$A155))</f>
        <v>0</v>
      </c>
    </row>
    <row r="156" customFormat="false" ht="15" hidden="false" customHeight="false" outlineLevel="0" collapsed="false">
      <c r="A156" s="13" t="str">
        <f aca="false">IF(INDEX(Materials!$A$2:$A$201,152)="","",INDEX(Materials!$A$2:$A$201,152))</f>
        <v/>
      </c>
      <c r="B156" s="19" t="str">
        <f aca="false">IF(A156="","",COUNTIF(C156:BJ156,"&gt;0"))</f>
        <v/>
      </c>
      <c r="C156" s="21" t="n">
        <f aca="false">IF(OR($A156="",C$4=""),0,COUNTIFS(Formulas!$A$2:$A$1501,C$4,Formulas!$B$2:$B$1501,$A156))</f>
        <v>0</v>
      </c>
      <c r="D156" s="21" t="n">
        <f aca="false">IF(OR($A156="",D$4=""),0,COUNTIFS(Formulas!$A$2:$A$1501,D$4,Formulas!$B$2:$B$1501,$A156))</f>
        <v>0</v>
      </c>
      <c r="E156" s="21" t="n">
        <f aca="false">IF(OR($A156="",E$4=""),0,COUNTIFS(Formulas!$A$2:$A$1501,E$4,Formulas!$B$2:$B$1501,$A156))</f>
        <v>0</v>
      </c>
      <c r="F156" s="21" t="n">
        <f aca="false">IF(OR($A156="",F$4=""),0,COUNTIFS(Formulas!$A$2:$A$1501,F$4,Formulas!$B$2:$B$1501,$A156))</f>
        <v>0</v>
      </c>
      <c r="G156" s="21" t="n">
        <f aca="false">IF(OR($A156="",G$4=""),0,COUNTIFS(Formulas!$A$2:$A$1501,G$4,Formulas!$B$2:$B$1501,$A156))</f>
        <v>0</v>
      </c>
      <c r="H156" s="21" t="n">
        <f aca="false">IF(OR($A156="",H$4=""),0,COUNTIFS(Formulas!$A$2:$A$1501,H$4,Formulas!$B$2:$B$1501,$A156))</f>
        <v>0</v>
      </c>
      <c r="I156" s="21" t="n">
        <f aca="false">IF(OR($A156="",I$4=""),0,COUNTIFS(Formulas!$A$2:$A$1501,I$4,Formulas!$B$2:$B$1501,$A156))</f>
        <v>0</v>
      </c>
      <c r="J156" s="21" t="n">
        <f aca="false">IF(OR($A156="",J$4=""),0,COUNTIFS(Formulas!$A$2:$A$1501,J$4,Formulas!$B$2:$B$1501,$A156))</f>
        <v>0</v>
      </c>
      <c r="K156" s="21" t="n">
        <f aca="false">IF(OR($A156="",K$4=""),0,COUNTIFS(Formulas!$A$2:$A$1501,K$4,Formulas!$B$2:$B$1501,$A156))</f>
        <v>0</v>
      </c>
      <c r="L156" s="21" t="n">
        <f aca="false">IF(OR($A156="",L$4=""),0,COUNTIFS(Formulas!$A$2:$A$1501,L$4,Formulas!$B$2:$B$1501,$A156))</f>
        <v>0</v>
      </c>
      <c r="M156" s="21" t="n">
        <f aca="false">IF(OR($A156="",M$4=""),0,COUNTIFS(Formulas!$A$2:$A$1501,M$4,Formulas!$B$2:$B$1501,$A156))</f>
        <v>0</v>
      </c>
      <c r="N156" s="21" t="n">
        <f aca="false">IF(OR($A156="",N$4=""),0,COUNTIFS(Formulas!$A$2:$A$1501,N$4,Formulas!$B$2:$B$1501,$A156))</f>
        <v>0</v>
      </c>
      <c r="O156" s="21" t="n">
        <f aca="false">IF(OR($A156="",O$4=""),0,COUNTIFS(Formulas!$A$2:$A$1501,O$4,Formulas!$B$2:$B$1501,$A156))</f>
        <v>0</v>
      </c>
      <c r="P156" s="21" t="n">
        <f aca="false">IF(OR($A156="",P$4=""),0,COUNTIFS(Formulas!$A$2:$A$1501,P$4,Formulas!$B$2:$B$1501,$A156))</f>
        <v>0</v>
      </c>
      <c r="Q156" s="21" t="n">
        <f aca="false">IF(OR($A156="",Q$4=""),0,COUNTIFS(Formulas!$A$2:$A$1501,Q$4,Formulas!$B$2:$B$1501,$A156))</f>
        <v>0</v>
      </c>
      <c r="R156" s="21" t="n">
        <f aca="false">IF(OR($A156="",R$4=""),0,COUNTIFS(Formulas!$A$2:$A$1501,R$4,Formulas!$B$2:$B$1501,$A156))</f>
        <v>0</v>
      </c>
      <c r="S156" s="21" t="n">
        <f aca="false">IF(OR($A156="",S$4=""),0,COUNTIFS(Formulas!$A$2:$A$1501,S$4,Formulas!$B$2:$B$1501,$A156))</f>
        <v>0</v>
      </c>
      <c r="T156" s="21" t="n">
        <f aca="false">IF(OR($A156="",T$4=""),0,COUNTIFS(Formulas!$A$2:$A$1501,T$4,Formulas!$B$2:$B$1501,$A156))</f>
        <v>0</v>
      </c>
      <c r="U156" s="21" t="n">
        <f aca="false">IF(OR($A156="",U$4=""),0,COUNTIFS(Formulas!$A$2:$A$1501,U$4,Formulas!$B$2:$B$1501,$A156))</f>
        <v>0</v>
      </c>
      <c r="V156" s="21" t="n">
        <f aca="false">IF(OR($A156="",V$4=""),0,COUNTIFS(Formulas!$A$2:$A$1501,V$4,Formulas!$B$2:$B$1501,$A156))</f>
        <v>0</v>
      </c>
      <c r="W156" s="21" t="n">
        <f aca="false">IF(OR($A156="",W$4=""),0,COUNTIFS(Formulas!$A$2:$A$1501,W$4,Formulas!$B$2:$B$1501,$A156))</f>
        <v>0</v>
      </c>
      <c r="X156" s="21" t="n">
        <f aca="false">IF(OR($A156="",X$4=""),0,COUNTIFS(Formulas!$A$2:$A$1501,X$4,Formulas!$B$2:$B$1501,$A156))</f>
        <v>0</v>
      </c>
      <c r="Y156" s="21" t="n">
        <f aca="false">IF(OR($A156="",Y$4=""),0,COUNTIFS(Formulas!$A$2:$A$1501,Y$4,Formulas!$B$2:$B$1501,$A156))</f>
        <v>0</v>
      </c>
      <c r="Z156" s="21" t="n">
        <f aca="false">IF(OR($A156="",Z$4=""),0,COUNTIFS(Formulas!$A$2:$A$1501,Z$4,Formulas!$B$2:$B$1501,$A156))</f>
        <v>0</v>
      </c>
      <c r="AA156" s="21" t="n">
        <f aca="false">IF(OR($A156="",AA$4=""),0,COUNTIFS(Formulas!$A$2:$A$1501,AA$4,Formulas!$B$2:$B$1501,$A156))</f>
        <v>0</v>
      </c>
      <c r="AB156" s="21" t="n">
        <f aca="false">IF(OR($A156="",AB$4=""),0,COUNTIFS(Formulas!$A$2:$A$1501,AB$4,Formulas!$B$2:$B$1501,$A156))</f>
        <v>0</v>
      </c>
      <c r="AC156" s="21" t="n">
        <f aca="false">IF(OR($A156="",AC$4=""),0,COUNTIFS(Formulas!$A$2:$A$1501,AC$4,Formulas!$B$2:$B$1501,$A156))</f>
        <v>0</v>
      </c>
      <c r="AD156" s="21" t="n">
        <f aca="false">IF(OR($A156="",AD$4=""),0,COUNTIFS(Formulas!$A$2:$A$1501,AD$4,Formulas!$B$2:$B$1501,$A156))</f>
        <v>0</v>
      </c>
      <c r="AE156" s="21" t="n">
        <f aca="false">IF(OR($A156="",AE$4=""),0,COUNTIFS(Formulas!$A$2:$A$1501,AE$4,Formulas!$B$2:$B$1501,$A156))</f>
        <v>0</v>
      </c>
      <c r="AF156" s="21" t="n">
        <f aca="false">IF(OR($A156="",AF$4=""),0,COUNTIFS(Formulas!$A$2:$A$1501,AF$4,Formulas!$B$2:$B$1501,$A156))</f>
        <v>0</v>
      </c>
      <c r="AG156" s="21" t="n">
        <f aca="false">IF(OR($A156="",AG$4=""),0,COUNTIFS(Formulas!$A$2:$A$1501,AG$4,Formulas!$B$2:$B$1501,$A156))</f>
        <v>0</v>
      </c>
      <c r="AH156" s="21" t="n">
        <f aca="false">IF(OR($A156="",AH$4=""),0,COUNTIFS(Formulas!$A$2:$A$1501,AH$4,Formulas!$B$2:$B$1501,$A156))</f>
        <v>0</v>
      </c>
      <c r="AI156" s="21" t="n">
        <f aca="false">IF(OR($A156="",AI$4=""),0,COUNTIFS(Formulas!$A$2:$A$1501,AI$4,Formulas!$B$2:$B$1501,$A156))</f>
        <v>0</v>
      </c>
      <c r="AJ156" s="21" t="n">
        <f aca="false">IF(OR($A156="",AJ$4=""),0,COUNTIFS(Formulas!$A$2:$A$1501,AJ$4,Formulas!$B$2:$B$1501,$A156))</f>
        <v>0</v>
      </c>
      <c r="AK156" s="21" t="n">
        <f aca="false">IF(OR($A156="",AK$4=""),0,COUNTIFS(Formulas!$A$2:$A$1501,AK$4,Formulas!$B$2:$B$1501,$A156))</f>
        <v>0</v>
      </c>
      <c r="AL156" s="21" t="n">
        <f aca="false">IF(OR($A156="",AL$4=""),0,COUNTIFS(Formulas!$A$2:$A$1501,AL$4,Formulas!$B$2:$B$1501,$A156))</f>
        <v>0</v>
      </c>
      <c r="AM156" s="21" t="n">
        <f aca="false">IF(OR($A156="",AM$4=""),0,COUNTIFS(Formulas!$A$2:$A$1501,AM$4,Formulas!$B$2:$B$1501,$A156))</f>
        <v>0</v>
      </c>
      <c r="AN156" s="21" t="n">
        <f aca="false">IF(OR($A156="",AN$4=""),0,COUNTIFS(Formulas!$A$2:$A$1501,AN$4,Formulas!$B$2:$B$1501,$A156))</f>
        <v>0</v>
      </c>
      <c r="AO156" s="21" t="n">
        <f aca="false">IF(OR($A156="",AO$4=""),0,COUNTIFS(Formulas!$A$2:$A$1501,AO$4,Formulas!$B$2:$B$1501,$A156))</f>
        <v>0</v>
      </c>
      <c r="AP156" s="21" t="n">
        <f aca="false">IF(OR($A156="",AP$4=""),0,COUNTIFS(Formulas!$A$2:$A$1501,AP$4,Formulas!$B$2:$B$1501,$A156))</f>
        <v>0</v>
      </c>
      <c r="AQ156" s="21" t="n">
        <f aca="false">IF(OR($A156="",AQ$4=""),0,COUNTIFS(Formulas!$A$2:$A$1501,AQ$4,Formulas!$B$2:$B$1501,$A156))</f>
        <v>0</v>
      </c>
      <c r="AR156" s="21" t="n">
        <f aca="false">IF(OR($A156="",AR$4=""),0,COUNTIFS(Formulas!$A$2:$A$1501,AR$4,Formulas!$B$2:$B$1501,$A156))</f>
        <v>0</v>
      </c>
      <c r="AS156" s="21" t="n">
        <f aca="false">IF(OR($A156="",AS$4=""),0,COUNTIFS(Formulas!$A$2:$A$1501,AS$4,Formulas!$B$2:$B$1501,$A156))</f>
        <v>0</v>
      </c>
      <c r="AT156" s="21" t="n">
        <f aca="false">IF(OR($A156="",AT$4=""),0,COUNTIFS(Formulas!$A$2:$A$1501,AT$4,Formulas!$B$2:$B$1501,$A156))</f>
        <v>0</v>
      </c>
      <c r="AU156" s="21" t="n">
        <f aca="false">IF(OR($A156="",AU$4=""),0,COUNTIFS(Formulas!$A$2:$A$1501,AU$4,Formulas!$B$2:$B$1501,$A156))</f>
        <v>0</v>
      </c>
      <c r="AV156" s="21" t="n">
        <f aca="false">IF(OR($A156="",AV$4=""),0,COUNTIFS(Formulas!$A$2:$A$1501,AV$4,Formulas!$B$2:$B$1501,$A156))</f>
        <v>0</v>
      </c>
      <c r="AW156" s="21" t="n">
        <f aca="false">IF(OR($A156="",AW$4=""),0,COUNTIFS(Formulas!$A$2:$A$1501,AW$4,Formulas!$B$2:$B$1501,$A156))</f>
        <v>0</v>
      </c>
      <c r="AX156" s="21" t="n">
        <f aca="false">IF(OR($A156="",AX$4=""),0,COUNTIFS(Formulas!$A$2:$A$1501,AX$4,Formulas!$B$2:$B$1501,$A156))</f>
        <v>0</v>
      </c>
      <c r="AY156" s="21" t="n">
        <f aca="false">IF(OR($A156="",AY$4=""),0,COUNTIFS(Formulas!$A$2:$A$1501,AY$4,Formulas!$B$2:$B$1501,$A156))</f>
        <v>0</v>
      </c>
      <c r="AZ156" s="21" t="n">
        <f aca="false">IF(OR($A156="",AZ$4=""),0,COUNTIFS(Formulas!$A$2:$A$1501,AZ$4,Formulas!$B$2:$B$1501,$A156))</f>
        <v>0</v>
      </c>
      <c r="BA156" s="21" t="n">
        <f aca="false">IF(OR($A156="",BA$4=""),0,COUNTIFS(Formulas!$A$2:$A$1501,BA$4,Formulas!$B$2:$B$1501,$A156))</f>
        <v>0</v>
      </c>
      <c r="BB156" s="21" t="n">
        <f aca="false">IF(OR($A156="",BB$4=""),0,COUNTIFS(Formulas!$A$2:$A$1501,BB$4,Formulas!$B$2:$B$1501,$A156))</f>
        <v>0</v>
      </c>
      <c r="BC156" s="21" t="n">
        <f aca="false">IF(OR($A156="",BC$4=""),0,COUNTIFS(Formulas!$A$2:$A$1501,BC$4,Formulas!$B$2:$B$1501,$A156))</f>
        <v>0</v>
      </c>
      <c r="BD156" s="21" t="n">
        <f aca="false">IF(OR($A156="",BD$4=""),0,COUNTIFS(Formulas!$A$2:$A$1501,BD$4,Formulas!$B$2:$B$1501,$A156))</f>
        <v>0</v>
      </c>
      <c r="BE156" s="21" t="n">
        <f aca="false">IF(OR($A156="",BE$4=""),0,COUNTIFS(Formulas!$A$2:$A$1501,BE$4,Formulas!$B$2:$B$1501,$A156))</f>
        <v>0</v>
      </c>
      <c r="BF156" s="21" t="n">
        <f aca="false">IF(OR($A156="",BF$4=""),0,COUNTIFS(Formulas!$A$2:$A$1501,BF$4,Formulas!$B$2:$B$1501,$A156))</f>
        <v>0</v>
      </c>
      <c r="BG156" s="21" t="n">
        <f aca="false">IF(OR($A156="",BG$4=""),0,COUNTIFS(Formulas!$A$2:$A$1501,BG$4,Formulas!$B$2:$B$1501,$A156))</f>
        <v>0</v>
      </c>
      <c r="BH156" s="21" t="n">
        <f aca="false">IF(OR($A156="",BH$4=""),0,COUNTIFS(Formulas!$A$2:$A$1501,BH$4,Formulas!$B$2:$B$1501,$A156))</f>
        <v>0</v>
      </c>
      <c r="BI156" s="21" t="n">
        <f aca="false">IF(OR($A156="",BI$4=""),0,COUNTIFS(Formulas!$A$2:$A$1501,BI$4,Formulas!$B$2:$B$1501,$A156))</f>
        <v>0</v>
      </c>
      <c r="BJ156" s="21" t="n">
        <f aca="false">IF(OR($A156="",BJ$4=""),0,COUNTIFS(Formulas!$A$2:$A$1501,BJ$4,Formulas!$B$2:$B$1501,$A156))</f>
        <v>0</v>
      </c>
    </row>
    <row r="157" customFormat="false" ht="15" hidden="false" customHeight="false" outlineLevel="0" collapsed="false">
      <c r="A157" s="13" t="str">
        <f aca="false">IF(INDEX(Materials!$A$2:$A$201,153)="","",INDEX(Materials!$A$2:$A$201,153))</f>
        <v/>
      </c>
      <c r="B157" s="19" t="str">
        <f aca="false">IF(A157="","",COUNTIF(C157:BJ157,"&gt;0"))</f>
        <v/>
      </c>
      <c r="C157" s="21" t="n">
        <f aca="false">IF(OR($A157="",C$4=""),0,COUNTIFS(Formulas!$A$2:$A$1501,C$4,Formulas!$B$2:$B$1501,$A157))</f>
        <v>0</v>
      </c>
      <c r="D157" s="21" t="n">
        <f aca="false">IF(OR($A157="",D$4=""),0,COUNTIFS(Formulas!$A$2:$A$1501,D$4,Formulas!$B$2:$B$1501,$A157))</f>
        <v>0</v>
      </c>
      <c r="E157" s="21" t="n">
        <f aca="false">IF(OR($A157="",E$4=""),0,COUNTIFS(Formulas!$A$2:$A$1501,E$4,Formulas!$B$2:$B$1501,$A157))</f>
        <v>0</v>
      </c>
      <c r="F157" s="21" t="n">
        <f aca="false">IF(OR($A157="",F$4=""),0,COUNTIFS(Formulas!$A$2:$A$1501,F$4,Formulas!$B$2:$B$1501,$A157))</f>
        <v>0</v>
      </c>
      <c r="G157" s="21" t="n">
        <f aca="false">IF(OR($A157="",G$4=""),0,COUNTIFS(Formulas!$A$2:$A$1501,G$4,Formulas!$B$2:$B$1501,$A157))</f>
        <v>0</v>
      </c>
      <c r="H157" s="21" t="n">
        <f aca="false">IF(OR($A157="",H$4=""),0,COUNTIFS(Formulas!$A$2:$A$1501,H$4,Formulas!$B$2:$B$1501,$A157))</f>
        <v>0</v>
      </c>
      <c r="I157" s="21" t="n">
        <f aca="false">IF(OR($A157="",I$4=""),0,COUNTIFS(Formulas!$A$2:$A$1501,I$4,Formulas!$B$2:$B$1501,$A157))</f>
        <v>0</v>
      </c>
      <c r="J157" s="21" t="n">
        <f aca="false">IF(OR($A157="",J$4=""),0,COUNTIFS(Formulas!$A$2:$A$1501,J$4,Formulas!$B$2:$B$1501,$A157))</f>
        <v>0</v>
      </c>
      <c r="K157" s="21" t="n">
        <f aca="false">IF(OR($A157="",K$4=""),0,COUNTIFS(Formulas!$A$2:$A$1501,K$4,Formulas!$B$2:$B$1501,$A157))</f>
        <v>0</v>
      </c>
      <c r="L157" s="21" t="n">
        <f aca="false">IF(OR($A157="",L$4=""),0,COUNTIFS(Formulas!$A$2:$A$1501,L$4,Formulas!$B$2:$B$1501,$A157))</f>
        <v>0</v>
      </c>
      <c r="M157" s="21" t="n">
        <f aca="false">IF(OR($A157="",M$4=""),0,COUNTIFS(Formulas!$A$2:$A$1501,M$4,Formulas!$B$2:$B$1501,$A157))</f>
        <v>0</v>
      </c>
      <c r="N157" s="21" t="n">
        <f aca="false">IF(OR($A157="",N$4=""),0,COUNTIFS(Formulas!$A$2:$A$1501,N$4,Formulas!$B$2:$B$1501,$A157))</f>
        <v>0</v>
      </c>
      <c r="O157" s="21" t="n">
        <f aca="false">IF(OR($A157="",O$4=""),0,COUNTIFS(Formulas!$A$2:$A$1501,O$4,Formulas!$B$2:$B$1501,$A157))</f>
        <v>0</v>
      </c>
      <c r="P157" s="21" t="n">
        <f aca="false">IF(OR($A157="",P$4=""),0,COUNTIFS(Formulas!$A$2:$A$1501,P$4,Formulas!$B$2:$B$1501,$A157))</f>
        <v>0</v>
      </c>
      <c r="Q157" s="21" t="n">
        <f aca="false">IF(OR($A157="",Q$4=""),0,COUNTIFS(Formulas!$A$2:$A$1501,Q$4,Formulas!$B$2:$B$1501,$A157))</f>
        <v>0</v>
      </c>
      <c r="R157" s="21" t="n">
        <f aca="false">IF(OR($A157="",R$4=""),0,COUNTIFS(Formulas!$A$2:$A$1501,R$4,Formulas!$B$2:$B$1501,$A157))</f>
        <v>0</v>
      </c>
      <c r="S157" s="21" t="n">
        <f aca="false">IF(OR($A157="",S$4=""),0,COUNTIFS(Formulas!$A$2:$A$1501,S$4,Formulas!$B$2:$B$1501,$A157))</f>
        <v>0</v>
      </c>
      <c r="T157" s="21" t="n">
        <f aca="false">IF(OR($A157="",T$4=""),0,COUNTIFS(Formulas!$A$2:$A$1501,T$4,Formulas!$B$2:$B$1501,$A157))</f>
        <v>0</v>
      </c>
      <c r="U157" s="21" t="n">
        <f aca="false">IF(OR($A157="",U$4=""),0,COUNTIFS(Formulas!$A$2:$A$1501,U$4,Formulas!$B$2:$B$1501,$A157))</f>
        <v>0</v>
      </c>
      <c r="V157" s="21" t="n">
        <f aca="false">IF(OR($A157="",V$4=""),0,COUNTIFS(Formulas!$A$2:$A$1501,V$4,Formulas!$B$2:$B$1501,$A157))</f>
        <v>0</v>
      </c>
      <c r="W157" s="21" t="n">
        <f aca="false">IF(OR($A157="",W$4=""),0,COUNTIFS(Formulas!$A$2:$A$1501,W$4,Formulas!$B$2:$B$1501,$A157))</f>
        <v>0</v>
      </c>
      <c r="X157" s="21" t="n">
        <f aca="false">IF(OR($A157="",X$4=""),0,COUNTIFS(Formulas!$A$2:$A$1501,X$4,Formulas!$B$2:$B$1501,$A157))</f>
        <v>0</v>
      </c>
      <c r="Y157" s="21" t="n">
        <f aca="false">IF(OR($A157="",Y$4=""),0,COUNTIFS(Formulas!$A$2:$A$1501,Y$4,Formulas!$B$2:$B$1501,$A157))</f>
        <v>0</v>
      </c>
      <c r="Z157" s="21" t="n">
        <f aca="false">IF(OR($A157="",Z$4=""),0,COUNTIFS(Formulas!$A$2:$A$1501,Z$4,Formulas!$B$2:$B$1501,$A157))</f>
        <v>0</v>
      </c>
      <c r="AA157" s="21" t="n">
        <f aca="false">IF(OR($A157="",AA$4=""),0,COUNTIFS(Formulas!$A$2:$A$1501,AA$4,Formulas!$B$2:$B$1501,$A157))</f>
        <v>0</v>
      </c>
      <c r="AB157" s="21" t="n">
        <f aca="false">IF(OR($A157="",AB$4=""),0,COUNTIFS(Formulas!$A$2:$A$1501,AB$4,Formulas!$B$2:$B$1501,$A157))</f>
        <v>0</v>
      </c>
      <c r="AC157" s="21" t="n">
        <f aca="false">IF(OR($A157="",AC$4=""),0,COUNTIFS(Formulas!$A$2:$A$1501,AC$4,Formulas!$B$2:$B$1501,$A157))</f>
        <v>0</v>
      </c>
      <c r="AD157" s="21" t="n">
        <f aca="false">IF(OR($A157="",AD$4=""),0,COUNTIFS(Formulas!$A$2:$A$1501,AD$4,Formulas!$B$2:$B$1501,$A157))</f>
        <v>0</v>
      </c>
      <c r="AE157" s="21" t="n">
        <f aca="false">IF(OR($A157="",AE$4=""),0,COUNTIFS(Formulas!$A$2:$A$1501,AE$4,Formulas!$B$2:$B$1501,$A157))</f>
        <v>0</v>
      </c>
      <c r="AF157" s="21" t="n">
        <f aca="false">IF(OR($A157="",AF$4=""),0,COUNTIFS(Formulas!$A$2:$A$1501,AF$4,Formulas!$B$2:$B$1501,$A157))</f>
        <v>0</v>
      </c>
      <c r="AG157" s="21" t="n">
        <f aca="false">IF(OR($A157="",AG$4=""),0,COUNTIFS(Formulas!$A$2:$A$1501,AG$4,Formulas!$B$2:$B$1501,$A157))</f>
        <v>0</v>
      </c>
      <c r="AH157" s="21" t="n">
        <f aca="false">IF(OR($A157="",AH$4=""),0,COUNTIFS(Formulas!$A$2:$A$1501,AH$4,Formulas!$B$2:$B$1501,$A157))</f>
        <v>0</v>
      </c>
      <c r="AI157" s="21" t="n">
        <f aca="false">IF(OR($A157="",AI$4=""),0,COUNTIFS(Formulas!$A$2:$A$1501,AI$4,Formulas!$B$2:$B$1501,$A157))</f>
        <v>0</v>
      </c>
      <c r="AJ157" s="21" t="n">
        <f aca="false">IF(OR($A157="",AJ$4=""),0,COUNTIFS(Formulas!$A$2:$A$1501,AJ$4,Formulas!$B$2:$B$1501,$A157))</f>
        <v>0</v>
      </c>
      <c r="AK157" s="21" t="n">
        <f aca="false">IF(OR($A157="",AK$4=""),0,COUNTIFS(Formulas!$A$2:$A$1501,AK$4,Formulas!$B$2:$B$1501,$A157))</f>
        <v>0</v>
      </c>
      <c r="AL157" s="21" t="n">
        <f aca="false">IF(OR($A157="",AL$4=""),0,COUNTIFS(Formulas!$A$2:$A$1501,AL$4,Formulas!$B$2:$B$1501,$A157))</f>
        <v>0</v>
      </c>
      <c r="AM157" s="21" t="n">
        <f aca="false">IF(OR($A157="",AM$4=""),0,COUNTIFS(Formulas!$A$2:$A$1501,AM$4,Formulas!$B$2:$B$1501,$A157))</f>
        <v>0</v>
      </c>
      <c r="AN157" s="21" t="n">
        <f aca="false">IF(OR($A157="",AN$4=""),0,COUNTIFS(Formulas!$A$2:$A$1501,AN$4,Formulas!$B$2:$B$1501,$A157))</f>
        <v>0</v>
      </c>
      <c r="AO157" s="21" t="n">
        <f aca="false">IF(OR($A157="",AO$4=""),0,COUNTIFS(Formulas!$A$2:$A$1501,AO$4,Formulas!$B$2:$B$1501,$A157))</f>
        <v>0</v>
      </c>
      <c r="AP157" s="21" t="n">
        <f aca="false">IF(OR($A157="",AP$4=""),0,COUNTIFS(Formulas!$A$2:$A$1501,AP$4,Formulas!$B$2:$B$1501,$A157))</f>
        <v>0</v>
      </c>
      <c r="AQ157" s="21" t="n">
        <f aca="false">IF(OR($A157="",AQ$4=""),0,COUNTIFS(Formulas!$A$2:$A$1501,AQ$4,Formulas!$B$2:$B$1501,$A157))</f>
        <v>0</v>
      </c>
      <c r="AR157" s="21" t="n">
        <f aca="false">IF(OR($A157="",AR$4=""),0,COUNTIFS(Formulas!$A$2:$A$1501,AR$4,Formulas!$B$2:$B$1501,$A157))</f>
        <v>0</v>
      </c>
      <c r="AS157" s="21" t="n">
        <f aca="false">IF(OR($A157="",AS$4=""),0,COUNTIFS(Formulas!$A$2:$A$1501,AS$4,Formulas!$B$2:$B$1501,$A157))</f>
        <v>0</v>
      </c>
      <c r="AT157" s="21" t="n">
        <f aca="false">IF(OR($A157="",AT$4=""),0,COUNTIFS(Formulas!$A$2:$A$1501,AT$4,Formulas!$B$2:$B$1501,$A157))</f>
        <v>0</v>
      </c>
      <c r="AU157" s="21" t="n">
        <f aca="false">IF(OR($A157="",AU$4=""),0,COUNTIFS(Formulas!$A$2:$A$1501,AU$4,Formulas!$B$2:$B$1501,$A157))</f>
        <v>0</v>
      </c>
      <c r="AV157" s="21" t="n">
        <f aca="false">IF(OR($A157="",AV$4=""),0,COUNTIFS(Formulas!$A$2:$A$1501,AV$4,Formulas!$B$2:$B$1501,$A157))</f>
        <v>0</v>
      </c>
      <c r="AW157" s="21" t="n">
        <f aca="false">IF(OR($A157="",AW$4=""),0,COUNTIFS(Formulas!$A$2:$A$1501,AW$4,Formulas!$B$2:$B$1501,$A157))</f>
        <v>0</v>
      </c>
      <c r="AX157" s="21" t="n">
        <f aca="false">IF(OR($A157="",AX$4=""),0,COUNTIFS(Formulas!$A$2:$A$1501,AX$4,Formulas!$B$2:$B$1501,$A157))</f>
        <v>0</v>
      </c>
      <c r="AY157" s="21" t="n">
        <f aca="false">IF(OR($A157="",AY$4=""),0,COUNTIFS(Formulas!$A$2:$A$1501,AY$4,Formulas!$B$2:$B$1501,$A157))</f>
        <v>0</v>
      </c>
      <c r="AZ157" s="21" t="n">
        <f aca="false">IF(OR($A157="",AZ$4=""),0,COUNTIFS(Formulas!$A$2:$A$1501,AZ$4,Formulas!$B$2:$B$1501,$A157))</f>
        <v>0</v>
      </c>
      <c r="BA157" s="21" t="n">
        <f aca="false">IF(OR($A157="",BA$4=""),0,COUNTIFS(Formulas!$A$2:$A$1501,BA$4,Formulas!$B$2:$B$1501,$A157))</f>
        <v>0</v>
      </c>
      <c r="BB157" s="21" t="n">
        <f aca="false">IF(OR($A157="",BB$4=""),0,COUNTIFS(Formulas!$A$2:$A$1501,BB$4,Formulas!$B$2:$B$1501,$A157))</f>
        <v>0</v>
      </c>
      <c r="BC157" s="21" t="n">
        <f aca="false">IF(OR($A157="",BC$4=""),0,COUNTIFS(Formulas!$A$2:$A$1501,BC$4,Formulas!$B$2:$B$1501,$A157))</f>
        <v>0</v>
      </c>
      <c r="BD157" s="21" t="n">
        <f aca="false">IF(OR($A157="",BD$4=""),0,COUNTIFS(Formulas!$A$2:$A$1501,BD$4,Formulas!$B$2:$B$1501,$A157))</f>
        <v>0</v>
      </c>
      <c r="BE157" s="21" t="n">
        <f aca="false">IF(OR($A157="",BE$4=""),0,COUNTIFS(Formulas!$A$2:$A$1501,BE$4,Formulas!$B$2:$B$1501,$A157))</f>
        <v>0</v>
      </c>
      <c r="BF157" s="21" t="n">
        <f aca="false">IF(OR($A157="",BF$4=""),0,COUNTIFS(Formulas!$A$2:$A$1501,BF$4,Formulas!$B$2:$B$1501,$A157))</f>
        <v>0</v>
      </c>
      <c r="BG157" s="21" t="n">
        <f aca="false">IF(OR($A157="",BG$4=""),0,COUNTIFS(Formulas!$A$2:$A$1501,BG$4,Formulas!$B$2:$B$1501,$A157))</f>
        <v>0</v>
      </c>
      <c r="BH157" s="21" t="n">
        <f aca="false">IF(OR($A157="",BH$4=""),0,COUNTIFS(Formulas!$A$2:$A$1501,BH$4,Formulas!$B$2:$B$1501,$A157))</f>
        <v>0</v>
      </c>
      <c r="BI157" s="21" t="n">
        <f aca="false">IF(OR($A157="",BI$4=""),0,COUNTIFS(Formulas!$A$2:$A$1501,BI$4,Formulas!$B$2:$B$1501,$A157))</f>
        <v>0</v>
      </c>
      <c r="BJ157" s="21" t="n">
        <f aca="false">IF(OR($A157="",BJ$4=""),0,COUNTIFS(Formulas!$A$2:$A$1501,BJ$4,Formulas!$B$2:$B$1501,$A157))</f>
        <v>0</v>
      </c>
    </row>
    <row r="158" customFormat="false" ht="15" hidden="false" customHeight="false" outlineLevel="0" collapsed="false">
      <c r="A158" s="13" t="str">
        <f aca="false">IF(INDEX(Materials!$A$2:$A$201,154)="","",INDEX(Materials!$A$2:$A$201,154))</f>
        <v/>
      </c>
      <c r="B158" s="19" t="str">
        <f aca="false">IF(A158="","",COUNTIF(C158:BJ158,"&gt;0"))</f>
        <v/>
      </c>
      <c r="C158" s="21" t="n">
        <f aca="false">IF(OR($A158="",C$4=""),0,COUNTIFS(Formulas!$A$2:$A$1501,C$4,Formulas!$B$2:$B$1501,$A158))</f>
        <v>0</v>
      </c>
      <c r="D158" s="21" t="n">
        <f aca="false">IF(OR($A158="",D$4=""),0,COUNTIFS(Formulas!$A$2:$A$1501,D$4,Formulas!$B$2:$B$1501,$A158))</f>
        <v>0</v>
      </c>
      <c r="E158" s="21" t="n">
        <f aca="false">IF(OR($A158="",E$4=""),0,COUNTIFS(Formulas!$A$2:$A$1501,E$4,Formulas!$B$2:$B$1501,$A158))</f>
        <v>0</v>
      </c>
      <c r="F158" s="21" t="n">
        <f aca="false">IF(OR($A158="",F$4=""),0,COUNTIFS(Formulas!$A$2:$A$1501,F$4,Formulas!$B$2:$B$1501,$A158))</f>
        <v>0</v>
      </c>
      <c r="G158" s="21" t="n">
        <f aca="false">IF(OR($A158="",G$4=""),0,COUNTIFS(Formulas!$A$2:$A$1501,G$4,Formulas!$B$2:$B$1501,$A158))</f>
        <v>0</v>
      </c>
      <c r="H158" s="21" t="n">
        <f aca="false">IF(OR($A158="",H$4=""),0,COUNTIFS(Formulas!$A$2:$A$1501,H$4,Formulas!$B$2:$B$1501,$A158))</f>
        <v>0</v>
      </c>
      <c r="I158" s="21" t="n">
        <f aca="false">IF(OR($A158="",I$4=""),0,COUNTIFS(Formulas!$A$2:$A$1501,I$4,Formulas!$B$2:$B$1501,$A158))</f>
        <v>0</v>
      </c>
      <c r="J158" s="21" t="n">
        <f aca="false">IF(OR($A158="",J$4=""),0,COUNTIFS(Formulas!$A$2:$A$1501,J$4,Formulas!$B$2:$B$1501,$A158))</f>
        <v>0</v>
      </c>
      <c r="K158" s="21" t="n">
        <f aca="false">IF(OR($A158="",K$4=""),0,COUNTIFS(Formulas!$A$2:$A$1501,K$4,Formulas!$B$2:$B$1501,$A158))</f>
        <v>0</v>
      </c>
      <c r="L158" s="21" t="n">
        <f aca="false">IF(OR($A158="",L$4=""),0,COUNTIFS(Formulas!$A$2:$A$1501,L$4,Formulas!$B$2:$B$1501,$A158))</f>
        <v>0</v>
      </c>
      <c r="M158" s="21" t="n">
        <f aca="false">IF(OR($A158="",M$4=""),0,COUNTIFS(Formulas!$A$2:$A$1501,M$4,Formulas!$B$2:$B$1501,$A158))</f>
        <v>0</v>
      </c>
      <c r="N158" s="21" t="n">
        <f aca="false">IF(OR($A158="",N$4=""),0,COUNTIFS(Formulas!$A$2:$A$1501,N$4,Formulas!$B$2:$B$1501,$A158))</f>
        <v>0</v>
      </c>
      <c r="O158" s="21" t="n">
        <f aca="false">IF(OR($A158="",O$4=""),0,COUNTIFS(Formulas!$A$2:$A$1501,O$4,Formulas!$B$2:$B$1501,$A158))</f>
        <v>0</v>
      </c>
      <c r="P158" s="21" t="n">
        <f aca="false">IF(OR($A158="",P$4=""),0,COUNTIFS(Formulas!$A$2:$A$1501,P$4,Formulas!$B$2:$B$1501,$A158))</f>
        <v>0</v>
      </c>
      <c r="Q158" s="21" t="n">
        <f aca="false">IF(OR($A158="",Q$4=""),0,COUNTIFS(Formulas!$A$2:$A$1501,Q$4,Formulas!$B$2:$B$1501,$A158))</f>
        <v>0</v>
      </c>
      <c r="R158" s="21" t="n">
        <f aca="false">IF(OR($A158="",R$4=""),0,COUNTIFS(Formulas!$A$2:$A$1501,R$4,Formulas!$B$2:$B$1501,$A158))</f>
        <v>0</v>
      </c>
      <c r="S158" s="21" t="n">
        <f aca="false">IF(OR($A158="",S$4=""),0,COUNTIFS(Formulas!$A$2:$A$1501,S$4,Formulas!$B$2:$B$1501,$A158))</f>
        <v>0</v>
      </c>
      <c r="T158" s="21" t="n">
        <f aca="false">IF(OR($A158="",T$4=""),0,COUNTIFS(Formulas!$A$2:$A$1501,T$4,Formulas!$B$2:$B$1501,$A158))</f>
        <v>0</v>
      </c>
      <c r="U158" s="21" t="n">
        <f aca="false">IF(OR($A158="",U$4=""),0,COUNTIFS(Formulas!$A$2:$A$1501,U$4,Formulas!$B$2:$B$1501,$A158))</f>
        <v>0</v>
      </c>
      <c r="V158" s="21" t="n">
        <f aca="false">IF(OR($A158="",V$4=""),0,COUNTIFS(Formulas!$A$2:$A$1501,V$4,Formulas!$B$2:$B$1501,$A158))</f>
        <v>0</v>
      </c>
      <c r="W158" s="21" t="n">
        <f aca="false">IF(OR($A158="",W$4=""),0,COUNTIFS(Formulas!$A$2:$A$1501,W$4,Formulas!$B$2:$B$1501,$A158))</f>
        <v>0</v>
      </c>
      <c r="X158" s="21" t="n">
        <f aca="false">IF(OR($A158="",X$4=""),0,COUNTIFS(Formulas!$A$2:$A$1501,X$4,Formulas!$B$2:$B$1501,$A158))</f>
        <v>0</v>
      </c>
      <c r="Y158" s="21" t="n">
        <f aca="false">IF(OR($A158="",Y$4=""),0,COUNTIFS(Formulas!$A$2:$A$1501,Y$4,Formulas!$B$2:$B$1501,$A158))</f>
        <v>0</v>
      </c>
      <c r="Z158" s="21" t="n">
        <f aca="false">IF(OR($A158="",Z$4=""),0,COUNTIFS(Formulas!$A$2:$A$1501,Z$4,Formulas!$B$2:$B$1501,$A158))</f>
        <v>0</v>
      </c>
      <c r="AA158" s="21" t="n">
        <f aca="false">IF(OR($A158="",AA$4=""),0,COUNTIFS(Formulas!$A$2:$A$1501,AA$4,Formulas!$B$2:$B$1501,$A158))</f>
        <v>0</v>
      </c>
      <c r="AB158" s="21" t="n">
        <f aca="false">IF(OR($A158="",AB$4=""),0,COUNTIFS(Formulas!$A$2:$A$1501,AB$4,Formulas!$B$2:$B$1501,$A158))</f>
        <v>0</v>
      </c>
      <c r="AC158" s="21" t="n">
        <f aca="false">IF(OR($A158="",AC$4=""),0,COUNTIFS(Formulas!$A$2:$A$1501,AC$4,Formulas!$B$2:$B$1501,$A158))</f>
        <v>0</v>
      </c>
      <c r="AD158" s="21" t="n">
        <f aca="false">IF(OR($A158="",AD$4=""),0,COUNTIFS(Formulas!$A$2:$A$1501,AD$4,Formulas!$B$2:$B$1501,$A158))</f>
        <v>0</v>
      </c>
      <c r="AE158" s="21" t="n">
        <f aca="false">IF(OR($A158="",AE$4=""),0,COUNTIFS(Formulas!$A$2:$A$1501,AE$4,Formulas!$B$2:$B$1501,$A158))</f>
        <v>0</v>
      </c>
      <c r="AF158" s="21" t="n">
        <f aca="false">IF(OR($A158="",AF$4=""),0,COUNTIFS(Formulas!$A$2:$A$1501,AF$4,Formulas!$B$2:$B$1501,$A158))</f>
        <v>0</v>
      </c>
      <c r="AG158" s="21" t="n">
        <f aca="false">IF(OR($A158="",AG$4=""),0,COUNTIFS(Formulas!$A$2:$A$1501,AG$4,Formulas!$B$2:$B$1501,$A158))</f>
        <v>0</v>
      </c>
      <c r="AH158" s="21" t="n">
        <f aca="false">IF(OR($A158="",AH$4=""),0,COUNTIFS(Formulas!$A$2:$A$1501,AH$4,Formulas!$B$2:$B$1501,$A158))</f>
        <v>0</v>
      </c>
      <c r="AI158" s="21" t="n">
        <f aca="false">IF(OR($A158="",AI$4=""),0,COUNTIFS(Formulas!$A$2:$A$1501,AI$4,Formulas!$B$2:$B$1501,$A158))</f>
        <v>0</v>
      </c>
      <c r="AJ158" s="21" t="n">
        <f aca="false">IF(OR($A158="",AJ$4=""),0,COUNTIFS(Formulas!$A$2:$A$1501,AJ$4,Formulas!$B$2:$B$1501,$A158))</f>
        <v>0</v>
      </c>
      <c r="AK158" s="21" t="n">
        <f aca="false">IF(OR($A158="",AK$4=""),0,COUNTIFS(Formulas!$A$2:$A$1501,AK$4,Formulas!$B$2:$B$1501,$A158))</f>
        <v>0</v>
      </c>
      <c r="AL158" s="21" t="n">
        <f aca="false">IF(OR($A158="",AL$4=""),0,COUNTIFS(Formulas!$A$2:$A$1501,AL$4,Formulas!$B$2:$B$1501,$A158))</f>
        <v>0</v>
      </c>
      <c r="AM158" s="21" t="n">
        <f aca="false">IF(OR($A158="",AM$4=""),0,COUNTIFS(Formulas!$A$2:$A$1501,AM$4,Formulas!$B$2:$B$1501,$A158))</f>
        <v>0</v>
      </c>
      <c r="AN158" s="21" t="n">
        <f aca="false">IF(OR($A158="",AN$4=""),0,COUNTIFS(Formulas!$A$2:$A$1501,AN$4,Formulas!$B$2:$B$1501,$A158))</f>
        <v>0</v>
      </c>
      <c r="AO158" s="21" t="n">
        <f aca="false">IF(OR($A158="",AO$4=""),0,COUNTIFS(Formulas!$A$2:$A$1501,AO$4,Formulas!$B$2:$B$1501,$A158))</f>
        <v>0</v>
      </c>
      <c r="AP158" s="21" t="n">
        <f aca="false">IF(OR($A158="",AP$4=""),0,COUNTIFS(Formulas!$A$2:$A$1501,AP$4,Formulas!$B$2:$B$1501,$A158))</f>
        <v>0</v>
      </c>
      <c r="AQ158" s="21" t="n">
        <f aca="false">IF(OR($A158="",AQ$4=""),0,COUNTIFS(Formulas!$A$2:$A$1501,AQ$4,Formulas!$B$2:$B$1501,$A158))</f>
        <v>0</v>
      </c>
      <c r="AR158" s="21" t="n">
        <f aca="false">IF(OR($A158="",AR$4=""),0,COUNTIFS(Formulas!$A$2:$A$1501,AR$4,Formulas!$B$2:$B$1501,$A158))</f>
        <v>0</v>
      </c>
      <c r="AS158" s="21" t="n">
        <f aca="false">IF(OR($A158="",AS$4=""),0,COUNTIFS(Formulas!$A$2:$A$1501,AS$4,Formulas!$B$2:$B$1501,$A158))</f>
        <v>0</v>
      </c>
      <c r="AT158" s="21" t="n">
        <f aca="false">IF(OR($A158="",AT$4=""),0,COUNTIFS(Formulas!$A$2:$A$1501,AT$4,Formulas!$B$2:$B$1501,$A158))</f>
        <v>0</v>
      </c>
      <c r="AU158" s="21" t="n">
        <f aca="false">IF(OR($A158="",AU$4=""),0,COUNTIFS(Formulas!$A$2:$A$1501,AU$4,Formulas!$B$2:$B$1501,$A158))</f>
        <v>0</v>
      </c>
      <c r="AV158" s="21" t="n">
        <f aca="false">IF(OR($A158="",AV$4=""),0,COUNTIFS(Formulas!$A$2:$A$1501,AV$4,Formulas!$B$2:$B$1501,$A158))</f>
        <v>0</v>
      </c>
      <c r="AW158" s="21" t="n">
        <f aca="false">IF(OR($A158="",AW$4=""),0,COUNTIFS(Formulas!$A$2:$A$1501,AW$4,Formulas!$B$2:$B$1501,$A158))</f>
        <v>0</v>
      </c>
      <c r="AX158" s="21" t="n">
        <f aca="false">IF(OR($A158="",AX$4=""),0,COUNTIFS(Formulas!$A$2:$A$1501,AX$4,Formulas!$B$2:$B$1501,$A158))</f>
        <v>0</v>
      </c>
      <c r="AY158" s="21" t="n">
        <f aca="false">IF(OR($A158="",AY$4=""),0,COUNTIFS(Formulas!$A$2:$A$1501,AY$4,Formulas!$B$2:$B$1501,$A158))</f>
        <v>0</v>
      </c>
      <c r="AZ158" s="21" t="n">
        <f aca="false">IF(OR($A158="",AZ$4=""),0,COUNTIFS(Formulas!$A$2:$A$1501,AZ$4,Formulas!$B$2:$B$1501,$A158))</f>
        <v>0</v>
      </c>
      <c r="BA158" s="21" t="n">
        <f aca="false">IF(OR($A158="",BA$4=""),0,COUNTIFS(Formulas!$A$2:$A$1501,BA$4,Formulas!$B$2:$B$1501,$A158))</f>
        <v>0</v>
      </c>
      <c r="BB158" s="21" t="n">
        <f aca="false">IF(OR($A158="",BB$4=""),0,COUNTIFS(Formulas!$A$2:$A$1501,BB$4,Formulas!$B$2:$B$1501,$A158))</f>
        <v>0</v>
      </c>
      <c r="BC158" s="21" t="n">
        <f aca="false">IF(OR($A158="",BC$4=""),0,COUNTIFS(Formulas!$A$2:$A$1501,BC$4,Formulas!$B$2:$B$1501,$A158))</f>
        <v>0</v>
      </c>
      <c r="BD158" s="21" t="n">
        <f aca="false">IF(OR($A158="",BD$4=""),0,COUNTIFS(Formulas!$A$2:$A$1501,BD$4,Formulas!$B$2:$B$1501,$A158))</f>
        <v>0</v>
      </c>
      <c r="BE158" s="21" t="n">
        <f aca="false">IF(OR($A158="",BE$4=""),0,COUNTIFS(Formulas!$A$2:$A$1501,BE$4,Formulas!$B$2:$B$1501,$A158))</f>
        <v>0</v>
      </c>
      <c r="BF158" s="21" t="n">
        <f aca="false">IF(OR($A158="",BF$4=""),0,COUNTIFS(Formulas!$A$2:$A$1501,BF$4,Formulas!$B$2:$B$1501,$A158))</f>
        <v>0</v>
      </c>
      <c r="BG158" s="21" t="n">
        <f aca="false">IF(OR($A158="",BG$4=""),0,COUNTIFS(Formulas!$A$2:$A$1501,BG$4,Formulas!$B$2:$B$1501,$A158))</f>
        <v>0</v>
      </c>
      <c r="BH158" s="21" t="n">
        <f aca="false">IF(OR($A158="",BH$4=""),0,COUNTIFS(Formulas!$A$2:$A$1501,BH$4,Formulas!$B$2:$B$1501,$A158))</f>
        <v>0</v>
      </c>
      <c r="BI158" s="21" t="n">
        <f aca="false">IF(OR($A158="",BI$4=""),0,COUNTIFS(Formulas!$A$2:$A$1501,BI$4,Formulas!$B$2:$B$1501,$A158))</f>
        <v>0</v>
      </c>
      <c r="BJ158" s="21" t="n">
        <f aca="false">IF(OR($A158="",BJ$4=""),0,COUNTIFS(Formulas!$A$2:$A$1501,BJ$4,Formulas!$B$2:$B$1501,$A158))</f>
        <v>0</v>
      </c>
    </row>
    <row r="159" customFormat="false" ht="15" hidden="false" customHeight="false" outlineLevel="0" collapsed="false">
      <c r="A159" s="13" t="str">
        <f aca="false">IF(INDEX(Materials!$A$2:$A$201,155)="","",INDEX(Materials!$A$2:$A$201,155))</f>
        <v/>
      </c>
      <c r="B159" s="19" t="str">
        <f aca="false">IF(A159="","",COUNTIF(C159:BJ159,"&gt;0"))</f>
        <v/>
      </c>
      <c r="C159" s="21" t="n">
        <f aca="false">IF(OR($A159="",C$4=""),0,COUNTIFS(Formulas!$A$2:$A$1501,C$4,Formulas!$B$2:$B$1501,$A159))</f>
        <v>0</v>
      </c>
      <c r="D159" s="21" t="n">
        <f aca="false">IF(OR($A159="",D$4=""),0,COUNTIFS(Formulas!$A$2:$A$1501,D$4,Formulas!$B$2:$B$1501,$A159))</f>
        <v>0</v>
      </c>
      <c r="E159" s="21" t="n">
        <f aca="false">IF(OR($A159="",E$4=""),0,COUNTIFS(Formulas!$A$2:$A$1501,E$4,Formulas!$B$2:$B$1501,$A159))</f>
        <v>0</v>
      </c>
      <c r="F159" s="21" t="n">
        <f aca="false">IF(OR($A159="",F$4=""),0,COUNTIFS(Formulas!$A$2:$A$1501,F$4,Formulas!$B$2:$B$1501,$A159))</f>
        <v>0</v>
      </c>
      <c r="G159" s="21" t="n">
        <f aca="false">IF(OR($A159="",G$4=""),0,COUNTIFS(Formulas!$A$2:$A$1501,G$4,Formulas!$B$2:$B$1501,$A159))</f>
        <v>0</v>
      </c>
      <c r="H159" s="21" t="n">
        <f aca="false">IF(OR($A159="",H$4=""),0,COUNTIFS(Formulas!$A$2:$A$1501,H$4,Formulas!$B$2:$B$1501,$A159))</f>
        <v>0</v>
      </c>
      <c r="I159" s="21" t="n">
        <f aca="false">IF(OR($A159="",I$4=""),0,COUNTIFS(Formulas!$A$2:$A$1501,I$4,Formulas!$B$2:$B$1501,$A159))</f>
        <v>0</v>
      </c>
      <c r="J159" s="21" t="n">
        <f aca="false">IF(OR($A159="",J$4=""),0,COUNTIFS(Formulas!$A$2:$A$1501,J$4,Formulas!$B$2:$B$1501,$A159))</f>
        <v>0</v>
      </c>
      <c r="K159" s="21" t="n">
        <f aca="false">IF(OR($A159="",K$4=""),0,COUNTIFS(Formulas!$A$2:$A$1501,K$4,Formulas!$B$2:$B$1501,$A159))</f>
        <v>0</v>
      </c>
      <c r="L159" s="21" t="n">
        <f aca="false">IF(OR($A159="",L$4=""),0,COUNTIFS(Formulas!$A$2:$A$1501,L$4,Formulas!$B$2:$B$1501,$A159))</f>
        <v>0</v>
      </c>
      <c r="M159" s="21" t="n">
        <f aca="false">IF(OR($A159="",M$4=""),0,COUNTIFS(Formulas!$A$2:$A$1501,M$4,Formulas!$B$2:$B$1501,$A159))</f>
        <v>0</v>
      </c>
      <c r="N159" s="21" t="n">
        <f aca="false">IF(OR($A159="",N$4=""),0,COUNTIFS(Formulas!$A$2:$A$1501,N$4,Formulas!$B$2:$B$1501,$A159))</f>
        <v>0</v>
      </c>
      <c r="O159" s="21" t="n">
        <f aca="false">IF(OR($A159="",O$4=""),0,COUNTIFS(Formulas!$A$2:$A$1501,O$4,Formulas!$B$2:$B$1501,$A159))</f>
        <v>0</v>
      </c>
      <c r="P159" s="21" t="n">
        <f aca="false">IF(OR($A159="",P$4=""),0,COUNTIFS(Formulas!$A$2:$A$1501,P$4,Formulas!$B$2:$B$1501,$A159))</f>
        <v>0</v>
      </c>
      <c r="Q159" s="21" t="n">
        <f aca="false">IF(OR($A159="",Q$4=""),0,COUNTIFS(Formulas!$A$2:$A$1501,Q$4,Formulas!$B$2:$B$1501,$A159))</f>
        <v>0</v>
      </c>
      <c r="R159" s="21" t="n">
        <f aca="false">IF(OR($A159="",R$4=""),0,COUNTIFS(Formulas!$A$2:$A$1501,R$4,Formulas!$B$2:$B$1501,$A159))</f>
        <v>0</v>
      </c>
      <c r="S159" s="21" t="n">
        <f aca="false">IF(OR($A159="",S$4=""),0,COUNTIFS(Formulas!$A$2:$A$1501,S$4,Formulas!$B$2:$B$1501,$A159))</f>
        <v>0</v>
      </c>
      <c r="T159" s="21" t="n">
        <f aca="false">IF(OR($A159="",T$4=""),0,COUNTIFS(Formulas!$A$2:$A$1501,T$4,Formulas!$B$2:$B$1501,$A159))</f>
        <v>0</v>
      </c>
      <c r="U159" s="21" t="n">
        <f aca="false">IF(OR($A159="",U$4=""),0,COUNTIFS(Formulas!$A$2:$A$1501,U$4,Formulas!$B$2:$B$1501,$A159))</f>
        <v>0</v>
      </c>
      <c r="V159" s="21" t="n">
        <f aca="false">IF(OR($A159="",V$4=""),0,COUNTIFS(Formulas!$A$2:$A$1501,V$4,Formulas!$B$2:$B$1501,$A159))</f>
        <v>0</v>
      </c>
      <c r="W159" s="21" t="n">
        <f aca="false">IF(OR($A159="",W$4=""),0,COUNTIFS(Formulas!$A$2:$A$1501,W$4,Formulas!$B$2:$B$1501,$A159))</f>
        <v>0</v>
      </c>
      <c r="X159" s="21" t="n">
        <f aca="false">IF(OR($A159="",X$4=""),0,COUNTIFS(Formulas!$A$2:$A$1501,X$4,Formulas!$B$2:$B$1501,$A159))</f>
        <v>0</v>
      </c>
      <c r="Y159" s="21" t="n">
        <f aca="false">IF(OR($A159="",Y$4=""),0,COUNTIFS(Formulas!$A$2:$A$1501,Y$4,Formulas!$B$2:$B$1501,$A159))</f>
        <v>0</v>
      </c>
      <c r="Z159" s="21" t="n">
        <f aca="false">IF(OR($A159="",Z$4=""),0,COUNTIFS(Formulas!$A$2:$A$1501,Z$4,Formulas!$B$2:$B$1501,$A159))</f>
        <v>0</v>
      </c>
      <c r="AA159" s="21" t="n">
        <f aca="false">IF(OR($A159="",AA$4=""),0,COUNTIFS(Formulas!$A$2:$A$1501,AA$4,Formulas!$B$2:$B$1501,$A159))</f>
        <v>0</v>
      </c>
      <c r="AB159" s="21" t="n">
        <f aca="false">IF(OR($A159="",AB$4=""),0,COUNTIFS(Formulas!$A$2:$A$1501,AB$4,Formulas!$B$2:$B$1501,$A159))</f>
        <v>0</v>
      </c>
      <c r="AC159" s="21" t="n">
        <f aca="false">IF(OR($A159="",AC$4=""),0,COUNTIFS(Formulas!$A$2:$A$1501,AC$4,Formulas!$B$2:$B$1501,$A159))</f>
        <v>0</v>
      </c>
      <c r="AD159" s="21" t="n">
        <f aca="false">IF(OR($A159="",AD$4=""),0,COUNTIFS(Formulas!$A$2:$A$1501,AD$4,Formulas!$B$2:$B$1501,$A159))</f>
        <v>0</v>
      </c>
      <c r="AE159" s="21" t="n">
        <f aca="false">IF(OR($A159="",AE$4=""),0,COUNTIFS(Formulas!$A$2:$A$1501,AE$4,Formulas!$B$2:$B$1501,$A159))</f>
        <v>0</v>
      </c>
      <c r="AF159" s="21" t="n">
        <f aca="false">IF(OR($A159="",AF$4=""),0,COUNTIFS(Formulas!$A$2:$A$1501,AF$4,Formulas!$B$2:$B$1501,$A159))</f>
        <v>0</v>
      </c>
      <c r="AG159" s="21" t="n">
        <f aca="false">IF(OR($A159="",AG$4=""),0,COUNTIFS(Formulas!$A$2:$A$1501,AG$4,Formulas!$B$2:$B$1501,$A159))</f>
        <v>0</v>
      </c>
      <c r="AH159" s="21" t="n">
        <f aca="false">IF(OR($A159="",AH$4=""),0,COUNTIFS(Formulas!$A$2:$A$1501,AH$4,Formulas!$B$2:$B$1501,$A159))</f>
        <v>0</v>
      </c>
      <c r="AI159" s="21" t="n">
        <f aca="false">IF(OR($A159="",AI$4=""),0,COUNTIFS(Formulas!$A$2:$A$1501,AI$4,Formulas!$B$2:$B$1501,$A159))</f>
        <v>0</v>
      </c>
      <c r="AJ159" s="21" t="n">
        <f aca="false">IF(OR($A159="",AJ$4=""),0,COUNTIFS(Formulas!$A$2:$A$1501,AJ$4,Formulas!$B$2:$B$1501,$A159))</f>
        <v>0</v>
      </c>
      <c r="AK159" s="21" t="n">
        <f aca="false">IF(OR($A159="",AK$4=""),0,COUNTIFS(Formulas!$A$2:$A$1501,AK$4,Formulas!$B$2:$B$1501,$A159))</f>
        <v>0</v>
      </c>
      <c r="AL159" s="21" t="n">
        <f aca="false">IF(OR($A159="",AL$4=""),0,COUNTIFS(Formulas!$A$2:$A$1501,AL$4,Formulas!$B$2:$B$1501,$A159))</f>
        <v>0</v>
      </c>
      <c r="AM159" s="21" t="n">
        <f aca="false">IF(OR($A159="",AM$4=""),0,COUNTIFS(Formulas!$A$2:$A$1501,AM$4,Formulas!$B$2:$B$1501,$A159))</f>
        <v>0</v>
      </c>
      <c r="AN159" s="21" t="n">
        <f aca="false">IF(OR($A159="",AN$4=""),0,COUNTIFS(Formulas!$A$2:$A$1501,AN$4,Formulas!$B$2:$B$1501,$A159))</f>
        <v>0</v>
      </c>
      <c r="AO159" s="21" t="n">
        <f aca="false">IF(OR($A159="",AO$4=""),0,COUNTIFS(Formulas!$A$2:$A$1501,AO$4,Formulas!$B$2:$B$1501,$A159))</f>
        <v>0</v>
      </c>
      <c r="AP159" s="21" t="n">
        <f aca="false">IF(OR($A159="",AP$4=""),0,COUNTIFS(Formulas!$A$2:$A$1501,AP$4,Formulas!$B$2:$B$1501,$A159))</f>
        <v>0</v>
      </c>
      <c r="AQ159" s="21" t="n">
        <f aca="false">IF(OR($A159="",AQ$4=""),0,COUNTIFS(Formulas!$A$2:$A$1501,AQ$4,Formulas!$B$2:$B$1501,$A159))</f>
        <v>0</v>
      </c>
      <c r="AR159" s="21" t="n">
        <f aca="false">IF(OR($A159="",AR$4=""),0,COUNTIFS(Formulas!$A$2:$A$1501,AR$4,Formulas!$B$2:$B$1501,$A159))</f>
        <v>0</v>
      </c>
      <c r="AS159" s="21" t="n">
        <f aca="false">IF(OR($A159="",AS$4=""),0,COUNTIFS(Formulas!$A$2:$A$1501,AS$4,Formulas!$B$2:$B$1501,$A159))</f>
        <v>0</v>
      </c>
      <c r="AT159" s="21" t="n">
        <f aca="false">IF(OR($A159="",AT$4=""),0,COUNTIFS(Formulas!$A$2:$A$1501,AT$4,Formulas!$B$2:$B$1501,$A159))</f>
        <v>0</v>
      </c>
      <c r="AU159" s="21" t="n">
        <f aca="false">IF(OR($A159="",AU$4=""),0,COUNTIFS(Formulas!$A$2:$A$1501,AU$4,Formulas!$B$2:$B$1501,$A159))</f>
        <v>0</v>
      </c>
      <c r="AV159" s="21" t="n">
        <f aca="false">IF(OR($A159="",AV$4=""),0,COUNTIFS(Formulas!$A$2:$A$1501,AV$4,Formulas!$B$2:$B$1501,$A159))</f>
        <v>0</v>
      </c>
      <c r="AW159" s="21" t="n">
        <f aca="false">IF(OR($A159="",AW$4=""),0,COUNTIFS(Formulas!$A$2:$A$1501,AW$4,Formulas!$B$2:$B$1501,$A159))</f>
        <v>0</v>
      </c>
      <c r="AX159" s="21" t="n">
        <f aca="false">IF(OR($A159="",AX$4=""),0,COUNTIFS(Formulas!$A$2:$A$1501,AX$4,Formulas!$B$2:$B$1501,$A159))</f>
        <v>0</v>
      </c>
      <c r="AY159" s="21" t="n">
        <f aca="false">IF(OR($A159="",AY$4=""),0,COUNTIFS(Formulas!$A$2:$A$1501,AY$4,Formulas!$B$2:$B$1501,$A159))</f>
        <v>0</v>
      </c>
      <c r="AZ159" s="21" t="n">
        <f aca="false">IF(OR($A159="",AZ$4=""),0,COUNTIFS(Formulas!$A$2:$A$1501,AZ$4,Formulas!$B$2:$B$1501,$A159))</f>
        <v>0</v>
      </c>
      <c r="BA159" s="21" t="n">
        <f aca="false">IF(OR($A159="",BA$4=""),0,COUNTIFS(Formulas!$A$2:$A$1501,BA$4,Formulas!$B$2:$B$1501,$A159))</f>
        <v>0</v>
      </c>
      <c r="BB159" s="21" t="n">
        <f aca="false">IF(OR($A159="",BB$4=""),0,COUNTIFS(Formulas!$A$2:$A$1501,BB$4,Formulas!$B$2:$B$1501,$A159))</f>
        <v>0</v>
      </c>
      <c r="BC159" s="21" t="n">
        <f aca="false">IF(OR($A159="",BC$4=""),0,COUNTIFS(Formulas!$A$2:$A$1501,BC$4,Formulas!$B$2:$B$1501,$A159))</f>
        <v>0</v>
      </c>
      <c r="BD159" s="21" t="n">
        <f aca="false">IF(OR($A159="",BD$4=""),0,COUNTIFS(Formulas!$A$2:$A$1501,BD$4,Formulas!$B$2:$B$1501,$A159))</f>
        <v>0</v>
      </c>
      <c r="BE159" s="21" t="n">
        <f aca="false">IF(OR($A159="",BE$4=""),0,COUNTIFS(Formulas!$A$2:$A$1501,BE$4,Formulas!$B$2:$B$1501,$A159))</f>
        <v>0</v>
      </c>
      <c r="BF159" s="21" t="n">
        <f aca="false">IF(OR($A159="",BF$4=""),0,COUNTIFS(Formulas!$A$2:$A$1501,BF$4,Formulas!$B$2:$B$1501,$A159))</f>
        <v>0</v>
      </c>
      <c r="BG159" s="21" t="n">
        <f aca="false">IF(OR($A159="",BG$4=""),0,COUNTIFS(Formulas!$A$2:$A$1501,BG$4,Formulas!$B$2:$B$1501,$A159))</f>
        <v>0</v>
      </c>
      <c r="BH159" s="21" t="n">
        <f aca="false">IF(OR($A159="",BH$4=""),0,COUNTIFS(Formulas!$A$2:$A$1501,BH$4,Formulas!$B$2:$B$1501,$A159))</f>
        <v>0</v>
      </c>
      <c r="BI159" s="21" t="n">
        <f aca="false">IF(OR($A159="",BI$4=""),0,COUNTIFS(Formulas!$A$2:$A$1501,BI$4,Formulas!$B$2:$B$1501,$A159))</f>
        <v>0</v>
      </c>
      <c r="BJ159" s="21" t="n">
        <f aca="false">IF(OR($A159="",BJ$4=""),0,COUNTIFS(Formulas!$A$2:$A$1501,BJ$4,Formulas!$B$2:$B$1501,$A159))</f>
        <v>0</v>
      </c>
    </row>
    <row r="160" customFormat="false" ht="15" hidden="false" customHeight="false" outlineLevel="0" collapsed="false">
      <c r="A160" s="13" t="str">
        <f aca="false">IF(INDEX(Materials!$A$2:$A$201,156)="","",INDEX(Materials!$A$2:$A$201,156))</f>
        <v/>
      </c>
      <c r="B160" s="19" t="str">
        <f aca="false">IF(A160="","",COUNTIF(C160:BJ160,"&gt;0"))</f>
        <v/>
      </c>
      <c r="C160" s="21" t="n">
        <f aca="false">IF(OR($A160="",C$4=""),0,COUNTIFS(Formulas!$A$2:$A$1501,C$4,Formulas!$B$2:$B$1501,$A160))</f>
        <v>0</v>
      </c>
      <c r="D160" s="21" t="n">
        <f aca="false">IF(OR($A160="",D$4=""),0,COUNTIFS(Formulas!$A$2:$A$1501,D$4,Formulas!$B$2:$B$1501,$A160))</f>
        <v>0</v>
      </c>
      <c r="E160" s="21" t="n">
        <f aca="false">IF(OR($A160="",E$4=""),0,COUNTIFS(Formulas!$A$2:$A$1501,E$4,Formulas!$B$2:$B$1501,$A160))</f>
        <v>0</v>
      </c>
      <c r="F160" s="21" t="n">
        <f aca="false">IF(OR($A160="",F$4=""),0,COUNTIFS(Formulas!$A$2:$A$1501,F$4,Formulas!$B$2:$B$1501,$A160))</f>
        <v>0</v>
      </c>
      <c r="G160" s="21" t="n">
        <f aca="false">IF(OR($A160="",G$4=""),0,COUNTIFS(Formulas!$A$2:$A$1501,G$4,Formulas!$B$2:$B$1501,$A160))</f>
        <v>0</v>
      </c>
      <c r="H160" s="21" t="n">
        <f aca="false">IF(OR($A160="",H$4=""),0,COUNTIFS(Formulas!$A$2:$A$1501,H$4,Formulas!$B$2:$B$1501,$A160))</f>
        <v>0</v>
      </c>
      <c r="I160" s="21" t="n">
        <f aca="false">IF(OR($A160="",I$4=""),0,COUNTIFS(Formulas!$A$2:$A$1501,I$4,Formulas!$B$2:$B$1501,$A160))</f>
        <v>0</v>
      </c>
      <c r="J160" s="21" t="n">
        <f aca="false">IF(OR($A160="",J$4=""),0,COUNTIFS(Formulas!$A$2:$A$1501,J$4,Formulas!$B$2:$B$1501,$A160))</f>
        <v>0</v>
      </c>
      <c r="K160" s="21" t="n">
        <f aca="false">IF(OR($A160="",K$4=""),0,COUNTIFS(Formulas!$A$2:$A$1501,K$4,Formulas!$B$2:$B$1501,$A160))</f>
        <v>0</v>
      </c>
      <c r="L160" s="21" t="n">
        <f aca="false">IF(OR($A160="",L$4=""),0,COUNTIFS(Formulas!$A$2:$A$1501,L$4,Formulas!$B$2:$B$1501,$A160))</f>
        <v>0</v>
      </c>
      <c r="M160" s="21" t="n">
        <f aca="false">IF(OR($A160="",M$4=""),0,COUNTIFS(Formulas!$A$2:$A$1501,M$4,Formulas!$B$2:$B$1501,$A160))</f>
        <v>0</v>
      </c>
      <c r="N160" s="21" t="n">
        <f aca="false">IF(OR($A160="",N$4=""),0,COUNTIFS(Formulas!$A$2:$A$1501,N$4,Formulas!$B$2:$B$1501,$A160))</f>
        <v>0</v>
      </c>
      <c r="O160" s="21" t="n">
        <f aca="false">IF(OR($A160="",O$4=""),0,COUNTIFS(Formulas!$A$2:$A$1501,O$4,Formulas!$B$2:$B$1501,$A160))</f>
        <v>0</v>
      </c>
      <c r="P160" s="21" t="n">
        <f aca="false">IF(OR($A160="",P$4=""),0,COUNTIFS(Formulas!$A$2:$A$1501,P$4,Formulas!$B$2:$B$1501,$A160))</f>
        <v>0</v>
      </c>
      <c r="Q160" s="21" t="n">
        <f aca="false">IF(OR($A160="",Q$4=""),0,COUNTIFS(Formulas!$A$2:$A$1501,Q$4,Formulas!$B$2:$B$1501,$A160))</f>
        <v>0</v>
      </c>
      <c r="R160" s="21" t="n">
        <f aca="false">IF(OR($A160="",R$4=""),0,COUNTIFS(Formulas!$A$2:$A$1501,R$4,Formulas!$B$2:$B$1501,$A160))</f>
        <v>0</v>
      </c>
      <c r="S160" s="21" t="n">
        <f aca="false">IF(OR($A160="",S$4=""),0,COUNTIFS(Formulas!$A$2:$A$1501,S$4,Formulas!$B$2:$B$1501,$A160))</f>
        <v>0</v>
      </c>
      <c r="T160" s="21" t="n">
        <f aca="false">IF(OR($A160="",T$4=""),0,COUNTIFS(Formulas!$A$2:$A$1501,T$4,Formulas!$B$2:$B$1501,$A160))</f>
        <v>0</v>
      </c>
      <c r="U160" s="21" t="n">
        <f aca="false">IF(OR($A160="",U$4=""),0,COUNTIFS(Formulas!$A$2:$A$1501,U$4,Formulas!$B$2:$B$1501,$A160))</f>
        <v>0</v>
      </c>
      <c r="V160" s="21" t="n">
        <f aca="false">IF(OR($A160="",V$4=""),0,COUNTIFS(Formulas!$A$2:$A$1501,V$4,Formulas!$B$2:$B$1501,$A160))</f>
        <v>0</v>
      </c>
      <c r="W160" s="21" t="n">
        <f aca="false">IF(OR($A160="",W$4=""),0,COUNTIFS(Formulas!$A$2:$A$1501,W$4,Formulas!$B$2:$B$1501,$A160))</f>
        <v>0</v>
      </c>
      <c r="X160" s="21" t="n">
        <f aca="false">IF(OR($A160="",X$4=""),0,COUNTIFS(Formulas!$A$2:$A$1501,X$4,Formulas!$B$2:$B$1501,$A160))</f>
        <v>0</v>
      </c>
      <c r="Y160" s="21" t="n">
        <f aca="false">IF(OR($A160="",Y$4=""),0,COUNTIFS(Formulas!$A$2:$A$1501,Y$4,Formulas!$B$2:$B$1501,$A160))</f>
        <v>0</v>
      </c>
      <c r="Z160" s="21" t="n">
        <f aca="false">IF(OR($A160="",Z$4=""),0,COUNTIFS(Formulas!$A$2:$A$1501,Z$4,Formulas!$B$2:$B$1501,$A160))</f>
        <v>0</v>
      </c>
      <c r="AA160" s="21" t="n">
        <f aca="false">IF(OR($A160="",AA$4=""),0,COUNTIFS(Formulas!$A$2:$A$1501,AA$4,Formulas!$B$2:$B$1501,$A160))</f>
        <v>0</v>
      </c>
      <c r="AB160" s="21" t="n">
        <f aca="false">IF(OR($A160="",AB$4=""),0,COUNTIFS(Formulas!$A$2:$A$1501,AB$4,Formulas!$B$2:$B$1501,$A160))</f>
        <v>0</v>
      </c>
      <c r="AC160" s="21" t="n">
        <f aca="false">IF(OR($A160="",AC$4=""),0,COUNTIFS(Formulas!$A$2:$A$1501,AC$4,Formulas!$B$2:$B$1501,$A160))</f>
        <v>0</v>
      </c>
      <c r="AD160" s="21" t="n">
        <f aca="false">IF(OR($A160="",AD$4=""),0,COUNTIFS(Formulas!$A$2:$A$1501,AD$4,Formulas!$B$2:$B$1501,$A160))</f>
        <v>0</v>
      </c>
      <c r="AE160" s="21" t="n">
        <f aca="false">IF(OR($A160="",AE$4=""),0,COUNTIFS(Formulas!$A$2:$A$1501,AE$4,Formulas!$B$2:$B$1501,$A160))</f>
        <v>0</v>
      </c>
      <c r="AF160" s="21" t="n">
        <f aca="false">IF(OR($A160="",AF$4=""),0,COUNTIFS(Formulas!$A$2:$A$1501,AF$4,Formulas!$B$2:$B$1501,$A160))</f>
        <v>0</v>
      </c>
      <c r="AG160" s="21" t="n">
        <f aca="false">IF(OR($A160="",AG$4=""),0,COUNTIFS(Formulas!$A$2:$A$1501,AG$4,Formulas!$B$2:$B$1501,$A160))</f>
        <v>0</v>
      </c>
      <c r="AH160" s="21" t="n">
        <f aca="false">IF(OR($A160="",AH$4=""),0,COUNTIFS(Formulas!$A$2:$A$1501,AH$4,Formulas!$B$2:$B$1501,$A160))</f>
        <v>0</v>
      </c>
      <c r="AI160" s="21" t="n">
        <f aca="false">IF(OR($A160="",AI$4=""),0,COUNTIFS(Formulas!$A$2:$A$1501,AI$4,Formulas!$B$2:$B$1501,$A160))</f>
        <v>0</v>
      </c>
      <c r="AJ160" s="21" t="n">
        <f aca="false">IF(OR($A160="",AJ$4=""),0,COUNTIFS(Formulas!$A$2:$A$1501,AJ$4,Formulas!$B$2:$B$1501,$A160))</f>
        <v>0</v>
      </c>
      <c r="AK160" s="21" t="n">
        <f aca="false">IF(OR($A160="",AK$4=""),0,COUNTIFS(Formulas!$A$2:$A$1501,AK$4,Formulas!$B$2:$B$1501,$A160))</f>
        <v>0</v>
      </c>
      <c r="AL160" s="21" t="n">
        <f aca="false">IF(OR($A160="",AL$4=""),0,COUNTIFS(Formulas!$A$2:$A$1501,AL$4,Formulas!$B$2:$B$1501,$A160))</f>
        <v>0</v>
      </c>
      <c r="AM160" s="21" t="n">
        <f aca="false">IF(OR($A160="",AM$4=""),0,COUNTIFS(Formulas!$A$2:$A$1501,AM$4,Formulas!$B$2:$B$1501,$A160))</f>
        <v>0</v>
      </c>
      <c r="AN160" s="21" t="n">
        <f aca="false">IF(OR($A160="",AN$4=""),0,COUNTIFS(Formulas!$A$2:$A$1501,AN$4,Formulas!$B$2:$B$1501,$A160))</f>
        <v>0</v>
      </c>
      <c r="AO160" s="21" t="n">
        <f aca="false">IF(OR($A160="",AO$4=""),0,COUNTIFS(Formulas!$A$2:$A$1501,AO$4,Formulas!$B$2:$B$1501,$A160))</f>
        <v>0</v>
      </c>
      <c r="AP160" s="21" t="n">
        <f aca="false">IF(OR($A160="",AP$4=""),0,COUNTIFS(Formulas!$A$2:$A$1501,AP$4,Formulas!$B$2:$B$1501,$A160))</f>
        <v>0</v>
      </c>
      <c r="AQ160" s="21" t="n">
        <f aca="false">IF(OR($A160="",AQ$4=""),0,COUNTIFS(Formulas!$A$2:$A$1501,AQ$4,Formulas!$B$2:$B$1501,$A160))</f>
        <v>0</v>
      </c>
      <c r="AR160" s="21" t="n">
        <f aca="false">IF(OR($A160="",AR$4=""),0,COUNTIFS(Formulas!$A$2:$A$1501,AR$4,Formulas!$B$2:$B$1501,$A160))</f>
        <v>0</v>
      </c>
      <c r="AS160" s="21" t="n">
        <f aca="false">IF(OR($A160="",AS$4=""),0,COUNTIFS(Formulas!$A$2:$A$1501,AS$4,Formulas!$B$2:$B$1501,$A160))</f>
        <v>0</v>
      </c>
      <c r="AT160" s="21" t="n">
        <f aca="false">IF(OR($A160="",AT$4=""),0,COUNTIFS(Formulas!$A$2:$A$1501,AT$4,Formulas!$B$2:$B$1501,$A160))</f>
        <v>0</v>
      </c>
      <c r="AU160" s="21" t="n">
        <f aca="false">IF(OR($A160="",AU$4=""),0,COUNTIFS(Formulas!$A$2:$A$1501,AU$4,Formulas!$B$2:$B$1501,$A160))</f>
        <v>0</v>
      </c>
      <c r="AV160" s="21" t="n">
        <f aca="false">IF(OR($A160="",AV$4=""),0,COUNTIFS(Formulas!$A$2:$A$1501,AV$4,Formulas!$B$2:$B$1501,$A160))</f>
        <v>0</v>
      </c>
      <c r="AW160" s="21" t="n">
        <f aca="false">IF(OR($A160="",AW$4=""),0,COUNTIFS(Formulas!$A$2:$A$1501,AW$4,Formulas!$B$2:$B$1501,$A160))</f>
        <v>0</v>
      </c>
      <c r="AX160" s="21" t="n">
        <f aca="false">IF(OR($A160="",AX$4=""),0,COUNTIFS(Formulas!$A$2:$A$1501,AX$4,Formulas!$B$2:$B$1501,$A160))</f>
        <v>0</v>
      </c>
      <c r="AY160" s="21" t="n">
        <f aca="false">IF(OR($A160="",AY$4=""),0,COUNTIFS(Formulas!$A$2:$A$1501,AY$4,Formulas!$B$2:$B$1501,$A160))</f>
        <v>0</v>
      </c>
      <c r="AZ160" s="21" t="n">
        <f aca="false">IF(OR($A160="",AZ$4=""),0,COUNTIFS(Formulas!$A$2:$A$1501,AZ$4,Formulas!$B$2:$B$1501,$A160))</f>
        <v>0</v>
      </c>
      <c r="BA160" s="21" t="n">
        <f aca="false">IF(OR($A160="",BA$4=""),0,COUNTIFS(Formulas!$A$2:$A$1501,BA$4,Formulas!$B$2:$B$1501,$A160))</f>
        <v>0</v>
      </c>
      <c r="BB160" s="21" t="n">
        <f aca="false">IF(OR($A160="",BB$4=""),0,COUNTIFS(Formulas!$A$2:$A$1501,BB$4,Formulas!$B$2:$B$1501,$A160))</f>
        <v>0</v>
      </c>
      <c r="BC160" s="21" t="n">
        <f aca="false">IF(OR($A160="",BC$4=""),0,COUNTIFS(Formulas!$A$2:$A$1501,BC$4,Formulas!$B$2:$B$1501,$A160))</f>
        <v>0</v>
      </c>
      <c r="BD160" s="21" t="n">
        <f aca="false">IF(OR($A160="",BD$4=""),0,COUNTIFS(Formulas!$A$2:$A$1501,BD$4,Formulas!$B$2:$B$1501,$A160))</f>
        <v>0</v>
      </c>
      <c r="BE160" s="21" t="n">
        <f aca="false">IF(OR($A160="",BE$4=""),0,COUNTIFS(Formulas!$A$2:$A$1501,BE$4,Formulas!$B$2:$B$1501,$A160))</f>
        <v>0</v>
      </c>
      <c r="BF160" s="21" t="n">
        <f aca="false">IF(OR($A160="",BF$4=""),0,COUNTIFS(Formulas!$A$2:$A$1501,BF$4,Formulas!$B$2:$B$1501,$A160))</f>
        <v>0</v>
      </c>
      <c r="BG160" s="21" t="n">
        <f aca="false">IF(OR($A160="",BG$4=""),0,COUNTIFS(Formulas!$A$2:$A$1501,BG$4,Formulas!$B$2:$B$1501,$A160))</f>
        <v>0</v>
      </c>
      <c r="BH160" s="21" t="n">
        <f aca="false">IF(OR($A160="",BH$4=""),0,COUNTIFS(Formulas!$A$2:$A$1501,BH$4,Formulas!$B$2:$B$1501,$A160))</f>
        <v>0</v>
      </c>
      <c r="BI160" s="21" t="n">
        <f aca="false">IF(OR($A160="",BI$4=""),0,COUNTIFS(Formulas!$A$2:$A$1501,BI$4,Formulas!$B$2:$B$1501,$A160))</f>
        <v>0</v>
      </c>
      <c r="BJ160" s="21" t="n">
        <f aca="false">IF(OR($A160="",BJ$4=""),0,COUNTIFS(Formulas!$A$2:$A$1501,BJ$4,Formulas!$B$2:$B$1501,$A160))</f>
        <v>0</v>
      </c>
    </row>
    <row r="161" customFormat="false" ht="15" hidden="false" customHeight="false" outlineLevel="0" collapsed="false">
      <c r="A161" s="13" t="str">
        <f aca="false">IF(INDEX(Materials!$A$2:$A$201,157)="","",INDEX(Materials!$A$2:$A$201,157))</f>
        <v/>
      </c>
      <c r="B161" s="19" t="str">
        <f aca="false">IF(A161="","",COUNTIF(C161:BJ161,"&gt;0"))</f>
        <v/>
      </c>
      <c r="C161" s="21" t="n">
        <f aca="false">IF(OR($A161="",C$4=""),0,COUNTIFS(Formulas!$A$2:$A$1501,C$4,Formulas!$B$2:$B$1501,$A161))</f>
        <v>0</v>
      </c>
      <c r="D161" s="21" t="n">
        <f aca="false">IF(OR($A161="",D$4=""),0,COUNTIFS(Formulas!$A$2:$A$1501,D$4,Formulas!$B$2:$B$1501,$A161))</f>
        <v>0</v>
      </c>
      <c r="E161" s="21" t="n">
        <f aca="false">IF(OR($A161="",E$4=""),0,COUNTIFS(Formulas!$A$2:$A$1501,E$4,Formulas!$B$2:$B$1501,$A161))</f>
        <v>0</v>
      </c>
      <c r="F161" s="21" t="n">
        <f aca="false">IF(OR($A161="",F$4=""),0,COUNTIFS(Formulas!$A$2:$A$1501,F$4,Formulas!$B$2:$B$1501,$A161))</f>
        <v>0</v>
      </c>
      <c r="G161" s="21" t="n">
        <f aca="false">IF(OR($A161="",G$4=""),0,COUNTIFS(Formulas!$A$2:$A$1501,G$4,Formulas!$B$2:$B$1501,$A161))</f>
        <v>0</v>
      </c>
      <c r="H161" s="21" t="n">
        <f aca="false">IF(OR($A161="",H$4=""),0,COUNTIFS(Formulas!$A$2:$A$1501,H$4,Formulas!$B$2:$B$1501,$A161))</f>
        <v>0</v>
      </c>
      <c r="I161" s="21" t="n">
        <f aca="false">IF(OR($A161="",I$4=""),0,COUNTIFS(Formulas!$A$2:$A$1501,I$4,Formulas!$B$2:$B$1501,$A161))</f>
        <v>0</v>
      </c>
      <c r="J161" s="21" t="n">
        <f aca="false">IF(OR($A161="",J$4=""),0,COUNTIFS(Formulas!$A$2:$A$1501,J$4,Formulas!$B$2:$B$1501,$A161))</f>
        <v>0</v>
      </c>
      <c r="K161" s="21" t="n">
        <f aca="false">IF(OR($A161="",K$4=""),0,COUNTIFS(Formulas!$A$2:$A$1501,K$4,Formulas!$B$2:$B$1501,$A161))</f>
        <v>0</v>
      </c>
      <c r="L161" s="21" t="n">
        <f aca="false">IF(OR($A161="",L$4=""),0,COUNTIFS(Formulas!$A$2:$A$1501,L$4,Formulas!$B$2:$B$1501,$A161))</f>
        <v>0</v>
      </c>
      <c r="M161" s="21" t="n">
        <f aca="false">IF(OR($A161="",M$4=""),0,COUNTIFS(Formulas!$A$2:$A$1501,M$4,Formulas!$B$2:$B$1501,$A161))</f>
        <v>0</v>
      </c>
      <c r="N161" s="21" t="n">
        <f aca="false">IF(OR($A161="",N$4=""),0,COUNTIFS(Formulas!$A$2:$A$1501,N$4,Formulas!$B$2:$B$1501,$A161))</f>
        <v>0</v>
      </c>
      <c r="O161" s="21" t="n">
        <f aca="false">IF(OR($A161="",O$4=""),0,COUNTIFS(Formulas!$A$2:$A$1501,O$4,Formulas!$B$2:$B$1501,$A161))</f>
        <v>0</v>
      </c>
      <c r="P161" s="21" t="n">
        <f aca="false">IF(OR($A161="",P$4=""),0,COUNTIFS(Formulas!$A$2:$A$1501,P$4,Formulas!$B$2:$B$1501,$A161))</f>
        <v>0</v>
      </c>
      <c r="Q161" s="21" t="n">
        <f aca="false">IF(OR($A161="",Q$4=""),0,COUNTIFS(Formulas!$A$2:$A$1501,Q$4,Formulas!$B$2:$B$1501,$A161))</f>
        <v>0</v>
      </c>
      <c r="R161" s="21" t="n">
        <f aca="false">IF(OR($A161="",R$4=""),0,COUNTIFS(Formulas!$A$2:$A$1501,R$4,Formulas!$B$2:$B$1501,$A161))</f>
        <v>0</v>
      </c>
      <c r="S161" s="21" t="n">
        <f aca="false">IF(OR($A161="",S$4=""),0,COUNTIFS(Formulas!$A$2:$A$1501,S$4,Formulas!$B$2:$B$1501,$A161))</f>
        <v>0</v>
      </c>
      <c r="T161" s="21" t="n">
        <f aca="false">IF(OR($A161="",T$4=""),0,COUNTIFS(Formulas!$A$2:$A$1501,T$4,Formulas!$B$2:$B$1501,$A161))</f>
        <v>0</v>
      </c>
      <c r="U161" s="21" t="n">
        <f aca="false">IF(OR($A161="",U$4=""),0,COUNTIFS(Formulas!$A$2:$A$1501,U$4,Formulas!$B$2:$B$1501,$A161))</f>
        <v>0</v>
      </c>
      <c r="V161" s="21" t="n">
        <f aca="false">IF(OR($A161="",V$4=""),0,COUNTIFS(Formulas!$A$2:$A$1501,V$4,Formulas!$B$2:$B$1501,$A161))</f>
        <v>0</v>
      </c>
      <c r="W161" s="21" t="n">
        <f aca="false">IF(OR($A161="",W$4=""),0,COUNTIFS(Formulas!$A$2:$A$1501,W$4,Formulas!$B$2:$B$1501,$A161))</f>
        <v>0</v>
      </c>
      <c r="X161" s="21" t="n">
        <f aca="false">IF(OR($A161="",X$4=""),0,COUNTIFS(Formulas!$A$2:$A$1501,X$4,Formulas!$B$2:$B$1501,$A161))</f>
        <v>0</v>
      </c>
      <c r="Y161" s="21" t="n">
        <f aca="false">IF(OR($A161="",Y$4=""),0,COUNTIFS(Formulas!$A$2:$A$1501,Y$4,Formulas!$B$2:$B$1501,$A161))</f>
        <v>0</v>
      </c>
      <c r="Z161" s="21" t="n">
        <f aca="false">IF(OR($A161="",Z$4=""),0,COUNTIFS(Formulas!$A$2:$A$1501,Z$4,Formulas!$B$2:$B$1501,$A161))</f>
        <v>0</v>
      </c>
      <c r="AA161" s="21" t="n">
        <f aca="false">IF(OR($A161="",AA$4=""),0,COUNTIFS(Formulas!$A$2:$A$1501,AA$4,Formulas!$B$2:$B$1501,$A161))</f>
        <v>0</v>
      </c>
      <c r="AB161" s="21" t="n">
        <f aca="false">IF(OR($A161="",AB$4=""),0,COUNTIFS(Formulas!$A$2:$A$1501,AB$4,Formulas!$B$2:$B$1501,$A161))</f>
        <v>0</v>
      </c>
      <c r="AC161" s="21" t="n">
        <f aca="false">IF(OR($A161="",AC$4=""),0,COUNTIFS(Formulas!$A$2:$A$1501,AC$4,Formulas!$B$2:$B$1501,$A161))</f>
        <v>0</v>
      </c>
      <c r="AD161" s="21" t="n">
        <f aca="false">IF(OR($A161="",AD$4=""),0,COUNTIFS(Formulas!$A$2:$A$1501,AD$4,Formulas!$B$2:$B$1501,$A161))</f>
        <v>0</v>
      </c>
      <c r="AE161" s="21" t="n">
        <f aca="false">IF(OR($A161="",AE$4=""),0,COUNTIFS(Formulas!$A$2:$A$1501,AE$4,Formulas!$B$2:$B$1501,$A161))</f>
        <v>0</v>
      </c>
      <c r="AF161" s="21" t="n">
        <f aca="false">IF(OR($A161="",AF$4=""),0,COUNTIFS(Formulas!$A$2:$A$1501,AF$4,Formulas!$B$2:$B$1501,$A161))</f>
        <v>0</v>
      </c>
      <c r="AG161" s="21" t="n">
        <f aca="false">IF(OR($A161="",AG$4=""),0,COUNTIFS(Formulas!$A$2:$A$1501,AG$4,Formulas!$B$2:$B$1501,$A161))</f>
        <v>0</v>
      </c>
      <c r="AH161" s="21" t="n">
        <f aca="false">IF(OR($A161="",AH$4=""),0,COUNTIFS(Formulas!$A$2:$A$1501,AH$4,Formulas!$B$2:$B$1501,$A161))</f>
        <v>0</v>
      </c>
      <c r="AI161" s="21" t="n">
        <f aca="false">IF(OR($A161="",AI$4=""),0,COUNTIFS(Formulas!$A$2:$A$1501,AI$4,Formulas!$B$2:$B$1501,$A161))</f>
        <v>0</v>
      </c>
      <c r="AJ161" s="21" t="n">
        <f aca="false">IF(OR($A161="",AJ$4=""),0,COUNTIFS(Formulas!$A$2:$A$1501,AJ$4,Formulas!$B$2:$B$1501,$A161))</f>
        <v>0</v>
      </c>
      <c r="AK161" s="21" t="n">
        <f aca="false">IF(OR($A161="",AK$4=""),0,COUNTIFS(Formulas!$A$2:$A$1501,AK$4,Formulas!$B$2:$B$1501,$A161))</f>
        <v>0</v>
      </c>
      <c r="AL161" s="21" t="n">
        <f aca="false">IF(OR($A161="",AL$4=""),0,COUNTIFS(Formulas!$A$2:$A$1501,AL$4,Formulas!$B$2:$B$1501,$A161))</f>
        <v>0</v>
      </c>
      <c r="AM161" s="21" t="n">
        <f aca="false">IF(OR($A161="",AM$4=""),0,COUNTIFS(Formulas!$A$2:$A$1501,AM$4,Formulas!$B$2:$B$1501,$A161))</f>
        <v>0</v>
      </c>
      <c r="AN161" s="21" t="n">
        <f aca="false">IF(OR($A161="",AN$4=""),0,COUNTIFS(Formulas!$A$2:$A$1501,AN$4,Formulas!$B$2:$B$1501,$A161))</f>
        <v>0</v>
      </c>
      <c r="AO161" s="21" t="n">
        <f aca="false">IF(OR($A161="",AO$4=""),0,COUNTIFS(Formulas!$A$2:$A$1501,AO$4,Formulas!$B$2:$B$1501,$A161))</f>
        <v>0</v>
      </c>
      <c r="AP161" s="21" t="n">
        <f aca="false">IF(OR($A161="",AP$4=""),0,COUNTIFS(Formulas!$A$2:$A$1501,AP$4,Formulas!$B$2:$B$1501,$A161))</f>
        <v>0</v>
      </c>
      <c r="AQ161" s="21" t="n">
        <f aca="false">IF(OR($A161="",AQ$4=""),0,COUNTIFS(Formulas!$A$2:$A$1501,AQ$4,Formulas!$B$2:$B$1501,$A161))</f>
        <v>0</v>
      </c>
      <c r="AR161" s="21" t="n">
        <f aca="false">IF(OR($A161="",AR$4=""),0,COUNTIFS(Formulas!$A$2:$A$1501,AR$4,Formulas!$B$2:$B$1501,$A161))</f>
        <v>0</v>
      </c>
      <c r="AS161" s="21" t="n">
        <f aca="false">IF(OR($A161="",AS$4=""),0,COUNTIFS(Formulas!$A$2:$A$1501,AS$4,Formulas!$B$2:$B$1501,$A161))</f>
        <v>0</v>
      </c>
      <c r="AT161" s="21" t="n">
        <f aca="false">IF(OR($A161="",AT$4=""),0,COUNTIFS(Formulas!$A$2:$A$1501,AT$4,Formulas!$B$2:$B$1501,$A161))</f>
        <v>0</v>
      </c>
      <c r="AU161" s="21" t="n">
        <f aca="false">IF(OR($A161="",AU$4=""),0,COUNTIFS(Formulas!$A$2:$A$1501,AU$4,Formulas!$B$2:$B$1501,$A161))</f>
        <v>0</v>
      </c>
      <c r="AV161" s="21" t="n">
        <f aca="false">IF(OR($A161="",AV$4=""),0,COUNTIFS(Formulas!$A$2:$A$1501,AV$4,Formulas!$B$2:$B$1501,$A161))</f>
        <v>0</v>
      </c>
      <c r="AW161" s="21" t="n">
        <f aca="false">IF(OR($A161="",AW$4=""),0,COUNTIFS(Formulas!$A$2:$A$1501,AW$4,Formulas!$B$2:$B$1501,$A161))</f>
        <v>0</v>
      </c>
      <c r="AX161" s="21" t="n">
        <f aca="false">IF(OR($A161="",AX$4=""),0,COUNTIFS(Formulas!$A$2:$A$1501,AX$4,Formulas!$B$2:$B$1501,$A161))</f>
        <v>0</v>
      </c>
      <c r="AY161" s="21" t="n">
        <f aca="false">IF(OR($A161="",AY$4=""),0,COUNTIFS(Formulas!$A$2:$A$1501,AY$4,Formulas!$B$2:$B$1501,$A161))</f>
        <v>0</v>
      </c>
      <c r="AZ161" s="21" t="n">
        <f aca="false">IF(OR($A161="",AZ$4=""),0,COUNTIFS(Formulas!$A$2:$A$1501,AZ$4,Formulas!$B$2:$B$1501,$A161))</f>
        <v>0</v>
      </c>
      <c r="BA161" s="21" t="n">
        <f aca="false">IF(OR($A161="",BA$4=""),0,COUNTIFS(Formulas!$A$2:$A$1501,BA$4,Formulas!$B$2:$B$1501,$A161))</f>
        <v>0</v>
      </c>
      <c r="BB161" s="21" t="n">
        <f aca="false">IF(OR($A161="",BB$4=""),0,COUNTIFS(Formulas!$A$2:$A$1501,BB$4,Formulas!$B$2:$B$1501,$A161))</f>
        <v>0</v>
      </c>
      <c r="BC161" s="21" t="n">
        <f aca="false">IF(OR($A161="",BC$4=""),0,COUNTIFS(Formulas!$A$2:$A$1501,BC$4,Formulas!$B$2:$B$1501,$A161))</f>
        <v>0</v>
      </c>
      <c r="BD161" s="21" t="n">
        <f aca="false">IF(OR($A161="",BD$4=""),0,COUNTIFS(Formulas!$A$2:$A$1501,BD$4,Formulas!$B$2:$B$1501,$A161))</f>
        <v>0</v>
      </c>
      <c r="BE161" s="21" t="n">
        <f aca="false">IF(OR($A161="",BE$4=""),0,COUNTIFS(Formulas!$A$2:$A$1501,BE$4,Formulas!$B$2:$B$1501,$A161))</f>
        <v>0</v>
      </c>
      <c r="BF161" s="21" t="n">
        <f aca="false">IF(OR($A161="",BF$4=""),0,COUNTIFS(Formulas!$A$2:$A$1501,BF$4,Formulas!$B$2:$B$1501,$A161))</f>
        <v>0</v>
      </c>
      <c r="BG161" s="21" t="n">
        <f aca="false">IF(OR($A161="",BG$4=""),0,COUNTIFS(Formulas!$A$2:$A$1501,BG$4,Formulas!$B$2:$B$1501,$A161))</f>
        <v>0</v>
      </c>
      <c r="BH161" s="21" t="n">
        <f aca="false">IF(OR($A161="",BH$4=""),0,COUNTIFS(Formulas!$A$2:$A$1501,BH$4,Formulas!$B$2:$B$1501,$A161))</f>
        <v>0</v>
      </c>
      <c r="BI161" s="21" t="n">
        <f aca="false">IF(OR($A161="",BI$4=""),0,COUNTIFS(Formulas!$A$2:$A$1501,BI$4,Formulas!$B$2:$B$1501,$A161))</f>
        <v>0</v>
      </c>
      <c r="BJ161" s="21" t="n">
        <f aca="false">IF(OR($A161="",BJ$4=""),0,COUNTIFS(Formulas!$A$2:$A$1501,BJ$4,Formulas!$B$2:$B$1501,$A161))</f>
        <v>0</v>
      </c>
    </row>
    <row r="162" customFormat="false" ht="15" hidden="false" customHeight="false" outlineLevel="0" collapsed="false">
      <c r="A162" s="13" t="str">
        <f aca="false">IF(INDEX(Materials!$A$2:$A$201,158)="","",INDEX(Materials!$A$2:$A$201,158))</f>
        <v/>
      </c>
      <c r="B162" s="19" t="str">
        <f aca="false">IF(A162="","",COUNTIF(C162:BJ162,"&gt;0"))</f>
        <v/>
      </c>
      <c r="C162" s="21" t="n">
        <f aca="false">IF(OR($A162="",C$4=""),0,COUNTIFS(Formulas!$A$2:$A$1501,C$4,Formulas!$B$2:$B$1501,$A162))</f>
        <v>0</v>
      </c>
      <c r="D162" s="21" t="n">
        <f aca="false">IF(OR($A162="",D$4=""),0,COUNTIFS(Formulas!$A$2:$A$1501,D$4,Formulas!$B$2:$B$1501,$A162))</f>
        <v>0</v>
      </c>
      <c r="E162" s="21" t="n">
        <f aca="false">IF(OR($A162="",E$4=""),0,COUNTIFS(Formulas!$A$2:$A$1501,E$4,Formulas!$B$2:$B$1501,$A162))</f>
        <v>0</v>
      </c>
      <c r="F162" s="21" t="n">
        <f aca="false">IF(OR($A162="",F$4=""),0,COUNTIFS(Formulas!$A$2:$A$1501,F$4,Formulas!$B$2:$B$1501,$A162))</f>
        <v>0</v>
      </c>
      <c r="G162" s="21" t="n">
        <f aca="false">IF(OR($A162="",G$4=""),0,COUNTIFS(Formulas!$A$2:$A$1501,G$4,Formulas!$B$2:$B$1501,$A162))</f>
        <v>0</v>
      </c>
      <c r="H162" s="21" t="n">
        <f aca="false">IF(OR($A162="",H$4=""),0,COUNTIFS(Formulas!$A$2:$A$1501,H$4,Formulas!$B$2:$B$1501,$A162))</f>
        <v>0</v>
      </c>
      <c r="I162" s="21" t="n">
        <f aca="false">IF(OR($A162="",I$4=""),0,COUNTIFS(Formulas!$A$2:$A$1501,I$4,Formulas!$B$2:$B$1501,$A162))</f>
        <v>0</v>
      </c>
      <c r="J162" s="21" t="n">
        <f aca="false">IF(OR($A162="",J$4=""),0,COUNTIFS(Formulas!$A$2:$A$1501,J$4,Formulas!$B$2:$B$1501,$A162))</f>
        <v>0</v>
      </c>
      <c r="K162" s="21" t="n">
        <f aca="false">IF(OR($A162="",K$4=""),0,COUNTIFS(Formulas!$A$2:$A$1501,K$4,Formulas!$B$2:$B$1501,$A162))</f>
        <v>0</v>
      </c>
      <c r="L162" s="21" t="n">
        <f aca="false">IF(OR($A162="",L$4=""),0,COUNTIFS(Formulas!$A$2:$A$1501,L$4,Formulas!$B$2:$B$1501,$A162))</f>
        <v>0</v>
      </c>
      <c r="M162" s="21" t="n">
        <f aca="false">IF(OR($A162="",M$4=""),0,COUNTIFS(Formulas!$A$2:$A$1501,M$4,Formulas!$B$2:$B$1501,$A162))</f>
        <v>0</v>
      </c>
      <c r="N162" s="21" t="n">
        <f aca="false">IF(OR($A162="",N$4=""),0,COUNTIFS(Formulas!$A$2:$A$1501,N$4,Formulas!$B$2:$B$1501,$A162))</f>
        <v>0</v>
      </c>
      <c r="O162" s="21" t="n">
        <f aca="false">IF(OR($A162="",O$4=""),0,COUNTIFS(Formulas!$A$2:$A$1501,O$4,Formulas!$B$2:$B$1501,$A162))</f>
        <v>0</v>
      </c>
      <c r="P162" s="21" t="n">
        <f aca="false">IF(OR($A162="",P$4=""),0,COUNTIFS(Formulas!$A$2:$A$1501,P$4,Formulas!$B$2:$B$1501,$A162))</f>
        <v>0</v>
      </c>
      <c r="Q162" s="21" t="n">
        <f aca="false">IF(OR($A162="",Q$4=""),0,COUNTIFS(Formulas!$A$2:$A$1501,Q$4,Formulas!$B$2:$B$1501,$A162))</f>
        <v>0</v>
      </c>
      <c r="R162" s="21" t="n">
        <f aca="false">IF(OR($A162="",R$4=""),0,COUNTIFS(Formulas!$A$2:$A$1501,R$4,Formulas!$B$2:$B$1501,$A162))</f>
        <v>0</v>
      </c>
      <c r="S162" s="21" t="n">
        <f aca="false">IF(OR($A162="",S$4=""),0,COUNTIFS(Formulas!$A$2:$A$1501,S$4,Formulas!$B$2:$B$1501,$A162))</f>
        <v>0</v>
      </c>
      <c r="T162" s="21" t="n">
        <f aca="false">IF(OR($A162="",T$4=""),0,COUNTIFS(Formulas!$A$2:$A$1501,T$4,Formulas!$B$2:$B$1501,$A162))</f>
        <v>0</v>
      </c>
      <c r="U162" s="21" t="n">
        <f aca="false">IF(OR($A162="",U$4=""),0,COUNTIFS(Formulas!$A$2:$A$1501,U$4,Formulas!$B$2:$B$1501,$A162))</f>
        <v>0</v>
      </c>
      <c r="V162" s="21" t="n">
        <f aca="false">IF(OR($A162="",V$4=""),0,COUNTIFS(Formulas!$A$2:$A$1501,V$4,Formulas!$B$2:$B$1501,$A162))</f>
        <v>0</v>
      </c>
      <c r="W162" s="21" t="n">
        <f aca="false">IF(OR($A162="",W$4=""),0,COUNTIFS(Formulas!$A$2:$A$1501,W$4,Formulas!$B$2:$B$1501,$A162))</f>
        <v>0</v>
      </c>
      <c r="X162" s="21" t="n">
        <f aca="false">IF(OR($A162="",X$4=""),0,COUNTIFS(Formulas!$A$2:$A$1501,X$4,Formulas!$B$2:$B$1501,$A162))</f>
        <v>0</v>
      </c>
      <c r="Y162" s="21" t="n">
        <f aca="false">IF(OR($A162="",Y$4=""),0,COUNTIFS(Formulas!$A$2:$A$1501,Y$4,Formulas!$B$2:$B$1501,$A162))</f>
        <v>0</v>
      </c>
      <c r="Z162" s="21" t="n">
        <f aca="false">IF(OR($A162="",Z$4=""),0,COUNTIFS(Formulas!$A$2:$A$1501,Z$4,Formulas!$B$2:$B$1501,$A162))</f>
        <v>0</v>
      </c>
      <c r="AA162" s="21" t="n">
        <f aca="false">IF(OR($A162="",AA$4=""),0,COUNTIFS(Formulas!$A$2:$A$1501,AA$4,Formulas!$B$2:$B$1501,$A162))</f>
        <v>0</v>
      </c>
      <c r="AB162" s="21" t="n">
        <f aca="false">IF(OR($A162="",AB$4=""),0,COUNTIFS(Formulas!$A$2:$A$1501,AB$4,Formulas!$B$2:$B$1501,$A162))</f>
        <v>0</v>
      </c>
      <c r="AC162" s="21" t="n">
        <f aca="false">IF(OR($A162="",AC$4=""),0,COUNTIFS(Formulas!$A$2:$A$1501,AC$4,Formulas!$B$2:$B$1501,$A162))</f>
        <v>0</v>
      </c>
      <c r="AD162" s="21" t="n">
        <f aca="false">IF(OR($A162="",AD$4=""),0,COUNTIFS(Formulas!$A$2:$A$1501,AD$4,Formulas!$B$2:$B$1501,$A162))</f>
        <v>0</v>
      </c>
      <c r="AE162" s="21" t="n">
        <f aca="false">IF(OR($A162="",AE$4=""),0,COUNTIFS(Formulas!$A$2:$A$1501,AE$4,Formulas!$B$2:$B$1501,$A162))</f>
        <v>0</v>
      </c>
      <c r="AF162" s="21" t="n">
        <f aca="false">IF(OR($A162="",AF$4=""),0,COUNTIFS(Formulas!$A$2:$A$1501,AF$4,Formulas!$B$2:$B$1501,$A162))</f>
        <v>0</v>
      </c>
      <c r="AG162" s="21" t="n">
        <f aca="false">IF(OR($A162="",AG$4=""),0,COUNTIFS(Formulas!$A$2:$A$1501,AG$4,Formulas!$B$2:$B$1501,$A162))</f>
        <v>0</v>
      </c>
      <c r="AH162" s="21" t="n">
        <f aca="false">IF(OR($A162="",AH$4=""),0,COUNTIFS(Formulas!$A$2:$A$1501,AH$4,Formulas!$B$2:$B$1501,$A162))</f>
        <v>0</v>
      </c>
      <c r="AI162" s="21" t="n">
        <f aca="false">IF(OR($A162="",AI$4=""),0,COUNTIFS(Formulas!$A$2:$A$1501,AI$4,Formulas!$B$2:$B$1501,$A162))</f>
        <v>0</v>
      </c>
      <c r="AJ162" s="21" t="n">
        <f aca="false">IF(OR($A162="",AJ$4=""),0,COUNTIFS(Formulas!$A$2:$A$1501,AJ$4,Formulas!$B$2:$B$1501,$A162))</f>
        <v>0</v>
      </c>
      <c r="AK162" s="21" t="n">
        <f aca="false">IF(OR($A162="",AK$4=""),0,COUNTIFS(Formulas!$A$2:$A$1501,AK$4,Formulas!$B$2:$B$1501,$A162))</f>
        <v>0</v>
      </c>
      <c r="AL162" s="21" t="n">
        <f aca="false">IF(OR($A162="",AL$4=""),0,COUNTIFS(Formulas!$A$2:$A$1501,AL$4,Formulas!$B$2:$B$1501,$A162))</f>
        <v>0</v>
      </c>
      <c r="AM162" s="21" t="n">
        <f aca="false">IF(OR($A162="",AM$4=""),0,COUNTIFS(Formulas!$A$2:$A$1501,AM$4,Formulas!$B$2:$B$1501,$A162))</f>
        <v>0</v>
      </c>
      <c r="AN162" s="21" t="n">
        <f aca="false">IF(OR($A162="",AN$4=""),0,COUNTIFS(Formulas!$A$2:$A$1501,AN$4,Formulas!$B$2:$B$1501,$A162))</f>
        <v>0</v>
      </c>
      <c r="AO162" s="21" t="n">
        <f aca="false">IF(OR($A162="",AO$4=""),0,COUNTIFS(Formulas!$A$2:$A$1501,AO$4,Formulas!$B$2:$B$1501,$A162))</f>
        <v>0</v>
      </c>
      <c r="AP162" s="21" t="n">
        <f aca="false">IF(OR($A162="",AP$4=""),0,COUNTIFS(Formulas!$A$2:$A$1501,AP$4,Formulas!$B$2:$B$1501,$A162))</f>
        <v>0</v>
      </c>
      <c r="AQ162" s="21" t="n">
        <f aca="false">IF(OR($A162="",AQ$4=""),0,COUNTIFS(Formulas!$A$2:$A$1501,AQ$4,Formulas!$B$2:$B$1501,$A162))</f>
        <v>0</v>
      </c>
      <c r="AR162" s="21" t="n">
        <f aca="false">IF(OR($A162="",AR$4=""),0,COUNTIFS(Formulas!$A$2:$A$1501,AR$4,Formulas!$B$2:$B$1501,$A162))</f>
        <v>0</v>
      </c>
      <c r="AS162" s="21" t="n">
        <f aca="false">IF(OR($A162="",AS$4=""),0,COUNTIFS(Formulas!$A$2:$A$1501,AS$4,Formulas!$B$2:$B$1501,$A162))</f>
        <v>0</v>
      </c>
      <c r="AT162" s="21" t="n">
        <f aca="false">IF(OR($A162="",AT$4=""),0,COUNTIFS(Formulas!$A$2:$A$1501,AT$4,Formulas!$B$2:$B$1501,$A162))</f>
        <v>0</v>
      </c>
      <c r="AU162" s="21" t="n">
        <f aca="false">IF(OR($A162="",AU$4=""),0,COUNTIFS(Formulas!$A$2:$A$1501,AU$4,Formulas!$B$2:$B$1501,$A162))</f>
        <v>0</v>
      </c>
      <c r="AV162" s="21" t="n">
        <f aca="false">IF(OR($A162="",AV$4=""),0,COUNTIFS(Formulas!$A$2:$A$1501,AV$4,Formulas!$B$2:$B$1501,$A162))</f>
        <v>0</v>
      </c>
      <c r="AW162" s="21" t="n">
        <f aca="false">IF(OR($A162="",AW$4=""),0,COUNTIFS(Formulas!$A$2:$A$1501,AW$4,Formulas!$B$2:$B$1501,$A162))</f>
        <v>0</v>
      </c>
      <c r="AX162" s="21" t="n">
        <f aca="false">IF(OR($A162="",AX$4=""),0,COUNTIFS(Formulas!$A$2:$A$1501,AX$4,Formulas!$B$2:$B$1501,$A162))</f>
        <v>0</v>
      </c>
      <c r="AY162" s="21" t="n">
        <f aca="false">IF(OR($A162="",AY$4=""),0,COUNTIFS(Formulas!$A$2:$A$1501,AY$4,Formulas!$B$2:$B$1501,$A162))</f>
        <v>0</v>
      </c>
      <c r="AZ162" s="21" t="n">
        <f aca="false">IF(OR($A162="",AZ$4=""),0,COUNTIFS(Formulas!$A$2:$A$1501,AZ$4,Formulas!$B$2:$B$1501,$A162))</f>
        <v>0</v>
      </c>
      <c r="BA162" s="21" t="n">
        <f aca="false">IF(OR($A162="",BA$4=""),0,COUNTIFS(Formulas!$A$2:$A$1501,BA$4,Formulas!$B$2:$B$1501,$A162))</f>
        <v>0</v>
      </c>
      <c r="BB162" s="21" t="n">
        <f aca="false">IF(OR($A162="",BB$4=""),0,COUNTIFS(Formulas!$A$2:$A$1501,BB$4,Formulas!$B$2:$B$1501,$A162))</f>
        <v>0</v>
      </c>
      <c r="BC162" s="21" t="n">
        <f aca="false">IF(OR($A162="",BC$4=""),0,COUNTIFS(Formulas!$A$2:$A$1501,BC$4,Formulas!$B$2:$B$1501,$A162))</f>
        <v>0</v>
      </c>
      <c r="BD162" s="21" t="n">
        <f aca="false">IF(OR($A162="",BD$4=""),0,COUNTIFS(Formulas!$A$2:$A$1501,BD$4,Formulas!$B$2:$B$1501,$A162))</f>
        <v>0</v>
      </c>
      <c r="BE162" s="21" t="n">
        <f aca="false">IF(OR($A162="",BE$4=""),0,COUNTIFS(Formulas!$A$2:$A$1501,BE$4,Formulas!$B$2:$B$1501,$A162))</f>
        <v>0</v>
      </c>
      <c r="BF162" s="21" t="n">
        <f aca="false">IF(OR($A162="",BF$4=""),0,COUNTIFS(Formulas!$A$2:$A$1501,BF$4,Formulas!$B$2:$B$1501,$A162))</f>
        <v>0</v>
      </c>
      <c r="BG162" s="21" t="n">
        <f aca="false">IF(OR($A162="",BG$4=""),0,COUNTIFS(Formulas!$A$2:$A$1501,BG$4,Formulas!$B$2:$B$1501,$A162))</f>
        <v>0</v>
      </c>
      <c r="BH162" s="21" t="n">
        <f aca="false">IF(OR($A162="",BH$4=""),0,COUNTIFS(Formulas!$A$2:$A$1501,BH$4,Formulas!$B$2:$B$1501,$A162))</f>
        <v>0</v>
      </c>
      <c r="BI162" s="21" t="n">
        <f aca="false">IF(OR($A162="",BI$4=""),0,COUNTIFS(Formulas!$A$2:$A$1501,BI$4,Formulas!$B$2:$B$1501,$A162))</f>
        <v>0</v>
      </c>
      <c r="BJ162" s="21" t="n">
        <f aca="false">IF(OR($A162="",BJ$4=""),0,COUNTIFS(Formulas!$A$2:$A$1501,BJ$4,Formulas!$B$2:$B$1501,$A162))</f>
        <v>0</v>
      </c>
    </row>
    <row r="163" customFormat="false" ht="15" hidden="false" customHeight="false" outlineLevel="0" collapsed="false">
      <c r="A163" s="13" t="str">
        <f aca="false">IF(INDEX(Materials!$A$2:$A$201,159)="","",INDEX(Materials!$A$2:$A$201,159))</f>
        <v/>
      </c>
      <c r="B163" s="19" t="str">
        <f aca="false">IF(A163="","",COUNTIF(C163:BJ163,"&gt;0"))</f>
        <v/>
      </c>
      <c r="C163" s="21" t="n">
        <f aca="false">IF(OR($A163="",C$4=""),0,COUNTIFS(Formulas!$A$2:$A$1501,C$4,Formulas!$B$2:$B$1501,$A163))</f>
        <v>0</v>
      </c>
      <c r="D163" s="21" t="n">
        <f aca="false">IF(OR($A163="",D$4=""),0,COUNTIFS(Formulas!$A$2:$A$1501,D$4,Formulas!$B$2:$B$1501,$A163))</f>
        <v>0</v>
      </c>
      <c r="E163" s="21" t="n">
        <f aca="false">IF(OR($A163="",E$4=""),0,COUNTIFS(Formulas!$A$2:$A$1501,E$4,Formulas!$B$2:$B$1501,$A163))</f>
        <v>0</v>
      </c>
      <c r="F163" s="21" t="n">
        <f aca="false">IF(OR($A163="",F$4=""),0,COUNTIFS(Formulas!$A$2:$A$1501,F$4,Formulas!$B$2:$B$1501,$A163))</f>
        <v>0</v>
      </c>
      <c r="G163" s="21" t="n">
        <f aca="false">IF(OR($A163="",G$4=""),0,COUNTIFS(Formulas!$A$2:$A$1501,G$4,Formulas!$B$2:$B$1501,$A163))</f>
        <v>0</v>
      </c>
      <c r="H163" s="21" t="n">
        <f aca="false">IF(OR($A163="",H$4=""),0,COUNTIFS(Formulas!$A$2:$A$1501,H$4,Formulas!$B$2:$B$1501,$A163))</f>
        <v>0</v>
      </c>
      <c r="I163" s="21" t="n">
        <f aca="false">IF(OR($A163="",I$4=""),0,COUNTIFS(Formulas!$A$2:$A$1501,I$4,Formulas!$B$2:$B$1501,$A163))</f>
        <v>0</v>
      </c>
      <c r="J163" s="21" t="n">
        <f aca="false">IF(OR($A163="",J$4=""),0,COUNTIFS(Formulas!$A$2:$A$1501,J$4,Formulas!$B$2:$B$1501,$A163))</f>
        <v>0</v>
      </c>
      <c r="K163" s="21" t="n">
        <f aca="false">IF(OR($A163="",K$4=""),0,COUNTIFS(Formulas!$A$2:$A$1501,K$4,Formulas!$B$2:$B$1501,$A163))</f>
        <v>0</v>
      </c>
      <c r="L163" s="21" t="n">
        <f aca="false">IF(OR($A163="",L$4=""),0,COUNTIFS(Formulas!$A$2:$A$1501,L$4,Formulas!$B$2:$B$1501,$A163))</f>
        <v>0</v>
      </c>
      <c r="M163" s="21" t="n">
        <f aca="false">IF(OR($A163="",M$4=""),0,COUNTIFS(Formulas!$A$2:$A$1501,M$4,Formulas!$B$2:$B$1501,$A163))</f>
        <v>0</v>
      </c>
      <c r="N163" s="21" t="n">
        <f aca="false">IF(OR($A163="",N$4=""),0,COUNTIFS(Formulas!$A$2:$A$1501,N$4,Formulas!$B$2:$B$1501,$A163))</f>
        <v>0</v>
      </c>
      <c r="O163" s="21" t="n">
        <f aca="false">IF(OR($A163="",O$4=""),0,COUNTIFS(Formulas!$A$2:$A$1501,O$4,Formulas!$B$2:$B$1501,$A163))</f>
        <v>0</v>
      </c>
      <c r="P163" s="21" t="n">
        <f aca="false">IF(OR($A163="",P$4=""),0,COUNTIFS(Formulas!$A$2:$A$1501,P$4,Formulas!$B$2:$B$1501,$A163))</f>
        <v>0</v>
      </c>
      <c r="Q163" s="21" t="n">
        <f aca="false">IF(OR($A163="",Q$4=""),0,COUNTIFS(Formulas!$A$2:$A$1501,Q$4,Formulas!$B$2:$B$1501,$A163))</f>
        <v>0</v>
      </c>
      <c r="R163" s="21" t="n">
        <f aca="false">IF(OR($A163="",R$4=""),0,COUNTIFS(Formulas!$A$2:$A$1501,R$4,Formulas!$B$2:$B$1501,$A163))</f>
        <v>0</v>
      </c>
      <c r="S163" s="21" t="n">
        <f aca="false">IF(OR($A163="",S$4=""),0,COUNTIFS(Formulas!$A$2:$A$1501,S$4,Formulas!$B$2:$B$1501,$A163))</f>
        <v>0</v>
      </c>
      <c r="T163" s="21" t="n">
        <f aca="false">IF(OR($A163="",T$4=""),0,COUNTIFS(Formulas!$A$2:$A$1501,T$4,Formulas!$B$2:$B$1501,$A163))</f>
        <v>0</v>
      </c>
      <c r="U163" s="21" t="n">
        <f aca="false">IF(OR($A163="",U$4=""),0,COUNTIFS(Formulas!$A$2:$A$1501,U$4,Formulas!$B$2:$B$1501,$A163))</f>
        <v>0</v>
      </c>
      <c r="V163" s="21" t="n">
        <f aca="false">IF(OR($A163="",V$4=""),0,COUNTIFS(Formulas!$A$2:$A$1501,V$4,Formulas!$B$2:$B$1501,$A163))</f>
        <v>0</v>
      </c>
      <c r="W163" s="21" t="n">
        <f aca="false">IF(OR($A163="",W$4=""),0,COUNTIFS(Formulas!$A$2:$A$1501,W$4,Formulas!$B$2:$B$1501,$A163))</f>
        <v>0</v>
      </c>
      <c r="X163" s="21" t="n">
        <f aca="false">IF(OR($A163="",X$4=""),0,COUNTIFS(Formulas!$A$2:$A$1501,X$4,Formulas!$B$2:$B$1501,$A163))</f>
        <v>0</v>
      </c>
      <c r="Y163" s="21" t="n">
        <f aca="false">IF(OR($A163="",Y$4=""),0,COUNTIFS(Formulas!$A$2:$A$1501,Y$4,Formulas!$B$2:$B$1501,$A163))</f>
        <v>0</v>
      </c>
      <c r="Z163" s="21" t="n">
        <f aca="false">IF(OR($A163="",Z$4=""),0,COUNTIFS(Formulas!$A$2:$A$1501,Z$4,Formulas!$B$2:$B$1501,$A163))</f>
        <v>0</v>
      </c>
      <c r="AA163" s="21" t="n">
        <f aca="false">IF(OR($A163="",AA$4=""),0,COUNTIFS(Formulas!$A$2:$A$1501,AA$4,Formulas!$B$2:$B$1501,$A163))</f>
        <v>0</v>
      </c>
      <c r="AB163" s="21" t="n">
        <f aca="false">IF(OR($A163="",AB$4=""),0,COUNTIFS(Formulas!$A$2:$A$1501,AB$4,Formulas!$B$2:$B$1501,$A163))</f>
        <v>0</v>
      </c>
      <c r="AC163" s="21" t="n">
        <f aca="false">IF(OR($A163="",AC$4=""),0,COUNTIFS(Formulas!$A$2:$A$1501,AC$4,Formulas!$B$2:$B$1501,$A163))</f>
        <v>0</v>
      </c>
      <c r="AD163" s="21" t="n">
        <f aca="false">IF(OR($A163="",AD$4=""),0,COUNTIFS(Formulas!$A$2:$A$1501,AD$4,Formulas!$B$2:$B$1501,$A163))</f>
        <v>0</v>
      </c>
      <c r="AE163" s="21" t="n">
        <f aca="false">IF(OR($A163="",AE$4=""),0,COUNTIFS(Formulas!$A$2:$A$1501,AE$4,Formulas!$B$2:$B$1501,$A163))</f>
        <v>0</v>
      </c>
      <c r="AF163" s="21" t="n">
        <f aca="false">IF(OR($A163="",AF$4=""),0,COUNTIFS(Formulas!$A$2:$A$1501,AF$4,Formulas!$B$2:$B$1501,$A163))</f>
        <v>0</v>
      </c>
      <c r="AG163" s="21" t="n">
        <f aca="false">IF(OR($A163="",AG$4=""),0,COUNTIFS(Formulas!$A$2:$A$1501,AG$4,Formulas!$B$2:$B$1501,$A163))</f>
        <v>0</v>
      </c>
      <c r="AH163" s="21" t="n">
        <f aca="false">IF(OR($A163="",AH$4=""),0,COUNTIFS(Formulas!$A$2:$A$1501,AH$4,Formulas!$B$2:$B$1501,$A163))</f>
        <v>0</v>
      </c>
      <c r="AI163" s="21" t="n">
        <f aca="false">IF(OR($A163="",AI$4=""),0,COUNTIFS(Formulas!$A$2:$A$1501,AI$4,Formulas!$B$2:$B$1501,$A163))</f>
        <v>0</v>
      </c>
      <c r="AJ163" s="21" t="n">
        <f aca="false">IF(OR($A163="",AJ$4=""),0,COUNTIFS(Formulas!$A$2:$A$1501,AJ$4,Formulas!$B$2:$B$1501,$A163))</f>
        <v>0</v>
      </c>
      <c r="AK163" s="21" t="n">
        <f aca="false">IF(OR($A163="",AK$4=""),0,COUNTIFS(Formulas!$A$2:$A$1501,AK$4,Formulas!$B$2:$B$1501,$A163))</f>
        <v>0</v>
      </c>
      <c r="AL163" s="21" t="n">
        <f aca="false">IF(OR($A163="",AL$4=""),0,COUNTIFS(Formulas!$A$2:$A$1501,AL$4,Formulas!$B$2:$B$1501,$A163))</f>
        <v>0</v>
      </c>
      <c r="AM163" s="21" t="n">
        <f aca="false">IF(OR($A163="",AM$4=""),0,COUNTIFS(Formulas!$A$2:$A$1501,AM$4,Formulas!$B$2:$B$1501,$A163))</f>
        <v>0</v>
      </c>
      <c r="AN163" s="21" t="n">
        <f aca="false">IF(OR($A163="",AN$4=""),0,COUNTIFS(Formulas!$A$2:$A$1501,AN$4,Formulas!$B$2:$B$1501,$A163))</f>
        <v>0</v>
      </c>
      <c r="AO163" s="21" t="n">
        <f aca="false">IF(OR($A163="",AO$4=""),0,COUNTIFS(Formulas!$A$2:$A$1501,AO$4,Formulas!$B$2:$B$1501,$A163))</f>
        <v>0</v>
      </c>
      <c r="AP163" s="21" t="n">
        <f aca="false">IF(OR($A163="",AP$4=""),0,COUNTIFS(Formulas!$A$2:$A$1501,AP$4,Formulas!$B$2:$B$1501,$A163))</f>
        <v>0</v>
      </c>
      <c r="AQ163" s="21" t="n">
        <f aca="false">IF(OR($A163="",AQ$4=""),0,COUNTIFS(Formulas!$A$2:$A$1501,AQ$4,Formulas!$B$2:$B$1501,$A163))</f>
        <v>0</v>
      </c>
      <c r="AR163" s="21" t="n">
        <f aca="false">IF(OR($A163="",AR$4=""),0,COUNTIFS(Formulas!$A$2:$A$1501,AR$4,Formulas!$B$2:$B$1501,$A163))</f>
        <v>0</v>
      </c>
      <c r="AS163" s="21" t="n">
        <f aca="false">IF(OR($A163="",AS$4=""),0,COUNTIFS(Formulas!$A$2:$A$1501,AS$4,Formulas!$B$2:$B$1501,$A163))</f>
        <v>0</v>
      </c>
      <c r="AT163" s="21" t="n">
        <f aca="false">IF(OR($A163="",AT$4=""),0,COUNTIFS(Formulas!$A$2:$A$1501,AT$4,Formulas!$B$2:$B$1501,$A163))</f>
        <v>0</v>
      </c>
      <c r="AU163" s="21" t="n">
        <f aca="false">IF(OR($A163="",AU$4=""),0,COUNTIFS(Formulas!$A$2:$A$1501,AU$4,Formulas!$B$2:$B$1501,$A163))</f>
        <v>0</v>
      </c>
      <c r="AV163" s="21" t="n">
        <f aca="false">IF(OR($A163="",AV$4=""),0,COUNTIFS(Formulas!$A$2:$A$1501,AV$4,Formulas!$B$2:$B$1501,$A163))</f>
        <v>0</v>
      </c>
      <c r="AW163" s="21" t="n">
        <f aca="false">IF(OR($A163="",AW$4=""),0,COUNTIFS(Formulas!$A$2:$A$1501,AW$4,Formulas!$B$2:$B$1501,$A163))</f>
        <v>0</v>
      </c>
      <c r="AX163" s="21" t="n">
        <f aca="false">IF(OR($A163="",AX$4=""),0,COUNTIFS(Formulas!$A$2:$A$1501,AX$4,Formulas!$B$2:$B$1501,$A163))</f>
        <v>0</v>
      </c>
      <c r="AY163" s="21" t="n">
        <f aca="false">IF(OR($A163="",AY$4=""),0,COUNTIFS(Formulas!$A$2:$A$1501,AY$4,Formulas!$B$2:$B$1501,$A163))</f>
        <v>0</v>
      </c>
      <c r="AZ163" s="21" t="n">
        <f aca="false">IF(OR($A163="",AZ$4=""),0,COUNTIFS(Formulas!$A$2:$A$1501,AZ$4,Formulas!$B$2:$B$1501,$A163))</f>
        <v>0</v>
      </c>
      <c r="BA163" s="21" t="n">
        <f aca="false">IF(OR($A163="",BA$4=""),0,COUNTIFS(Formulas!$A$2:$A$1501,BA$4,Formulas!$B$2:$B$1501,$A163))</f>
        <v>0</v>
      </c>
      <c r="BB163" s="21" t="n">
        <f aca="false">IF(OR($A163="",BB$4=""),0,COUNTIFS(Formulas!$A$2:$A$1501,BB$4,Formulas!$B$2:$B$1501,$A163))</f>
        <v>0</v>
      </c>
      <c r="BC163" s="21" t="n">
        <f aca="false">IF(OR($A163="",BC$4=""),0,COUNTIFS(Formulas!$A$2:$A$1501,BC$4,Formulas!$B$2:$B$1501,$A163))</f>
        <v>0</v>
      </c>
      <c r="BD163" s="21" t="n">
        <f aca="false">IF(OR($A163="",BD$4=""),0,COUNTIFS(Formulas!$A$2:$A$1501,BD$4,Formulas!$B$2:$B$1501,$A163))</f>
        <v>0</v>
      </c>
      <c r="BE163" s="21" t="n">
        <f aca="false">IF(OR($A163="",BE$4=""),0,COUNTIFS(Formulas!$A$2:$A$1501,BE$4,Formulas!$B$2:$B$1501,$A163))</f>
        <v>0</v>
      </c>
      <c r="BF163" s="21" t="n">
        <f aca="false">IF(OR($A163="",BF$4=""),0,COUNTIFS(Formulas!$A$2:$A$1501,BF$4,Formulas!$B$2:$B$1501,$A163))</f>
        <v>0</v>
      </c>
      <c r="BG163" s="21" t="n">
        <f aca="false">IF(OR($A163="",BG$4=""),0,COUNTIFS(Formulas!$A$2:$A$1501,BG$4,Formulas!$B$2:$B$1501,$A163))</f>
        <v>0</v>
      </c>
      <c r="BH163" s="21" t="n">
        <f aca="false">IF(OR($A163="",BH$4=""),0,COUNTIFS(Formulas!$A$2:$A$1501,BH$4,Formulas!$B$2:$B$1501,$A163))</f>
        <v>0</v>
      </c>
      <c r="BI163" s="21" t="n">
        <f aca="false">IF(OR($A163="",BI$4=""),0,COUNTIFS(Formulas!$A$2:$A$1501,BI$4,Formulas!$B$2:$B$1501,$A163))</f>
        <v>0</v>
      </c>
      <c r="BJ163" s="21" t="n">
        <f aca="false">IF(OR($A163="",BJ$4=""),0,COUNTIFS(Formulas!$A$2:$A$1501,BJ$4,Formulas!$B$2:$B$1501,$A163))</f>
        <v>0</v>
      </c>
    </row>
    <row r="164" customFormat="false" ht="15" hidden="false" customHeight="false" outlineLevel="0" collapsed="false">
      <c r="A164" s="13" t="str">
        <f aca="false">IF(INDEX(Materials!$A$2:$A$201,160)="","",INDEX(Materials!$A$2:$A$201,160))</f>
        <v/>
      </c>
      <c r="B164" s="19" t="str">
        <f aca="false">IF(A164="","",COUNTIF(C164:BJ164,"&gt;0"))</f>
        <v/>
      </c>
      <c r="C164" s="21" t="n">
        <f aca="false">IF(OR($A164="",C$4=""),0,COUNTIFS(Formulas!$A$2:$A$1501,C$4,Formulas!$B$2:$B$1501,$A164))</f>
        <v>0</v>
      </c>
      <c r="D164" s="21" t="n">
        <f aca="false">IF(OR($A164="",D$4=""),0,COUNTIFS(Formulas!$A$2:$A$1501,D$4,Formulas!$B$2:$B$1501,$A164))</f>
        <v>0</v>
      </c>
      <c r="E164" s="21" t="n">
        <f aca="false">IF(OR($A164="",E$4=""),0,COUNTIFS(Formulas!$A$2:$A$1501,E$4,Formulas!$B$2:$B$1501,$A164))</f>
        <v>0</v>
      </c>
      <c r="F164" s="21" t="n">
        <f aca="false">IF(OR($A164="",F$4=""),0,COUNTIFS(Formulas!$A$2:$A$1501,F$4,Formulas!$B$2:$B$1501,$A164))</f>
        <v>0</v>
      </c>
      <c r="G164" s="21" t="n">
        <f aca="false">IF(OR($A164="",G$4=""),0,COUNTIFS(Formulas!$A$2:$A$1501,G$4,Formulas!$B$2:$B$1501,$A164))</f>
        <v>0</v>
      </c>
      <c r="H164" s="21" t="n">
        <f aca="false">IF(OR($A164="",H$4=""),0,COUNTIFS(Formulas!$A$2:$A$1501,H$4,Formulas!$B$2:$B$1501,$A164))</f>
        <v>0</v>
      </c>
      <c r="I164" s="21" t="n">
        <f aca="false">IF(OR($A164="",I$4=""),0,COUNTIFS(Formulas!$A$2:$A$1501,I$4,Formulas!$B$2:$B$1501,$A164))</f>
        <v>0</v>
      </c>
      <c r="J164" s="21" t="n">
        <f aca="false">IF(OR($A164="",J$4=""),0,COUNTIFS(Formulas!$A$2:$A$1501,J$4,Formulas!$B$2:$B$1501,$A164))</f>
        <v>0</v>
      </c>
      <c r="K164" s="21" t="n">
        <f aca="false">IF(OR($A164="",K$4=""),0,COUNTIFS(Formulas!$A$2:$A$1501,K$4,Formulas!$B$2:$B$1501,$A164))</f>
        <v>0</v>
      </c>
      <c r="L164" s="21" t="n">
        <f aca="false">IF(OR($A164="",L$4=""),0,COUNTIFS(Formulas!$A$2:$A$1501,L$4,Formulas!$B$2:$B$1501,$A164))</f>
        <v>0</v>
      </c>
      <c r="M164" s="21" t="n">
        <f aca="false">IF(OR($A164="",M$4=""),0,COUNTIFS(Formulas!$A$2:$A$1501,M$4,Formulas!$B$2:$B$1501,$A164))</f>
        <v>0</v>
      </c>
      <c r="N164" s="21" t="n">
        <f aca="false">IF(OR($A164="",N$4=""),0,COUNTIFS(Formulas!$A$2:$A$1501,N$4,Formulas!$B$2:$B$1501,$A164))</f>
        <v>0</v>
      </c>
      <c r="O164" s="21" t="n">
        <f aca="false">IF(OR($A164="",O$4=""),0,COUNTIFS(Formulas!$A$2:$A$1501,O$4,Formulas!$B$2:$B$1501,$A164))</f>
        <v>0</v>
      </c>
      <c r="P164" s="21" t="n">
        <f aca="false">IF(OR($A164="",P$4=""),0,COUNTIFS(Formulas!$A$2:$A$1501,P$4,Formulas!$B$2:$B$1501,$A164))</f>
        <v>0</v>
      </c>
      <c r="Q164" s="21" t="n">
        <f aca="false">IF(OR($A164="",Q$4=""),0,COUNTIFS(Formulas!$A$2:$A$1501,Q$4,Formulas!$B$2:$B$1501,$A164))</f>
        <v>0</v>
      </c>
      <c r="R164" s="21" t="n">
        <f aca="false">IF(OR($A164="",R$4=""),0,COUNTIFS(Formulas!$A$2:$A$1501,R$4,Formulas!$B$2:$B$1501,$A164))</f>
        <v>0</v>
      </c>
      <c r="S164" s="21" t="n">
        <f aca="false">IF(OR($A164="",S$4=""),0,COUNTIFS(Formulas!$A$2:$A$1501,S$4,Formulas!$B$2:$B$1501,$A164))</f>
        <v>0</v>
      </c>
      <c r="T164" s="21" t="n">
        <f aca="false">IF(OR($A164="",T$4=""),0,COUNTIFS(Formulas!$A$2:$A$1501,T$4,Formulas!$B$2:$B$1501,$A164))</f>
        <v>0</v>
      </c>
      <c r="U164" s="21" t="n">
        <f aca="false">IF(OR($A164="",U$4=""),0,COUNTIFS(Formulas!$A$2:$A$1501,U$4,Formulas!$B$2:$B$1501,$A164))</f>
        <v>0</v>
      </c>
      <c r="V164" s="21" t="n">
        <f aca="false">IF(OR($A164="",V$4=""),0,COUNTIFS(Formulas!$A$2:$A$1501,V$4,Formulas!$B$2:$B$1501,$A164))</f>
        <v>0</v>
      </c>
      <c r="W164" s="21" t="n">
        <f aca="false">IF(OR($A164="",W$4=""),0,COUNTIFS(Formulas!$A$2:$A$1501,W$4,Formulas!$B$2:$B$1501,$A164))</f>
        <v>0</v>
      </c>
      <c r="X164" s="21" t="n">
        <f aca="false">IF(OR($A164="",X$4=""),0,COUNTIFS(Formulas!$A$2:$A$1501,X$4,Formulas!$B$2:$B$1501,$A164))</f>
        <v>0</v>
      </c>
      <c r="Y164" s="21" t="n">
        <f aca="false">IF(OR($A164="",Y$4=""),0,COUNTIFS(Formulas!$A$2:$A$1501,Y$4,Formulas!$B$2:$B$1501,$A164))</f>
        <v>0</v>
      </c>
      <c r="Z164" s="21" t="n">
        <f aca="false">IF(OR($A164="",Z$4=""),0,COUNTIFS(Formulas!$A$2:$A$1501,Z$4,Formulas!$B$2:$B$1501,$A164))</f>
        <v>0</v>
      </c>
      <c r="AA164" s="21" t="n">
        <f aca="false">IF(OR($A164="",AA$4=""),0,COUNTIFS(Formulas!$A$2:$A$1501,AA$4,Formulas!$B$2:$B$1501,$A164))</f>
        <v>0</v>
      </c>
      <c r="AB164" s="21" t="n">
        <f aca="false">IF(OR($A164="",AB$4=""),0,COUNTIFS(Formulas!$A$2:$A$1501,AB$4,Formulas!$B$2:$B$1501,$A164))</f>
        <v>0</v>
      </c>
      <c r="AC164" s="21" t="n">
        <f aca="false">IF(OR($A164="",AC$4=""),0,COUNTIFS(Formulas!$A$2:$A$1501,AC$4,Formulas!$B$2:$B$1501,$A164))</f>
        <v>0</v>
      </c>
      <c r="AD164" s="21" t="n">
        <f aca="false">IF(OR($A164="",AD$4=""),0,COUNTIFS(Formulas!$A$2:$A$1501,AD$4,Formulas!$B$2:$B$1501,$A164))</f>
        <v>0</v>
      </c>
      <c r="AE164" s="21" t="n">
        <f aca="false">IF(OR($A164="",AE$4=""),0,COUNTIFS(Formulas!$A$2:$A$1501,AE$4,Formulas!$B$2:$B$1501,$A164))</f>
        <v>0</v>
      </c>
      <c r="AF164" s="21" t="n">
        <f aca="false">IF(OR($A164="",AF$4=""),0,COUNTIFS(Formulas!$A$2:$A$1501,AF$4,Formulas!$B$2:$B$1501,$A164))</f>
        <v>0</v>
      </c>
      <c r="AG164" s="21" t="n">
        <f aca="false">IF(OR($A164="",AG$4=""),0,COUNTIFS(Formulas!$A$2:$A$1501,AG$4,Formulas!$B$2:$B$1501,$A164))</f>
        <v>0</v>
      </c>
      <c r="AH164" s="21" t="n">
        <f aca="false">IF(OR($A164="",AH$4=""),0,COUNTIFS(Formulas!$A$2:$A$1501,AH$4,Formulas!$B$2:$B$1501,$A164))</f>
        <v>0</v>
      </c>
      <c r="AI164" s="21" t="n">
        <f aca="false">IF(OR($A164="",AI$4=""),0,COUNTIFS(Formulas!$A$2:$A$1501,AI$4,Formulas!$B$2:$B$1501,$A164))</f>
        <v>0</v>
      </c>
      <c r="AJ164" s="21" t="n">
        <f aca="false">IF(OR($A164="",AJ$4=""),0,COUNTIFS(Formulas!$A$2:$A$1501,AJ$4,Formulas!$B$2:$B$1501,$A164))</f>
        <v>0</v>
      </c>
      <c r="AK164" s="21" t="n">
        <f aca="false">IF(OR($A164="",AK$4=""),0,COUNTIFS(Formulas!$A$2:$A$1501,AK$4,Formulas!$B$2:$B$1501,$A164))</f>
        <v>0</v>
      </c>
      <c r="AL164" s="21" t="n">
        <f aca="false">IF(OR($A164="",AL$4=""),0,COUNTIFS(Formulas!$A$2:$A$1501,AL$4,Formulas!$B$2:$B$1501,$A164))</f>
        <v>0</v>
      </c>
      <c r="AM164" s="21" t="n">
        <f aca="false">IF(OR($A164="",AM$4=""),0,COUNTIFS(Formulas!$A$2:$A$1501,AM$4,Formulas!$B$2:$B$1501,$A164))</f>
        <v>0</v>
      </c>
      <c r="AN164" s="21" t="n">
        <f aca="false">IF(OR($A164="",AN$4=""),0,COUNTIFS(Formulas!$A$2:$A$1501,AN$4,Formulas!$B$2:$B$1501,$A164))</f>
        <v>0</v>
      </c>
      <c r="AO164" s="21" t="n">
        <f aca="false">IF(OR($A164="",AO$4=""),0,COUNTIFS(Formulas!$A$2:$A$1501,AO$4,Formulas!$B$2:$B$1501,$A164))</f>
        <v>0</v>
      </c>
      <c r="AP164" s="21" t="n">
        <f aca="false">IF(OR($A164="",AP$4=""),0,COUNTIFS(Formulas!$A$2:$A$1501,AP$4,Formulas!$B$2:$B$1501,$A164))</f>
        <v>0</v>
      </c>
      <c r="AQ164" s="21" t="n">
        <f aca="false">IF(OR($A164="",AQ$4=""),0,COUNTIFS(Formulas!$A$2:$A$1501,AQ$4,Formulas!$B$2:$B$1501,$A164))</f>
        <v>0</v>
      </c>
      <c r="AR164" s="21" t="n">
        <f aca="false">IF(OR($A164="",AR$4=""),0,COUNTIFS(Formulas!$A$2:$A$1501,AR$4,Formulas!$B$2:$B$1501,$A164))</f>
        <v>0</v>
      </c>
      <c r="AS164" s="21" t="n">
        <f aca="false">IF(OR($A164="",AS$4=""),0,COUNTIFS(Formulas!$A$2:$A$1501,AS$4,Formulas!$B$2:$B$1501,$A164))</f>
        <v>0</v>
      </c>
      <c r="AT164" s="21" t="n">
        <f aca="false">IF(OR($A164="",AT$4=""),0,COUNTIFS(Formulas!$A$2:$A$1501,AT$4,Formulas!$B$2:$B$1501,$A164))</f>
        <v>0</v>
      </c>
      <c r="AU164" s="21" t="n">
        <f aca="false">IF(OR($A164="",AU$4=""),0,COUNTIFS(Formulas!$A$2:$A$1501,AU$4,Formulas!$B$2:$B$1501,$A164))</f>
        <v>0</v>
      </c>
      <c r="AV164" s="21" t="n">
        <f aca="false">IF(OR($A164="",AV$4=""),0,COUNTIFS(Formulas!$A$2:$A$1501,AV$4,Formulas!$B$2:$B$1501,$A164))</f>
        <v>0</v>
      </c>
      <c r="AW164" s="21" t="n">
        <f aca="false">IF(OR($A164="",AW$4=""),0,COUNTIFS(Formulas!$A$2:$A$1501,AW$4,Formulas!$B$2:$B$1501,$A164))</f>
        <v>0</v>
      </c>
      <c r="AX164" s="21" t="n">
        <f aca="false">IF(OR($A164="",AX$4=""),0,COUNTIFS(Formulas!$A$2:$A$1501,AX$4,Formulas!$B$2:$B$1501,$A164))</f>
        <v>0</v>
      </c>
      <c r="AY164" s="21" t="n">
        <f aca="false">IF(OR($A164="",AY$4=""),0,COUNTIFS(Formulas!$A$2:$A$1501,AY$4,Formulas!$B$2:$B$1501,$A164))</f>
        <v>0</v>
      </c>
      <c r="AZ164" s="21" t="n">
        <f aca="false">IF(OR($A164="",AZ$4=""),0,COUNTIFS(Formulas!$A$2:$A$1501,AZ$4,Formulas!$B$2:$B$1501,$A164))</f>
        <v>0</v>
      </c>
      <c r="BA164" s="21" t="n">
        <f aca="false">IF(OR($A164="",BA$4=""),0,COUNTIFS(Formulas!$A$2:$A$1501,BA$4,Formulas!$B$2:$B$1501,$A164))</f>
        <v>0</v>
      </c>
      <c r="BB164" s="21" t="n">
        <f aca="false">IF(OR($A164="",BB$4=""),0,COUNTIFS(Formulas!$A$2:$A$1501,BB$4,Formulas!$B$2:$B$1501,$A164))</f>
        <v>0</v>
      </c>
      <c r="BC164" s="21" t="n">
        <f aca="false">IF(OR($A164="",BC$4=""),0,COUNTIFS(Formulas!$A$2:$A$1501,BC$4,Formulas!$B$2:$B$1501,$A164))</f>
        <v>0</v>
      </c>
      <c r="BD164" s="21" t="n">
        <f aca="false">IF(OR($A164="",BD$4=""),0,COUNTIFS(Formulas!$A$2:$A$1501,BD$4,Formulas!$B$2:$B$1501,$A164))</f>
        <v>0</v>
      </c>
      <c r="BE164" s="21" t="n">
        <f aca="false">IF(OR($A164="",BE$4=""),0,COUNTIFS(Formulas!$A$2:$A$1501,BE$4,Formulas!$B$2:$B$1501,$A164))</f>
        <v>0</v>
      </c>
      <c r="BF164" s="21" t="n">
        <f aca="false">IF(OR($A164="",BF$4=""),0,COUNTIFS(Formulas!$A$2:$A$1501,BF$4,Formulas!$B$2:$B$1501,$A164))</f>
        <v>0</v>
      </c>
      <c r="BG164" s="21" t="n">
        <f aca="false">IF(OR($A164="",BG$4=""),0,COUNTIFS(Formulas!$A$2:$A$1501,BG$4,Formulas!$B$2:$B$1501,$A164))</f>
        <v>0</v>
      </c>
      <c r="BH164" s="21" t="n">
        <f aca="false">IF(OR($A164="",BH$4=""),0,COUNTIFS(Formulas!$A$2:$A$1501,BH$4,Formulas!$B$2:$B$1501,$A164))</f>
        <v>0</v>
      </c>
      <c r="BI164" s="21" t="n">
        <f aca="false">IF(OR($A164="",BI$4=""),0,COUNTIFS(Formulas!$A$2:$A$1501,BI$4,Formulas!$B$2:$B$1501,$A164))</f>
        <v>0</v>
      </c>
      <c r="BJ164" s="21" t="n">
        <f aca="false">IF(OR($A164="",BJ$4=""),0,COUNTIFS(Formulas!$A$2:$A$1501,BJ$4,Formulas!$B$2:$B$1501,$A164))</f>
        <v>0</v>
      </c>
    </row>
    <row r="165" customFormat="false" ht="15" hidden="false" customHeight="false" outlineLevel="0" collapsed="false">
      <c r="A165" s="13" t="str">
        <f aca="false">IF(INDEX(Materials!$A$2:$A$201,161)="","",INDEX(Materials!$A$2:$A$201,161))</f>
        <v/>
      </c>
      <c r="B165" s="19" t="str">
        <f aca="false">IF(A165="","",COUNTIF(C165:BJ165,"&gt;0"))</f>
        <v/>
      </c>
      <c r="C165" s="21" t="n">
        <f aca="false">IF(OR($A165="",C$4=""),0,COUNTIFS(Formulas!$A$2:$A$1501,C$4,Formulas!$B$2:$B$1501,$A165))</f>
        <v>0</v>
      </c>
      <c r="D165" s="21" t="n">
        <f aca="false">IF(OR($A165="",D$4=""),0,COUNTIFS(Formulas!$A$2:$A$1501,D$4,Formulas!$B$2:$B$1501,$A165))</f>
        <v>0</v>
      </c>
      <c r="E165" s="21" t="n">
        <f aca="false">IF(OR($A165="",E$4=""),0,COUNTIFS(Formulas!$A$2:$A$1501,E$4,Formulas!$B$2:$B$1501,$A165))</f>
        <v>0</v>
      </c>
      <c r="F165" s="21" t="n">
        <f aca="false">IF(OR($A165="",F$4=""),0,COUNTIFS(Formulas!$A$2:$A$1501,F$4,Formulas!$B$2:$B$1501,$A165))</f>
        <v>0</v>
      </c>
      <c r="G165" s="21" t="n">
        <f aca="false">IF(OR($A165="",G$4=""),0,COUNTIFS(Formulas!$A$2:$A$1501,G$4,Formulas!$B$2:$B$1501,$A165))</f>
        <v>0</v>
      </c>
      <c r="H165" s="21" t="n">
        <f aca="false">IF(OR($A165="",H$4=""),0,COUNTIFS(Formulas!$A$2:$A$1501,H$4,Formulas!$B$2:$B$1501,$A165))</f>
        <v>0</v>
      </c>
      <c r="I165" s="21" t="n">
        <f aca="false">IF(OR($A165="",I$4=""),0,COUNTIFS(Formulas!$A$2:$A$1501,I$4,Formulas!$B$2:$B$1501,$A165))</f>
        <v>0</v>
      </c>
      <c r="J165" s="21" t="n">
        <f aca="false">IF(OR($A165="",J$4=""),0,COUNTIFS(Formulas!$A$2:$A$1501,J$4,Formulas!$B$2:$B$1501,$A165))</f>
        <v>0</v>
      </c>
      <c r="K165" s="21" t="n">
        <f aca="false">IF(OR($A165="",K$4=""),0,COUNTIFS(Formulas!$A$2:$A$1501,K$4,Formulas!$B$2:$B$1501,$A165))</f>
        <v>0</v>
      </c>
      <c r="L165" s="21" t="n">
        <f aca="false">IF(OR($A165="",L$4=""),0,COUNTIFS(Formulas!$A$2:$A$1501,L$4,Formulas!$B$2:$B$1501,$A165))</f>
        <v>0</v>
      </c>
      <c r="M165" s="21" t="n">
        <f aca="false">IF(OR($A165="",M$4=""),0,COUNTIFS(Formulas!$A$2:$A$1501,M$4,Formulas!$B$2:$B$1501,$A165))</f>
        <v>0</v>
      </c>
      <c r="N165" s="21" t="n">
        <f aca="false">IF(OR($A165="",N$4=""),0,COUNTIFS(Formulas!$A$2:$A$1501,N$4,Formulas!$B$2:$B$1501,$A165))</f>
        <v>0</v>
      </c>
      <c r="O165" s="21" t="n">
        <f aca="false">IF(OR($A165="",O$4=""),0,COUNTIFS(Formulas!$A$2:$A$1501,O$4,Formulas!$B$2:$B$1501,$A165))</f>
        <v>0</v>
      </c>
      <c r="P165" s="21" t="n">
        <f aca="false">IF(OR($A165="",P$4=""),0,COUNTIFS(Formulas!$A$2:$A$1501,P$4,Formulas!$B$2:$B$1501,$A165))</f>
        <v>0</v>
      </c>
      <c r="Q165" s="21" t="n">
        <f aca="false">IF(OR($A165="",Q$4=""),0,COUNTIFS(Formulas!$A$2:$A$1501,Q$4,Formulas!$B$2:$B$1501,$A165))</f>
        <v>0</v>
      </c>
      <c r="R165" s="21" t="n">
        <f aca="false">IF(OR($A165="",R$4=""),0,COUNTIFS(Formulas!$A$2:$A$1501,R$4,Formulas!$B$2:$B$1501,$A165))</f>
        <v>0</v>
      </c>
      <c r="S165" s="21" t="n">
        <f aca="false">IF(OR($A165="",S$4=""),0,COUNTIFS(Formulas!$A$2:$A$1501,S$4,Formulas!$B$2:$B$1501,$A165))</f>
        <v>0</v>
      </c>
      <c r="T165" s="21" t="n">
        <f aca="false">IF(OR($A165="",T$4=""),0,COUNTIFS(Formulas!$A$2:$A$1501,T$4,Formulas!$B$2:$B$1501,$A165))</f>
        <v>0</v>
      </c>
      <c r="U165" s="21" t="n">
        <f aca="false">IF(OR($A165="",U$4=""),0,COUNTIFS(Formulas!$A$2:$A$1501,U$4,Formulas!$B$2:$B$1501,$A165))</f>
        <v>0</v>
      </c>
      <c r="V165" s="21" t="n">
        <f aca="false">IF(OR($A165="",V$4=""),0,COUNTIFS(Formulas!$A$2:$A$1501,V$4,Formulas!$B$2:$B$1501,$A165))</f>
        <v>0</v>
      </c>
      <c r="W165" s="21" t="n">
        <f aca="false">IF(OR($A165="",W$4=""),0,COUNTIFS(Formulas!$A$2:$A$1501,W$4,Formulas!$B$2:$B$1501,$A165))</f>
        <v>0</v>
      </c>
      <c r="X165" s="21" t="n">
        <f aca="false">IF(OR($A165="",X$4=""),0,COUNTIFS(Formulas!$A$2:$A$1501,X$4,Formulas!$B$2:$B$1501,$A165))</f>
        <v>0</v>
      </c>
      <c r="Y165" s="21" t="n">
        <f aca="false">IF(OR($A165="",Y$4=""),0,COUNTIFS(Formulas!$A$2:$A$1501,Y$4,Formulas!$B$2:$B$1501,$A165))</f>
        <v>0</v>
      </c>
      <c r="Z165" s="21" t="n">
        <f aca="false">IF(OR($A165="",Z$4=""),0,COUNTIFS(Formulas!$A$2:$A$1501,Z$4,Formulas!$B$2:$B$1501,$A165))</f>
        <v>0</v>
      </c>
      <c r="AA165" s="21" t="n">
        <f aca="false">IF(OR($A165="",AA$4=""),0,COUNTIFS(Formulas!$A$2:$A$1501,AA$4,Formulas!$B$2:$B$1501,$A165))</f>
        <v>0</v>
      </c>
      <c r="AB165" s="21" t="n">
        <f aca="false">IF(OR($A165="",AB$4=""),0,COUNTIFS(Formulas!$A$2:$A$1501,AB$4,Formulas!$B$2:$B$1501,$A165))</f>
        <v>0</v>
      </c>
      <c r="AC165" s="21" t="n">
        <f aca="false">IF(OR($A165="",AC$4=""),0,COUNTIFS(Formulas!$A$2:$A$1501,AC$4,Formulas!$B$2:$B$1501,$A165))</f>
        <v>0</v>
      </c>
      <c r="AD165" s="21" t="n">
        <f aca="false">IF(OR($A165="",AD$4=""),0,COUNTIFS(Formulas!$A$2:$A$1501,AD$4,Formulas!$B$2:$B$1501,$A165))</f>
        <v>0</v>
      </c>
      <c r="AE165" s="21" t="n">
        <f aca="false">IF(OR($A165="",AE$4=""),0,COUNTIFS(Formulas!$A$2:$A$1501,AE$4,Formulas!$B$2:$B$1501,$A165))</f>
        <v>0</v>
      </c>
      <c r="AF165" s="21" t="n">
        <f aca="false">IF(OR($A165="",AF$4=""),0,COUNTIFS(Formulas!$A$2:$A$1501,AF$4,Formulas!$B$2:$B$1501,$A165))</f>
        <v>0</v>
      </c>
      <c r="AG165" s="21" t="n">
        <f aca="false">IF(OR($A165="",AG$4=""),0,COUNTIFS(Formulas!$A$2:$A$1501,AG$4,Formulas!$B$2:$B$1501,$A165))</f>
        <v>0</v>
      </c>
      <c r="AH165" s="21" t="n">
        <f aca="false">IF(OR($A165="",AH$4=""),0,COUNTIFS(Formulas!$A$2:$A$1501,AH$4,Formulas!$B$2:$B$1501,$A165))</f>
        <v>0</v>
      </c>
      <c r="AI165" s="21" t="n">
        <f aca="false">IF(OR($A165="",AI$4=""),0,COUNTIFS(Formulas!$A$2:$A$1501,AI$4,Formulas!$B$2:$B$1501,$A165))</f>
        <v>0</v>
      </c>
      <c r="AJ165" s="21" t="n">
        <f aca="false">IF(OR($A165="",AJ$4=""),0,COUNTIFS(Formulas!$A$2:$A$1501,AJ$4,Formulas!$B$2:$B$1501,$A165))</f>
        <v>0</v>
      </c>
      <c r="AK165" s="21" t="n">
        <f aca="false">IF(OR($A165="",AK$4=""),0,COUNTIFS(Formulas!$A$2:$A$1501,AK$4,Formulas!$B$2:$B$1501,$A165))</f>
        <v>0</v>
      </c>
      <c r="AL165" s="21" t="n">
        <f aca="false">IF(OR($A165="",AL$4=""),0,COUNTIFS(Formulas!$A$2:$A$1501,AL$4,Formulas!$B$2:$B$1501,$A165))</f>
        <v>0</v>
      </c>
      <c r="AM165" s="21" t="n">
        <f aca="false">IF(OR($A165="",AM$4=""),0,COUNTIFS(Formulas!$A$2:$A$1501,AM$4,Formulas!$B$2:$B$1501,$A165))</f>
        <v>0</v>
      </c>
      <c r="AN165" s="21" t="n">
        <f aca="false">IF(OR($A165="",AN$4=""),0,COUNTIFS(Formulas!$A$2:$A$1501,AN$4,Formulas!$B$2:$B$1501,$A165))</f>
        <v>0</v>
      </c>
      <c r="AO165" s="21" t="n">
        <f aca="false">IF(OR($A165="",AO$4=""),0,COUNTIFS(Formulas!$A$2:$A$1501,AO$4,Formulas!$B$2:$B$1501,$A165))</f>
        <v>0</v>
      </c>
      <c r="AP165" s="21" t="n">
        <f aca="false">IF(OR($A165="",AP$4=""),0,COUNTIFS(Formulas!$A$2:$A$1501,AP$4,Formulas!$B$2:$B$1501,$A165))</f>
        <v>0</v>
      </c>
      <c r="AQ165" s="21" t="n">
        <f aca="false">IF(OR($A165="",AQ$4=""),0,COUNTIFS(Formulas!$A$2:$A$1501,AQ$4,Formulas!$B$2:$B$1501,$A165))</f>
        <v>0</v>
      </c>
      <c r="AR165" s="21" t="n">
        <f aca="false">IF(OR($A165="",AR$4=""),0,COUNTIFS(Formulas!$A$2:$A$1501,AR$4,Formulas!$B$2:$B$1501,$A165))</f>
        <v>0</v>
      </c>
      <c r="AS165" s="21" t="n">
        <f aca="false">IF(OR($A165="",AS$4=""),0,COUNTIFS(Formulas!$A$2:$A$1501,AS$4,Formulas!$B$2:$B$1501,$A165))</f>
        <v>0</v>
      </c>
      <c r="AT165" s="21" t="n">
        <f aca="false">IF(OR($A165="",AT$4=""),0,COUNTIFS(Formulas!$A$2:$A$1501,AT$4,Formulas!$B$2:$B$1501,$A165))</f>
        <v>0</v>
      </c>
      <c r="AU165" s="21" t="n">
        <f aca="false">IF(OR($A165="",AU$4=""),0,COUNTIFS(Formulas!$A$2:$A$1501,AU$4,Formulas!$B$2:$B$1501,$A165))</f>
        <v>0</v>
      </c>
      <c r="AV165" s="21" t="n">
        <f aca="false">IF(OR($A165="",AV$4=""),0,COUNTIFS(Formulas!$A$2:$A$1501,AV$4,Formulas!$B$2:$B$1501,$A165))</f>
        <v>0</v>
      </c>
      <c r="AW165" s="21" t="n">
        <f aca="false">IF(OR($A165="",AW$4=""),0,COUNTIFS(Formulas!$A$2:$A$1501,AW$4,Formulas!$B$2:$B$1501,$A165))</f>
        <v>0</v>
      </c>
      <c r="AX165" s="21" t="n">
        <f aca="false">IF(OR($A165="",AX$4=""),0,COUNTIFS(Formulas!$A$2:$A$1501,AX$4,Formulas!$B$2:$B$1501,$A165))</f>
        <v>0</v>
      </c>
      <c r="AY165" s="21" t="n">
        <f aca="false">IF(OR($A165="",AY$4=""),0,COUNTIFS(Formulas!$A$2:$A$1501,AY$4,Formulas!$B$2:$B$1501,$A165))</f>
        <v>0</v>
      </c>
      <c r="AZ165" s="21" t="n">
        <f aca="false">IF(OR($A165="",AZ$4=""),0,COUNTIFS(Formulas!$A$2:$A$1501,AZ$4,Formulas!$B$2:$B$1501,$A165))</f>
        <v>0</v>
      </c>
      <c r="BA165" s="21" t="n">
        <f aca="false">IF(OR($A165="",BA$4=""),0,COUNTIFS(Formulas!$A$2:$A$1501,BA$4,Formulas!$B$2:$B$1501,$A165))</f>
        <v>0</v>
      </c>
      <c r="BB165" s="21" t="n">
        <f aca="false">IF(OR($A165="",BB$4=""),0,COUNTIFS(Formulas!$A$2:$A$1501,BB$4,Formulas!$B$2:$B$1501,$A165))</f>
        <v>0</v>
      </c>
      <c r="BC165" s="21" t="n">
        <f aca="false">IF(OR($A165="",BC$4=""),0,COUNTIFS(Formulas!$A$2:$A$1501,BC$4,Formulas!$B$2:$B$1501,$A165))</f>
        <v>0</v>
      </c>
      <c r="BD165" s="21" t="n">
        <f aca="false">IF(OR($A165="",BD$4=""),0,COUNTIFS(Formulas!$A$2:$A$1501,BD$4,Formulas!$B$2:$B$1501,$A165))</f>
        <v>0</v>
      </c>
      <c r="BE165" s="21" t="n">
        <f aca="false">IF(OR($A165="",BE$4=""),0,COUNTIFS(Formulas!$A$2:$A$1501,BE$4,Formulas!$B$2:$B$1501,$A165))</f>
        <v>0</v>
      </c>
      <c r="BF165" s="21" t="n">
        <f aca="false">IF(OR($A165="",BF$4=""),0,COUNTIFS(Formulas!$A$2:$A$1501,BF$4,Formulas!$B$2:$B$1501,$A165))</f>
        <v>0</v>
      </c>
      <c r="BG165" s="21" t="n">
        <f aca="false">IF(OR($A165="",BG$4=""),0,COUNTIFS(Formulas!$A$2:$A$1501,BG$4,Formulas!$B$2:$B$1501,$A165))</f>
        <v>0</v>
      </c>
      <c r="BH165" s="21" t="n">
        <f aca="false">IF(OR($A165="",BH$4=""),0,COUNTIFS(Formulas!$A$2:$A$1501,BH$4,Formulas!$B$2:$B$1501,$A165))</f>
        <v>0</v>
      </c>
      <c r="BI165" s="21" t="n">
        <f aca="false">IF(OR($A165="",BI$4=""),0,COUNTIFS(Formulas!$A$2:$A$1501,BI$4,Formulas!$B$2:$B$1501,$A165))</f>
        <v>0</v>
      </c>
      <c r="BJ165" s="21" t="n">
        <f aca="false">IF(OR($A165="",BJ$4=""),0,COUNTIFS(Formulas!$A$2:$A$1501,BJ$4,Formulas!$B$2:$B$1501,$A165))</f>
        <v>0</v>
      </c>
    </row>
    <row r="166" customFormat="false" ht="15" hidden="false" customHeight="false" outlineLevel="0" collapsed="false">
      <c r="A166" s="13" t="str">
        <f aca="false">IF(INDEX(Materials!$A$2:$A$201,162)="","",INDEX(Materials!$A$2:$A$201,162))</f>
        <v/>
      </c>
      <c r="B166" s="19" t="str">
        <f aca="false">IF(A166="","",COUNTIF(C166:BJ166,"&gt;0"))</f>
        <v/>
      </c>
      <c r="C166" s="21" t="n">
        <f aca="false">IF(OR($A166="",C$4=""),0,COUNTIFS(Formulas!$A$2:$A$1501,C$4,Formulas!$B$2:$B$1501,$A166))</f>
        <v>0</v>
      </c>
      <c r="D166" s="21" t="n">
        <f aca="false">IF(OR($A166="",D$4=""),0,COUNTIFS(Formulas!$A$2:$A$1501,D$4,Formulas!$B$2:$B$1501,$A166))</f>
        <v>0</v>
      </c>
      <c r="E166" s="21" t="n">
        <f aca="false">IF(OR($A166="",E$4=""),0,COUNTIFS(Formulas!$A$2:$A$1501,E$4,Formulas!$B$2:$B$1501,$A166))</f>
        <v>0</v>
      </c>
      <c r="F166" s="21" t="n">
        <f aca="false">IF(OR($A166="",F$4=""),0,COUNTIFS(Formulas!$A$2:$A$1501,F$4,Formulas!$B$2:$B$1501,$A166))</f>
        <v>0</v>
      </c>
      <c r="G166" s="21" t="n">
        <f aca="false">IF(OR($A166="",G$4=""),0,COUNTIFS(Formulas!$A$2:$A$1501,G$4,Formulas!$B$2:$B$1501,$A166))</f>
        <v>0</v>
      </c>
      <c r="H166" s="21" t="n">
        <f aca="false">IF(OR($A166="",H$4=""),0,COUNTIFS(Formulas!$A$2:$A$1501,H$4,Formulas!$B$2:$B$1501,$A166))</f>
        <v>0</v>
      </c>
      <c r="I166" s="21" t="n">
        <f aca="false">IF(OR($A166="",I$4=""),0,COUNTIFS(Formulas!$A$2:$A$1501,I$4,Formulas!$B$2:$B$1501,$A166))</f>
        <v>0</v>
      </c>
      <c r="J166" s="21" t="n">
        <f aca="false">IF(OR($A166="",J$4=""),0,COUNTIFS(Formulas!$A$2:$A$1501,J$4,Formulas!$B$2:$B$1501,$A166))</f>
        <v>0</v>
      </c>
      <c r="K166" s="21" t="n">
        <f aca="false">IF(OR($A166="",K$4=""),0,COUNTIFS(Formulas!$A$2:$A$1501,K$4,Formulas!$B$2:$B$1501,$A166))</f>
        <v>0</v>
      </c>
      <c r="L166" s="21" t="n">
        <f aca="false">IF(OR($A166="",L$4=""),0,COUNTIFS(Formulas!$A$2:$A$1501,L$4,Formulas!$B$2:$B$1501,$A166))</f>
        <v>0</v>
      </c>
      <c r="M166" s="21" t="n">
        <f aca="false">IF(OR($A166="",M$4=""),0,COUNTIFS(Formulas!$A$2:$A$1501,M$4,Formulas!$B$2:$B$1501,$A166))</f>
        <v>0</v>
      </c>
      <c r="N166" s="21" t="n">
        <f aca="false">IF(OR($A166="",N$4=""),0,COUNTIFS(Formulas!$A$2:$A$1501,N$4,Formulas!$B$2:$B$1501,$A166))</f>
        <v>0</v>
      </c>
      <c r="O166" s="21" t="n">
        <f aca="false">IF(OR($A166="",O$4=""),0,COUNTIFS(Formulas!$A$2:$A$1501,O$4,Formulas!$B$2:$B$1501,$A166))</f>
        <v>0</v>
      </c>
      <c r="P166" s="21" t="n">
        <f aca="false">IF(OR($A166="",P$4=""),0,COUNTIFS(Formulas!$A$2:$A$1501,P$4,Formulas!$B$2:$B$1501,$A166))</f>
        <v>0</v>
      </c>
      <c r="Q166" s="21" t="n">
        <f aca="false">IF(OR($A166="",Q$4=""),0,COUNTIFS(Formulas!$A$2:$A$1501,Q$4,Formulas!$B$2:$B$1501,$A166))</f>
        <v>0</v>
      </c>
      <c r="R166" s="21" t="n">
        <f aca="false">IF(OR($A166="",R$4=""),0,COUNTIFS(Formulas!$A$2:$A$1501,R$4,Formulas!$B$2:$B$1501,$A166))</f>
        <v>0</v>
      </c>
      <c r="S166" s="21" t="n">
        <f aca="false">IF(OR($A166="",S$4=""),0,COUNTIFS(Formulas!$A$2:$A$1501,S$4,Formulas!$B$2:$B$1501,$A166))</f>
        <v>0</v>
      </c>
      <c r="T166" s="21" t="n">
        <f aca="false">IF(OR($A166="",T$4=""),0,COUNTIFS(Formulas!$A$2:$A$1501,T$4,Formulas!$B$2:$B$1501,$A166))</f>
        <v>0</v>
      </c>
      <c r="U166" s="21" t="n">
        <f aca="false">IF(OR($A166="",U$4=""),0,COUNTIFS(Formulas!$A$2:$A$1501,U$4,Formulas!$B$2:$B$1501,$A166))</f>
        <v>0</v>
      </c>
      <c r="V166" s="21" t="n">
        <f aca="false">IF(OR($A166="",V$4=""),0,COUNTIFS(Formulas!$A$2:$A$1501,V$4,Formulas!$B$2:$B$1501,$A166))</f>
        <v>0</v>
      </c>
      <c r="W166" s="21" t="n">
        <f aca="false">IF(OR($A166="",W$4=""),0,COUNTIFS(Formulas!$A$2:$A$1501,W$4,Formulas!$B$2:$B$1501,$A166))</f>
        <v>0</v>
      </c>
      <c r="X166" s="21" t="n">
        <f aca="false">IF(OR($A166="",X$4=""),0,COUNTIFS(Formulas!$A$2:$A$1501,X$4,Formulas!$B$2:$B$1501,$A166))</f>
        <v>0</v>
      </c>
      <c r="Y166" s="21" t="n">
        <f aca="false">IF(OR($A166="",Y$4=""),0,COUNTIFS(Formulas!$A$2:$A$1501,Y$4,Formulas!$B$2:$B$1501,$A166))</f>
        <v>0</v>
      </c>
      <c r="Z166" s="21" t="n">
        <f aca="false">IF(OR($A166="",Z$4=""),0,COUNTIFS(Formulas!$A$2:$A$1501,Z$4,Formulas!$B$2:$B$1501,$A166))</f>
        <v>0</v>
      </c>
      <c r="AA166" s="21" t="n">
        <f aca="false">IF(OR($A166="",AA$4=""),0,COUNTIFS(Formulas!$A$2:$A$1501,AA$4,Formulas!$B$2:$B$1501,$A166))</f>
        <v>0</v>
      </c>
      <c r="AB166" s="21" t="n">
        <f aca="false">IF(OR($A166="",AB$4=""),0,COUNTIFS(Formulas!$A$2:$A$1501,AB$4,Formulas!$B$2:$B$1501,$A166))</f>
        <v>0</v>
      </c>
      <c r="AC166" s="21" t="n">
        <f aca="false">IF(OR($A166="",AC$4=""),0,COUNTIFS(Formulas!$A$2:$A$1501,AC$4,Formulas!$B$2:$B$1501,$A166))</f>
        <v>0</v>
      </c>
      <c r="AD166" s="21" t="n">
        <f aca="false">IF(OR($A166="",AD$4=""),0,COUNTIFS(Formulas!$A$2:$A$1501,AD$4,Formulas!$B$2:$B$1501,$A166))</f>
        <v>0</v>
      </c>
      <c r="AE166" s="21" t="n">
        <f aca="false">IF(OR($A166="",AE$4=""),0,COUNTIFS(Formulas!$A$2:$A$1501,AE$4,Formulas!$B$2:$B$1501,$A166))</f>
        <v>0</v>
      </c>
      <c r="AF166" s="21" t="n">
        <f aca="false">IF(OR($A166="",AF$4=""),0,COUNTIFS(Formulas!$A$2:$A$1501,AF$4,Formulas!$B$2:$B$1501,$A166))</f>
        <v>0</v>
      </c>
      <c r="AG166" s="21" t="n">
        <f aca="false">IF(OR($A166="",AG$4=""),0,COUNTIFS(Formulas!$A$2:$A$1501,AG$4,Formulas!$B$2:$B$1501,$A166))</f>
        <v>0</v>
      </c>
      <c r="AH166" s="21" t="n">
        <f aca="false">IF(OR($A166="",AH$4=""),0,COUNTIFS(Formulas!$A$2:$A$1501,AH$4,Formulas!$B$2:$B$1501,$A166))</f>
        <v>0</v>
      </c>
      <c r="AI166" s="21" t="n">
        <f aca="false">IF(OR($A166="",AI$4=""),0,COUNTIFS(Formulas!$A$2:$A$1501,AI$4,Formulas!$B$2:$B$1501,$A166))</f>
        <v>0</v>
      </c>
      <c r="AJ166" s="21" t="n">
        <f aca="false">IF(OR($A166="",AJ$4=""),0,COUNTIFS(Formulas!$A$2:$A$1501,AJ$4,Formulas!$B$2:$B$1501,$A166))</f>
        <v>0</v>
      </c>
      <c r="AK166" s="21" t="n">
        <f aca="false">IF(OR($A166="",AK$4=""),0,COUNTIFS(Formulas!$A$2:$A$1501,AK$4,Formulas!$B$2:$B$1501,$A166))</f>
        <v>0</v>
      </c>
      <c r="AL166" s="21" t="n">
        <f aca="false">IF(OR($A166="",AL$4=""),0,COUNTIFS(Formulas!$A$2:$A$1501,AL$4,Formulas!$B$2:$B$1501,$A166))</f>
        <v>0</v>
      </c>
      <c r="AM166" s="21" t="n">
        <f aca="false">IF(OR($A166="",AM$4=""),0,COUNTIFS(Formulas!$A$2:$A$1501,AM$4,Formulas!$B$2:$B$1501,$A166))</f>
        <v>0</v>
      </c>
      <c r="AN166" s="21" t="n">
        <f aca="false">IF(OR($A166="",AN$4=""),0,COUNTIFS(Formulas!$A$2:$A$1501,AN$4,Formulas!$B$2:$B$1501,$A166))</f>
        <v>0</v>
      </c>
      <c r="AO166" s="21" t="n">
        <f aca="false">IF(OR($A166="",AO$4=""),0,COUNTIFS(Formulas!$A$2:$A$1501,AO$4,Formulas!$B$2:$B$1501,$A166))</f>
        <v>0</v>
      </c>
      <c r="AP166" s="21" t="n">
        <f aca="false">IF(OR($A166="",AP$4=""),0,COUNTIFS(Formulas!$A$2:$A$1501,AP$4,Formulas!$B$2:$B$1501,$A166))</f>
        <v>0</v>
      </c>
      <c r="AQ166" s="21" t="n">
        <f aca="false">IF(OR($A166="",AQ$4=""),0,COUNTIFS(Formulas!$A$2:$A$1501,AQ$4,Formulas!$B$2:$B$1501,$A166))</f>
        <v>0</v>
      </c>
      <c r="AR166" s="21" t="n">
        <f aca="false">IF(OR($A166="",AR$4=""),0,COUNTIFS(Formulas!$A$2:$A$1501,AR$4,Formulas!$B$2:$B$1501,$A166))</f>
        <v>0</v>
      </c>
      <c r="AS166" s="21" t="n">
        <f aca="false">IF(OR($A166="",AS$4=""),0,COUNTIFS(Formulas!$A$2:$A$1501,AS$4,Formulas!$B$2:$B$1501,$A166))</f>
        <v>0</v>
      </c>
      <c r="AT166" s="21" t="n">
        <f aca="false">IF(OR($A166="",AT$4=""),0,COUNTIFS(Formulas!$A$2:$A$1501,AT$4,Formulas!$B$2:$B$1501,$A166))</f>
        <v>0</v>
      </c>
      <c r="AU166" s="21" t="n">
        <f aca="false">IF(OR($A166="",AU$4=""),0,COUNTIFS(Formulas!$A$2:$A$1501,AU$4,Formulas!$B$2:$B$1501,$A166))</f>
        <v>0</v>
      </c>
      <c r="AV166" s="21" t="n">
        <f aca="false">IF(OR($A166="",AV$4=""),0,COUNTIFS(Formulas!$A$2:$A$1501,AV$4,Formulas!$B$2:$B$1501,$A166))</f>
        <v>0</v>
      </c>
      <c r="AW166" s="21" t="n">
        <f aca="false">IF(OR($A166="",AW$4=""),0,COUNTIFS(Formulas!$A$2:$A$1501,AW$4,Formulas!$B$2:$B$1501,$A166))</f>
        <v>0</v>
      </c>
      <c r="AX166" s="21" t="n">
        <f aca="false">IF(OR($A166="",AX$4=""),0,COUNTIFS(Formulas!$A$2:$A$1501,AX$4,Formulas!$B$2:$B$1501,$A166))</f>
        <v>0</v>
      </c>
      <c r="AY166" s="21" t="n">
        <f aca="false">IF(OR($A166="",AY$4=""),0,COUNTIFS(Formulas!$A$2:$A$1501,AY$4,Formulas!$B$2:$B$1501,$A166))</f>
        <v>0</v>
      </c>
      <c r="AZ166" s="21" t="n">
        <f aca="false">IF(OR($A166="",AZ$4=""),0,COUNTIFS(Formulas!$A$2:$A$1501,AZ$4,Formulas!$B$2:$B$1501,$A166))</f>
        <v>0</v>
      </c>
      <c r="BA166" s="21" t="n">
        <f aca="false">IF(OR($A166="",BA$4=""),0,COUNTIFS(Formulas!$A$2:$A$1501,BA$4,Formulas!$B$2:$B$1501,$A166))</f>
        <v>0</v>
      </c>
      <c r="BB166" s="21" t="n">
        <f aca="false">IF(OR($A166="",BB$4=""),0,COUNTIFS(Formulas!$A$2:$A$1501,BB$4,Formulas!$B$2:$B$1501,$A166))</f>
        <v>0</v>
      </c>
      <c r="BC166" s="21" t="n">
        <f aca="false">IF(OR($A166="",BC$4=""),0,COUNTIFS(Formulas!$A$2:$A$1501,BC$4,Formulas!$B$2:$B$1501,$A166))</f>
        <v>0</v>
      </c>
      <c r="BD166" s="21" t="n">
        <f aca="false">IF(OR($A166="",BD$4=""),0,COUNTIFS(Formulas!$A$2:$A$1501,BD$4,Formulas!$B$2:$B$1501,$A166))</f>
        <v>0</v>
      </c>
      <c r="BE166" s="21" t="n">
        <f aca="false">IF(OR($A166="",BE$4=""),0,COUNTIFS(Formulas!$A$2:$A$1501,BE$4,Formulas!$B$2:$B$1501,$A166))</f>
        <v>0</v>
      </c>
      <c r="BF166" s="21" t="n">
        <f aca="false">IF(OR($A166="",BF$4=""),0,COUNTIFS(Formulas!$A$2:$A$1501,BF$4,Formulas!$B$2:$B$1501,$A166))</f>
        <v>0</v>
      </c>
      <c r="BG166" s="21" t="n">
        <f aca="false">IF(OR($A166="",BG$4=""),0,COUNTIFS(Formulas!$A$2:$A$1501,BG$4,Formulas!$B$2:$B$1501,$A166))</f>
        <v>0</v>
      </c>
      <c r="BH166" s="21" t="n">
        <f aca="false">IF(OR($A166="",BH$4=""),0,COUNTIFS(Formulas!$A$2:$A$1501,BH$4,Formulas!$B$2:$B$1501,$A166))</f>
        <v>0</v>
      </c>
      <c r="BI166" s="21" t="n">
        <f aca="false">IF(OR($A166="",BI$4=""),0,COUNTIFS(Formulas!$A$2:$A$1501,BI$4,Formulas!$B$2:$B$1501,$A166))</f>
        <v>0</v>
      </c>
      <c r="BJ166" s="21" t="n">
        <f aca="false">IF(OR($A166="",BJ$4=""),0,COUNTIFS(Formulas!$A$2:$A$1501,BJ$4,Formulas!$B$2:$B$1501,$A166))</f>
        <v>0</v>
      </c>
    </row>
    <row r="167" customFormat="false" ht="15" hidden="false" customHeight="false" outlineLevel="0" collapsed="false">
      <c r="A167" s="13" t="str">
        <f aca="false">IF(INDEX(Materials!$A$2:$A$201,163)="","",INDEX(Materials!$A$2:$A$201,163))</f>
        <v/>
      </c>
      <c r="B167" s="19" t="str">
        <f aca="false">IF(A167="","",COUNTIF(C167:BJ167,"&gt;0"))</f>
        <v/>
      </c>
      <c r="C167" s="21" t="n">
        <f aca="false">IF(OR($A167="",C$4=""),0,COUNTIFS(Formulas!$A$2:$A$1501,C$4,Formulas!$B$2:$B$1501,$A167))</f>
        <v>0</v>
      </c>
      <c r="D167" s="21" t="n">
        <f aca="false">IF(OR($A167="",D$4=""),0,COUNTIFS(Formulas!$A$2:$A$1501,D$4,Formulas!$B$2:$B$1501,$A167))</f>
        <v>0</v>
      </c>
      <c r="E167" s="21" t="n">
        <f aca="false">IF(OR($A167="",E$4=""),0,COUNTIFS(Formulas!$A$2:$A$1501,E$4,Formulas!$B$2:$B$1501,$A167))</f>
        <v>0</v>
      </c>
      <c r="F167" s="21" t="n">
        <f aca="false">IF(OR($A167="",F$4=""),0,COUNTIFS(Formulas!$A$2:$A$1501,F$4,Formulas!$B$2:$B$1501,$A167))</f>
        <v>0</v>
      </c>
      <c r="G167" s="21" t="n">
        <f aca="false">IF(OR($A167="",G$4=""),0,COUNTIFS(Formulas!$A$2:$A$1501,G$4,Formulas!$B$2:$B$1501,$A167))</f>
        <v>0</v>
      </c>
      <c r="H167" s="21" t="n">
        <f aca="false">IF(OR($A167="",H$4=""),0,COUNTIFS(Formulas!$A$2:$A$1501,H$4,Formulas!$B$2:$B$1501,$A167))</f>
        <v>0</v>
      </c>
      <c r="I167" s="21" t="n">
        <f aca="false">IF(OR($A167="",I$4=""),0,COUNTIFS(Formulas!$A$2:$A$1501,I$4,Formulas!$B$2:$B$1501,$A167))</f>
        <v>0</v>
      </c>
      <c r="J167" s="21" t="n">
        <f aca="false">IF(OR($A167="",J$4=""),0,COUNTIFS(Formulas!$A$2:$A$1501,J$4,Formulas!$B$2:$B$1501,$A167))</f>
        <v>0</v>
      </c>
      <c r="K167" s="21" t="n">
        <f aca="false">IF(OR($A167="",K$4=""),0,COUNTIFS(Formulas!$A$2:$A$1501,K$4,Formulas!$B$2:$B$1501,$A167))</f>
        <v>0</v>
      </c>
      <c r="L167" s="21" t="n">
        <f aca="false">IF(OR($A167="",L$4=""),0,COUNTIFS(Formulas!$A$2:$A$1501,L$4,Formulas!$B$2:$B$1501,$A167))</f>
        <v>0</v>
      </c>
      <c r="M167" s="21" t="n">
        <f aca="false">IF(OR($A167="",M$4=""),0,COUNTIFS(Formulas!$A$2:$A$1501,M$4,Formulas!$B$2:$B$1501,$A167))</f>
        <v>0</v>
      </c>
      <c r="N167" s="21" t="n">
        <f aca="false">IF(OR($A167="",N$4=""),0,COUNTIFS(Formulas!$A$2:$A$1501,N$4,Formulas!$B$2:$B$1501,$A167))</f>
        <v>0</v>
      </c>
      <c r="O167" s="21" t="n">
        <f aca="false">IF(OR($A167="",O$4=""),0,COUNTIFS(Formulas!$A$2:$A$1501,O$4,Formulas!$B$2:$B$1501,$A167))</f>
        <v>0</v>
      </c>
      <c r="P167" s="21" t="n">
        <f aca="false">IF(OR($A167="",P$4=""),0,COUNTIFS(Formulas!$A$2:$A$1501,P$4,Formulas!$B$2:$B$1501,$A167))</f>
        <v>0</v>
      </c>
      <c r="Q167" s="21" t="n">
        <f aca="false">IF(OR($A167="",Q$4=""),0,COUNTIFS(Formulas!$A$2:$A$1501,Q$4,Formulas!$B$2:$B$1501,$A167))</f>
        <v>0</v>
      </c>
      <c r="R167" s="21" t="n">
        <f aca="false">IF(OR($A167="",R$4=""),0,COUNTIFS(Formulas!$A$2:$A$1501,R$4,Formulas!$B$2:$B$1501,$A167))</f>
        <v>0</v>
      </c>
      <c r="S167" s="21" t="n">
        <f aca="false">IF(OR($A167="",S$4=""),0,COUNTIFS(Formulas!$A$2:$A$1501,S$4,Formulas!$B$2:$B$1501,$A167))</f>
        <v>0</v>
      </c>
      <c r="T167" s="21" t="n">
        <f aca="false">IF(OR($A167="",T$4=""),0,COUNTIFS(Formulas!$A$2:$A$1501,T$4,Formulas!$B$2:$B$1501,$A167))</f>
        <v>0</v>
      </c>
      <c r="U167" s="21" t="n">
        <f aca="false">IF(OR($A167="",U$4=""),0,COUNTIFS(Formulas!$A$2:$A$1501,U$4,Formulas!$B$2:$B$1501,$A167))</f>
        <v>0</v>
      </c>
      <c r="V167" s="21" t="n">
        <f aca="false">IF(OR($A167="",V$4=""),0,COUNTIFS(Formulas!$A$2:$A$1501,V$4,Formulas!$B$2:$B$1501,$A167))</f>
        <v>0</v>
      </c>
      <c r="W167" s="21" t="n">
        <f aca="false">IF(OR($A167="",W$4=""),0,COUNTIFS(Formulas!$A$2:$A$1501,W$4,Formulas!$B$2:$B$1501,$A167))</f>
        <v>0</v>
      </c>
      <c r="X167" s="21" t="n">
        <f aca="false">IF(OR($A167="",X$4=""),0,COUNTIFS(Formulas!$A$2:$A$1501,X$4,Formulas!$B$2:$B$1501,$A167))</f>
        <v>0</v>
      </c>
      <c r="Y167" s="21" t="n">
        <f aca="false">IF(OR($A167="",Y$4=""),0,COUNTIFS(Formulas!$A$2:$A$1501,Y$4,Formulas!$B$2:$B$1501,$A167))</f>
        <v>0</v>
      </c>
      <c r="Z167" s="21" t="n">
        <f aca="false">IF(OR($A167="",Z$4=""),0,COUNTIFS(Formulas!$A$2:$A$1501,Z$4,Formulas!$B$2:$B$1501,$A167))</f>
        <v>0</v>
      </c>
      <c r="AA167" s="21" t="n">
        <f aca="false">IF(OR($A167="",AA$4=""),0,COUNTIFS(Formulas!$A$2:$A$1501,AA$4,Formulas!$B$2:$B$1501,$A167))</f>
        <v>0</v>
      </c>
      <c r="AB167" s="21" t="n">
        <f aca="false">IF(OR($A167="",AB$4=""),0,COUNTIFS(Formulas!$A$2:$A$1501,AB$4,Formulas!$B$2:$B$1501,$A167))</f>
        <v>0</v>
      </c>
      <c r="AC167" s="21" t="n">
        <f aca="false">IF(OR($A167="",AC$4=""),0,COUNTIFS(Formulas!$A$2:$A$1501,AC$4,Formulas!$B$2:$B$1501,$A167))</f>
        <v>0</v>
      </c>
      <c r="AD167" s="21" t="n">
        <f aca="false">IF(OR($A167="",AD$4=""),0,COUNTIFS(Formulas!$A$2:$A$1501,AD$4,Formulas!$B$2:$B$1501,$A167))</f>
        <v>0</v>
      </c>
      <c r="AE167" s="21" t="n">
        <f aca="false">IF(OR($A167="",AE$4=""),0,COUNTIFS(Formulas!$A$2:$A$1501,AE$4,Formulas!$B$2:$B$1501,$A167))</f>
        <v>0</v>
      </c>
      <c r="AF167" s="21" t="n">
        <f aca="false">IF(OR($A167="",AF$4=""),0,COUNTIFS(Formulas!$A$2:$A$1501,AF$4,Formulas!$B$2:$B$1501,$A167))</f>
        <v>0</v>
      </c>
      <c r="AG167" s="21" t="n">
        <f aca="false">IF(OR($A167="",AG$4=""),0,COUNTIFS(Formulas!$A$2:$A$1501,AG$4,Formulas!$B$2:$B$1501,$A167))</f>
        <v>0</v>
      </c>
      <c r="AH167" s="21" t="n">
        <f aca="false">IF(OR($A167="",AH$4=""),0,COUNTIFS(Formulas!$A$2:$A$1501,AH$4,Formulas!$B$2:$B$1501,$A167))</f>
        <v>0</v>
      </c>
      <c r="AI167" s="21" t="n">
        <f aca="false">IF(OR($A167="",AI$4=""),0,COUNTIFS(Formulas!$A$2:$A$1501,AI$4,Formulas!$B$2:$B$1501,$A167))</f>
        <v>0</v>
      </c>
      <c r="AJ167" s="21" t="n">
        <f aca="false">IF(OR($A167="",AJ$4=""),0,COUNTIFS(Formulas!$A$2:$A$1501,AJ$4,Formulas!$B$2:$B$1501,$A167))</f>
        <v>0</v>
      </c>
      <c r="AK167" s="21" t="n">
        <f aca="false">IF(OR($A167="",AK$4=""),0,COUNTIFS(Formulas!$A$2:$A$1501,AK$4,Formulas!$B$2:$B$1501,$A167))</f>
        <v>0</v>
      </c>
      <c r="AL167" s="21" t="n">
        <f aca="false">IF(OR($A167="",AL$4=""),0,COUNTIFS(Formulas!$A$2:$A$1501,AL$4,Formulas!$B$2:$B$1501,$A167))</f>
        <v>0</v>
      </c>
      <c r="AM167" s="21" t="n">
        <f aca="false">IF(OR($A167="",AM$4=""),0,COUNTIFS(Formulas!$A$2:$A$1501,AM$4,Formulas!$B$2:$B$1501,$A167))</f>
        <v>0</v>
      </c>
      <c r="AN167" s="21" t="n">
        <f aca="false">IF(OR($A167="",AN$4=""),0,COUNTIFS(Formulas!$A$2:$A$1501,AN$4,Formulas!$B$2:$B$1501,$A167))</f>
        <v>0</v>
      </c>
      <c r="AO167" s="21" t="n">
        <f aca="false">IF(OR($A167="",AO$4=""),0,COUNTIFS(Formulas!$A$2:$A$1501,AO$4,Formulas!$B$2:$B$1501,$A167))</f>
        <v>0</v>
      </c>
      <c r="AP167" s="21" t="n">
        <f aca="false">IF(OR($A167="",AP$4=""),0,COUNTIFS(Formulas!$A$2:$A$1501,AP$4,Formulas!$B$2:$B$1501,$A167))</f>
        <v>0</v>
      </c>
      <c r="AQ167" s="21" t="n">
        <f aca="false">IF(OR($A167="",AQ$4=""),0,COUNTIFS(Formulas!$A$2:$A$1501,AQ$4,Formulas!$B$2:$B$1501,$A167))</f>
        <v>0</v>
      </c>
      <c r="AR167" s="21" t="n">
        <f aca="false">IF(OR($A167="",AR$4=""),0,COUNTIFS(Formulas!$A$2:$A$1501,AR$4,Formulas!$B$2:$B$1501,$A167))</f>
        <v>0</v>
      </c>
      <c r="AS167" s="21" t="n">
        <f aca="false">IF(OR($A167="",AS$4=""),0,COUNTIFS(Formulas!$A$2:$A$1501,AS$4,Formulas!$B$2:$B$1501,$A167))</f>
        <v>0</v>
      </c>
      <c r="AT167" s="21" t="n">
        <f aca="false">IF(OR($A167="",AT$4=""),0,COUNTIFS(Formulas!$A$2:$A$1501,AT$4,Formulas!$B$2:$B$1501,$A167))</f>
        <v>0</v>
      </c>
      <c r="AU167" s="21" t="n">
        <f aca="false">IF(OR($A167="",AU$4=""),0,COUNTIFS(Formulas!$A$2:$A$1501,AU$4,Formulas!$B$2:$B$1501,$A167))</f>
        <v>0</v>
      </c>
      <c r="AV167" s="21" t="n">
        <f aca="false">IF(OR($A167="",AV$4=""),0,COUNTIFS(Formulas!$A$2:$A$1501,AV$4,Formulas!$B$2:$B$1501,$A167))</f>
        <v>0</v>
      </c>
      <c r="AW167" s="21" t="n">
        <f aca="false">IF(OR($A167="",AW$4=""),0,COUNTIFS(Formulas!$A$2:$A$1501,AW$4,Formulas!$B$2:$B$1501,$A167))</f>
        <v>0</v>
      </c>
      <c r="AX167" s="21" t="n">
        <f aca="false">IF(OR($A167="",AX$4=""),0,COUNTIFS(Formulas!$A$2:$A$1501,AX$4,Formulas!$B$2:$B$1501,$A167))</f>
        <v>0</v>
      </c>
      <c r="AY167" s="21" t="n">
        <f aca="false">IF(OR($A167="",AY$4=""),0,COUNTIFS(Formulas!$A$2:$A$1501,AY$4,Formulas!$B$2:$B$1501,$A167))</f>
        <v>0</v>
      </c>
      <c r="AZ167" s="21" t="n">
        <f aca="false">IF(OR($A167="",AZ$4=""),0,COUNTIFS(Formulas!$A$2:$A$1501,AZ$4,Formulas!$B$2:$B$1501,$A167))</f>
        <v>0</v>
      </c>
      <c r="BA167" s="21" t="n">
        <f aca="false">IF(OR($A167="",BA$4=""),0,COUNTIFS(Formulas!$A$2:$A$1501,BA$4,Formulas!$B$2:$B$1501,$A167))</f>
        <v>0</v>
      </c>
      <c r="BB167" s="21" t="n">
        <f aca="false">IF(OR($A167="",BB$4=""),0,COUNTIFS(Formulas!$A$2:$A$1501,BB$4,Formulas!$B$2:$B$1501,$A167))</f>
        <v>0</v>
      </c>
      <c r="BC167" s="21" t="n">
        <f aca="false">IF(OR($A167="",BC$4=""),0,COUNTIFS(Formulas!$A$2:$A$1501,BC$4,Formulas!$B$2:$B$1501,$A167))</f>
        <v>0</v>
      </c>
      <c r="BD167" s="21" t="n">
        <f aca="false">IF(OR($A167="",BD$4=""),0,COUNTIFS(Formulas!$A$2:$A$1501,BD$4,Formulas!$B$2:$B$1501,$A167))</f>
        <v>0</v>
      </c>
      <c r="BE167" s="21" t="n">
        <f aca="false">IF(OR($A167="",BE$4=""),0,COUNTIFS(Formulas!$A$2:$A$1501,BE$4,Formulas!$B$2:$B$1501,$A167))</f>
        <v>0</v>
      </c>
      <c r="BF167" s="21" t="n">
        <f aca="false">IF(OR($A167="",BF$4=""),0,COUNTIFS(Formulas!$A$2:$A$1501,BF$4,Formulas!$B$2:$B$1501,$A167))</f>
        <v>0</v>
      </c>
      <c r="BG167" s="21" t="n">
        <f aca="false">IF(OR($A167="",BG$4=""),0,COUNTIFS(Formulas!$A$2:$A$1501,BG$4,Formulas!$B$2:$B$1501,$A167))</f>
        <v>0</v>
      </c>
      <c r="BH167" s="21" t="n">
        <f aca="false">IF(OR($A167="",BH$4=""),0,COUNTIFS(Formulas!$A$2:$A$1501,BH$4,Formulas!$B$2:$B$1501,$A167))</f>
        <v>0</v>
      </c>
      <c r="BI167" s="21" t="n">
        <f aca="false">IF(OR($A167="",BI$4=""),0,COUNTIFS(Formulas!$A$2:$A$1501,BI$4,Formulas!$B$2:$B$1501,$A167))</f>
        <v>0</v>
      </c>
      <c r="BJ167" s="21" t="n">
        <f aca="false">IF(OR($A167="",BJ$4=""),0,COUNTIFS(Formulas!$A$2:$A$1501,BJ$4,Formulas!$B$2:$B$1501,$A167))</f>
        <v>0</v>
      </c>
    </row>
    <row r="168" customFormat="false" ht="15" hidden="false" customHeight="false" outlineLevel="0" collapsed="false">
      <c r="A168" s="13" t="str">
        <f aca="false">IF(INDEX(Materials!$A$2:$A$201,164)="","",INDEX(Materials!$A$2:$A$201,164))</f>
        <v/>
      </c>
      <c r="B168" s="19" t="str">
        <f aca="false">IF(A168="","",COUNTIF(C168:BJ168,"&gt;0"))</f>
        <v/>
      </c>
      <c r="C168" s="21" t="n">
        <f aca="false">IF(OR($A168="",C$4=""),0,COUNTIFS(Formulas!$A$2:$A$1501,C$4,Formulas!$B$2:$B$1501,$A168))</f>
        <v>0</v>
      </c>
      <c r="D168" s="21" t="n">
        <f aca="false">IF(OR($A168="",D$4=""),0,COUNTIFS(Formulas!$A$2:$A$1501,D$4,Formulas!$B$2:$B$1501,$A168))</f>
        <v>0</v>
      </c>
      <c r="E168" s="21" t="n">
        <f aca="false">IF(OR($A168="",E$4=""),0,COUNTIFS(Formulas!$A$2:$A$1501,E$4,Formulas!$B$2:$B$1501,$A168))</f>
        <v>0</v>
      </c>
      <c r="F168" s="21" t="n">
        <f aca="false">IF(OR($A168="",F$4=""),0,COUNTIFS(Formulas!$A$2:$A$1501,F$4,Formulas!$B$2:$B$1501,$A168))</f>
        <v>0</v>
      </c>
      <c r="G168" s="21" t="n">
        <f aca="false">IF(OR($A168="",G$4=""),0,COUNTIFS(Formulas!$A$2:$A$1501,G$4,Formulas!$B$2:$B$1501,$A168))</f>
        <v>0</v>
      </c>
      <c r="H168" s="21" t="n">
        <f aca="false">IF(OR($A168="",H$4=""),0,COUNTIFS(Formulas!$A$2:$A$1501,H$4,Formulas!$B$2:$B$1501,$A168))</f>
        <v>0</v>
      </c>
      <c r="I168" s="21" t="n">
        <f aca="false">IF(OR($A168="",I$4=""),0,COUNTIFS(Formulas!$A$2:$A$1501,I$4,Formulas!$B$2:$B$1501,$A168))</f>
        <v>0</v>
      </c>
      <c r="J168" s="21" t="n">
        <f aca="false">IF(OR($A168="",J$4=""),0,COUNTIFS(Formulas!$A$2:$A$1501,J$4,Formulas!$B$2:$B$1501,$A168))</f>
        <v>0</v>
      </c>
      <c r="K168" s="21" t="n">
        <f aca="false">IF(OR($A168="",K$4=""),0,COUNTIFS(Formulas!$A$2:$A$1501,K$4,Formulas!$B$2:$B$1501,$A168))</f>
        <v>0</v>
      </c>
      <c r="L168" s="21" t="n">
        <f aca="false">IF(OR($A168="",L$4=""),0,COUNTIFS(Formulas!$A$2:$A$1501,L$4,Formulas!$B$2:$B$1501,$A168))</f>
        <v>0</v>
      </c>
      <c r="M168" s="21" t="n">
        <f aca="false">IF(OR($A168="",M$4=""),0,COUNTIFS(Formulas!$A$2:$A$1501,M$4,Formulas!$B$2:$B$1501,$A168))</f>
        <v>0</v>
      </c>
      <c r="N168" s="21" t="n">
        <f aca="false">IF(OR($A168="",N$4=""),0,COUNTIFS(Formulas!$A$2:$A$1501,N$4,Formulas!$B$2:$B$1501,$A168))</f>
        <v>0</v>
      </c>
      <c r="O168" s="21" t="n">
        <f aca="false">IF(OR($A168="",O$4=""),0,COUNTIFS(Formulas!$A$2:$A$1501,O$4,Formulas!$B$2:$B$1501,$A168))</f>
        <v>0</v>
      </c>
      <c r="P168" s="21" t="n">
        <f aca="false">IF(OR($A168="",P$4=""),0,COUNTIFS(Formulas!$A$2:$A$1501,P$4,Formulas!$B$2:$B$1501,$A168))</f>
        <v>0</v>
      </c>
      <c r="Q168" s="21" t="n">
        <f aca="false">IF(OR($A168="",Q$4=""),0,COUNTIFS(Formulas!$A$2:$A$1501,Q$4,Formulas!$B$2:$B$1501,$A168))</f>
        <v>0</v>
      </c>
      <c r="R168" s="21" t="n">
        <f aca="false">IF(OR($A168="",R$4=""),0,COUNTIFS(Formulas!$A$2:$A$1501,R$4,Formulas!$B$2:$B$1501,$A168))</f>
        <v>0</v>
      </c>
      <c r="S168" s="21" t="n">
        <f aca="false">IF(OR($A168="",S$4=""),0,COUNTIFS(Formulas!$A$2:$A$1501,S$4,Formulas!$B$2:$B$1501,$A168))</f>
        <v>0</v>
      </c>
      <c r="T168" s="21" t="n">
        <f aca="false">IF(OR($A168="",T$4=""),0,COUNTIFS(Formulas!$A$2:$A$1501,T$4,Formulas!$B$2:$B$1501,$A168))</f>
        <v>0</v>
      </c>
      <c r="U168" s="21" t="n">
        <f aca="false">IF(OR($A168="",U$4=""),0,COUNTIFS(Formulas!$A$2:$A$1501,U$4,Formulas!$B$2:$B$1501,$A168))</f>
        <v>0</v>
      </c>
      <c r="V168" s="21" t="n">
        <f aca="false">IF(OR($A168="",V$4=""),0,COUNTIFS(Formulas!$A$2:$A$1501,V$4,Formulas!$B$2:$B$1501,$A168))</f>
        <v>0</v>
      </c>
      <c r="W168" s="21" t="n">
        <f aca="false">IF(OR($A168="",W$4=""),0,COUNTIFS(Formulas!$A$2:$A$1501,W$4,Formulas!$B$2:$B$1501,$A168))</f>
        <v>0</v>
      </c>
      <c r="X168" s="21" t="n">
        <f aca="false">IF(OR($A168="",X$4=""),0,COUNTIFS(Formulas!$A$2:$A$1501,X$4,Formulas!$B$2:$B$1501,$A168))</f>
        <v>0</v>
      </c>
      <c r="Y168" s="21" t="n">
        <f aca="false">IF(OR($A168="",Y$4=""),0,COUNTIFS(Formulas!$A$2:$A$1501,Y$4,Formulas!$B$2:$B$1501,$A168))</f>
        <v>0</v>
      </c>
      <c r="Z168" s="21" t="n">
        <f aca="false">IF(OR($A168="",Z$4=""),0,COUNTIFS(Formulas!$A$2:$A$1501,Z$4,Formulas!$B$2:$B$1501,$A168))</f>
        <v>0</v>
      </c>
      <c r="AA168" s="21" t="n">
        <f aca="false">IF(OR($A168="",AA$4=""),0,COUNTIFS(Formulas!$A$2:$A$1501,AA$4,Formulas!$B$2:$B$1501,$A168))</f>
        <v>0</v>
      </c>
      <c r="AB168" s="21" t="n">
        <f aca="false">IF(OR($A168="",AB$4=""),0,COUNTIFS(Formulas!$A$2:$A$1501,AB$4,Formulas!$B$2:$B$1501,$A168))</f>
        <v>0</v>
      </c>
      <c r="AC168" s="21" t="n">
        <f aca="false">IF(OR($A168="",AC$4=""),0,COUNTIFS(Formulas!$A$2:$A$1501,AC$4,Formulas!$B$2:$B$1501,$A168))</f>
        <v>0</v>
      </c>
      <c r="AD168" s="21" t="n">
        <f aca="false">IF(OR($A168="",AD$4=""),0,COUNTIFS(Formulas!$A$2:$A$1501,AD$4,Formulas!$B$2:$B$1501,$A168))</f>
        <v>0</v>
      </c>
      <c r="AE168" s="21" t="n">
        <f aca="false">IF(OR($A168="",AE$4=""),0,COUNTIFS(Formulas!$A$2:$A$1501,AE$4,Formulas!$B$2:$B$1501,$A168))</f>
        <v>0</v>
      </c>
      <c r="AF168" s="21" t="n">
        <f aca="false">IF(OR($A168="",AF$4=""),0,COUNTIFS(Formulas!$A$2:$A$1501,AF$4,Formulas!$B$2:$B$1501,$A168))</f>
        <v>0</v>
      </c>
      <c r="AG168" s="21" t="n">
        <f aca="false">IF(OR($A168="",AG$4=""),0,COUNTIFS(Formulas!$A$2:$A$1501,AG$4,Formulas!$B$2:$B$1501,$A168))</f>
        <v>0</v>
      </c>
      <c r="AH168" s="21" t="n">
        <f aca="false">IF(OR($A168="",AH$4=""),0,COUNTIFS(Formulas!$A$2:$A$1501,AH$4,Formulas!$B$2:$B$1501,$A168))</f>
        <v>0</v>
      </c>
      <c r="AI168" s="21" t="n">
        <f aca="false">IF(OR($A168="",AI$4=""),0,COUNTIFS(Formulas!$A$2:$A$1501,AI$4,Formulas!$B$2:$B$1501,$A168))</f>
        <v>0</v>
      </c>
      <c r="AJ168" s="21" t="n">
        <f aca="false">IF(OR($A168="",AJ$4=""),0,COUNTIFS(Formulas!$A$2:$A$1501,AJ$4,Formulas!$B$2:$B$1501,$A168))</f>
        <v>0</v>
      </c>
      <c r="AK168" s="21" t="n">
        <f aca="false">IF(OR($A168="",AK$4=""),0,COUNTIFS(Formulas!$A$2:$A$1501,AK$4,Formulas!$B$2:$B$1501,$A168))</f>
        <v>0</v>
      </c>
      <c r="AL168" s="21" t="n">
        <f aca="false">IF(OR($A168="",AL$4=""),0,COUNTIFS(Formulas!$A$2:$A$1501,AL$4,Formulas!$B$2:$B$1501,$A168))</f>
        <v>0</v>
      </c>
      <c r="AM168" s="21" t="n">
        <f aca="false">IF(OR($A168="",AM$4=""),0,COUNTIFS(Formulas!$A$2:$A$1501,AM$4,Formulas!$B$2:$B$1501,$A168))</f>
        <v>0</v>
      </c>
      <c r="AN168" s="21" t="n">
        <f aca="false">IF(OR($A168="",AN$4=""),0,COUNTIFS(Formulas!$A$2:$A$1501,AN$4,Formulas!$B$2:$B$1501,$A168))</f>
        <v>0</v>
      </c>
      <c r="AO168" s="21" t="n">
        <f aca="false">IF(OR($A168="",AO$4=""),0,COUNTIFS(Formulas!$A$2:$A$1501,AO$4,Formulas!$B$2:$B$1501,$A168))</f>
        <v>0</v>
      </c>
      <c r="AP168" s="21" t="n">
        <f aca="false">IF(OR($A168="",AP$4=""),0,COUNTIFS(Formulas!$A$2:$A$1501,AP$4,Formulas!$B$2:$B$1501,$A168))</f>
        <v>0</v>
      </c>
      <c r="AQ168" s="21" t="n">
        <f aca="false">IF(OR($A168="",AQ$4=""),0,COUNTIFS(Formulas!$A$2:$A$1501,AQ$4,Formulas!$B$2:$B$1501,$A168))</f>
        <v>0</v>
      </c>
      <c r="AR168" s="21" t="n">
        <f aca="false">IF(OR($A168="",AR$4=""),0,COUNTIFS(Formulas!$A$2:$A$1501,AR$4,Formulas!$B$2:$B$1501,$A168))</f>
        <v>0</v>
      </c>
      <c r="AS168" s="21" t="n">
        <f aca="false">IF(OR($A168="",AS$4=""),0,COUNTIFS(Formulas!$A$2:$A$1501,AS$4,Formulas!$B$2:$B$1501,$A168))</f>
        <v>0</v>
      </c>
      <c r="AT168" s="21" t="n">
        <f aca="false">IF(OR($A168="",AT$4=""),0,COUNTIFS(Formulas!$A$2:$A$1501,AT$4,Formulas!$B$2:$B$1501,$A168))</f>
        <v>0</v>
      </c>
      <c r="AU168" s="21" t="n">
        <f aca="false">IF(OR($A168="",AU$4=""),0,COUNTIFS(Formulas!$A$2:$A$1501,AU$4,Formulas!$B$2:$B$1501,$A168))</f>
        <v>0</v>
      </c>
      <c r="AV168" s="21" t="n">
        <f aca="false">IF(OR($A168="",AV$4=""),0,COUNTIFS(Formulas!$A$2:$A$1501,AV$4,Formulas!$B$2:$B$1501,$A168))</f>
        <v>0</v>
      </c>
      <c r="AW168" s="21" t="n">
        <f aca="false">IF(OR($A168="",AW$4=""),0,COUNTIFS(Formulas!$A$2:$A$1501,AW$4,Formulas!$B$2:$B$1501,$A168))</f>
        <v>0</v>
      </c>
      <c r="AX168" s="21" t="n">
        <f aca="false">IF(OR($A168="",AX$4=""),0,COUNTIFS(Formulas!$A$2:$A$1501,AX$4,Formulas!$B$2:$B$1501,$A168))</f>
        <v>0</v>
      </c>
      <c r="AY168" s="21" t="n">
        <f aca="false">IF(OR($A168="",AY$4=""),0,COUNTIFS(Formulas!$A$2:$A$1501,AY$4,Formulas!$B$2:$B$1501,$A168))</f>
        <v>0</v>
      </c>
      <c r="AZ168" s="21" t="n">
        <f aca="false">IF(OR($A168="",AZ$4=""),0,COUNTIFS(Formulas!$A$2:$A$1501,AZ$4,Formulas!$B$2:$B$1501,$A168))</f>
        <v>0</v>
      </c>
      <c r="BA168" s="21" t="n">
        <f aca="false">IF(OR($A168="",BA$4=""),0,COUNTIFS(Formulas!$A$2:$A$1501,BA$4,Formulas!$B$2:$B$1501,$A168))</f>
        <v>0</v>
      </c>
      <c r="BB168" s="21" t="n">
        <f aca="false">IF(OR($A168="",BB$4=""),0,COUNTIFS(Formulas!$A$2:$A$1501,BB$4,Formulas!$B$2:$B$1501,$A168))</f>
        <v>0</v>
      </c>
      <c r="BC168" s="21" t="n">
        <f aca="false">IF(OR($A168="",BC$4=""),0,COUNTIFS(Formulas!$A$2:$A$1501,BC$4,Formulas!$B$2:$B$1501,$A168))</f>
        <v>0</v>
      </c>
      <c r="BD168" s="21" t="n">
        <f aca="false">IF(OR($A168="",BD$4=""),0,COUNTIFS(Formulas!$A$2:$A$1501,BD$4,Formulas!$B$2:$B$1501,$A168))</f>
        <v>0</v>
      </c>
      <c r="BE168" s="21" t="n">
        <f aca="false">IF(OR($A168="",BE$4=""),0,COUNTIFS(Formulas!$A$2:$A$1501,BE$4,Formulas!$B$2:$B$1501,$A168))</f>
        <v>0</v>
      </c>
      <c r="BF168" s="21" t="n">
        <f aca="false">IF(OR($A168="",BF$4=""),0,COUNTIFS(Formulas!$A$2:$A$1501,BF$4,Formulas!$B$2:$B$1501,$A168))</f>
        <v>0</v>
      </c>
      <c r="BG168" s="21" t="n">
        <f aca="false">IF(OR($A168="",BG$4=""),0,COUNTIFS(Formulas!$A$2:$A$1501,BG$4,Formulas!$B$2:$B$1501,$A168))</f>
        <v>0</v>
      </c>
      <c r="BH168" s="21" t="n">
        <f aca="false">IF(OR($A168="",BH$4=""),0,COUNTIFS(Formulas!$A$2:$A$1501,BH$4,Formulas!$B$2:$B$1501,$A168))</f>
        <v>0</v>
      </c>
      <c r="BI168" s="21" t="n">
        <f aca="false">IF(OR($A168="",BI$4=""),0,COUNTIFS(Formulas!$A$2:$A$1501,BI$4,Formulas!$B$2:$B$1501,$A168))</f>
        <v>0</v>
      </c>
      <c r="BJ168" s="21" t="n">
        <f aca="false">IF(OR($A168="",BJ$4=""),0,COUNTIFS(Formulas!$A$2:$A$1501,BJ$4,Formulas!$B$2:$B$1501,$A168))</f>
        <v>0</v>
      </c>
    </row>
    <row r="169" customFormat="false" ht="15" hidden="false" customHeight="false" outlineLevel="0" collapsed="false">
      <c r="A169" s="13" t="str">
        <f aca="false">IF(INDEX(Materials!$A$2:$A$201,165)="","",INDEX(Materials!$A$2:$A$201,165))</f>
        <v/>
      </c>
      <c r="B169" s="19" t="str">
        <f aca="false">IF(A169="","",COUNTIF(C169:BJ169,"&gt;0"))</f>
        <v/>
      </c>
      <c r="C169" s="21" t="n">
        <f aca="false">IF(OR($A169="",C$4=""),0,COUNTIFS(Formulas!$A$2:$A$1501,C$4,Formulas!$B$2:$B$1501,$A169))</f>
        <v>0</v>
      </c>
      <c r="D169" s="21" t="n">
        <f aca="false">IF(OR($A169="",D$4=""),0,COUNTIFS(Formulas!$A$2:$A$1501,D$4,Formulas!$B$2:$B$1501,$A169))</f>
        <v>0</v>
      </c>
      <c r="E169" s="21" t="n">
        <f aca="false">IF(OR($A169="",E$4=""),0,COUNTIFS(Formulas!$A$2:$A$1501,E$4,Formulas!$B$2:$B$1501,$A169))</f>
        <v>0</v>
      </c>
      <c r="F169" s="21" t="n">
        <f aca="false">IF(OR($A169="",F$4=""),0,COUNTIFS(Formulas!$A$2:$A$1501,F$4,Formulas!$B$2:$B$1501,$A169))</f>
        <v>0</v>
      </c>
      <c r="G169" s="21" t="n">
        <f aca="false">IF(OR($A169="",G$4=""),0,COUNTIFS(Formulas!$A$2:$A$1501,G$4,Formulas!$B$2:$B$1501,$A169))</f>
        <v>0</v>
      </c>
      <c r="H169" s="21" t="n">
        <f aca="false">IF(OR($A169="",H$4=""),0,COUNTIFS(Formulas!$A$2:$A$1501,H$4,Formulas!$B$2:$B$1501,$A169))</f>
        <v>0</v>
      </c>
      <c r="I169" s="21" t="n">
        <f aca="false">IF(OR($A169="",I$4=""),0,COUNTIFS(Formulas!$A$2:$A$1501,I$4,Formulas!$B$2:$B$1501,$A169))</f>
        <v>0</v>
      </c>
      <c r="J169" s="21" t="n">
        <f aca="false">IF(OR($A169="",J$4=""),0,COUNTIFS(Formulas!$A$2:$A$1501,J$4,Formulas!$B$2:$B$1501,$A169))</f>
        <v>0</v>
      </c>
      <c r="K169" s="21" t="n">
        <f aca="false">IF(OR($A169="",K$4=""),0,COUNTIFS(Formulas!$A$2:$A$1501,K$4,Formulas!$B$2:$B$1501,$A169))</f>
        <v>0</v>
      </c>
      <c r="L169" s="21" t="n">
        <f aca="false">IF(OR($A169="",L$4=""),0,COUNTIFS(Formulas!$A$2:$A$1501,L$4,Formulas!$B$2:$B$1501,$A169))</f>
        <v>0</v>
      </c>
      <c r="M169" s="21" t="n">
        <f aca="false">IF(OR($A169="",M$4=""),0,COUNTIFS(Formulas!$A$2:$A$1501,M$4,Formulas!$B$2:$B$1501,$A169))</f>
        <v>0</v>
      </c>
      <c r="N169" s="21" t="n">
        <f aca="false">IF(OR($A169="",N$4=""),0,COUNTIFS(Formulas!$A$2:$A$1501,N$4,Formulas!$B$2:$B$1501,$A169))</f>
        <v>0</v>
      </c>
      <c r="O169" s="21" t="n">
        <f aca="false">IF(OR($A169="",O$4=""),0,COUNTIFS(Formulas!$A$2:$A$1501,O$4,Formulas!$B$2:$B$1501,$A169))</f>
        <v>0</v>
      </c>
      <c r="P169" s="21" t="n">
        <f aca="false">IF(OR($A169="",P$4=""),0,COUNTIFS(Formulas!$A$2:$A$1501,P$4,Formulas!$B$2:$B$1501,$A169))</f>
        <v>0</v>
      </c>
      <c r="Q169" s="21" t="n">
        <f aca="false">IF(OR($A169="",Q$4=""),0,COUNTIFS(Formulas!$A$2:$A$1501,Q$4,Formulas!$B$2:$B$1501,$A169))</f>
        <v>0</v>
      </c>
      <c r="R169" s="21" t="n">
        <f aca="false">IF(OR($A169="",R$4=""),0,COUNTIFS(Formulas!$A$2:$A$1501,R$4,Formulas!$B$2:$B$1501,$A169))</f>
        <v>0</v>
      </c>
      <c r="S169" s="21" t="n">
        <f aca="false">IF(OR($A169="",S$4=""),0,COUNTIFS(Formulas!$A$2:$A$1501,S$4,Formulas!$B$2:$B$1501,$A169))</f>
        <v>0</v>
      </c>
      <c r="T169" s="21" t="n">
        <f aca="false">IF(OR($A169="",T$4=""),0,COUNTIFS(Formulas!$A$2:$A$1501,T$4,Formulas!$B$2:$B$1501,$A169))</f>
        <v>0</v>
      </c>
      <c r="U169" s="21" t="n">
        <f aca="false">IF(OR($A169="",U$4=""),0,COUNTIFS(Formulas!$A$2:$A$1501,U$4,Formulas!$B$2:$B$1501,$A169))</f>
        <v>0</v>
      </c>
      <c r="V169" s="21" t="n">
        <f aca="false">IF(OR($A169="",V$4=""),0,COUNTIFS(Formulas!$A$2:$A$1501,V$4,Formulas!$B$2:$B$1501,$A169))</f>
        <v>0</v>
      </c>
      <c r="W169" s="21" t="n">
        <f aca="false">IF(OR($A169="",W$4=""),0,COUNTIFS(Formulas!$A$2:$A$1501,W$4,Formulas!$B$2:$B$1501,$A169))</f>
        <v>0</v>
      </c>
      <c r="X169" s="21" t="n">
        <f aca="false">IF(OR($A169="",X$4=""),0,COUNTIFS(Formulas!$A$2:$A$1501,X$4,Formulas!$B$2:$B$1501,$A169))</f>
        <v>0</v>
      </c>
      <c r="Y169" s="21" t="n">
        <f aca="false">IF(OR($A169="",Y$4=""),0,COUNTIFS(Formulas!$A$2:$A$1501,Y$4,Formulas!$B$2:$B$1501,$A169))</f>
        <v>0</v>
      </c>
      <c r="Z169" s="21" t="n">
        <f aca="false">IF(OR($A169="",Z$4=""),0,COUNTIFS(Formulas!$A$2:$A$1501,Z$4,Formulas!$B$2:$B$1501,$A169))</f>
        <v>0</v>
      </c>
      <c r="AA169" s="21" t="n">
        <f aca="false">IF(OR($A169="",AA$4=""),0,COUNTIFS(Formulas!$A$2:$A$1501,AA$4,Formulas!$B$2:$B$1501,$A169))</f>
        <v>0</v>
      </c>
      <c r="AB169" s="21" t="n">
        <f aca="false">IF(OR($A169="",AB$4=""),0,COUNTIFS(Formulas!$A$2:$A$1501,AB$4,Formulas!$B$2:$B$1501,$A169))</f>
        <v>0</v>
      </c>
      <c r="AC169" s="21" t="n">
        <f aca="false">IF(OR($A169="",AC$4=""),0,COUNTIFS(Formulas!$A$2:$A$1501,AC$4,Formulas!$B$2:$B$1501,$A169))</f>
        <v>0</v>
      </c>
      <c r="AD169" s="21" t="n">
        <f aca="false">IF(OR($A169="",AD$4=""),0,COUNTIFS(Formulas!$A$2:$A$1501,AD$4,Formulas!$B$2:$B$1501,$A169))</f>
        <v>0</v>
      </c>
      <c r="AE169" s="21" t="n">
        <f aca="false">IF(OR($A169="",AE$4=""),0,COUNTIFS(Formulas!$A$2:$A$1501,AE$4,Formulas!$B$2:$B$1501,$A169))</f>
        <v>0</v>
      </c>
      <c r="AF169" s="21" t="n">
        <f aca="false">IF(OR($A169="",AF$4=""),0,COUNTIFS(Formulas!$A$2:$A$1501,AF$4,Formulas!$B$2:$B$1501,$A169))</f>
        <v>0</v>
      </c>
      <c r="AG169" s="21" t="n">
        <f aca="false">IF(OR($A169="",AG$4=""),0,COUNTIFS(Formulas!$A$2:$A$1501,AG$4,Formulas!$B$2:$B$1501,$A169))</f>
        <v>0</v>
      </c>
      <c r="AH169" s="21" t="n">
        <f aca="false">IF(OR($A169="",AH$4=""),0,COUNTIFS(Formulas!$A$2:$A$1501,AH$4,Formulas!$B$2:$B$1501,$A169))</f>
        <v>0</v>
      </c>
      <c r="AI169" s="21" t="n">
        <f aca="false">IF(OR($A169="",AI$4=""),0,COUNTIFS(Formulas!$A$2:$A$1501,AI$4,Formulas!$B$2:$B$1501,$A169))</f>
        <v>0</v>
      </c>
      <c r="AJ169" s="21" t="n">
        <f aca="false">IF(OR($A169="",AJ$4=""),0,COUNTIFS(Formulas!$A$2:$A$1501,AJ$4,Formulas!$B$2:$B$1501,$A169))</f>
        <v>0</v>
      </c>
      <c r="AK169" s="21" t="n">
        <f aca="false">IF(OR($A169="",AK$4=""),0,COUNTIFS(Formulas!$A$2:$A$1501,AK$4,Formulas!$B$2:$B$1501,$A169))</f>
        <v>0</v>
      </c>
      <c r="AL169" s="21" t="n">
        <f aca="false">IF(OR($A169="",AL$4=""),0,COUNTIFS(Formulas!$A$2:$A$1501,AL$4,Formulas!$B$2:$B$1501,$A169))</f>
        <v>0</v>
      </c>
      <c r="AM169" s="21" t="n">
        <f aca="false">IF(OR($A169="",AM$4=""),0,COUNTIFS(Formulas!$A$2:$A$1501,AM$4,Formulas!$B$2:$B$1501,$A169))</f>
        <v>0</v>
      </c>
      <c r="AN169" s="21" t="n">
        <f aca="false">IF(OR($A169="",AN$4=""),0,COUNTIFS(Formulas!$A$2:$A$1501,AN$4,Formulas!$B$2:$B$1501,$A169))</f>
        <v>0</v>
      </c>
      <c r="AO169" s="21" t="n">
        <f aca="false">IF(OR($A169="",AO$4=""),0,COUNTIFS(Formulas!$A$2:$A$1501,AO$4,Formulas!$B$2:$B$1501,$A169))</f>
        <v>0</v>
      </c>
      <c r="AP169" s="21" t="n">
        <f aca="false">IF(OR($A169="",AP$4=""),0,COUNTIFS(Formulas!$A$2:$A$1501,AP$4,Formulas!$B$2:$B$1501,$A169))</f>
        <v>0</v>
      </c>
      <c r="AQ169" s="21" t="n">
        <f aca="false">IF(OR($A169="",AQ$4=""),0,COUNTIFS(Formulas!$A$2:$A$1501,AQ$4,Formulas!$B$2:$B$1501,$A169))</f>
        <v>0</v>
      </c>
      <c r="AR169" s="21" t="n">
        <f aca="false">IF(OR($A169="",AR$4=""),0,COUNTIFS(Formulas!$A$2:$A$1501,AR$4,Formulas!$B$2:$B$1501,$A169))</f>
        <v>0</v>
      </c>
      <c r="AS169" s="21" t="n">
        <f aca="false">IF(OR($A169="",AS$4=""),0,COUNTIFS(Formulas!$A$2:$A$1501,AS$4,Formulas!$B$2:$B$1501,$A169))</f>
        <v>0</v>
      </c>
      <c r="AT169" s="21" t="n">
        <f aca="false">IF(OR($A169="",AT$4=""),0,COUNTIFS(Formulas!$A$2:$A$1501,AT$4,Formulas!$B$2:$B$1501,$A169))</f>
        <v>0</v>
      </c>
      <c r="AU169" s="21" t="n">
        <f aca="false">IF(OR($A169="",AU$4=""),0,COUNTIFS(Formulas!$A$2:$A$1501,AU$4,Formulas!$B$2:$B$1501,$A169))</f>
        <v>0</v>
      </c>
      <c r="AV169" s="21" t="n">
        <f aca="false">IF(OR($A169="",AV$4=""),0,COUNTIFS(Formulas!$A$2:$A$1501,AV$4,Formulas!$B$2:$B$1501,$A169))</f>
        <v>0</v>
      </c>
      <c r="AW169" s="21" t="n">
        <f aca="false">IF(OR($A169="",AW$4=""),0,COUNTIFS(Formulas!$A$2:$A$1501,AW$4,Formulas!$B$2:$B$1501,$A169))</f>
        <v>0</v>
      </c>
      <c r="AX169" s="21" t="n">
        <f aca="false">IF(OR($A169="",AX$4=""),0,COUNTIFS(Formulas!$A$2:$A$1501,AX$4,Formulas!$B$2:$B$1501,$A169))</f>
        <v>0</v>
      </c>
      <c r="AY169" s="21" t="n">
        <f aca="false">IF(OR($A169="",AY$4=""),0,COUNTIFS(Formulas!$A$2:$A$1501,AY$4,Formulas!$B$2:$B$1501,$A169))</f>
        <v>0</v>
      </c>
      <c r="AZ169" s="21" t="n">
        <f aca="false">IF(OR($A169="",AZ$4=""),0,COUNTIFS(Formulas!$A$2:$A$1501,AZ$4,Formulas!$B$2:$B$1501,$A169))</f>
        <v>0</v>
      </c>
      <c r="BA169" s="21" t="n">
        <f aca="false">IF(OR($A169="",BA$4=""),0,COUNTIFS(Formulas!$A$2:$A$1501,BA$4,Formulas!$B$2:$B$1501,$A169))</f>
        <v>0</v>
      </c>
      <c r="BB169" s="21" t="n">
        <f aca="false">IF(OR($A169="",BB$4=""),0,COUNTIFS(Formulas!$A$2:$A$1501,BB$4,Formulas!$B$2:$B$1501,$A169))</f>
        <v>0</v>
      </c>
      <c r="BC169" s="21" t="n">
        <f aca="false">IF(OR($A169="",BC$4=""),0,COUNTIFS(Formulas!$A$2:$A$1501,BC$4,Formulas!$B$2:$B$1501,$A169))</f>
        <v>0</v>
      </c>
      <c r="BD169" s="21" t="n">
        <f aca="false">IF(OR($A169="",BD$4=""),0,COUNTIFS(Formulas!$A$2:$A$1501,BD$4,Formulas!$B$2:$B$1501,$A169))</f>
        <v>0</v>
      </c>
      <c r="BE169" s="21" t="n">
        <f aca="false">IF(OR($A169="",BE$4=""),0,COUNTIFS(Formulas!$A$2:$A$1501,BE$4,Formulas!$B$2:$B$1501,$A169))</f>
        <v>0</v>
      </c>
      <c r="BF169" s="21" t="n">
        <f aca="false">IF(OR($A169="",BF$4=""),0,COUNTIFS(Formulas!$A$2:$A$1501,BF$4,Formulas!$B$2:$B$1501,$A169))</f>
        <v>0</v>
      </c>
      <c r="BG169" s="21" t="n">
        <f aca="false">IF(OR($A169="",BG$4=""),0,COUNTIFS(Formulas!$A$2:$A$1501,BG$4,Formulas!$B$2:$B$1501,$A169))</f>
        <v>0</v>
      </c>
      <c r="BH169" s="21" t="n">
        <f aca="false">IF(OR($A169="",BH$4=""),0,COUNTIFS(Formulas!$A$2:$A$1501,BH$4,Formulas!$B$2:$B$1501,$A169))</f>
        <v>0</v>
      </c>
      <c r="BI169" s="21" t="n">
        <f aca="false">IF(OR($A169="",BI$4=""),0,COUNTIFS(Formulas!$A$2:$A$1501,BI$4,Formulas!$B$2:$B$1501,$A169))</f>
        <v>0</v>
      </c>
      <c r="BJ169" s="21" t="n">
        <f aca="false">IF(OR($A169="",BJ$4=""),0,COUNTIFS(Formulas!$A$2:$A$1501,BJ$4,Formulas!$B$2:$B$1501,$A169))</f>
        <v>0</v>
      </c>
    </row>
    <row r="170" customFormat="false" ht="15" hidden="false" customHeight="false" outlineLevel="0" collapsed="false">
      <c r="A170" s="13" t="str">
        <f aca="false">IF(INDEX(Materials!$A$2:$A$201,166)="","",INDEX(Materials!$A$2:$A$201,166))</f>
        <v/>
      </c>
      <c r="B170" s="19" t="str">
        <f aca="false">IF(A170="","",COUNTIF(C170:BJ170,"&gt;0"))</f>
        <v/>
      </c>
      <c r="C170" s="21" t="n">
        <f aca="false">IF(OR($A170="",C$4=""),0,COUNTIFS(Formulas!$A$2:$A$1501,C$4,Formulas!$B$2:$B$1501,$A170))</f>
        <v>0</v>
      </c>
      <c r="D170" s="21" t="n">
        <f aca="false">IF(OR($A170="",D$4=""),0,COUNTIFS(Formulas!$A$2:$A$1501,D$4,Formulas!$B$2:$B$1501,$A170))</f>
        <v>0</v>
      </c>
      <c r="E170" s="21" t="n">
        <f aca="false">IF(OR($A170="",E$4=""),0,COUNTIFS(Formulas!$A$2:$A$1501,E$4,Formulas!$B$2:$B$1501,$A170))</f>
        <v>0</v>
      </c>
      <c r="F170" s="21" t="n">
        <f aca="false">IF(OR($A170="",F$4=""),0,COUNTIFS(Formulas!$A$2:$A$1501,F$4,Formulas!$B$2:$B$1501,$A170))</f>
        <v>0</v>
      </c>
      <c r="G170" s="21" t="n">
        <f aca="false">IF(OR($A170="",G$4=""),0,COUNTIFS(Formulas!$A$2:$A$1501,G$4,Formulas!$B$2:$B$1501,$A170))</f>
        <v>0</v>
      </c>
      <c r="H170" s="21" t="n">
        <f aca="false">IF(OR($A170="",H$4=""),0,COUNTIFS(Formulas!$A$2:$A$1501,H$4,Formulas!$B$2:$B$1501,$A170))</f>
        <v>0</v>
      </c>
      <c r="I170" s="21" t="n">
        <f aca="false">IF(OR($A170="",I$4=""),0,COUNTIFS(Formulas!$A$2:$A$1501,I$4,Formulas!$B$2:$B$1501,$A170))</f>
        <v>0</v>
      </c>
      <c r="J170" s="21" t="n">
        <f aca="false">IF(OR($A170="",J$4=""),0,COUNTIFS(Formulas!$A$2:$A$1501,J$4,Formulas!$B$2:$B$1501,$A170))</f>
        <v>0</v>
      </c>
      <c r="K170" s="21" t="n">
        <f aca="false">IF(OR($A170="",K$4=""),0,COUNTIFS(Formulas!$A$2:$A$1501,K$4,Formulas!$B$2:$B$1501,$A170))</f>
        <v>0</v>
      </c>
      <c r="L170" s="21" t="n">
        <f aca="false">IF(OR($A170="",L$4=""),0,COUNTIFS(Formulas!$A$2:$A$1501,L$4,Formulas!$B$2:$B$1501,$A170))</f>
        <v>0</v>
      </c>
      <c r="M170" s="21" t="n">
        <f aca="false">IF(OR($A170="",M$4=""),0,COUNTIFS(Formulas!$A$2:$A$1501,M$4,Formulas!$B$2:$B$1501,$A170))</f>
        <v>0</v>
      </c>
      <c r="N170" s="21" t="n">
        <f aca="false">IF(OR($A170="",N$4=""),0,COUNTIFS(Formulas!$A$2:$A$1501,N$4,Formulas!$B$2:$B$1501,$A170))</f>
        <v>0</v>
      </c>
      <c r="O170" s="21" t="n">
        <f aca="false">IF(OR($A170="",O$4=""),0,COUNTIFS(Formulas!$A$2:$A$1501,O$4,Formulas!$B$2:$B$1501,$A170))</f>
        <v>0</v>
      </c>
      <c r="P170" s="21" t="n">
        <f aca="false">IF(OR($A170="",P$4=""),0,COUNTIFS(Formulas!$A$2:$A$1501,P$4,Formulas!$B$2:$B$1501,$A170))</f>
        <v>0</v>
      </c>
      <c r="Q170" s="21" t="n">
        <f aca="false">IF(OR($A170="",Q$4=""),0,COUNTIFS(Formulas!$A$2:$A$1501,Q$4,Formulas!$B$2:$B$1501,$A170))</f>
        <v>0</v>
      </c>
      <c r="R170" s="21" t="n">
        <f aca="false">IF(OR($A170="",R$4=""),0,COUNTIFS(Formulas!$A$2:$A$1501,R$4,Formulas!$B$2:$B$1501,$A170))</f>
        <v>0</v>
      </c>
      <c r="S170" s="21" t="n">
        <f aca="false">IF(OR($A170="",S$4=""),0,COUNTIFS(Formulas!$A$2:$A$1501,S$4,Formulas!$B$2:$B$1501,$A170))</f>
        <v>0</v>
      </c>
      <c r="T170" s="21" t="n">
        <f aca="false">IF(OR($A170="",T$4=""),0,COUNTIFS(Formulas!$A$2:$A$1501,T$4,Formulas!$B$2:$B$1501,$A170))</f>
        <v>0</v>
      </c>
      <c r="U170" s="21" t="n">
        <f aca="false">IF(OR($A170="",U$4=""),0,COUNTIFS(Formulas!$A$2:$A$1501,U$4,Formulas!$B$2:$B$1501,$A170))</f>
        <v>0</v>
      </c>
      <c r="V170" s="21" t="n">
        <f aca="false">IF(OR($A170="",V$4=""),0,COUNTIFS(Formulas!$A$2:$A$1501,V$4,Formulas!$B$2:$B$1501,$A170))</f>
        <v>0</v>
      </c>
      <c r="W170" s="21" t="n">
        <f aca="false">IF(OR($A170="",W$4=""),0,COUNTIFS(Formulas!$A$2:$A$1501,W$4,Formulas!$B$2:$B$1501,$A170))</f>
        <v>0</v>
      </c>
      <c r="X170" s="21" t="n">
        <f aca="false">IF(OR($A170="",X$4=""),0,COUNTIFS(Formulas!$A$2:$A$1501,X$4,Formulas!$B$2:$B$1501,$A170))</f>
        <v>0</v>
      </c>
      <c r="Y170" s="21" t="n">
        <f aca="false">IF(OR($A170="",Y$4=""),0,COUNTIFS(Formulas!$A$2:$A$1501,Y$4,Formulas!$B$2:$B$1501,$A170))</f>
        <v>0</v>
      </c>
      <c r="Z170" s="21" t="n">
        <f aca="false">IF(OR($A170="",Z$4=""),0,COUNTIFS(Formulas!$A$2:$A$1501,Z$4,Formulas!$B$2:$B$1501,$A170))</f>
        <v>0</v>
      </c>
      <c r="AA170" s="21" t="n">
        <f aca="false">IF(OR($A170="",AA$4=""),0,COUNTIFS(Formulas!$A$2:$A$1501,AA$4,Formulas!$B$2:$B$1501,$A170))</f>
        <v>0</v>
      </c>
      <c r="AB170" s="21" t="n">
        <f aca="false">IF(OR($A170="",AB$4=""),0,COUNTIFS(Formulas!$A$2:$A$1501,AB$4,Formulas!$B$2:$B$1501,$A170))</f>
        <v>0</v>
      </c>
      <c r="AC170" s="21" t="n">
        <f aca="false">IF(OR($A170="",AC$4=""),0,COUNTIFS(Formulas!$A$2:$A$1501,AC$4,Formulas!$B$2:$B$1501,$A170))</f>
        <v>0</v>
      </c>
      <c r="AD170" s="21" t="n">
        <f aca="false">IF(OR($A170="",AD$4=""),0,COUNTIFS(Formulas!$A$2:$A$1501,AD$4,Formulas!$B$2:$B$1501,$A170))</f>
        <v>0</v>
      </c>
      <c r="AE170" s="21" t="n">
        <f aca="false">IF(OR($A170="",AE$4=""),0,COUNTIFS(Formulas!$A$2:$A$1501,AE$4,Formulas!$B$2:$B$1501,$A170))</f>
        <v>0</v>
      </c>
      <c r="AF170" s="21" t="n">
        <f aca="false">IF(OR($A170="",AF$4=""),0,COUNTIFS(Formulas!$A$2:$A$1501,AF$4,Formulas!$B$2:$B$1501,$A170))</f>
        <v>0</v>
      </c>
      <c r="AG170" s="21" t="n">
        <f aca="false">IF(OR($A170="",AG$4=""),0,COUNTIFS(Formulas!$A$2:$A$1501,AG$4,Formulas!$B$2:$B$1501,$A170))</f>
        <v>0</v>
      </c>
      <c r="AH170" s="21" t="n">
        <f aca="false">IF(OR($A170="",AH$4=""),0,COUNTIFS(Formulas!$A$2:$A$1501,AH$4,Formulas!$B$2:$B$1501,$A170))</f>
        <v>0</v>
      </c>
      <c r="AI170" s="21" t="n">
        <f aca="false">IF(OR($A170="",AI$4=""),0,COUNTIFS(Formulas!$A$2:$A$1501,AI$4,Formulas!$B$2:$B$1501,$A170))</f>
        <v>0</v>
      </c>
      <c r="AJ170" s="21" t="n">
        <f aca="false">IF(OR($A170="",AJ$4=""),0,COUNTIFS(Formulas!$A$2:$A$1501,AJ$4,Formulas!$B$2:$B$1501,$A170))</f>
        <v>0</v>
      </c>
      <c r="AK170" s="21" t="n">
        <f aca="false">IF(OR($A170="",AK$4=""),0,COUNTIFS(Formulas!$A$2:$A$1501,AK$4,Formulas!$B$2:$B$1501,$A170))</f>
        <v>0</v>
      </c>
      <c r="AL170" s="21" t="n">
        <f aca="false">IF(OR($A170="",AL$4=""),0,COUNTIFS(Formulas!$A$2:$A$1501,AL$4,Formulas!$B$2:$B$1501,$A170))</f>
        <v>0</v>
      </c>
      <c r="AM170" s="21" t="n">
        <f aca="false">IF(OR($A170="",AM$4=""),0,COUNTIFS(Formulas!$A$2:$A$1501,AM$4,Formulas!$B$2:$B$1501,$A170))</f>
        <v>0</v>
      </c>
      <c r="AN170" s="21" t="n">
        <f aca="false">IF(OR($A170="",AN$4=""),0,COUNTIFS(Formulas!$A$2:$A$1501,AN$4,Formulas!$B$2:$B$1501,$A170))</f>
        <v>0</v>
      </c>
      <c r="AO170" s="21" t="n">
        <f aca="false">IF(OR($A170="",AO$4=""),0,COUNTIFS(Formulas!$A$2:$A$1501,AO$4,Formulas!$B$2:$B$1501,$A170))</f>
        <v>0</v>
      </c>
      <c r="AP170" s="21" t="n">
        <f aca="false">IF(OR($A170="",AP$4=""),0,COUNTIFS(Formulas!$A$2:$A$1501,AP$4,Formulas!$B$2:$B$1501,$A170))</f>
        <v>0</v>
      </c>
      <c r="AQ170" s="21" t="n">
        <f aca="false">IF(OR($A170="",AQ$4=""),0,COUNTIFS(Formulas!$A$2:$A$1501,AQ$4,Formulas!$B$2:$B$1501,$A170))</f>
        <v>0</v>
      </c>
      <c r="AR170" s="21" t="n">
        <f aca="false">IF(OR($A170="",AR$4=""),0,COUNTIFS(Formulas!$A$2:$A$1501,AR$4,Formulas!$B$2:$B$1501,$A170))</f>
        <v>0</v>
      </c>
      <c r="AS170" s="21" t="n">
        <f aca="false">IF(OR($A170="",AS$4=""),0,COUNTIFS(Formulas!$A$2:$A$1501,AS$4,Formulas!$B$2:$B$1501,$A170))</f>
        <v>0</v>
      </c>
      <c r="AT170" s="21" t="n">
        <f aca="false">IF(OR($A170="",AT$4=""),0,COUNTIFS(Formulas!$A$2:$A$1501,AT$4,Formulas!$B$2:$B$1501,$A170))</f>
        <v>0</v>
      </c>
      <c r="AU170" s="21" t="n">
        <f aca="false">IF(OR($A170="",AU$4=""),0,COUNTIFS(Formulas!$A$2:$A$1501,AU$4,Formulas!$B$2:$B$1501,$A170))</f>
        <v>0</v>
      </c>
      <c r="AV170" s="21" t="n">
        <f aca="false">IF(OR($A170="",AV$4=""),0,COUNTIFS(Formulas!$A$2:$A$1501,AV$4,Formulas!$B$2:$B$1501,$A170))</f>
        <v>0</v>
      </c>
      <c r="AW170" s="21" t="n">
        <f aca="false">IF(OR($A170="",AW$4=""),0,COUNTIFS(Formulas!$A$2:$A$1501,AW$4,Formulas!$B$2:$B$1501,$A170))</f>
        <v>0</v>
      </c>
      <c r="AX170" s="21" t="n">
        <f aca="false">IF(OR($A170="",AX$4=""),0,COUNTIFS(Formulas!$A$2:$A$1501,AX$4,Formulas!$B$2:$B$1501,$A170))</f>
        <v>0</v>
      </c>
      <c r="AY170" s="21" t="n">
        <f aca="false">IF(OR($A170="",AY$4=""),0,COUNTIFS(Formulas!$A$2:$A$1501,AY$4,Formulas!$B$2:$B$1501,$A170))</f>
        <v>0</v>
      </c>
      <c r="AZ170" s="21" t="n">
        <f aca="false">IF(OR($A170="",AZ$4=""),0,COUNTIFS(Formulas!$A$2:$A$1501,AZ$4,Formulas!$B$2:$B$1501,$A170))</f>
        <v>0</v>
      </c>
      <c r="BA170" s="21" t="n">
        <f aca="false">IF(OR($A170="",BA$4=""),0,COUNTIFS(Formulas!$A$2:$A$1501,BA$4,Formulas!$B$2:$B$1501,$A170))</f>
        <v>0</v>
      </c>
      <c r="BB170" s="21" t="n">
        <f aca="false">IF(OR($A170="",BB$4=""),0,COUNTIFS(Formulas!$A$2:$A$1501,BB$4,Formulas!$B$2:$B$1501,$A170))</f>
        <v>0</v>
      </c>
      <c r="BC170" s="21" t="n">
        <f aca="false">IF(OR($A170="",BC$4=""),0,COUNTIFS(Formulas!$A$2:$A$1501,BC$4,Formulas!$B$2:$B$1501,$A170))</f>
        <v>0</v>
      </c>
      <c r="BD170" s="21" t="n">
        <f aca="false">IF(OR($A170="",BD$4=""),0,COUNTIFS(Formulas!$A$2:$A$1501,BD$4,Formulas!$B$2:$B$1501,$A170))</f>
        <v>0</v>
      </c>
      <c r="BE170" s="21" t="n">
        <f aca="false">IF(OR($A170="",BE$4=""),0,COUNTIFS(Formulas!$A$2:$A$1501,BE$4,Formulas!$B$2:$B$1501,$A170))</f>
        <v>0</v>
      </c>
      <c r="BF170" s="21" t="n">
        <f aca="false">IF(OR($A170="",BF$4=""),0,COUNTIFS(Formulas!$A$2:$A$1501,BF$4,Formulas!$B$2:$B$1501,$A170))</f>
        <v>0</v>
      </c>
      <c r="BG170" s="21" t="n">
        <f aca="false">IF(OR($A170="",BG$4=""),0,COUNTIFS(Formulas!$A$2:$A$1501,BG$4,Formulas!$B$2:$B$1501,$A170))</f>
        <v>0</v>
      </c>
      <c r="BH170" s="21" t="n">
        <f aca="false">IF(OR($A170="",BH$4=""),0,COUNTIFS(Formulas!$A$2:$A$1501,BH$4,Formulas!$B$2:$B$1501,$A170))</f>
        <v>0</v>
      </c>
      <c r="BI170" s="21" t="n">
        <f aca="false">IF(OR($A170="",BI$4=""),0,COUNTIFS(Formulas!$A$2:$A$1501,BI$4,Formulas!$B$2:$B$1501,$A170))</f>
        <v>0</v>
      </c>
      <c r="BJ170" s="21" t="n">
        <f aca="false">IF(OR($A170="",BJ$4=""),0,COUNTIFS(Formulas!$A$2:$A$1501,BJ$4,Formulas!$B$2:$B$1501,$A170))</f>
        <v>0</v>
      </c>
    </row>
    <row r="171" customFormat="false" ht="15" hidden="false" customHeight="false" outlineLevel="0" collapsed="false">
      <c r="A171" s="13" t="str">
        <f aca="false">IF(INDEX(Materials!$A$2:$A$201,167)="","",INDEX(Materials!$A$2:$A$201,167))</f>
        <v/>
      </c>
      <c r="B171" s="19" t="str">
        <f aca="false">IF(A171="","",COUNTIF(C171:BJ171,"&gt;0"))</f>
        <v/>
      </c>
      <c r="C171" s="21" t="n">
        <f aca="false">IF(OR($A171="",C$4=""),0,COUNTIFS(Formulas!$A$2:$A$1501,C$4,Formulas!$B$2:$B$1501,$A171))</f>
        <v>0</v>
      </c>
      <c r="D171" s="21" t="n">
        <f aca="false">IF(OR($A171="",D$4=""),0,COUNTIFS(Formulas!$A$2:$A$1501,D$4,Formulas!$B$2:$B$1501,$A171))</f>
        <v>0</v>
      </c>
      <c r="E171" s="21" t="n">
        <f aca="false">IF(OR($A171="",E$4=""),0,COUNTIFS(Formulas!$A$2:$A$1501,E$4,Formulas!$B$2:$B$1501,$A171))</f>
        <v>0</v>
      </c>
      <c r="F171" s="21" t="n">
        <f aca="false">IF(OR($A171="",F$4=""),0,COUNTIFS(Formulas!$A$2:$A$1501,F$4,Formulas!$B$2:$B$1501,$A171))</f>
        <v>0</v>
      </c>
      <c r="G171" s="21" t="n">
        <f aca="false">IF(OR($A171="",G$4=""),0,COUNTIFS(Formulas!$A$2:$A$1501,G$4,Formulas!$B$2:$B$1501,$A171))</f>
        <v>0</v>
      </c>
      <c r="H171" s="21" t="n">
        <f aca="false">IF(OR($A171="",H$4=""),0,COUNTIFS(Formulas!$A$2:$A$1501,H$4,Formulas!$B$2:$B$1501,$A171))</f>
        <v>0</v>
      </c>
      <c r="I171" s="21" t="n">
        <f aca="false">IF(OR($A171="",I$4=""),0,COUNTIFS(Formulas!$A$2:$A$1501,I$4,Formulas!$B$2:$B$1501,$A171))</f>
        <v>0</v>
      </c>
      <c r="J171" s="21" t="n">
        <f aca="false">IF(OR($A171="",J$4=""),0,COUNTIFS(Formulas!$A$2:$A$1501,J$4,Formulas!$B$2:$B$1501,$A171))</f>
        <v>0</v>
      </c>
      <c r="K171" s="21" t="n">
        <f aca="false">IF(OR($A171="",K$4=""),0,COUNTIFS(Formulas!$A$2:$A$1501,K$4,Formulas!$B$2:$B$1501,$A171))</f>
        <v>0</v>
      </c>
      <c r="L171" s="21" t="n">
        <f aca="false">IF(OR($A171="",L$4=""),0,COUNTIFS(Formulas!$A$2:$A$1501,L$4,Formulas!$B$2:$B$1501,$A171))</f>
        <v>0</v>
      </c>
      <c r="M171" s="21" t="n">
        <f aca="false">IF(OR($A171="",M$4=""),0,COUNTIFS(Formulas!$A$2:$A$1501,M$4,Formulas!$B$2:$B$1501,$A171))</f>
        <v>0</v>
      </c>
      <c r="N171" s="21" t="n">
        <f aca="false">IF(OR($A171="",N$4=""),0,COUNTIFS(Formulas!$A$2:$A$1501,N$4,Formulas!$B$2:$B$1501,$A171))</f>
        <v>0</v>
      </c>
      <c r="O171" s="21" t="n">
        <f aca="false">IF(OR($A171="",O$4=""),0,COUNTIFS(Formulas!$A$2:$A$1501,O$4,Formulas!$B$2:$B$1501,$A171))</f>
        <v>0</v>
      </c>
      <c r="P171" s="21" t="n">
        <f aca="false">IF(OR($A171="",P$4=""),0,COUNTIFS(Formulas!$A$2:$A$1501,P$4,Formulas!$B$2:$B$1501,$A171))</f>
        <v>0</v>
      </c>
      <c r="Q171" s="21" t="n">
        <f aca="false">IF(OR($A171="",Q$4=""),0,COUNTIFS(Formulas!$A$2:$A$1501,Q$4,Formulas!$B$2:$B$1501,$A171))</f>
        <v>0</v>
      </c>
      <c r="R171" s="21" t="n">
        <f aca="false">IF(OR($A171="",R$4=""),0,COUNTIFS(Formulas!$A$2:$A$1501,R$4,Formulas!$B$2:$B$1501,$A171))</f>
        <v>0</v>
      </c>
      <c r="S171" s="21" t="n">
        <f aca="false">IF(OR($A171="",S$4=""),0,COUNTIFS(Formulas!$A$2:$A$1501,S$4,Formulas!$B$2:$B$1501,$A171))</f>
        <v>0</v>
      </c>
      <c r="T171" s="21" t="n">
        <f aca="false">IF(OR($A171="",T$4=""),0,COUNTIFS(Formulas!$A$2:$A$1501,T$4,Formulas!$B$2:$B$1501,$A171))</f>
        <v>0</v>
      </c>
      <c r="U171" s="21" t="n">
        <f aca="false">IF(OR($A171="",U$4=""),0,COUNTIFS(Formulas!$A$2:$A$1501,U$4,Formulas!$B$2:$B$1501,$A171))</f>
        <v>0</v>
      </c>
      <c r="V171" s="21" t="n">
        <f aca="false">IF(OR($A171="",V$4=""),0,COUNTIFS(Formulas!$A$2:$A$1501,V$4,Formulas!$B$2:$B$1501,$A171))</f>
        <v>0</v>
      </c>
      <c r="W171" s="21" t="n">
        <f aca="false">IF(OR($A171="",W$4=""),0,COUNTIFS(Formulas!$A$2:$A$1501,W$4,Formulas!$B$2:$B$1501,$A171))</f>
        <v>0</v>
      </c>
      <c r="X171" s="21" t="n">
        <f aca="false">IF(OR($A171="",X$4=""),0,COUNTIFS(Formulas!$A$2:$A$1501,X$4,Formulas!$B$2:$B$1501,$A171))</f>
        <v>0</v>
      </c>
      <c r="Y171" s="21" t="n">
        <f aca="false">IF(OR($A171="",Y$4=""),0,COUNTIFS(Formulas!$A$2:$A$1501,Y$4,Formulas!$B$2:$B$1501,$A171))</f>
        <v>0</v>
      </c>
      <c r="Z171" s="21" t="n">
        <f aca="false">IF(OR($A171="",Z$4=""),0,COUNTIFS(Formulas!$A$2:$A$1501,Z$4,Formulas!$B$2:$B$1501,$A171))</f>
        <v>0</v>
      </c>
      <c r="AA171" s="21" t="n">
        <f aca="false">IF(OR($A171="",AA$4=""),0,COUNTIFS(Formulas!$A$2:$A$1501,AA$4,Formulas!$B$2:$B$1501,$A171))</f>
        <v>0</v>
      </c>
      <c r="AB171" s="21" t="n">
        <f aca="false">IF(OR($A171="",AB$4=""),0,COUNTIFS(Formulas!$A$2:$A$1501,AB$4,Formulas!$B$2:$B$1501,$A171))</f>
        <v>0</v>
      </c>
      <c r="AC171" s="21" t="n">
        <f aca="false">IF(OR($A171="",AC$4=""),0,COUNTIFS(Formulas!$A$2:$A$1501,AC$4,Formulas!$B$2:$B$1501,$A171))</f>
        <v>0</v>
      </c>
      <c r="AD171" s="21" t="n">
        <f aca="false">IF(OR($A171="",AD$4=""),0,COUNTIFS(Formulas!$A$2:$A$1501,AD$4,Formulas!$B$2:$B$1501,$A171))</f>
        <v>0</v>
      </c>
      <c r="AE171" s="21" t="n">
        <f aca="false">IF(OR($A171="",AE$4=""),0,COUNTIFS(Formulas!$A$2:$A$1501,AE$4,Formulas!$B$2:$B$1501,$A171))</f>
        <v>0</v>
      </c>
      <c r="AF171" s="21" t="n">
        <f aca="false">IF(OR($A171="",AF$4=""),0,COUNTIFS(Formulas!$A$2:$A$1501,AF$4,Formulas!$B$2:$B$1501,$A171))</f>
        <v>0</v>
      </c>
      <c r="AG171" s="21" t="n">
        <f aca="false">IF(OR($A171="",AG$4=""),0,COUNTIFS(Formulas!$A$2:$A$1501,AG$4,Formulas!$B$2:$B$1501,$A171))</f>
        <v>0</v>
      </c>
      <c r="AH171" s="21" t="n">
        <f aca="false">IF(OR($A171="",AH$4=""),0,COUNTIFS(Formulas!$A$2:$A$1501,AH$4,Formulas!$B$2:$B$1501,$A171))</f>
        <v>0</v>
      </c>
      <c r="AI171" s="21" t="n">
        <f aca="false">IF(OR($A171="",AI$4=""),0,COUNTIFS(Formulas!$A$2:$A$1501,AI$4,Formulas!$B$2:$B$1501,$A171))</f>
        <v>0</v>
      </c>
      <c r="AJ171" s="21" t="n">
        <f aca="false">IF(OR($A171="",AJ$4=""),0,COUNTIFS(Formulas!$A$2:$A$1501,AJ$4,Formulas!$B$2:$B$1501,$A171))</f>
        <v>0</v>
      </c>
      <c r="AK171" s="21" t="n">
        <f aca="false">IF(OR($A171="",AK$4=""),0,COUNTIFS(Formulas!$A$2:$A$1501,AK$4,Formulas!$B$2:$B$1501,$A171))</f>
        <v>0</v>
      </c>
      <c r="AL171" s="21" t="n">
        <f aca="false">IF(OR($A171="",AL$4=""),0,COUNTIFS(Formulas!$A$2:$A$1501,AL$4,Formulas!$B$2:$B$1501,$A171))</f>
        <v>0</v>
      </c>
      <c r="AM171" s="21" t="n">
        <f aca="false">IF(OR($A171="",AM$4=""),0,COUNTIFS(Formulas!$A$2:$A$1501,AM$4,Formulas!$B$2:$B$1501,$A171))</f>
        <v>0</v>
      </c>
      <c r="AN171" s="21" t="n">
        <f aca="false">IF(OR($A171="",AN$4=""),0,COUNTIFS(Formulas!$A$2:$A$1501,AN$4,Formulas!$B$2:$B$1501,$A171))</f>
        <v>0</v>
      </c>
      <c r="AO171" s="21" t="n">
        <f aca="false">IF(OR($A171="",AO$4=""),0,COUNTIFS(Formulas!$A$2:$A$1501,AO$4,Formulas!$B$2:$B$1501,$A171))</f>
        <v>0</v>
      </c>
      <c r="AP171" s="21" t="n">
        <f aca="false">IF(OR($A171="",AP$4=""),0,COUNTIFS(Formulas!$A$2:$A$1501,AP$4,Formulas!$B$2:$B$1501,$A171))</f>
        <v>0</v>
      </c>
      <c r="AQ171" s="21" t="n">
        <f aca="false">IF(OR($A171="",AQ$4=""),0,COUNTIFS(Formulas!$A$2:$A$1501,AQ$4,Formulas!$B$2:$B$1501,$A171))</f>
        <v>0</v>
      </c>
      <c r="AR171" s="21" t="n">
        <f aca="false">IF(OR($A171="",AR$4=""),0,COUNTIFS(Formulas!$A$2:$A$1501,AR$4,Formulas!$B$2:$B$1501,$A171))</f>
        <v>0</v>
      </c>
      <c r="AS171" s="21" t="n">
        <f aca="false">IF(OR($A171="",AS$4=""),0,COUNTIFS(Formulas!$A$2:$A$1501,AS$4,Formulas!$B$2:$B$1501,$A171))</f>
        <v>0</v>
      </c>
      <c r="AT171" s="21" t="n">
        <f aca="false">IF(OR($A171="",AT$4=""),0,COUNTIFS(Formulas!$A$2:$A$1501,AT$4,Formulas!$B$2:$B$1501,$A171))</f>
        <v>0</v>
      </c>
      <c r="AU171" s="21" t="n">
        <f aca="false">IF(OR($A171="",AU$4=""),0,COUNTIFS(Formulas!$A$2:$A$1501,AU$4,Formulas!$B$2:$B$1501,$A171))</f>
        <v>0</v>
      </c>
      <c r="AV171" s="21" t="n">
        <f aca="false">IF(OR($A171="",AV$4=""),0,COUNTIFS(Formulas!$A$2:$A$1501,AV$4,Formulas!$B$2:$B$1501,$A171))</f>
        <v>0</v>
      </c>
      <c r="AW171" s="21" t="n">
        <f aca="false">IF(OR($A171="",AW$4=""),0,COUNTIFS(Formulas!$A$2:$A$1501,AW$4,Formulas!$B$2:$B$1501,$A171))</f>
        <v>0</v>
      </c>
      <c r="AX171" s="21" t="n">
        <f aca="false">IF(OR($A171="",AX$4=""),0,COUNTIFS(Formulas!$A$2:$A$1501,AX$4,Formulas!$B$2:$B$1501,$A171))</f>
        <v>0</v>
      </c>
      <c r="AY171" s="21" t="n">
        <f aca="false">IF(OR($A171="",AY$4=""),0,COUNTIFS(Formulas!$A$2:$A$1501,AY$4,Formulas!$B$2:$B$1501,$A171))</f>
        <v>0</v>
      </c>
      <c r="AZ171" s="21" t="n">
        <f aca="false">IF(OR($A171="",AZ$4=""),0,COUNTIFS(Formulas!$A$2:$A$1501,AZ$4,Formulas!$B$2:$B$1501,$A171))</f>
        <v>0</v>
      </c>
      <c r="BA171" s="21" t="n">
        <f aca="false">IF(OR($A171="",BA$4=""),0,COUNTIFS(Formulas!$A$2:$A$1501,BA$4,Formulas!$B$2:$B$1501,$A171))</f>
        <v>0</v>
      </c>
      <c r="BB171" s="21" t="n">
        <f aca="false">IF(OR($A171="",BB$4=""),0,COUNTIFS(Formulas!$A$2:$A$1501,BB$4,Formulas!$B$2:$B$1501,$A171))</f>
        <v>0</v>
      </c>
      <c r="BC171" s="21" t="n">
        <f aca="false">IF(OR($A171="",BC$4=""),0,COUNTIFS(Formulas!$A$2:$A$1501,BC$4,Formulas!$B$2:$B$1501,$A171))</f>
        <v>0</v>
      </c>
      <c r="BD171" s="21" t="n">
        <f aca="false">IF(OR($A171="",BD$4=""),0,COUNTIFS(Formulas!$A$2:$A$1501,BD$4,Formulas!$B$2:$B$1501,$A171))</f>
        <v>0</v>
      </c>
      <c r="BE171" s="21" t="n">
        <f aca="false">IF(OR($A171="",BE$4=""),0,COUNTIFS(Formulas!$A$2:$A$1501,BE$4,Formulas!$B$2:$B$1501,$A171))</f>
        <v>0</v>
      </c>
      <c r="BF171" s="21" t="n">
        <f aca="false">IF(OR($A171="",BF$4=""),0,COUNTIFS(Formulas!$A$2:$A$1501,BF$4,Formulas!$B$2:$B$1501,$A171))</f>
        <v>0</v>
      </c>
      <c r="BG171" s="21" t="n">
        <f aca="false">IF(OR($A171="",BG$4=""),0,COUNTIFS(Formulas!$A$2:$A$1501,BG$4,Formulas!$B$2:$B$1501,$A171))</f>
        <v>0</v>
      </c>
      <c r="BH171" s="21" t="n">
        <f aca="false">IF(OR($A171="",BH$4=""),0,COUNTIFS(Formulas!$A$2:$A$1501,BH$4,Formulas!$B$2:$B$1501,$A171))</f>
        <v>0</v>
      </c>
      <c r="BI171" s="21" t="n">
        <f aca="false">IF(OR($A171="",BI$4=""),0,COUNTIFS(Formulas!$A$2:$A$1501,BI$4,Formulas!$B$2:$B$1501,$A171))</f>
        <v>0</v>
      </c>
      <c r="BJ171" s="21" t="n">
        <f aca="false">IF(OR($A171="",BJ$4=""),0,COUNTIFS(Formulas!$A$2:$A$1501,BJ$4,Formulas!$B$2:$B$1501,$A171))</f>
        <v>0</v>
      </c>
    </row>
    <row r="172" customFormat="false" ht="15" hidden="false" customHeight="false" outlineLevel="0" collapsed="false">
      <c r="A172" s="13" t="str">
        <f aca="false">IF(INDEX(Materials!$A$2:$A$201,168)="","",INDEX(Materials!$A$2:$A$201,168))</f>
        <v/>
      </c>
      <c r="B172" s="19" t="str">
        <f aca="false">IF(A172="","",COUNTIF(C172:BJ172,"&gt;0"))</f>
        <v/>
      </c>
      <c r="C172" s="21" t="n">
        <f aca="false">IF(OR($A172="",C$4=""),0,COUNTIFS(Formulas!$A$2:$A$1501,C$4,Formulas!$B$2:$B$1501,$A172))</f>
        <v>0</v>
      </c>
      <c r="D172" s="21" t="n">
        <f aca="false">IF(OR($A172="",D$4=""),0,COUNTIFS(Formulas!$A$2:$A$1501,D$4,Formulas!$B$2:$B$1501,$A172))</f>
        <v>0</v>
      </c>
      <c r="E172" s="21" t="n">
        <f aca="false">IF(OR($A172="",E$4=""),0,COUNTIFS(Formulas!$A$2:$A$1501,E$4,Formulas!$B$2:$B$1501,$A172))</f>
        <v>0</v>
      </c>
      <c r="F172" s="21" t="n">
        <f aca="false">IF(OR($A172="",F$4=""),0,COUNTIFS(Formulas!$A$2:$A$1501,F$4,Formulas!$B$2:$B$1501,$A172))</f>
        <v>0</v>
      </c>
      <c r="G172" s="21" t="n">
        <f aca="false">IF(OR($A172="",G$4=""),0,COUNTIFS(Formulas!$A$2:$A$1501,G$4,Formulas!$B$2:$B$1501,$A172))</f>
        <v>0</v>
      </c>
      <c r="H172" s="21" t="n">
        <f aca="false">IF(OR($A172="",H$4=""),0,COUNTIFS(Formulas!$A$2:$A$1501,H$4,Formulas!$B$2:$B$1501,$A172))</f>
        <v>0</v>
      </c>
      <c r="I172" s="21" t="n">
        <f aca="false">IF(OR($A172="",I$4=""),0,COUNTIFS(Formulas!$A$2:$A$1501,I$4,Formulas!$B$2:$B$1501,$A172))</f>
        <v>0</v>
      </c>
      <c r="J172" s="21" t="n">
        <f aca="false">IF(OR($A172="",J$4=""),0,COUNTIFS(Formulas!$A$2:$A$1501,J$4,Formulas!$B$2:$B$1501,$A172))</f>
        <v>0</v>
      </c>
      <c r="K172" s="21" t="n">
        <f aca="false">IF(OR($A172="",K$4=""),0,COUNTIFS(Formulas!$A$2:$A$1501,K$4,Formulas!$B$2:$B$1501,$A172))</f>
        <v>0</v>
      </c>
      <c r="L172" s="21" t="n">
        <f aca="false">IF(OR($A172="",L$4=""),0,COUNTIFS(Formulas!$A$2:$A$1501,L$4,Formulas!$B$2:$B$1501,$A172))</f>
        <v>0</v>
      </c>
      <c r="M172" s="21" t="n">
        <f aca="false">IF(OR($A172="",M$4=""),0,COUNTIFS(Formulas!$A$2:$A$1501,M$4,Formulas!$B$2:$B$1501,$A172))</f>
        <v>0</v>
      </c>
      <c r="N172" s="21" t="n">
        <f aca="false">IF(OR($A172="",N$4=""),0,COUNTIFS(Formulas!$A$2:$A$1501,N$4,Formulas!$B$2:$B$1501,$A172))</f>
        <v>0</v>
      </c>
      <c r="O172" s="21" t="n">
        <f aca="false">IF(OR($A172="",O$4=""),0,COUNTIFS(Formulas!$A$2:$A$1501,O$4,Formulas!$B$2:$B$1501,$A172))</f>
        <v>0</v>
      </c>
      <c r="P172" s="21" t="n">
        <f aca="false">IF(OR($A172="",P$4=""),0,COUNTIFS(Formulas!$A$2:$A$1501,P$4,Formulas!$B$2:$B$1501,$A172))</f>
        <v>0</v>
      </c>
      <c r="Q172" s="21" t="n">
        <f aca="false">IF(OR($A172="",Q$4=""),0,COUNTIFS(Formulas!$A$2:$A$1501,Q$4,Formulas!$B$2:$B$1501,$A172))</f>
        <v>0</v>
      </c>
      <c r="R172" s="21" t="n">
        <f aca="false">IF(OR($A172="",R$4=""),0,COUNTIFS(Formulas!$A$2:$A$1501,R$4,Formulas!$B$2:$B$1501,$A172))</f>
        <v>0</v>
      </c>
      <c r="S172" s="21" t="n">
        <f aca="false">IF(OR($A172="",S$4=""),0,COUNTIFS(Formulas!$A$2:$A$1501,S$4,Formulas!$B$2:$B$1501,$A172))</f>
        <v>0</v>
      </c>
      <c r="T172" s="21" t="n">
        <f aca="false">IF(OR($A172="",T$4=""),0,COUNTIFS(Formulas!$A$2:$A$1501,T$4,Formulas!$B$2:$B$1501,$A172))</f>
        <v>0</v>
      </c>
      <c r="U172" s="21" t="n">
        <f aca="false">IF(OR($A172="",U$4=""),0,COUNTIFS(Formulas!$A$2:$A$1501,U$4,Formulas!$B$2:$B$1501,$A172))</f>
        <v>0</v>
      </c>
      <c r="V172" s="21" t="n">
        <f aca="false">IF(OR($A172="",V$4=""),0,COUNTIFS(Formulas!$A$2:$A$1501,V$4,Formulas!$B$2:$B$1501,$A172))</f>
        <v>0</v>
      </c>
      <c r="W172" s="21" t="n">
        <f aca="false">IF(OR($A172="",W$4=""),0,COUNTIFS(Formulas!$A$2:$A$1501,W$4,Formulas!$B$2:$B$1501,$A172))</f>
        <v>0</v>
      </c>
      <c r="X172" s="21" t="n">
        <f aca="false">IF(OR($A172="",X$4=""),0,COUNTIFS(Formulas!$A$2:$A$1501,X$4,Formulas!$B$2:$B$1501,$A172))</f>
        <v>0</v>
      </c>
      <c r="Y172" s="21" t="n">
        <f aca="false">IF(OR($A172="",Y$4=""),0,COUNTIFS(Formulas!$A$2:$A$1501,Y$4,Formulas!$B$2:$B$1501,$A172))</f>
        <v>0</v>
      </c>
      <c r="Z172" s="21" t="n">
        <f aca="false">IF(OR($A172="",Z$4=""),0,COUNTIFS(Formulas!$A$2:$A$1501,Z$4,Formulas!$B$2:$B$1501,$A172))</f>
        <v>0</v>
      </c>
      <c r="AA172" s="21" t="n">
        <f aca="false">IF(OR($A172="",AA$4=""),0,COUNTIFS(Formulas!$A$2:$A$1501,AA$4,Formulas!$B$2:$B$1501,$A172))</f>
        <v>0</v>
      </c>
      <c r="AB172" s="21" t="n">
        <f aca="false">IF(OR($A172="",AB$4=""),0,COUNTIFS(Formulas!$A$2:$A$1501,AB$4,Formulas!$B$2:$B$1501,$A172))</f>
        <v>0</v>
      </c>
      <c r="AC172" s="21" t="n">
        <f aca="false">IF(OR($A172="",AC$4=""),0,COUNTIFS(Formulas!$A$2:$A$1501,AC$4,Formulas!$B$2:$B$1501,$A172))</f>
        <v>0</v>
      </c>
      <c r="AD172" s="21" t="n">
        <f aca="false">IF(OR($A172="",AD$4=""),0,COUNTIFS(Formulas!$A$2:$A$1501,AD$4,Formulas!$B$2:$B$1501,$A172))</f>
        <v>0</v>
      </c>
      <c r="AE172" s="21" t="n">
        <f aca="false">IF(OR($A172="",AE$4=""),0,COUNTIFS(Formulas!$A$2:$A$1501,AE$4,Formulas!$B$2:$B$1501,$A172))</f>
        <v>0</v>
      </c>
      <c r="AF172" s="21" t="n">
        <f aca="false">IF(OR($A172="",AF$4=""),0,COUNTIFS(Formulas!$A$2:$A$1501,AF$4,Formulas!$B$2:$B$1501,$A172))</f>
        <v>0</v>
      </c>
      <c r="AG172" s="21" t="n">
        <f aca="false">IF(OR($A172="",AG$4=""),0,COUNTIFS(Formulas!$A$2:$A$1501,AG$4,Formulas!$B$2:$B$1501,$A172))</f>
        <v>0</v>
      </c>
      <c r="AH172" s="21" t="n">
        <f aca="false">IF(OR($A172="",AH$4=""),0,COUNTIFS(Formulas!$A$2:$A$1501,AH$4,Formulas!$B$2:$B$1501,$A172))</f>
        <v>0</v>
      </c>
      <c r="AI172" s="21" t="n">
        <f aca="false">IF(OR($A172="",AI$4=""),0,COUNTIFS(Formulas!$A$2:$A$1501,AI$4,Formulas!$B$2:$B$1501,$A172))</f>
        <v>0</v>
      </c>
      <c r="AJ172" s="21" t="n">
        <f aca="false">IF(OR($A172="",AJ$4=""),0,COUNTIFS(Formulas!$A$2:$A$1501,AJ$4,Formulas!$B$2:$B$1501,$A172))</f>
        <v>0</v>
      </c>
      <c r="AK172" s="21" t="n">
        <f aca="false">IF(OR($A172="",AK$4=""),0,COUNTIFS(Formulas!$A$2:$A$1501,AK$4,Formulas!$B$2:$B$1501,$A172))</f>
        <v>0</v>
      </c>
      <c r="AL172" s="21" t="n">
        <f aca="false">IF(OR($A172="",AL$4=""),0,COUNTIFS(Formulas!$A$2:$A$1501,AL$4,Formulas!$B$2:$B$1501,$A172))</f>
        <v>0</v>
      </c>
      <c r="AM172" s="21" t="n">
        <f aca="false">IF(OR($A172="",AM$4=""),0,COUNTIFS(Formulas!$A$2:$A$1501,AM$4,Formulas!$B$2:$B$1501,$A172))</f>
        <v>0</v>
      </c>
      <c r="AN172" s="21" t="n">
        <f aca="false">IF(OR($A172="",AN$4=""),0,COUNTIFS(Formulas!$A$2:$A$1501,AN$4,Formulas!$B$2:$B$1501,$A172))</f>
        <v>0</v>
      </c>
      <c r="AO172" s="21" t="n">
        <f aca="false">IF(OR($A172="",AO$4=""),0,COUNTIFS(Formulas!$A$2:$A$1501,AO$4,Formulas!$B$2:$B$1501,$A172))</f>
        <v>0</v>
      </c>
      <c r="AP172" s="21" t="n">
        <f aca="false">IF(OR($A172="",AP$4=""),0,COUNTIFS(Formulas!$A$2:$A$1501,AP$4,Formulas!$B$2:$B$1501,$A172))</f>
        <v>0</v>
      </c>
      <c r="AQ172" s="21" t="n">
        <f aca="false">IF(OR($A172="",AQ$4=""),0,COUNTIFS(Formulas!$A$2:$A$1501,AQ$4,Formulas!$B$2:$B$1501,$A172))</f>
        <v>0</v>
      </c>
      <c r="AR172" s="21" t="n">
        <f aca="false">IF(OR($A172="",AR$4=""),0,COUNTIFS(Formulas!$A$2:$A$1501,AR$4,Formulas!$B$2:$B$1501,$A172))</f>
        <v>0</v>
      </c>
      <c r="AS172" s="21" t="n">
        <f aca="false">IF(OR($A172="",AS$4=""),0,COUNTIFS(Formulas!$A$2:$A$1501,AS$4,Formulas!$B$2:$B$1501,$A172))</f>
        <v>0</v>
      </c>
      <c r="AT172" s="21" t="n">
        <f aca="false">IF(OR($A172="",AT$4=""),0,COUNTIFS(Formulas!$A$2:$A$1501,AT$4,Formulas!$B$2:$B$1501,$A172))</f>
        <v>0</v>
      </c>
      <c r="AU172" s="21" t="n">
        <f aca="false">IF(OR($A172="",AU$4=""),0,COUNTIFS(Formulas!$A$2:$A$1501,AU$4,Formulas!$B$2:$B$1501,$A172))</f>
        <v>0</v>
      </c>
      <c r="AV172" s="21" t="n">
        <f aca="false">IF(OR($A172="",AV$4=""),0,COUNTIFS(Formulas!$A$2:$A$1501,AV$4,Formulas!$B$2:$B$1501,$A172))</f>
        <v>0</v>
      </c>
      <c r="AW172" s="21" t="n">
        <f aca="false">IF(OR($A172="",AW$4=""),0,COUNTIFS(Formulas!$A$2:$A$1501,AW$4,Formulas!$B$2:$B$1501,$A172))</f>
        <v>0</v>
      </c>
      <c r="AX172" s="21" t="n">
        <f aca="false">IF(OR($A172="",AX$4=""),0,COUNTIFS(Formulas!$A$2:$A$1501,AX$4,Formulas!$B$2:$B$1501,$A172))</f>
        <v>0</v>
      </c>
      <c r="AY172" s="21" t="n">
        <f aca="false">IF(OR($A172="",AY$4=""),0,COUNTIFS(Formulas!$A$2:$A$1501,AY$4,Formulas!$B$2:$B$1501,$A172))</f>
        <v>0</v>
      </c>
      <c r="AZ172" s="21" t="n">
        <f aca="false">IF(OR($A172="",AZ$4=""),0,COUNTIFS(Formulas!$A$2:$A$1501,AZ$4,Formulas!$B$2:$B$1501,$A172))</f>
        <v>0</v>
      </c>
      <c r="BA172" s="21" t="n">
        <f aca="false">IF(OR($A172="",BA$4=""),0,COUNTIFS(Formulas!$A$2:$A$1501,BA$4,Formulas!$B$2:$B$1501,$A172))</f>
        <v>0</v>
      </c>
      <c r="BB172" s="21" t="n">
        <f aca="false">IF(OR($A172="",BB$4=""),0,COUNTIFS(Formulas!$A$2:$A$1501,BB$4,Formulas!$B$2:$B$1501,$A172))</f>
        <v>0</v>
      </c>
      <c r="BC172" s="21" t="n">
        <f aca="false">IF(OR($A172="",BC$4=""),0,COUNTIFS(Formulas!$A$2:$A$1501,BC$4,Formulas!$B$2:$B$1501,$A172))</f>
        <v>0</v>
      </c>
      <c r="BD172" s="21" t="n">
        <f aca="false">IF(OR($A172="",BD$4=""),0,COUNTIFS(Formulas!$A$2:$A$1501,BD$4,Formulas!$B$2:$B$1501,$A172))</f>
        <v>0</v>
      </c>
      <c r="BE172" s="21" t="n">
        <f aca="false">IF(OR($A172="",BE$4=""),0,COUNTIFS(Formulas!$A$2:$A$1501,BE$4,Formulas!$B$2:$B$1501,$A172))</f>
        <v>0</v>
      </c>
      <c r="BF172" s="21" t="n">
        <f aca="false">IF(OR($A172="",BF$4=""),0,COUNTIFS(Formulas!$A$2:$A$1501,BF$4,Formulas!$B$2:$B$1501,$A172))</f>
        <v>0</v>
      </c>
      <c r="BG172" s="21" t="n">
        <f aca="false">IF(OR($A172="",BG$4=""),0,COUNTIFS(Formulas!$A$2:$A$1501,BG$4,Formulas!$B$2:$B$1501,$A172))</f>
        <v>0</v>
      </c>
      <c r="BH172" s="21" t="n">
        <f aca="false">IF(OR($A172="",BH$4=""),0,COUNTIFS(Formulas!$A$2:$A$1501,BH$4,Formulas!$B$2:$B$1501,$A172))</f>
        <v>0</v>
      </c>
      <c r="BI172" s="21" t="n">
        <f aca="false">IF(OR($A172="",BI$4=""),0,COUNTIFS(Formulas!$A$2:$A$1501,BI$4,Formulas!$B$2:$B$1501,$A172))</f>
        <v>0</v>
      </c>
      <c r="BJ172" s="21" t="n">
        <f aca="false">IF(OR($A172="",BJ$4=""),0,COUNTIFS(Formulas!$A$2:$A$1501,BJ$4,Formulas!$B$2:$B$1501,$A172))</f>
        <v>0</v>
      </c>
    </row>
    <row r="173" customFormat="false" ht="15" hidden="false" customHeight="false" outlineLevel="0" collapsed="false">
      <c r="A173" s="13" t="str">
        <f aca="false">IF(INDEX(Materials!$A$2:$A$201,169)="","",INDEX(Materials!$A$2:$A$201,169))</f>
        <v/>
      </c>
      <c r="B173" s="19" t="str">
        <f aca="false">IF(A173="","",COUNTIF(C173:BJ173,"&gt;0"))</f>
        <v/>
      </c>
      <c r="C173" s="21" t="n">
        <f aca="false">IF(OR($A173="",C$4=""),0,COUNTIFS(Formulas!$A$2:$A$1501,C$4,Formulas!$B$2:$B$1501,$A173))</f>
        <v>0</v>
      </c>
      <c r="D173" s="21" t="n">
        <f aca="false">IF(OR($A173="",D$4=""),0,COUNTIFS(Formulas!$A$2:$A$1501,D$4,Formulas!$B$2:$B$1501,$A173))</f>
        <v>0</v>
      </c>
      <c r="E173" s="21" t="n">
        <f aca="false">IF(OR($A173="",E$4=""),0,COUNTIFS(Formulas!$A$2:$A$1501,E$4,Formulas!$B$2:$B$1501,$A173))</f>
        <v>0</v>
      </c>
      <c r="F173" s="21" t="n">
        <f aca="false">IF(OR($A173="",F$4=""),0,COUNTIFS(Formulas!$A$2:$A$1501,F$4,Formulas!$B$2:$B$1501,$A173))</f>
        <v>0</v>
      </c>
      <c r="G173" s="21" t="n">
        <f aca="false">IF(OR($A173="",G$4=""),0,COUNTIFS(Formulas!$A$2:$A$1501,G$4,Formulas!$B$2:$B$1501,$A173))</f>
        <v>0</v>
      </c>
      <c r="H173" s="21" t="n">
        <f aca="false">IF(OR($A173="",H$4=""),0,COUNTIFS(Formulas!$A$2:$A$1501,H$4,Formulas!$B$2:$B$1501,$A173))</f>
        <v>0</v>
      </c>
      <c r="I173" s="21" t="n">
        <f aca="false">IF(OR($A173="",I$4=""),0,COUNTIFS(Formulas!$A$2:$A$1501,I$4,Formulas!$B$2:$B$1501,$A173))</f>
        <v>0</v>
      </c>
      <c r="J173" s="21" t="n">
        <f aca="false">IF(OR($A173="",J$4=""),0,COUNTIFS(Formulas!$A$2:$A$1501,J$4,Formulas!$B$2:$B$1501,$A173))</f>
        <v>0</v>
      </c>
      <c r="K173" s="21" t="n">
        <f aca="false">IF(OR($A173="",K$4=""),0,COUNTIFS(Formulas!$A$2:$A$1501,K$4,Formulas!$B$2:$B$1501,$A173))</f>
        <v>0</v>
      </c>
      <c r="L173" s="21" t="n">
        <f aca="false">IF(OR($A173="",L$4=""),0,COUNTIFS(Formulas!$A$2:$A$1501,L$4,Formulas!$B$2:$B$1501,$A173))</f>
        <v>0</v>
      </c>
      <c r="M173" s="21" t="n">
        <f aca="false">IF(OR($A173="",M$4=""),0,COUNTIFS(Formulas!$A$2:$A$1501,M$4,Formulas!$B$2:$B$1501,$A173))</f>
        <v>0</v>
      </c>
      <c r="N173" s="21" t="n">
        <f aca="false">IF(OR($A173="",N$4=""),0,COUNTIFS(Formulas!$A$2:$A$1501,N$4,Formulas!$B$2:$B$1501,$A173))</f>
        <v>0</v>
      </c>
      <c r="O173" s="21" t="n">
        <f aca="false">IF(OR($A173="",O$4=""),0,COUNTIFS(Formulas!$A$2:$A$1501,O$4,Formulas!$B$2:$B$1501,$A173))</f>
        <v>0</v>
      </c>
      <c r="P173" s="21" t="n">
        <f aca="false">IF(OR($A173="",P$4=""),0,COUNTIFS(Formulas!$A$2:$A$1501,P$4,Formulas!$B$2:$B$1501,$A173))</f>
        <v>0</v>
      </c>
      <c r="Q173" s="21" t="n">
        <f aca="false">IF(OR($A173="",Q$4=""),0,COUNTIFS(Formulas!$A$2:$A$1501,Q$4,Formulas!$B$2:$B$1501,$A173))</f>
        <v>0</v>
      </c>
      <c r="R173" s="21" t="n">
        <f aca="false">IF(OR($A173="",R$4=""),0,COUNTIFS(Formulas!$A$2:$A$1501,R$4,Formulas!$B$2:$B$1501,$A173))</f>
        <v>0</v>
      </c>
      <c r="S173" s="21" t="n">
        <f aca="false">IF(OR($A173="",S$4=""),0,COUNTIFS(Formulas!$A$2:$A$1501,S$4,Formulas!$B$2:$B$1501,$A173))</f>
        <v>0</v>
      </c>
      <c r="T173" s="21" t="n">
        <f aca="false">IF(OR($A173="",T$4=""),0,COUNTIFS(Formulas!$A$2:$A$1501,T$4,Formulas!$B$2:$B$1501,$A173))</f>
        <v>0</v>
      </c>
      <c r="U173" s="21" t="n">
        <f aca="false">IF(OR($A173="",U$4=""),0,COUNTIFS(Formulas!$A$2:$A$1501,U$4,Formulas!$B$2:$B$1501,$A173))</f>
        <v>0</v>
      </c>
      <c r="V173" s="21" t="n">
        <f aca="false">IF(OR($A173="",V$4=""),0,COUNTIFS(Formulas!$A$2:$A$1501,V$4,Formulas!$B$2:$B$1501,$A173))</f>
        <v>0</v>
      </c>
      <c r="W173" s="21" t="n">
        <f aca="false">IF(OR($A173="",W$4=""),0,COUNTIFS(Formulas!$A$2:$A$1501,W$4,Formulas!$B$2:$B$1501,$A173))</f>
        <v>0</v>
      </c>
      <c r="X173" s="21" t="n">
        <f aca="false">IF(OR($A173="",X$4=""),0,COUNTIFS(Formulas!$A$2:$A$1501,X$4,Formulas!$B$2:$B$1501,$A173))</f>
        <v>0</v>
      </c>
      <c r="Y173" s="21" t="n">
        <f aca="false">IF(OR($A173="",Y$4=""),0,COUNTIFS(Formulas!$A$2:$A$1501,Y$4,Formulas!$B$2:$B$1501,$A173))</f>
        <v>0</v>
      </c>
      <c r="Z173" s="21" t="n">
        <f aca="false">IF(OR($A173="",Z$4=""),0,COUNTIFS(Formulas!$A$2:$A$1501,Z$4,Formulas!$B$2:$B$1501,$A173))</f>
        <v>0</v>
      </c>
      <c r="AA173" s="21" t="n">
        <f aca="false">IF(OR($A173="",AA$4=""),0,COUNTIFS(Formulas!$A$2:$A$1501,AA$4,Formulas!$B$2:$B$1501,$A173))</f>
        <v>0</v>
      </c>
      <c r="AB173" s="21" t="n">
        <f aca="false">IF(OR($A173="",AB$4=""),0,COUNTIFS(Formulas!$A$2:$A$1501,AB$4,Formulas!$B$2:$B$1501,$A173))</f>
        <v>0</v>
      </c>
      <c r="AC173" s="21" t="n">
        <f aca="false">IF(OR($A173="",AC$4=""),0,COUNTIFS(Formulas!$A$2:$A$1501,AC$4,Formulas!$B$2:$B$1501,$A173))</f>
        <v>0</v>
      </c>
      <c r="AD173" s="21" t="n">
        <f aca="false">IF(OR($A173="",AD$4=""),0,COUNTIFS(Formulas!$A$2:$A$1501,AD$4,Formulas!$B$2:$B$1501,$A173))</f>
        <v>0</v>
      </c>
      <c r="AE173" s="21" t="n">
        <f aca="false">IF(OR($A173="",AE$4=""),0,COUNTIFS(Formulas!$A$2:$A$1501,AE$4,Formulas!$B$2:$B$1501,$A173))</f>
        <v>0</v>
      </c>
      <c r="AF173" s="21" t="n">
        <f aca="false">IF(OR($A173="",AF$4=""),0,COUNTIFS(Formulas!$A$2:$A$1501,AF$4,Formulas!$B$2:$B$1501,$A173))</f>
        <v>0</v>
      </c>
      <c r="AG173" s="21" t="n">
        <f aca="false">IF(OR($A173="",AG$4=""),0,COUNTIFS(Formulas!$A$2:$A$1501,AG$4,Formulas!$B$2:$B$1501,$A173))</f>
        <v>0</v>
      </c>
      <c r="AH173" s="21" t="n">
        <f aca="false">IF(OR($A173="",AH$4=""),0,COUNTIFS(Formulas!$A$2:$A$1501,AH$4,Formulas!$B$2:$B$1501,$A173))</f>
        <v>0</v>
      </c>
      <c r="AI173" s="21" t="n">
        <f aca="false">IF(OR($A173="",AI$4=""),0,COUNTIFS(Formulas!$A$2:$A$1501,AI$4,Formulas!$B$2:$B$1501,$A173))</f>
        <v>0</v>
      </c>
      <c r="AJ173" s="21" t="n">
        <f aca="false">IF(OR($A173="",AJ$4=""),0,COUNTIFS(Formulas!$A$2:$A$1501,AJ$4,Formulas!$B$2:$B$1501,$A173))</f>
        <v>0</v>
      </c>
      <c r="AK173" s="21" t="n">
        <f aca="false">IF(OR($A173="",AK$4=""),0,COUNTIFS(Formulas!$A$2:$A$1501,AK$4,Formulas!$B$2:$B$1501,$A173))</f>
        <v>0</v>
      </c>
      <c r="AL173" s="21" t="n">
        <f aca="false">IF(OR($A173="",AL$4=""),0,COUNTIFS(Formulas!$A$2:$A$1501,AL$4,Formulas!$B$2:$B$1501,$A173))</f>
        <v>0</v>
      </c>
      <c r="AM173" s="21" t="n">
        <f aca="false">IF(OR($A173="",AM$4=""),0,COUNTIFS(Formulas!$A$2:$A$1501,AM$4,Formulas!$B$2:$B$1501,$A173))</f>
        <v>0</v>
      </c>
      <c r="AN173" s="21" t="n">
        <f aca="false">IF(OR($A173="",AN$4=""),0,COUNTIFS(Formulas!$A$2:$A$1501,AN$4,Formulas!$B$2:$B$1501,$A173))</f>
        <v>0</v>
      </c>
      <c r="AO173" s="21" t="n">
        <f aca="false">IF(OR($A173="",AO$4=""),0,COUNTIFS(Formulas!$A$2:$A$1501,AO$4,Formulas!$B$2:$B$1501,$A173))</f>
        <v>0</v>
      </c>
      <c r="AP173" s="21" t="n">
        <f aca="false">IF(OR($A173="",AP$4=""),0,COUNTIFS(Formulas!$A$2:$A$1501,AP$4,Formulas!$B$2:$B$1501,$A173))</f>
        <v>0</v>
      </c>
      <c r="AQ173" s="21" t="n">
        <f aca="false">IF(OR($A173="",AQ$4=""),0,COUNTIFS(Formulas!$A$2:$A$1501,AQ$4,Formulas!$B$2:$B$1501,$A173))</f>
        <v>0</v>
      </c>
      <c r="AR173" s="21" t="n">
        <f aca="false">IF(OR($A173="",AR$4=""),0,COUNTIFS(Formulas!$A$2:$A$1501,AR$4,Formulas!$B$2:$B$1501,$A173))</f>
        <v>0</v>
      </c>
      <c r="AS173" s="21" t="n">
        <f aca="false">IF(OR($A173="",AS$4=""),0,COUNTIFS(Formulas!$A$2:$A$1501,AS$4,Formulas!$B$2:$B$1501,$A173))</f>
        <v>0</v>
      </c>
      <c r="AT173" s="21" t="n">
        <f aca="false">IF(OR($A173="",AT$4=""),0,COUNTIFS(Formulas!$A$2:$A$1501,AT$4,Formulas!$B$2:$B$1501,$A173))</f>
        <v>0</v>
      </c>
      <c r="AU173" s="21" t="n">
        <f aca="false">IF(OR($A173="",AU$4=""),0,COUNTIFS(Formulas!$A$2:$A$1501,AU$4,Formulas!$B$2:$B$1501,$A173))</f>
        <v>0</v>
      </c>
      <c r="AV173" s="21" t="n">
        <f aca="false">IF(OR($A173="",AV$4=""),0,COUNTIFS(Formulas!$A$2:$A$1501,AV$4,Formulas!$B$2:$B$1501,$A173))</f>
        <v>0</v>
      </c>
      <c r="AW173" s="21" t="n">
        <f aca="false">IF(OR($A173="",AW$4=""),0,COUNTIFS(Formulas!$A$2:$A$1501,AW$4,Formulas!$B$2:$B$1501,$A173))</f>
        <v>0</v>
      </c>
      <c r="AX173" s="21" t="n">
        <f aca="false">IF(OR($A173="",AX$4=""),0,COUNTIFS(Formulas!$A$2:$A$1501,AX$4,Formulas!$B$2:$B$1501,$A173))</f>
        <v>0</v>
      </c>
      <c r="AY173" s="21" t="n">
        <f aca="false">IF(OR($A173="",AY$4=""),0,COUNTIFS(Formulas!$A$2:$A$1501,AY$4,Formulas!$B$2:$B$1501,$A173))</f>
        <v>0</v>
      </c>
      <c r="AZ173" s="21" t="n">
        <f aca="false">IF(OR($A173="",AZ$4=""),0,COUNTIFS(Formulas!$A$2:$A$1501,AZ$4,Formulas!$B$2:$B$1501,$A173))</f>
        <v>0</v>
      </c>
      <c r="BA173" s="21" t="n">
        <f aca="false">IF(OR($A173="",BA$4=""),0,COUNTIFS(Formulas!$A$2:$A$1501,BA$4,Formulas!$B$2:$B$1501,$A173))</f>
        <v>0</v>
      </c>
      <c r="BB173" s="21" t="n">
        <f aca="false">IF(OR($A173="",BB$4=""),0,COUNTIFS(Formulas!$A$2:$A$1501,BB$4,Formulas!$B$2:$B$1501,$A173))</f>
        <v>0</v>
      </c>
      <c r="BC173" s="21" t="n">
        <f aca="false">IF(OR($A173="",BC$4=""),0,COUNTIFS(Formulas!$A$2:$A$1501,BC$4,Formulas!$B$2:$B$1501,$A173))</f>
        <v>0</v>
      </c>
      <c r="BD173" s="21" t="n">
        <f aca="false">IF(OR($A173="",BD$4=""),0,COUNTIFS(Formulas!$A$2:$A$1501,BD$4,Formulas!$B$2:$B$1501,$A173))</f>
        <v>0</v>
      </c>
      <c r="BE173" s="21" t="n">
        <f aca="false">IF(OR($A173="",BE$4=""),0,COUNTIFS(Formulas!$A$2:$A$1501,BE$4,Formulas!$B$2:$B$1501,$A173))</f>
        <v>0</v>
      </c>
      <c r="BF173" s="21" t="n">
        <f aca="false">IF(OR($A173="",BF$4=""),0,COUNTIFS(Formulas!$A$2:$A$1501,BF$4,Formulas!$B$2:$B$1501,$A173))</f>
        <v>0</v>
      </c>
      <c r="BG173" s="21" t="n">
        <f aca="false">IF(OR($A173="",BG$4=""),0,COUNTIFS(Formulas!$A$2:$A$1501,BG$4,Formulas!$B$2:$B$1501,$A173))</f>
        <v>0</v>
      </c>
      <c r="BH173" s="21" t="n">
        <f aca="false">IF(OR($A173="",BH$4=""),0,COUNTIFS(Formulas!$A$2:$A$1501,BH$4,Formulas!$B$2:$B$1501,$A173))</f>
        <v>0</v>
      </c>
      <c r="BI173" s="21" t="n">
        <f aca="false">IF(OR($A173="",BI$4=""),0,COUNTIFS(Formulas!$A$2:$A$1501,BI$4,Formulas!$B$2:$B$1501,$A173))</f>
        <v>0</v>
      </c>
      <c r="BJ173" s="21" t="n">
        <f aca="false">IF(OR($A173="",BJ$4=""),0,COUNTIFS(Formulas!$A$2:$A$1501,BJ$4,Formulas!$B$2:$B$1501,$A173))</f>
        <v>0</v>
      </c>
    </row>
    <row r="174" customFormat="false" ht="15" hidden="false" customHeight="false" outlineLevel="0" collapsed="false">
      <c r="A174" s="13" t="str">
        <f aca="false">IF(INDEX(Materials!$A$2:$A$201,170)="","",INDEX(Materials!$A$2:$A$201,170))</f>
        <v/>
      </c>
      <c r="B174" s="19" t="str">
        <f aca="false">IF(A174="","",COUNTIF(C174:BJ174,"&gt;0"))</f>
        <v/>
      </c>
      <c r="C174" s="21" t="n">
        <f aca="false">IF(OR($A174="",C$4=""),0,COUNTIFS(Formulas!$A$2:$A$1501,C$4,Formulas!$B$2:$B$1501,$A174))</f>
        <v>0</v>
      </c>
      <c r="D174" s="21" t="n">
        <f aca="false">IF(OR($A174="",D$4=""),0,COUNTIFS(Formulas!$A$2:$A$1501,D$4,Formulas!$B$2:$B$1501,$A174))</f>
        <v>0</v>
      </c>
      <c r="E174" s="21" t="n">
        <f aca="false">IF(OR($A174="",E$4=""),0,COUNTIFS(Formulas!$A$2:$A$1501,E$4,Formulas!$B$2:$B$1501,$A174))</f>
        <v>0</v>
      </c>
      <c r="F174" s="21" t="n">
        <f aca="false">IF(OR($A174="",F$4=""),0,COUNTIFS(Formulas!$A$2:$A$1501,F$4,Formulas!$B$2:$B$1501,$A174))</f>
        <v>0</v>
      </c>
      <c r="G174" s="21" t="n">
        <f aca="false">IF(OR($A174="",G$4=""),0,COUNTIFS(Formulas!$A$2:$A$1501,G$4,Formulas!$B$2:$B$1501,$A174))</f>
        <v>0</v>
      </c>
      <c r="H174" s="21" t="n">
        <f aca="false">IF(OR($A174="",H$4=""),0,COUNTIFS(Formulas!$A$2:$A$1501,H$4,Formulas!$B$2:$B$1501,$A174))</f>
        <v>0</v>
      </c>
      <c r="I174" s="21" t="n">
        <f aca="false">IF(OR($A174="",I$4=""),0,COUNTIFS(Formulas!$A$2:$A$1501,I$4,Formulas!$B$2:$B$1501,$A174))</f>
        <v>0</v>
      </c>
      <c r="J174" s="21" t="n">
        <f aca="false">IF(OR($A174="",J$4=""),0,COUNTIFS(Formulas!$A$2:$A$1501,J$4,Formulas!$B$2:$B$1501,$A174))</f>
        <v>0</v>
      </c>
      <c r="K174" s="21" t="n">
        <f aca="false">IF(OR($A174="",K$4=""),0,COUNTIFS(Formulas!$A$2:$A$1501,K$4,Formulas!$B$2:$B$1501,$A174))</f>
        <v>0</v>
      </c>
      <c r="L174" s="21" t="n">
        <f aca="false">IF(OR($A174="",L$4=""),0,COUNTIFS(Formulas!$A$2:$A$1501,L$4,Formulas!$B$2:$B$1501,$A174))</f>
        <v>0</v>
      </c>
      <c r="M174" s="21" t="n">
        <f aca="false">IF(OR($A174="",M$4=""),0,COUNTIFS(Formulas!$A$2:$A$1501,M$4,Formulas!$B$2:$B$1501,$A174))</f>
        <v>0</v>
      </c>
      <c r="N174" s="21" t="n">
        <f aca="false">IF(OR($A174="",N$4=""),0,COUNTIFS(Formulas!$A$2:$A$1501,N$4,Formulas!$B$2:$B$1501,$A174))</f>
        <v>0</v>
      </c>
      <c r="O174" s="21" t="n">
        <f aca="false">IF(OR($A174="",O$4=""),0,COUNTIFS(Formulas!$A$2:$A$1501,O$4,Formulas!$B$2:$B$1501,$A174))</f>
        <v>0</v>
      </c>
      <c r="P174" s="21" t="n">
        <f aca="false">IF(OR($A174="",P$4=""),0,COUNTIFS(Formulas!$A$2:$A$1501,P$4,Formulas!$B$2:$B$1501,$A174))</f>
        <v>0</v>
      </c>
      <c r="Q174" s="21" t="n">
        <f aca="false">IF(OR($A174="",Q$4=""),0,COUNTIFS(Formulas!$A$2:$A$1501,Q$4,Formulas!$B$2:$B$1501,$A174))</f>
        <v>0</v>
      </c>
      <c r="R174" s="21" t="n">
        <f aca="false">IF(OR($A174="",R$4=""),0,COUNTIFS(Formulas!$A$2:$A$1501,R$4,Formulas!$B$2:$B$1501,$A174))</f>
        <v>0</v>
      </c>
      <c r="S174" s="21" t="n">
        <f aca="false">IF(OR($A174="",S$4=""),0,COUNTIFS(Formulas!$A$2:$A$1501,S$4,Formulas!$B$2:$B$1501,$A174))</f>
        <v>0</v>
      </c>
      <c r="T174" s="21" t="n">
        <f aca="false">IF(OR($A174="",T$4=""),0,COUNTIFS(Formulas!$A$2:$A$1501,T$4,Formulas!$B$2:$B$1501,$A174))</f>
        <v>0</v>
      </c>
      <c r="U174" s="21" t="n">
        <f aca="false">IF(OR($A174="",U$4=""),0,COUNTIFS(Formulas!$A$2:$A$1501,U$4,Formulas!$B$2:$B$1501,$A174))</f>
        <v>0</v>
      </c>
      <c r="V174" s="21" t="n">
        <f aca="false">IF(OR($A174="",V$4=""),0,COUNTIFS(Formulas!$A$2:$A$1501,V$4,Formulas!$B$2:$B$1501,$A174))</f>
        <v>0</v>
      </c>
      <c r="W174" s="21" t="n">
        <f aca="false">IF(OR($A174="",W$4=""),0,COUNTIFS(Formulas!$A$2:$A$1501,W$4,Formulas!$B$2:$B$1501,$A174))</f>
        <v>0</v>
      </c>
      <c r="X174" s="21" t="n">
        <f aca="false">IF(OR($A174="",X$4=""),0,COUNTIFS(Formulas!$A$2:$A$1501,X$4,Formulas!$B$2:$B$1501,$A174))</f>
        <v>0</v>
      </c>
      <c r="Y174" s="21" t="n">
        <f aca="false">IF(OR($A174="",Y$4=""),0,COUNTIFS(Formulas!$A$2:$A$1501,Y$4,Formulas!$B$2:$B$1501,$A174))</f>
        <v>0</v>
      </c>
      <c r="Z174" s="21" t="n">
        <f aca="false">IF(OR($A174="",Z$4=""),0,COUNTIFS(Formulas!$A$2:$A$1501,Z$4,Formulas!$B$2:$B$1501,$A174))</f>
        <v>0</v>
      </c>
      <c r="AA174" s="21" t="n">
        <f aca="false">IF(OR($A174="",AA$4=""),0,COUNTIFS(Formulas!$A$2:$A$1501,AA$4,Formulas!$B$2:$B$1501,$A174))</f>
        <v>0</v>
      </c>
      <c r="AB174" s="21" t="n">
        <f aca="false">IF(OR($A174="",AB$4=""),0,COUNTIFS(Formulas!$A$2:$A$1501,AB$4,Formulas!$B$2:$B$1501,$A174))</f>
        <v>0</v>
      </c>
      <c r="AC174" s="21" t="n">
        <f aca="false">IF(OR($A174="",AC$4=""),0,COUNTIFS(Formulas!$A$2:$A$1501,AC$4,Formulas!$B$2:$B$1501,$A174))</f>
        <v>0</v>
      </c>
      <c r="AD174" s="21" t="n">
        <f aca="false">IF(OR($A174="",AD$4=""),0,COUNTIFS(Formulas!$A$2:$A$1501,AD$4,Formulas!$B$2:$B$1501,$A174))</f>
        <v>0</v>
      </c>
      <c r="AE174" s="21" t="n">
        <f aca="false">IF(OR($A174="",AE$4=""),0,COUNTIFS(Formulas!$A$2:$A$1501,AE$4,Formulas!$B$2:$B$1501,$A174))</f>
        <v>0</v>
      </c>
      <c r="AF174" s="21" t="n">
        <f aca="false">IF(OR($A174="",AF$4=""),0,COUNTIFS(Formulas!$A$2:$A$1501,AF$4,Formulas!$B$2:$B$1501,$A174))</f>
        <v>0</v>
      </c>
      <c r="AG174" s="21" t="n">
        <f aca="false">IF(OR($A174="",AG$4=""),0,COUNTIFS(Formulas!$A$2:$A$1501,AG$4,Formulas!$B$2:$B$1501,$A174))</f>
        <v>0</v>
      </c>
      <c r="AH174" s="21" t="n">
        <f aca="false">IF(OR($A174="",AH$4=""),0,COUNTIFS(Formulas!$A$2:$A$1501,AH$4,Formulas!$B$2:$B$1501,$A174))</f>
        <v>0</v>
      </c>
      <c r="AI174" s="21" t="n">
        <f aca="false">IF(OR($A174="",AI$4=""),0,COUNTIFS(Formulas!$A$2:$A$1501,AI$4,Formulas!$B$2:$B$1501,$A174))</f>
        <v>0</v>
      </c>
      <c r="AJ174" s="21" t="n">
        <f aca="false">IF(OR($A174="",AJ$4=""),0,COUNTIFS(Formulas!$A$2:$A$1501,AJ$4,Formulas!$B$2:$B$1501,$A174))</f>
        <v>0</v>
      </c>
      <c r="AK174" s="21" t="n">
        <f aca="false">IF(OR($A174="",AK$4=""),0,COUNTIFS(Formulas!$A$2:$A$1501,AK$4,Formulas!$B$2:$B$1501,$A174))</f>
        <v>0</v>
      </c>
      <c r="AL174" s="21" t="n">
        <f aca="false">IF(OR($A174="",AL$4=""),0,COUNTIFS(Formulas!$A$2:$A$1501,AL$4,Formulas!$B$2:$B$1501,$A174))</f>
        <v>0</v>
      </c>
      <c r="AM174" s="21" t="n">
        <f aca="false">IF(OR($A174="",AM$4=""),0,COUNTIFS(Formulas!$A$2:$A$1501,AM$4,Formulas!$B$2:$B$1501,$A174))</f>
        <v>0</v>
      </c>
      <c r="AN174" s="21" t="n">
        <f aca="false">IF(OR($A174="",AN$4=""),0,COUNTIFS(Formulas!$A$2:$A$1501,AN$4,Formulas!$B$2:$B$1501,$A174))</f>
        <v>0</v>
      </c>
      <c r="AO174" s="21" t="n">
        <f aca="false">IF(OR($A174="",AO$4=""),0,COUNTIFS(Formulas!$A$2:$A$1501,AO$4,Formulas!$B$2:$B$1501,$A174))</f>
        <v>0</v>
      </c>
      <c r="AP174" s="21" t="n">
        <f aca="false">IF(OR($A174="",AP$4=""),0,COUNTIFS(Formulas!$A$2:$A$1501,AP$4,Formulas!$B$2:$B$1501,$A174))</f>
        <v>0</v>
      </c>
      <c r="AQ174" s="21" t="n">
        <f aca="false">IF(OR($A174="",AQ$4=""),0,COUNTIFS(Formulas!$A$2:$A$1501,AQ$4,Formulas!$B$2:$B$1501,$A174))</f>
        <v>0</v>
      </c>
      <c r="AR174" s="21" t="n">
        <f aca="false">IF(OR($A174="",AR$4=""),0,COUNTIFS(Formulas!$A$2:$A$1501,AR$4,Formulas!$B$2:$B$1501,$A174))</f>
        <v>0</v>
      </c>
      <c r="AS174" s="21" t="n">
        <f aca="false">IF(OR($A174="",AS$4=""),0,COUNTIFS(Formulas!$A$2:$A$1501,AS$4,Formulas!$B$2:$B$1501,$A174))</f>
        <v>0</v>
      </c>
      <c r="AT174" s="21" t="n">
        <f aca="false">IF(OR($A174="",AT$4=""),0,COUNTIFS(Formulas!$A$2:$A$1501,AT$4,Formulas!$B$2:$B$1501,$A174))</f>
        <v>0</v>
      </c>
      <c r="AU174" s="21" t="n">
        <f aca="false">IF(OR($A174="",AU$4=""),0,COUNTIFS(Formulas!$A$2:$A$1501,AU$4,Formulas!$B$2:$B$1501,$A174))</f>
        <v>0</v>
      </c>
      <c r="AV174" s="21" t="n">
        <f aca="false">IF(OR($A174="",AV$4=""),0,COUNTIFS(Formulas!$A$2:$A$1501,AV$4,Formulas!$B$2:$B$1501,$A174))</f>
        <v>0</v>
      </c>
      <c r="AW174" s="21" t="n">
        <f aca="false">IF(OR($A174="",AW$4=""),0,COUNTIFS(Formulas!$A$2:$A$1501,AW$4,Formulas!$B$2:$B$1501,$A174))</f>
        <v>0</v>
      </c>
      <c r="AX174" s="21" t="n">
        <f aca="false">IF(OR($A174="",AX$4=""),0,COUNTIFS(Formulas!$A$2:$A$1501,AX$4,Formulas!$B$2:$B$1501,$A174))</f>
        <v>0</v>
      </c>
      <c r="AY174" s="21" t="n">
        <f aca="false">IF(OR($A174="",AY$4=""),0,COUNTIFS(Formulas!$A$2:$A$1501,AY$4,Formulas!$B$2:$B$1501,$A174))</f>
        <v>0</v>
      </c>
      <c r="AZ174" s="21" t="n">
        <f aca="false">IF(OR($A174="",AZ$4=""),0,COUNTIFS(Formulas!$A$2:$A$1501,AZ$4,Formulas!$B$2:$B$1501,$A174))</f>
        <v>0</v>
      </c>
      <c r="BA174" s="21" t="n">
        <f aca="false">IF(OR($A174="",BA$4=""),0,COUNTIFS(Formulas!$A$2:$A$1501,BA$4,Formulas!$B$2:$B$1501,$A174))</f>
        <v>0</v>
      </c>
      <c r="BB174" s="21" t="n">
        <f aca="false">IF(OR($A174="",BB$4=""),0,COUNTIFS(Formulas!$A$2:$A$1501,BB$4,Formulas!$B$2:$B$1501,$A174))</f>
        <v>0</v>
      </c>
      <c r="BC174" s="21" t="n">
        <f aca="false">IF(OR($A174="",BC$4=""),0,COUNTIFS(Formulas!$A$2:$A$1501,BC$4,Formulas!$B$2:$B$1501,$A174))</f>
        <v>0</v>
      </c>
      <c r="BD174" s="21" t="n">
        <f aca="false">IF(OR($A174="",BD$4=""),0,COUNTIFS(Formulas!$A$2:$A$1501,BD$4,Formulas!$B$2:$B$1501,$A174))</f>
        <v>0</v>
      </c>
      <c r="BE174" s="21" t="n">
        <f aca="false">IF(OR($A174="",BE$4=""),0,COUNTIFS(Formulas!$A$2:$A$1501,BE$4,Formulas!$B$2:$B$1501,$A174))</f>
        <v>0</v>
      </c>
      <c r="BF174" s="21" t="n">
        <f aca="false">IF(OR($A174="",BF$4=""),0,COUNTIFS(Formulas!$A$2:$A$1501,BF$4,Formulas!$B$2:$B$1501,$A174))</f>
        <v>0</v>
      </c>
      <c r="BG174" s="21" t="n">
        <f aca="false">IF(OR($A174="",BG$4=""),0,COUNTIFS(Formulas!$A$2:$A$1501,BG$4,Formulas!$B$2:$B$1501,$A174))</f>
        <v>0</v>
      </c>
      <c r="BH174" s="21" t="n">
        <f aca="false">IF(OR($A174="",BH$4=""),0,COUNTIFS(Formulas!$A$2:$A$1501,BH$4,Formulas!$B$2:$B$1501,$A174))</f>
        <v>0</v>
      </c>
      <c r="BI174" s="21" t="n">
        <f aca="false">IF(OR($A174="",BI$4=""),0,COUNTIFS(Formulas!$A$2:$A$1501,BI$4,Formulas!$B$2:$B$1501,$A174))</f>
        <v>0</v>
      </c>
      <c r="BJ174" s="21" t="n">
        <f aca="false">IF(OR($A174="",BJ$4=""),0,COUNTIFS(Formulas!$A$2:$A$1501,BJ$4,Formulas!$B$2:$B$1501,$A174))</f>
        <v>0</v>
      </c>
    </row>
    <row r="175" customFormat="false" ht="15" hidden="false" customHeight="false" outlineLevel="0" collapsed="false">
      <c r="A175" s="13" t="str">
        <f aca="false">IF(INDEX(Materials!$A$2:$A$201,171)="","",INDEX(Materials!$A$2:$A$201,171))</f>
        <v/>
      </c>
      <c r="B175" s="19" t="str">
        <f aca="false">IF(A175="","",COUNTIF(C175:BJ175,"&gt;0"))</f>
        <v/>
      </c>
      <c r="C175" s="21" t="n">
        <f aca="false">IF(OR($A175="",C$4=""),0,COUNTIFS(Formulas!$A$2:$A$1501,C$4,Formulas!$B$2:$B$1501,$A175))</f>
        <v>0</v>
      </c>
      <c r="D175" s="21" t="n">
        <f aca="false">IF(OR($A175="",D$4=""),0,COUNTIFS(Formulas!$A$2:$A$1501,D$4,Formulas!$B$2:$B$1501,$A175))</f>
        <v>0</v>
      </c>
      <c r="E175" s="21" t="n">
        <f aca="false">IF(OR($A175="",E$4=""),0,COUNTIFS(Formulas!$A$2:$A$1501,E$4,Formulas!$B$2:$B$1501,$A175))</f>
        <v>0</v>
      </c>
      <c r="F175" s="21" t="n">
        <f aca="false">IF(OR($A175="",F$4=""),0,COUNTIFS(Formulas!$A$2:$A$1501,F$4,Formulas!$B$2:$B$1501,$A175))</f>
        <v>0</v>
      </c>
      <c r="G175" s="21" t="n">
        <f aca="false">IF(OR($A175="",G$4=""),0,COUNTIFS(Formulas!$A$2:$A$1501,G$4,Formulas!$B$2:$B$1501,$A175))</f>
        <v>0</v>
      </c>
      <c r="H175" s="21" t="n">
        <f aca="false">IF(OR($A175="",H$4=""),0,COUNTIFS(Formulas!$A$2:$A$1501,H$4,Formulas!$B$2:$B$1501,$A175))</f>
        <v>0</v>
      </c>
      <c r="I175" s="21" t="n">
        <f aca="false">IF(OR($A175="",I$4=""),0,COUNTIFS(Formulas!$A$2:$A$1501,I$4,Formulas!$B$2:$B$1501,$A175))</f>
        <v>0</v>
      </c>
      <c r="J175" s="21" t="n">
        <f aca="false">IF(OR($A175="",J$4=""),0,COUNTIFS(Formulas!$A$2:$A$1501,J$4,Formulas!$B$2:$B$1501,$A175))</f>
        <v>0</v>
      </c>
      <c r="K175" s="21" t="n">
        <f aca="false">IF(OR($A175="",K$4=""),0,COUNTIFS(Formulas!$A$2:$A$1501,K$4,Formulas!$B$2:$B$1501,$A175))</f>
        <v>0</v>
      </c>
      <c r="L175" s="21" t="n">
        <f aca="false">IF(OR($A175="",L$4=""),0,COUNTIFS(Formulas!$A$2:$A$1501,L$4,Formulas!$B$2:$B$1501,$A175))</f>
        <v>0</v>
      </c>
      <c r="M175" s="21" t="n">
        <f aca="false">IF(OR($A175="",M$4=""),0,COUNTIFS(Formulas!$A$2:$A$1501,M$4,Formulas!$B$2:$B$1501,$A175))</f>
        <v>0</v>
      </c>
      <c r="N175" s="21" t="n">
        <f aca="false">IF(OR($A175="",N$4=""),0,COUNTIFS(Formulas!$A$2:$A$1501,N$4,Formulas!$B$2:$B$1501,$A175))</f>
        <v>0</v>
      </c>
      <c r="O175" s="21" t="n">
        <f aca="false">IF(OR($A175="",O$4=""),0,COUNTIFS(Formulas!$A$2:$A$1501,O$4,Formulas!$B$2:$B$1501,$A175))</f>
        <v>0</v>
      </c>
      <c r="P175" s="21" t="n">
        <f aca="false">IF(OR($A175="",P$4=""),0,COUNTIFS(Formulas!$A$2:$A$1501,P$4,Formulas!$B$2:$B$1501,$A175))</f>
        <v>0</v>
      </c>
      <c r="Q175" s="21" t="n">
        <f aca="false">IF(OR($A175="",Q$4=""),0,COUNTIFS(Formulas!$A$2:$A$1501,Q$4,Formulas!$B$2:$B$1501,$A175))</f>
        <v>0</v>
      </c>
      <c r="R175" s="21" t="n">
        <f aca="false">IF(OR($A175="",R$4=""),0,COUNTIFS(Formulas!$A$2:$A$1501,R$4,Formulas!$B$2:$B$1501,$A175))</f>
        <v>0</v>
      </c>
      <c r="S175" s="21" t="n">
        <f aca="false">IF(OR($A175="",S$4=""),0,COUNTIFS(Formulas!$A$2:$A$1501,S$4,Formulas!$B$2:$B$1501,$A175))</f>
        <v>0</v>
      </c>
      <c r="T175" s="21" t="n">
        <f aca="false">IF(OR($A175="",T$4=""),0,COUNTIFS(Formulas!$A$2:$A$1501,T$4,Formulas!$B$2:$B$1501,$A175))</f>
        <v>0</v>
      </c>
      <c r="U175" s="21" t="n">
        <f aca="false">IF(OR($A175="",U$4=""),0,COUNTIFS(Formulas!$A$2:$A$1501,U$4,Formulas!$B$2:$B$1501,$A175))</f>
        <v>0</v>
      </c>
      <c r="V175" s="21" t="n">
        <f aca="false">IF(OR($A175="",V$4=""),0,COUNTIFS(Formulas!$A$2:$A$1501,V$4,Formulas!$B$2:$B$1501,$A175))</f>
        <v>0</v>
      </c>
      <c r="W175" s="21" t="n">
        <f aca="false">IF(OR($A175="",W$4=""),0,COUNTIFS(Formulas!$A$2:$A$1501,W$4,Formulas!$B$2:$B$1501,$A175))</f>
        <v>0</v>
      </c>
      <c r="X175" s="21" t="n">
        <f aca="false">IF(OR($A175="",X$4=""),0,COUNTIFS(Formulas!$A$2:$A$1501,X$4,Formulas!$B$2:$B$1501,$A175))</f>
        <v>0</v>
      </c>
      <c r="Y175" s="21" t="n">
        <f aca="false">IF(OR($A175="",Y$4=""),0,COUNTIFS(Formulas!$A$2:$A$1501,Y$4,Formulas!$B$2:$B$1501,$A175))</f>
        <v>0</v>
      </c>
      <c r="Z175" s="21" t="n">
        <f aca="false">IF(OR($A175="",Z$4=""),0,COUNTIFS(Formulas!$A$2:$A$1501,Z$4,Formulas!$B$2:$B$1501,$A175))</f>
        <v>0</v>
      </c>
      <c r="AA175" s="21" t="n">
        <f aca="false">IF(OR($A175="",AA$4=""),0,COUNTIFS(Formulas!$A$2:$A$1501,AA$4,Formulas!$B$2:$B$1501,$A175))</f>
        <v>0</v>
      </c>
      <c r="AB175" s="21" t="n">
        <f aca="false">IF(OR($A175="",AB$4=""),0,COUNTIFS(Formulas!$A$2:$A$1501,AB$4,Formulas!$B$2:$B$1501,$A175))</f>
        <v>0</v>
      </c>
      <c r="AC175" s="21" t="n">
        <f aca="false">IF(OR($A175="",AC$4=""),0,COUNTIFS(Formulas!$A$2:$A$1501,AC$4,Formulas!$B$2:$B$1501,$A175))</f>
        <v>0</v>
      </c>
      <c r="AD175" s="21" t="n">
        <f aca="false">IF(OR($A175="",AD$4=""),0,COUNTIFS(Formulas!$A$2:$A$1501,AD$4,Formulas!$B$2:$B$1501,$A175))</f>
        <v>0</v>
      </c>
      <c r="AE175" s="21" t="n">
        <f aca="false">IF(OR($A175="",AE$4=""),0,COUNTIFS(Formulas!$A$2:$A$1501,AE$4,Formulas!$B$2:$B$1501,$A175))</f>
        <v>0</v>
      </c>
      <c r="AF175" s="21" t="n">
        <f aca="false">IF(OR($A175="",AF$4=""),0,COUNTIFS(Formulas!$A$2:$A$1501,AF$4,Formulas!$B$2:$B$1501,$A175))</f>
        <v>0</v>
      </c>
      <c r="AG175" s="21" t="n">
        <f aca="false">IF(OR($A175="",AG$4=""),0,COUNTIFS(Formulas!$A$2:$A$1501,AG$4,Formulas!$B$2:$B$1501,$A175))</f>
        <v>0</v>
      </c>
      <c r="AH175" s="21" t="n">
        <f aca="false">IF(OR($A175="",AH$4=""),0,COUNTIFS(Formulas!$A$2:$A$1501,AH$4,Formulas!$B$2:$B$1501,$A175))</f>
        <v>0</v>
      </c>
      <c r="AI175" s="21" t="n">
        <f aca="false">IF(OR($A175="",AI$4=""),0,COUNTIFS(Formulas!$A$2:$A$1501,AI$4,Formulas!$B$2:$B$1501,$A175))</f>
        <v>0</v>
      </c>
      <c r="AJ175" s="21" t="n">
        <f aca="false">IF(OR($A175="",AJ$4=""),0,COUNTIFS(Formulas!$A$2:$A$1501,AJ$4,Formulas!$B$2:$B$1501,$A175))</f>
        <v>0</v>
      </c>
      <c r="AK175" s="21" t="n">
        <f aca="false">IF(OR($A175="",AK$4=""),0,COUNTIFS(Formulas!$A$2:$A$1501,AK$4,Formulas!$B$2:$B$1501,$A175))</f>
        <v>0</v>
      </c>
      <c r="AL175" s="21" t="n">
        <f aca="false">IF(OR($A175="",AL$4=""),0,COUNTIFS(Formulas!$A$2:$A$1501,AL$4,Formulas!$B$2:$B$1501,$A175))</f>
        <v>0</v>
      </c>
      <c r="AM175" s="21" t="n">
        <f aca="false">IF(OR($A175="",AM$4=""),0,COUNTIFS(Formulas!$A$2:$A$1501,AM$4,Formulas!$B$2:$B$1501,$A175))</f>
        <v>0</v>
      </c>
      <c r="AN175" s="21" t="n">
        <f aca="false">IF(OR($A175="",AN$4=""),0,COUNTIFS(Formulas!$A$2:$A$1501,AN$4,Formulas!$B$2:$B$1501,$A175))</f>
        <v>0</v>
      </c>
      <c r="AO175" s="21" t="n">
        <f aca="false">IF(OR($A175="",AO$4=""),0,COUNTIFS(Formulas!$A$2:$A$1501,AO$4,Formulas!$B$2:$B$1501,$A175))</f>
        <v>0</v>
      </c>
      <c r="AP175" s="21" t="n">
        <f aca="false">IF(OR($A175="",AP$4=""),0,COUNTIFS(Formulas!$A$2:$A$1501,AP$4,Formulas!$B$2:$B$1501,$A175))</f>
        <v>0</v>
      </c>
      <c r="AQ175" s="21" t="n">
        <f aca="false">IF(OR($A175="",AQ$4=""),0,COUNTIFS(Formulas!$A$2:$A$1501,AQ$4,Formulas!$B$2:$B$1501,$A175))</f>
        <v>0</v>
      </c>
      <c r="AR175" s="21" t="n">
        <f aca="false">IF(OR($A175="",AR$4=""),0,COUNTIFS(Formulas!$A$2:$A$1501,AR$4,Formulas!$B$2:$B$1501,$A175))</f>
        <v>0</v>
      </c>
      <c r="AS175" s="21" t="n">
        <f aca="false">IF(OR($A175="",AS$4=""),0,COUNTIFS(Formulas!$A$2:$A$1501,AS$4,Formulas!$B$2:$B$1501,$A175))</f>
        <v>0</v>
      </c>
      <c r="AT175" s="21" t="n">
        <f aca="false">IF(OR($A175="",AT$4=""),0,COUNTIFS(Formulas!$A$2:$A$1501,AT$4,Formulas!$B$2:$B$1501,$A175))</f>
        <v>0</v>
      </c>
      <c r="AU175" s="21" t="n">
        <f aca="false">IF(OR($A175="",AU$4=""),0,COUNTIFS(Formulas!$A$2:$A$1501,AU$4,Formulas!$B$2:$B$1501,$A175))</f>
        <v>0</v>
      </c>
      <c r="AV175" s="21" t="n">
        <f aca="false">IF(OR($A175="",AV$4=""),0,COUNTIFS(Formulas!$A$2:$A$1501,AV$4,Formulas!$B$2:$B$1501,$A175))</f>
        <v>0</v>
      </c>
      <c r="AW175" s="21" t="n">
        <f aca="false">IF(OR($A175="",AW$4=""),0,COUNTIFS(Formulas!$A$2:$A$1501,AW$4,Formulas!$B$2:$B$1501,$A175))</f>
        <v>0</v>
      </c>
      <c r="AX175" s="21" t="n">
        <f aca="false">IF(OR($A175="",AX$4=""),0,COUNTIFS(Formulas!$A$2:$A$1501,AX$4,Formulas!$B$2:$B$1501,$A175))</f>
        <v>0</v>
      </c>
      <c r="AY175" s="21" t="n">
        <f aca="false">IF(OR($A175="",AY$4=""),0,COUNTIFS(Formulas!$A$2:$A$1501,AY$4,Formulas!$B$2:$B$1501,$A175))</f>
        <v>0</v>
      </c>
      <c r="AZ175" s="21" t="n">
        <f aca="false">IF(OR($A175="",AZ$4=""),0,COUNTIFS(Formulas!$A$2:$A$1501,AZ$4,Formulas!$B$2:$B$1501,$A175))</f>
        <v>0</v>
      </c>
      <c r="BA175" s="21" t="n">
        <f aca="false">IF(OR($A175="",BA$4=""),0,COUNTIFS(Formulas!$A$2:$A$1501,BA$4,Formulas!$B$2:$B$1501,$A175))</f>
        <v>0</v>
      </c>
      <c r="BB175" s="21" t="n">
        <f aca="false">IF(OR($A175="",BB$4=""),0,COUNTIFS(Formulas!$A$2:$A$1501,BB$4,Formulas!$B$2:$B$1501,$A175))</f>
        <v>0</v>
      </c>
      <c r="BC175" s="21" t="n">
        <f aca="false">IF(OR($A175="",BC$4=""),0,COUNTIFS(Formulas!$A$2:$A$1501,BC$4,Formulas!$B$2:$B$1501,$A175))</f>
        <v>0</v>
      </c>
      <c r="BD175" s="21" t="n">
        <f aca="false">IF(OR($A175="",BD$4=""),0,COUNTIFS(Formulas!$A$2:$A$1501,BD$4,Formulas!$B$2:$B$1501,$A175))</f>
        <v>0</v>
      </c>
      <c r="BE175" s="21" t="n">
        <f aca="false">IF(OR($A175="",BE$4=""),0,COUNTIFS(Formulas!$A$2:$A$1501,BE$4,Formulas!$B$2:$B$1501,$A175))</f>
        <v>0</v>
      </c>
      <c r="BF175" s="21" t="n">
        <f aca="false">IF(OR($A175="",BF$4=""),0,COUNTIFS(Formulas!$A$2:$A$1501,BF$4,Formulas!$B$2:$B$1501,$A175))</f>
        <v>0</v>
      </c>
      <c r="BG175" s="21" t="n">
        <f aca="false">IF(OR($A175="",BG$4=""),0,COUNTIFS(Formulas!$A$2:$A$1501,BG$4,Formulas!$B$2:$B$1501,$A175))</f>
        <v>0</v>
      </c>
      <c r="BH175" s="21" t="n">
        <f aca="false">IF(OR($A175="",BH$4=""),0,COUNTIFS(Formulas!$A$2:$A$1501,BH$4,Formulas!$B$2:$B$1501,$A175))</f>
        <v>0</v>
      </c>
      <c r="BI175" s="21" t="n">
        <f aca="false">IF(OR($A175="",BI$4=""),0,COUNTIFS(Formulas!$A$2:$A$1501,BI$4,Formulas!$B$2:$B$1501,$A175))</f>
        <v>0</v>
      </c>
      <c r="BJ175" s="21" t="n">
        <f aca="false">IF(OR($A175="",BJ$4=""),0,COUNTIFS(Formulas!$A$2:$A$1501,BJ$4,Formulas!$B$2:$B$1501,$A175))</f>
        <v>0</v>
      </c>
    </row>
    <row r="176" customFormat="false" ht="15" hidden="false" customHeight="false" outlineLevel="0" collapsed="false">
      <c r="A176" s="13" t="str">
        <f aca="false">IF(INDEX(Materials!$A$2:$A$201,172)="","",INDEX(Materials!$A$2:$A$201,172))</f>
        <v/>
      </c>
      <c r="B176" s="19" t="str">
        <f aca="false">IF(A176="","",COUNTIF(C176:BJ176,"&gt;0"))</f>
        <v/>
      </c>
      <c r="C176" s="21" t="n">
        <f aca="false">IF(OR($A176="",C$4=""),0,COUNTIFS(Formulas!$A$2:$A$1501,C$4,Formulas!$B$2:$B$1501,$A176))</f>
        <v>0</v>
      </c>
      <c r="D176" s="21" t="n">
        <f aca="false">IF(OR($A176="",D$4=""),0,COUNTIFS(Formulas!$A$2:$A$1501,D$4,Formulas!$B$2:$B$1501,$A176))</f>
        <v>0</v>
      </c>
      <c r="E176" s="21" t="n">
        <f aca="false">IF(OR($A176="",E$4=""),0,COUNTIFS(Formulas!$A$2:$A$1501,E$4,Formulas!$B$2:$B$1501,$A176))</f>
        <v>0</v>
      </c>
      <c r="F176" s="21" t="n">
        <f aca="false">IF(OR($A176="",F$4=""),0,COUNTIFS(Formulas!$A$2:$A$1501,F$4,Formulas!$B$2:$B$1501,$A176))</f>
        <v>0</v>
      </c>
      <c r="G176" s="21" t="n">
        <f aca="false">IF(OR($A176="",G$4=""),0,COUNTIFS(Formulas!$A$2:$A$1501,G$4,Formulas!$B$2:$B$1501,$A176))</f>
        <v>0</v>
      </c>
      <c r="H176" s="21" t="n">
        <f aca="false">IF(OR($A176="",H$4=""),0,COUNTIFS(Formulas!$A$2:$A$1501,H$4,Formulas!$B$2:$B$1501,$A176))</f>
        <v>0</v>
      </c>
      <c r="I176" s="21" t="n">
        <f aca="false">IF(OR($A176="",I$4=""),0,COUNTIFS(Formulas!$A$2:$A$1501,I$4,Formulas!$B$2:$B$1501,$A176))</f>
        <v>0</v>
      </c>
      <c r="J176" s="21" t="n">
        <f aca="false">IF(OR($A176="",J$4=""),0,COUNTIFS(Formulas!$A$2:$A$1501,J$4,Formulas!$B$2:$B$1501,$A176))</f>
        <v>0</v>
      </c>
      <c r="K176" s="21" t="n">
        <f aca="false">IF(OR($A176="",K$4=""),0,COUNTIFS(Formulas!$A$2:$A$1501,K$4,Formulas!$B$2:$B$1501,$A176))</f>
        <v>0</v>
      </c>
      <c r="L176" s="21" t="n">
        <f aca="false">IF(OR($A176="",L$4=""),0,COUNTIFS(Formulas!$A$2:$A$1501,L$4,Formulas!$B$2:$B$1501,$A176))</f>
        <v>0</v>
      </c>
      <c r="M176" s="21" t="n">
        <f aca="false">IF(OR($A176="",M$4=""),0,COUNTIFS(Formulas!$A$2:$A$1501,M$4,Formulas!$B$2:$B$1501,$A176))</f>
        <v>0</v>
      </c>
      <c r="N176" s="21" t="n">
        <f aca="false">IF(OR($A176="",N$4=""),0,COUNTIFS(Formulas!$A$2:$A$1501,N$4,Formulas!$B$2:$B$1501,$A176))</f>
        <v>0</v>
      </c>
      <c r="O176" s="21" t="n">
        <f aca="false">IF(OR($A176="",O$4=""),0,COUNTIFS(Formulas!$A$2:$A$1501,O$4,Formulas!$B$2:$B$1501,$A176))</f>
        <v>0</v>
      </c>
      <c r="P176" s="21" t="n">
        <f aca="false">IF(OR($A176="",P$4=""),0,COUNTIFS(Formulas!$A$2:$A$1501,P$4,Formulas!$B$2:$B$1501,$A176))</f>
        <v>0</v>
      </c>
      <c r="Q176" s="21" t="n">
        <f aca="false">IF(OR($A176="",Q$4=""),0,COUNTIFS(Formulas!$A$2:$A$1501,Q$4,Formulas!$B$2:$B$1501,$A176))</f>
        <v>0</v>
      </c>
      <c r="R176" s="21" t="n">
        <f aca="false">IF(OR($A176="",R$4=""),0,COUNTIFS(Formulas!$A$2:$A$1501,R$4,Formulas!$B$2:$B$1501,$A176))</f>
        <v>0</v>
      </c>
      <c r="S176" s="21" t="n">
        <f aca="false">IF(OR($A176="",S$4=""),0,COUNTIFS(Formulas!$A$2:$A$1501,S$4,Formulas!$B$2:$B$1501,$A176))</f>
        <v>0</v>
      </c>
      <c r="T176" s="21" t="n">
        <f aca="false">IF(OR($A176="",T$4=""),0,COUNTIFS(Formulas!$A$2:$A$1501,T$4,Formulas!$B$2:$B$1501,$A176))</f>
        <v>0</v>
      </c>
      <c r="U176" s="21" t="n">
        <f aca="false">IF(OR($A176="",U$4=""),0,COUNTIFS(Formulas!$A$2:$A$1501,U$4,Formulas!$B$2:$B$1501,$A176))</f>
        <v>0</v>
      </c>
      <c r="V176" s="21" t="n">
        <f aca="false">IF(OR($A176="",V$4=""),0,COUNTIFS(Formulas!$A$2:$A$1501,V$4,Formulas!$B$2:$B$1501,$A176))</f>
        <v>0</v>
      </c>
      <c r="W176" s="21" t="n">
        <f aca="false">IF(OR($A176="",W$4=""),0,COUNTIFS(Formulas!$A$2:$A$1501,W$4,Formulas!$B$2:$B$1501,$A176))</f>
        <v>0</v>
      </c>
      <c r="X176" s="21" t="n">
        <f aca="false">IF(OR($A176="",X$4=""),0,COUNTIFS(Formulas!$A$2:$A$1501,X$4,Formulas!$B$2:$B$1501,$A176))</f>
        <v>0</v>
      </c>
      <c r="Y176" s="21" t="n">
        <f aca="false">IF(OR($A176="",Y$4=""),0,COUNTIFS(Formulas!$A$2:$A$1501,Y$4,Formulas!$B$2:$B$1501,$A176))</f>
        <v>0</v>
      </c>
      <c r="Z176" s="21" t="n">
        <f aca="false">IF(OR($A176="",Z$4=""),0,COUNTIFS(Formulas!$A$2:$A$1501,Z$4,Formulas!$B$2:$B$1501,$A176))</f>
        <v>0</v>
      </c>
      <c r="AA176" s="21" t="n">
        <f aca="false">IF(OR($A176="",AA$4=""),0,COUNTIFS(Formulas!$A$2:$A$1501,AA$4,Formulas!$B$2:$B$1501,$A176))</f>
        <v>0</v>
      </c>
      <c r="AB176" s="21" t="n">
        <f aca="false">IF(OR($A176="",AB$4=""),0,COUNTIFS(Formulas!$A$2:$A$1501,AB$4,Formulas!$B$2:$B$1501,$A176))</f>
        <v>0</v>
      </c>
      <c r="AC176" s="21" t="n">
        <f aca="false">IF(OR($A176="",AC$4=""),0,COUNTIFS(Formulas!$A$2:$A$1501,AC$4,Formulas!$B$2:$B$1501,$A176))</f>
        <v>0</v>
      </c>
      <c r="AD176" s="21" t="n">
        <f aca="false">IF(OR($A176="",AD$4=""),0,COUNTIFS(Formulas!$A$2:$A$1501,AD$4,Formulas!$B$2:$B$1501,$A176))</f>
        <v>0</v>
      </c>
      <c r="AE176" s="21" t="n">
        <f aca="false">IF(OR($A176="",AE$4=""),0,COUNTIFS(Formulas!$A$2:$A$1501,AE$4,Formulas!$B$2:$B$1501,$A176))</f>
        <v>0</v>
      </c>
      <c r="AF176" s="21" t="n">
        <f aca="false">IF(OR($A176="",AF$4=""),0,COUNTIFS(Formulas!$A$2:$A$1501,AF$4,Formulas!$B$2:$B$1501,$A176))</f>
        <v>0</v>
      </c>
      <c r="AG176" s="21" t="n">
        <f aca="false">IF(OR($A176="",AG$4=""),0,COUNTIFS(Formulas!$A$2:$A$1501,AG$4,Formulas!$B$2:$B$1501,$A176))</f>
        <v>0</v>
      </c>
      <c r="AH176" s="21" t="n">
        <f aca="false">IF(OR($A176="",AH$4=""),0,COUNTIFS(Formulas!$A$2:$A$1501,AH$4,Formulas!$B$2:$B$1501,$A176))</f>
        <v>0</v>
      </c>
      <c r="AI176" s="21" t="n">
        <f aca="false">IF(OR($A176="",AI$4=""),0,COUNTIFS(Formulas!$A$2:$A$1501,AI$4,Formulas!$B$2:$B$1501,$A176))</f>
        <v>0</v>
      </c>
      <c r="AJ176" s="21" t="n">
        <f aca="false">IF(OR($A176="",AJ$4=""),0,COUNTIFS(Formulas!$A$2:$A$1501,AJ$4,Formulas!$B$2:$B$1501,$A176))</f>
        <v>0</v>
      </c>
      <c r="AK176" s="21" t="n">
        <f aca="false">IF(OR($A176="",AK$4=""),0,COUNTIFS(Formulas!$A$2:$A$1501,AK$4,Formulas!$B$2:$B$1501,$A176))</f>
        <v>0</v>
      </c>
      <c r="AL176" s="21" t="n">
        <f aca="false">IF(OR($A176="",AL$4=""),0,COUNTIFS(Formulas!$A$2:$A$1501,AL$4,Formulas!$B$2:$B$1501,$A176))</f>
        <v>0</v>
      </c>
      <c r="AM176" s="21" t="n">
        <f aca="false">IF(OR($A176="",AM$4=""),0,COUNTIFS(Formulas!$A$2:$A$1501,AM$4,Formulas!$B$2:$B$1501,$A176))</f>
        <v>0</v>
      </c>
      <c r="AN176" s="21" t="n">
        <f aca="false">IF(OR($A176="",AN$4=""),0,COUNTIFS(Formulas!$A$2:$A$1501,AN$4,Formulas!$B$2:$B$1501,$A176))</f>
        <v>0</v>
      </c>
      <c r="AO176" s="21" t="n">
        <f aca="false">IF(OR($A176="",AO$4=""),0,COUNTIFS(Formulas!$A$2:$A$1501,AO$4,Formulas!$B$2:$B$1501,$A176))</f>
        <v>0</v>
      </c>
      <c r="AP176" s="21" t="n">
        <f aca="false">IF(OR($A176="",AP$4=""),0,COUNTIFS(Formulas!$A$2:$A$1501,AP$4,Formulas!$B$2:$B$1501,$A176))</f>
        <v>0</v>
      </c>
      <c r="AQ176" s="21" t="n">
        <f aca="false">IF(OR($A176="",AQ$4=""),0,COUNTIFS(Formulas!$A$2:$A$1501,AQ$4,Formulas!$B$2:$B$1501,$A176))</f>
        <v>0</v>
      </c>
      <c r="AR176" s="21" t="n">
        <f aca="false">IF(OR($A176="",AR$4=""),0,COUNTIFS(Formulas!$A$2:$A$1501,AR$4,Formulas!$B$2:$B$1501,$A176))</f>
        <v>0</v>
      </c>
      <c r="AS176" s="21" t="n">
        <f aca="false">IF(OR($A176="",AS$4=""),0,COUNTIFS(Formulas!$A$2:$A$1501,AS$4,Formulas!$B$2:$B$1501,$A176))</f>
        <v>0</v>
      </c>
      <c r="AT176" s="21" t="n">
        <f aca="false">IF(OR($A176="",AT$4=""),0,COUNTIFS(Formulas!$A$2:$A$1501,AT$4,Formulas!$B$2:$B$1501,$A176))</f>
        <v>0</v>
      </c>
      <c r="AU176" s="21" t="n">
        <f aca="false">IF(OR($A176="",AU$4=""),0,COUNTIFS(Formulas!$A$2:$A$1501,AU$4,Formulas!$B$2:$B$1501,$A176))</f>
        <v>0</v>
      </c>
      <c r="AV176" s="21" t="n">
        <f aca="false">IF(OR($A176="",AV$4=""),0,COUNTIFS(Formulas!$A$2:$A$1501,AV$4,Formulas!$B$2:$B$1501,$A176))</f>
        <v>0</v>
      </c>
      <c r="AW176" s="21" t="n">
        <f aca="false">IF(OR($A176="",AW$4=""),0,COUNTIFS(Formulas!$A$2:$A$1501,AW$4,Formulas!$B$2:$B$1501,$A176))</f>
        <v>0</v>
      </c>
      <c r="AX176" s="21" t="n">
        <f aca="false">IF(OR($A176="",AX$4=""),0,COUNTIFS(Formulas!$A$2:$A$1501,AX$4,Formulas!$B$2:$B$1501,$A176))</f>
        <v>0</v>
      </c>
      <c r="AY176" s="21" t="n">
        <f aca="false">IF(OR($A176="",AY$4=""),0,COUNTIFS(Formulas!$A$2:$A$1501,AY$4,Formulas!$B$2:$B$1501,$A176))</f>
        <v>0</v>
      </c>
      <c r="AZ176" s="21" t="n">
        <f aca="false">IF(OR($A176="",AZ$4=""),0,COUNTIFS(Formulas!$A$2:$A$1501,AZ$4,Formulas!$B$2:$B$1501,$A176))</f>
        <v>0</v>
      </c>
      <c r="BA176" s="21" t="n">
        <f aca="false">IF(OR($A176="",BA$4=""),0,COUNTIFS(Formulas!$A$2:$A$1501,BA$4,Formulas!$B$2:$B$1501,$A176))</f>
        <v>0</v>
      </c>
      <c r="BB176" s="21" t="n">
        <f aca="false">IF(OR($A176="",BB$4=""),0,COUNTIFS(Formulas!$A$2:$A$1501,BB$4,Formulas!$B$2:$B$1501,$A176))</f>
        <v>0</v>
      </c>
      <c r="BC176" s="21" t="n">
        <f aca="false">IF(OR($A176="",BC$4=""),0,COUNTIFS(Formulas!$A$2:$A$1501,BC$4,Formulas!$B$2:$B$1501,$A176))</f>
        <v>0</v>
      </c>
      <c r="BD176" s="21" t="n">
        <f aca="false">IF(OR($A176="",BD$4=""),0,COUNTIFS(Formulas!$A$2:$A$1501,BD$4,Formulas!$B$2:$B$1501,$A176))</f>
        <v>0</v>
      </c>
      <c r="BE176" s="21" t="n">
        <f aca="false">IF(OR($A176="",BE$4=""),0,COUNTIFS(Formulas!$A$2:$A$1501,BE$4,Formulas!$B$2:$B$1501,$A176))</f>
        <v>0</v>
      </c>
      <c r="BF176" s="21" t="n">
        <f aca="false">IF(OR($A176="",BF$4=""),0,COUNTIFS(Formulas!$A$2:$A$1501,BF$4,Formulas!$B$2:$B$1501,$A176))</f>
        <v>0</v>
      </c>
      <c r="BG176" s="21" t="n">
        <f aca="false">IF(OR($A176="",BG$4=""),0,COUNTIFS(Formulas!$A$2:$A$1501,BG$4,Formulas!$B$2:$B$1501,$A176))</f>
        <v>0</v>
      </c>
      <c r="BH176" s="21" t="n">
        <f aca="false">IF(OR($A176="",BH$4=""),0,COUNTIFS(Formulas!$A$2:$A$1501,BH$4,Formulas!$B$2:$B$1501,$A176))</f>
        <v>0</v>
      </c>
      <c r="BI176" s="21" t="n">
        <f aca="false">IF(OR($A176="",BI$4=""),0,COUNTIFS(Formulas!$A$2:$A$1501,BI$4,Formulas!$B$2:$B$1501,$A176))</f>
        <v>0</v>
      </c>
      <c r="BJ176" s="21" t="n">
        <f aca="false">IF(OR($A176="",BJ$4=""),0,COUNTIFS(Formulas!$A$2:$A$1501,BJ$4,Formulas!$B$2:$B$1501,$A176))</f>
        <v>0</v>
      </c>
    </row>
    <row r="177" customFormat="false" ht="15" hidden="false" customHeight="false" outlineLevel="0" collapsed="false">
      <c r="A177" s="13" t="str">
        <f aca="false">IF(INDEX(Materials!$A$2:$A$201,173)="","",INDEX(Materials!$A$2:$A$201,173))</f>
        <v/>
      </c>
      <c r="B177" s="19" t="str">
        <f aca="false">IF(A177="","",COUNTIF(C177:BJ177,"&gt;0"))</f>
        <v/>
      </c>
      <c r="C177" s="21" t="n">
        <f aca="false">IF(OR($A177="",C$4=""),0,COUNTIFS(Formulas!$A$2:$A$1501,C$4,Formulas!$B$2:$B$1501,$A177))</f>
        <v>0</v>
      </c>
      <c r="D177" s="21" t="n">
        <f aca="false">IF(OR($A177="",D$4=""),0,COUNTIFS(Formulas!$A$2:$A$1501,D$4,Formulas!$B$2:$B$1501,$A177))</f>
        <v>0</v>
      </c>
      <c r="E177" s="21" t="n">
        <f aca="false">IF(OR($A177="",E$4=""),0,COUNTIFS(Formulas!$A$2:$A$1501,E$4,Formulas!$B$2:$B$1501,$A177))</f>
        <v>0</v>
      </c>
      <c r="F177" s="21" t="n">
        <f aca="false">IF(OR($A177="",F$4=""),0,COUNTIFS(Formulas!$A$2:$A$1501,F$4,Formulas!$B$2:$B$1501,$A177))</f>
        <v>0</v>
      </c>
      <c r="G177" s="21" t="n">
        <f aca="false">IF(OR($A177="",G$4=""),0,COUNTIFS(Formulas!$A$2:$A$1501,G$4,Formulas!$B$2:$B$1501,$A177))</f>
        <v>0</v>
      </c>
      <c r="H177" s="21" t="n">
        <f aca="false">IF(OR($A177="",H$4=""),0,COUNTIFS(Formulas!$A$2:$A$1501,H$4,Formulas!$B$2:$B$1501,$A177))</f>
        <v>0</v>
      </c>
      <c r="I177" s="21" t="n">
        <f aca="false">IF(OR($A177="",I$4=""),0,COUNTIFS(Formulas!$A$2:$A$1501,I$4,Formulas!$B$2:$B$1501,$A177))</f>
        <v>0</v>
      </c>
      <c r="J177" s="21" t="n">
        <f aca="false">IF(OR($A177="",J$4=""),0,COUNTIFS(Formulas!$A$2:$A$1501,J$4,Formulas!$B$2:$B$1501,$A177))</f>
        <v>0</v>
      </c>
      <c r="K177" s="21" t="n">
        <f aca="false">IF(OR($A177="",K$4=""),0,COUNTIFS(Formulas!$A$2:$A$1501,K$4,Formulas!$B$2:$B$1501,$A177))</f>
        <v>0</v>
      </c>
      <c r="L177" s="21" t="n">
        <f aca="false">IF(OR($A177="",L$4=""),0,COUNTIFS(Formulas!$A$2:$A$1501,L$4,Formulas!$B$2:$B$1501,$A177))</f>
        <v>0</v>
      </c>
      <c r="M177" s="21" t="n">
        <f aca="false">IF(OR($A177="",M$4=""),0,COUNTIFS(Formulas!$A$2:$A$1501,M$4,Formulas!$B$2:$B$1501,$A177))</f>
        <v>0</v>
      </c>
      <c r="N177" s="21" t="n">
        <f aca="false">IF(OR($A177="",N$4=""),0,COUNTIFS(Formulas!$A$2:$A$1501,N$4,Formulas!$B$2:$B$1501,$A177))</f>
        <v>0</v>
      </c>
      <c r="O177" s="21" t="n">
        <f aca="false">IF(OR($A177="",O$4=""),0,COUNTIFS(Formulas!$A$2:$A$1501,O$4,Formulas!$B$2:$B$1501,$A177))</f>
        <v>0</v>
      </c>
      <c r="P177" s="21" t="n">
        <f aca="false">IF(OR($A177="",P$4=""),0,COUNTIFS(Formulas!$A$2:$A$1501,P$4,Formulas!$B$2:$B$1501,$A177))</f>
        <v>0</v>
      </c>
      <c r="Q177" s="21" t="n">
        <f aca="false">IF(OR($A177="",Q$4=""),0,COUNTIFS(Formulas!$A$2:$A$1501,Q$4,Formulas!$B$2:$B$1501,$A177))</f>
        <v>0</v>
      </c>
      <c r="R177" s="21" t="n">
        <f aca="false">IF(OR($A177="",R$4=""),0,COUNTIFS(Formulas!$A$2:$A$1501,R$4,Formulas!$B$2:$B$1501,$A177))</f>
        <v>0</v>
      </c>
      <c r="S177" s="21" t="n">
        <f aca="false">IF(OR($A177="",S$4=""),0,COUNTIFS(Formulas!$A$2:$A$1501,S$4,Formulas!$B$2:$B$1501,$A177))</f>
        <v>0</v>
      </c>
      <c r="T177" s="21" t="n">
        <f aca="false">IF(OR($A177="",T$4=""),0,COUNTIFS(Formulas!$A$2:$A$1501,T$4,Formulas!$B$2:$B$1501,$A177))</f>
        <v>0</v>
      </c>
      <c r="U177" s="21" t="n">
        <f aca="false">IF(OR($A177="",U$4=""),0,COUNTIFS(Formulas!$A$2:$A$1501,U$4,Formulas!$B$2:$B$1501,$A177))</f>
        <v>0</v>
      </c>
      <c r="V177" s="21" t="n">
        <f aca="false">IF(OR($A177="",V$4=""),0,COUNTIFS(Formulas!$A$2:$A$1501,V$4,Formulas!$B$2:$B$1501,$A177))</f>
        <v>0</v>
      </c>
      <c r="W177" s="21" t="n">
        <f aca="false">IF(OR($A177="",W$4=""),0,COUNTIFS(Formulas!$A$2:$A$1501,W$4,Formulas!$B$2:$B$1501,$A177))</f>
        <v>0</v>
      </c>
      <c r="X177" s="21" t="n">
        <f aca="false">IF(OR($A177="",X$4=""),0,COUNTIFS(Formulas!$A$2:$A$1501,X$4,Formulas!$B$2:$B$1501,$A177))</f>
        <v>0</v>
      </c>
      <c r="Y177" s="21" t="n">
        <f aca="false">IF(OR($A177="",Y$4=""),0,COUNTIFS(Formulas!$A$2:$A$1501,Y$4,Formulas!$B$2:$B$1501,$A177))</f>
        <v>0</v>
      </c>
      <c r="Z177" s="21" t="n">
        <f aca="false">IF(OR($A177="",Z$4=""),0,COUNTIFS(Formulas!$A$2:$A$1501,Z$4,Formulas!$B$2:$B$1501,$A177))</f>
        <v>0</v>
      </c>
      <c r="AA177" s="21" t="n">
        <f aca="false">IF(OR($A177="",AA$4=""),0,COUNTIFS(Formulas!$A$2:$A$1501,AA$4,Formulas!$B$2:$B$1501,$A177))</f>
        <v>0</v>
      </c>
      <c r="AB177" s="21" t="n">
        <f aca="false">IF(OR($A177="",AB$4=""),0,COUNTIFS(Formulas!$A$2:$A$1501,AB$4,Formulas!$B$2:$B$1501,$A177))</f>
        <v>0</v>
      </c>
      <c r="AC177" s="21" t="n">
        <f aca="false">IF(OR($A177="",AC$4=""),0,COUNTIFS(Formulas!$A$2:$A$1501,AC$4,Formulas!$B$2:$B$1501,$A177))</f>
        <v>0</v>
      </c>
      <c r="AD177" s="21" t="n">
        <f aca="false">IF(OR($A177="",AD$4=""),0,COUNTIFS(Formulas!$A$2:$A$1501,AD$4,Formulas!$B$2:$B$1501,$A177))</f>
        <v>0</v>
      </c>
      <c r="AE177" s="21" t="n">
        <f aca="false">IF(OR($A177="",AE$4=""),0,COUNTIFS(Formulas!$A$2:$A$1501,AE$4,Formulas!$B$2:$B$1501,$A177))</f>
        <v>0</v>
      </c>
      <c r="AF177" s="21" t="n">
        <f aca="false">IF(OR($A177="",AF$4=""),0,COUNTIFS(Formulas!$A$2:$A$1501,AF$4,Formulas!$B$2:$B$1501,$A177))</f>
        <v>0</v>
      </c>
      <c r="AG177" s="21" t="n">
        <f aca="false">IF(OR($A177="",AG$4=""),0,COUNTIFS(Formulas!$A$2:$A$1501,AG$4,Formulas!$B$2:$B$1501,$A177))</f>
        <v>0</v>
      </c>
      <c r="AH177" s="21" t="n">
        <f aca="false">IF(OR($A177="",AH$4=""),0,COUNTIFS(Formulas!$A$2:$A$1501,AH$4,Formulas!$B$2:$B$1501,$A177))</f>
        <v>0</v>
      </c>
      <c r="AI177" s="21" t="n">
        <f aca="false">IF(OR($A177="",AI$4=""),0,COUNTIFS(Formulas!$A$2:$A$1501,AI$4,Formulas!$B$2:$B$1501,$A177))</f>
        <v>0</v>
      </c>
      <c r="AJ177" s="21" t="n">
        <f aca="false">IF(OR($A177="",AJ$4=""),0,COUNTIFS(Formulas!$A$2:$A$1501,AJ$4,Formulas!$B$2:$B$1501,$A177))</f>
        <v>0</v>
      </c>
      <c r="AK177" s="21" t="n">
        <f aca="false">IF(OR($A177="",AK$4=""),0,COUNTIFS(Formulas!$A$2:$A$1501,AK$4,Formulas!$B$2:$B$1501,$A177))</f>
        <v>0</v>
      </c>
      <c r="AL177" s="21" t="n">
        <f aca="false">IF(OR($A177="",AL$4=""),0,COUNTIFS(Formulas!$A$2:$A$1501,AL$4,Formulas!$B$2:$B$1501,$A177))</f>
        <v>0</v>
      </c>
      <c r="AM177" s="21" t="n">
        <f aca="false">IF(OR($A177="",AM$4=""),0,COUNTIFS(Formulas!$A$2:$A$1501,AM$4,Formulas!$B$2:$B$1501,$A177))</f>
        <v>0</v>
      </c>
      <c r="AN177" s="21" t="n">
        <f aca="false">IF(OR($A177="",AN$4=""),0,COUNTIFS(Formulas!$A$2:$A$1501,AN$4,Formulas!$B$2:$B$1501,$A177))</f>
        <v>0</v>
      </c>
      <c r="AO177" s="21" t="n">
        <f aca="false">IF(OR($A177="",AO$4=""),0,COUNTIFS(Formulas!$A$2:$A$1501,AO$4,Formulas!$B$2:$B$1501,$A177))</f>
        <v>0</v>
      </c>
      <c r="AP177" s="21" t="n">
        <f aca="false">IF(OR($A177="",AP$4=""),0,COUNTIFS(Formulas!$A$2:$A$1501,AP$4,Formulas!$B$2:$B$1501,$A177))</f>
        <v>0</v>
      </c>
      <c r="AQ177" s="21" t="n">
        <f aca="false">IF(OR($A177="",AQ$4=""),0,COUNTIFS(Formulas!$A$2:$A$1501,AQ$4,Formulas!$B$2:$B$1501,$A177))</f>
        <v>0</v>
      </c>
      <c r="AR177" s="21" t="n">
        <f aca="false">IF(OR($A177="",AR$4=""),0,COUNTIFS(Formulas!$A$2:$A$1501,AR$4,Formulas!$B$2:$B$1501,$A177))</f>
        <v>0</v>
      </c>
      <c r="AS177" s="21" t="n">
        <f aca="false">IF(OR($A177="",AS$4=""),0,COUNTIFS(Formulas!$A$2:$A$1501,AS$4,Formulas!$B$2:$B$1501,$A177))</f>
        <v>0</v>
      </c>
      <c r="AT177" s="21" t="n">
        <f aca="false">IF(OR($A177="",AT$4=""),0,COUNTIFS(Formulas!$A$2:$A$1501,AT$4,Formulas!$B$2:$B$1501,$A177))</f>
        <v>0</v>
      </c>
      <c r="AU177" s="21" t="n">
        <f aca="false">IF(OR($A177="",AU$4=""),0,COUNTIFS(Formulas!$A$2:$A$1501,AU$4,Formulas!$B$2:$B$1501,$A177))</f>
        <v>0</v>
      </c>
      <c r="AV177" s="21" t="n">
        <f aca="false">IF(OR($A177="",AV$4=""),0,COUNTIFS(Formulas!$A$2:$A$1501,AV$4,Formulas!$B$2:$B$1501,$A177))</f>
        <v>0</v>
      </c>
      <c r="AW177" s="21" t="n">
        <f aca="false">IF(OR($A177="",AW$4=""),0,COUNTIFS(Formulas!$A$2:$A$1501,AW$4,Formulas!$B$2:$B$1501,$A177))</f>
        <v>0</v>
      </c>
      <c r="AX177" s="21" t="n">
        <f aca="false">IF(OR($A177="",AX$4=""),0,COUNTIFS(Formulas!$A$2:$A$1501,AX$4,Formulas!$B$2:$B$1501,$A177))</f>
        <v>0</v>
      </c>
      <c r="AY177" s="21" t="n">
        <f aca="false">IF(OR($A177="",AY$4=""),0,COUNTIFS(Formulas!$A$2:$A$1501,AY$4,Formulas!$B$2:$B$1501,$A177))</f>
        <v>0</v>
      </c>
      <c r="AZ177" s="21" t="n">
        <f aca="false">IF(OR($A177="",AZ$4=""),0,COUNTIFS(Formulas!$A$2:$A$1501,AZ$4,Formulas!$B$2:$B$1501,$A177))</f>
        <v>0</v>
      </c>
      <c r="BA177" s="21" t="n">
        <f aca="false">IF(OR($A177="",BA$4=""),0,COUNTIFS(Formulas!$A$2:$A$1501,BA$4,Formulas!$B$2:$B$1501,$A177))</f>
        <v>0</v>
      </c>
      <c r="BB177" s="21" t="n">
        <f aca="false">IF(OR($A177="",BB$4=""),0,COUNTIFS(Formulas!$A$2:$A$1501,BB$4,Formulas!$B$2:$B$1501,$A177))</f>
        <v>0</v>
      </c>
      <c r="BC177" s="21" t="n">
        <f aca="false">IF(OR($A177="",BC$4=""),0,COUNTIFS(Formulas!$A$2:$A$1501,BC$4,Formulas!$B$2:$B$1501,$A177))</f>
        <v>0</v>
      </c>
      <c r="BD177" s="21" t="n">
        <f aca="false">IF(OR($A177="",BD$4=""),0,COUNTIFS(Formulas!$A$2:$A$1501,BD$4,Formulas!$B$2:$B$1501,$A177))</f>
        <v>0</v>
      </c>
      <c r="BE177" s="21" t="n">
        <f aca="false">IF(OR($A177="",BE$4=""),0,COUNTIFS(Formulas!$A$2:$A$1501,BE$4,Formulas!$B$2:$B$1501,$A177))</f>
        <v>0</v>
      </c>
      <c r="BF177" s="21" t="n">
        <f aca="false">IF(OR($A177="",BF$4=""),0,COUNTIFS(Formulas!$A$2:$A$1501,BF$4,Formulas!$B$2:$B$1501,$A177))</f>
        <v>0</v>
      </c>
      <c r="BG177" s="21" t="n">
        <f aca="false">IF(OR($A177="",BG$4=""),0,COUNTIFS(Formulas!$A$2:$A$1501,BG$4,Formulas!$B$2:$B$1501,$A177))</f>
        <v>0</v>
      </c>
      <c r="BH177" s="21" t="n">
        <f aca="false">IF(OR($A177="",BH$4=""),0,COUNTIFS(Formulas!$A$2:$A$1501,BH$4,Formulas!$B$2:$B$1501,$A177))</f>
        <v>0</v>
      </c>
      <c r="BI177" s="21" t="n">
        <f aca="false">IF(OR($A177="",BI$4=""),0,COUNTIFS(Formulas!$A$2:$A$1501,BI$4,Formulas!$B$2:$B$1501,$A177))</f>
        <v>0</v>
      </c>
      <c r="BJ177" s="21" t="n">
        <f aca="false">IF(OR($A177="",BJ$4=""),0,COUNTIFS(Formulas!$A$2:$A$1501,BJ$4,Formulas!$B$2:$B$1501,$A177))</f>
        <v>0</v>
      </c>
    </row>
    <row r="178" customFormat="false" ht="15" hidden="false" customHeight="false" outlineLevel="0" collapsed="false">
      <c r="A178" s="13" t="str">
        <f aca="false">IF(INDEX(Materials!$A$2:$A$201,174)="","",INDEX(Materials!$A$2:$A$201,174))</f>
        <v/>
      </c>
      <c r="B178" s="19" t="str">
        <f aca="false">IF(A178="","",COUNTIF(C178:BJ178,"&gt;0"))</f>
        <v/>
      </c>
      <c r="C178" s="21" t="n">
        <f aca="false">IF(OR($A178="",C$4=""),0,COUNTIFS(Formulas!$A$2:$A$1501,C$4,Formulas!$B$2:$B$1501,$A178))</f>
        <v>0</v>
      </c>
      <c r="D178" s="21" t="n">
        <f aca="false">IF(OR($A178="",D$4=""),0,COUNTIFS(Formulas!$A$2:$A$1501,D$4,Formulas!$B$2:$B$1501,$A178))</f>
        <v>0</v>
      </c>
      <c r="E178" s="21" t="n">
        <f aca="false">IF(OR($A178="",E$4=""),0,COUNTIFS(Formulas!$A$2:$A$1501,E$4,Formulas!$B$2:$B$1501,$A178))</f>
        <v>0</v>
      </c>
      <c r="F178" s="21" t="n">
        <f aca="false">IF(OR($A178="",F$4=""),0,COUNTIFS(Formulas!$A$2:$A$1501,F$4,Formulas!$B$2:$B$1501,$A178))</f>
        <v>0</v>
      </c>
      <c r="G178" s="21" t="n">
        <f aca="false">IF(OR($A178="",G$4=""),0,COUNTIFS(Formulas!$A$2:$A$1501,G$4,Formulas!$B$2:$B$1501,$A178))</f>
        <v>0</v>
      </c>
      <c r="H178" s="21" t="n">
        <f aca="false">IF(OR($A178="",H$4=""),0,COUNTIFS(Formulas!$A$2:$A$1501,H$4,Formulas!$B$2:$B$1501,$A178))</f>
        <v>0</v>
      </c>
      <c r="I178" s="21" t="n">
        <f aca="false">IF(OR($A178="",I$4=""),0,COUNTIFS(Formulas!$A$2:$A$1501,I$4,Formulas!$B$2:$B$1501,$A178))</f>
        <v>0</v>
      </c>
      <c r="J178" s="21" t="n">
        <f aca="false">IF(OR($A178="",J$4=""),0,COUNTIFS(Formulas!$A$2:$A$1501,J$4,Formulas!$B$2:$B$1501,$A178))</f>
        <v>0</v>
      </c>
      <c r="K178" s="21" t="n">
        <f aca="false">IF(OR($A178="",K$4=""),0,COUNTIFS(Formulas!$A$2:$A$1501,K$4,Formulas!$B$2:$B$1501,$A178))</f>
        <v>0</v>
      </c>
      <c r="L178" s="21" t="n">
        <f aca="false">IF(OR($A178="",L$4=""),0,COUNTIFS(Formulas!$A$2:$A$1501,L$4,Formulas!$B$2:$B$1501,$A178))</f>
        <v>0</v>
      </c>
      <c r="M178" s="21" t="n">
        <f aca="false">IF(OR($A178="",M$4=""),0,COUNTIFS(Formulas!$A$2:$A$1501,M$4,Formulas!$B$2:$B$1501,$A178))</f>
        <v>0</v>
      </c>
      <c r="N178" s="21" t="n">
        <f aca="false">IF(OR($A178="",N$4=""),0,COUNTIFS(Formulas!$A$2:$A$1501,N$4,Formulas!$B$2:$B$1501,$A178))</f>
        <v>0</v>
      </c>
      <c r="O178" s="21" t="n">
        <f aca="false">IF(OR($A178="",O$4=""),0,COUNTIFS(Formulas!$A$2:$A$1501,O$4,Formulas!$B$2:$B$1501,$A178))</f>
        <v>0</v>
      </c>
      <c r="P178" s="21" t="n">
        <f aca="false">IF(OR($A178="",P$4=""),0,COUNTIFS(Formulas!$A$2:$A$1501,P$4,Formulas!$B$2:$B$1501,$A178))</f>
        <v>0</v>
      </c>
      <c r="Q178" s="21" t="n">
        <f aca="false">IF(OR($A178="",Q$4=""),0,COUNTIFS(Formulas!$A$2:$A$1501,Q$4,Formulas!$B$2:$B$1501,$A178))</f>
        <v>0</v>
      </c>
      <c r="R178" s="21" t="n">
        <f aca="false">IF(OR($A178="",R$4=""),0,COUNTIFS(Formulas!$A$2:$A$1501,R$4,Formulas!$B$2:$B$1501,$A178))</f>
        <v>0</v>
      </c>
      <c r="S178" s="21" t="n">
        <f aca="false">IF(OR($A178="",S$4=""),0,COUNTIFS(Formulas!$A$2:$A$1501,S$4,Formulas!$B$2:$B$1501,$A178))</f>
        <v>0</v>
      </c>
      <c r="T178" s="21" t="n">
        <f aca="false">IF(OR($A178="",T$4=""),0,COUNTIFS(Formulas!$A$2:$A$1501,T$4,Formulas!$B$2:$B$1501,$A178))</f>
        <v>0</v>
      </c>
      <c r="U178" s="21" t="n">
        <f aca="false">IF(OR($A178="",U$4=""),0,COUNTIFS(Formulas!$A$2:$A$1501,U$4,Formulas!$B$2:$B$1501,$A178))</f>
        <v>0</v>
      </c>
      <c r="V178" s="21" t="n">
        <f aca="false">IF(OR($A178="",V$4=""),0,COUNTIFS(Formulas!$A$2:$A$1501,V$4,Formulas!$B$2:$B$1501,$A178))</f>
        <v>0</v>
      </c>
      <c r="W178" s="21" t="n">
        <f aca="false">IF(OR($A178="",W$4=""),0,COUNTIFS(Formulas!$A$2:$A$1501,W$4,Formulas!$B$2:$B$1501,$A178))</f>
        <v>0</v>
      </c>
      <c r="X178" s="21" t="n">
        <f aca="false">IF(OR($A178="",X$4=""),0,COUNTIFS(Formulas!$A$2:$A$1501,X$4,Formulas!$B$2:$B$1501,$A178))</f>
        <v>0</v>
      </c>
      <c r="Y178" s="21" t="n">
        <f aca="false">IF(OR($A178="",Y$4=""),0,COUNTIFS(Formulas!$A$2:$A$1501,Y$4,Formulas!$B$2:$B$1501,$A178))</f>
        <v>0</v>
      </c>
      <c r="Z178" s="21" t="n">
        <f aca="false">IF(OR($A178="",Z$4=""),0,COUNTIFS(Formulas!$A$2:$A$1501,Z$4,Formulas!$B$2:$B$1501,$A178))</f>
        <v>0</v>
      </c>
      <c r="AA178" s="21" t="n">
        <f aca="false">IF(OR($A178="",AA$4=""),0,COUNTIFS(Formulas!$A$2:$A$1501,AA$4,Formulas!$B$2:$B$1501,$A178))</f>
        <v>0</v>
      </c>
      <c r="AB178" s="21" t="n">
        <f aca="false">IF(OR($A178="",AB$4=""),0,COUNTIFS(Formulas!$A$2:$A$1501,AB$4,Formulas!$B$2:$B$1501,$A178))</f>
        <v>0</v>
      </c>
      <c r="AC178" s="21" t="n">
        <f aca="false">IF(OR($A178="",AC$4=""),0,COUNTIFS(Formulas!$A$2:$A$1501,AC$4,Formulas!$B$2:$B$1501,$A178))</f>
        <v>0</v>
      </c>
      <c r="AD178" s="21" t="n">
        <f aca="false">IF(OR($A178="",AD$4=""),0,COUNTIFS(Formulas!$A$2:$A$1501,AD$4,Formulas!$B$2:$B$1501,$A178))</f>
        <v>0</v>
      </c>
      <c r="AE178" s="21" t="n">
        <f aca="false">IF(OR($A178="",AE$4=""),0,COUNTIFS(Formulas!$A$2:$A$1501,AE$4,Formulas!$B$2:$B$1501,$A178))</f>
        <v>0</v>
      </c>
      <c r="AF178" s="21" t="n">
        <f aca="false">IF(OR($A178="",AF$4=""),0,COUNTIFS(Formulas!$A$2:$A$1501,AF$4,Formulas!$B$2:$B$1501,$A178))</f>
        <v>0</v>
      </c>
      <c r="AG178" s="21" t="n">
        <f aca="false">IF(OR($A178="",AG$4=""),0,COUNTIFS(Formulas!$A$2:$A$1501,AG$4,Formulas!$B$2:$B$1501,$A178))</f>
        <v>0</v>
      </c>
      <c r="AH178" s="21" t="n">
        <f aca="false">IF(OR($A178="",AH$4=""),0,COUNTIFS(Formulas!$A$2:$A$1501,AH$4,Formulas!$B$2:$B$1501,$A178))</f>
        <v>0</v>
      </c>
      <c r="AI178" s="21" t="n">
        <f aca="false">IF(OR($A178="",AI$4=""),0,COUNTIFS(Formulas!$A$2:$A$1501,AI$4,Formulas!$B$2:$B$1501,$A178))</f>
        <v>0</v>
      </c>
      <c r="AJ178" s="21" t="n">
        <f aca="false">IF(OR($A178="",AJ$4=""),0,COUNTIFS(Formulas!$A$2:$A$1501,AJ$4,Formulas!$B$2:$B$1501,$A178))</f>
        <v>0</v>
      </c>
      <c r="AK178" s="21" t="n">
        <f aca="false">IF(OR($A178="",AK$4=""),0,COUNTIFS(Formulas!$A$2:$A$1501,AK$4,Formulas!$B$2:$B$1501,$A178))</f>
        <v>0</v>
      </c>
      <c r="AL178" s="21" t="n">
        <f aca="false">IF(OR($A178="",AL$4=""),0,COUNTIFS(Formulas!$A$2:$A$1501,AL$4,Formulas!$B$2:$B$1501,$A178))</f>
        <v>0</v>
      </c>
      <c r="AM178" s="21" t="n">
        <f aca="false">IF(OR($A178="",AM$4=""),0,COUNTIFS(Formulas!$A$2:$A$1501,AM$4,Formulas!$B$2:$B$1501,$A178))</f>
        <v>0</v>
      </c>
      <c r="AN178" s="21" t="n">
        <f aca="false">IF(OR($A178="",AN$4=""),0,COUNTIFS(Formulas!$A$2:$A$1501,AN$4,Formulas!$B$2:$B$1501,$A178))</f>
        <v>0</v>
      </c>
      <c r="AO178" s="21" t="n">
        <f aca="false">IF(OR($A178="",AO$4=""),0,COUNTIFS(Formulas!$A$2:$A$1501,AO$4,Formulas!$B$2:$B$1501,$A178))</f>
        <v>0</v>
      </c>
      <c r="AP178" s="21" t="n">
        <f aca="false">IF(OR($A178="",AP$4=""),0,COUNTIFS(Formulas!$A$2:$A$1501,AP$4,Formulas!$B$2:$B$1501,$A178))</f>
        <v>0</v>
      </c>
      <c r="AQ178" s="21" t="n">
        <f aca="false">IF(OR($A178="",AQ$4=""),0,COUNTIFS(Formulas!$A$2:$A$1501,AQ$4,Formulas!$B$2:$B$1501,$A178))</f>
        <v>0</v>
      </c>
      <c r="AR178" s="21" t="n">
        <f aca="false">IF(OR($A178="",AR$4=""),0,COUNTIFS(Formulas!$A$2:$A$1501,AR$4,Formulas!$B$2:$B$1501,$A178))</f>
        <v>0</v>
      </c>
      <c r="AS178" s="21" t="n">
        <f aca="false">IF(OR($A178="",AS$4=""),0,COUNTIFS(Formulas!$A$2:$A$1501,AS$4,Formulas!$B$2:$B$1501,$A178))</f>
        <v>0</v>
      </c>
      <c r="AT178" s="21" t="n">
        <f aca="false">IF(OR($A178="",AT$4=""),0,COUNTIFS(Formulas!$A$2:$A$1501,AT$4,Formulas!$B$2:$B$1501,$A178))</f>
        <v>0</v>
      </c>
      <c r="AU178" s="21" t="n">
        <f aca="false">IF(OR($A178="",AU$4=""),0,COUNTIFS(Formulas!$A$2:$A$1501,AU$4,Formulas!$B$2:$B$1501,$A178))</f>
        <v>0</v>
      </c>
      <c r="AV178" s="21" t="n">
        <f aca="false">IF(OR($A178="",AV$4=""),0,COUNTIFS(Formulas!$A$2:$A$1501,AV$4,Formulas!$B$2:$B$1501,$A178))</f>
        <v>0</v>
      </c>
      <c r="AW178" s="21" t="n">
        <f aca="false">IF(OR($A178="",AW$4=""),0,COUNTIFS(Formulas!$A$2:$A$1501,AW$4,Formulas!$B$2:$B$1501,$A178))</f>
        <v>0</v>
      </c>
      <c r="AX178" s="21" t="n">
        <f aca="false">IF(OR($A178="",AX$4=""),0,COUNTIFS(Formulas!$A$2:$A$1501,AX$4,Formulas!$B$2:$B$1501,$A178))</f>
        <v>0</v>
      </c>
      <c r="AY178" s="21" t="n">
        <f aca="false">IF(OR($A178="",AY$4=""),0,COUNTIFS(Formulas!$A$2:$A$1501,AY$4,Formulas!$B$2:$B$1501,$A178))</f>
        <v>0</v>
      </c>
      <c r="AZ178" s="21" t="n">
        <f aca="false">IF(OR($A178="",AZ$4=""),0,COUNTIFS(Formulas!$A$2:$A$1501,AZ$4,Formulas!$B$2:$B$1501,$A178))</f>
        <v>0</v>
      </c>
      <c r="BA178" s="21" t="n">
        <f aca="false">IF(OR($A178="",BA$4=""),0,COUNTIFS(Formulas!$A$2:$A$1501,BA$4,Formulas!$B$2:$B$1501,$A178))</f>
        <v>0</v>
      </c>
      <c r="BB178" s="21" t="n">
        <f aca="false">IF(OR($A178="",BB$4=""),0,COUNTIFS(Formulas!$A$2:$A$1501,BB$4,Formulas!$B$2:$B$1501,$A178))</f>
        <v>0</v>
      </c>
      <c r="BC178" s="21" t="n">
        <f aca="false">IF(OR($A178="",BC$4=""),0,COUNTIFS(Formulas!$A$2:$A$1501,BC$4,Formulas!$B$2:$B$1501,$A178))</f>
        <v>0</v>
      </c>
      <c r="BD178" s="21" t="n">
        <f aca="false">IF(OR($A178="",BD$4=""),0,COUNTIFS(Formulas!$A$2:$A$1501,BD$4,Formulas!$B$2:$B$1501,$A178))</f>
        <v>0</v>
      </c>
      <c r="BE178" s="21" t="n">
        <f aca="false">IF(OR($A178="",BE$4=""),0,COUNTIFS(Formulas!$A$2:$A$1501,BE$4,Formulas!$B$2:$B$1501,$A178))</f>
        <v>0</v>
      </c>
      <c r="BF178" s="21" t="n">
        <f aca="false">IF(OR($A178="",BF$4=""),0,COUNTIFS(Formulas!$A$2:$A$1501,BF$4,Formulas!$B$2:$B$1501,$A178))</f>
        <v>0</v>
      </c>
      <c r="BG178" s="21" t="n">
        <f aca="false">IF(OR($A178="",BG$4=""),0,COUNTIFS(Formulas!$A$2:$A$1501,BG$4,Formulas!$B$2:$B$1501,$A178))</f>
        <v>0</v>
      </c>
      <c r="BH178" s="21" t="n">
        <f aca="false">IF(OR($A178="",BH$4=""),0,COUNTIFS(Formulas!$A$2:$A$1501,BH$4,Formulas!$B$2:$B$1501,$A178))</f>
        <v>0</v>
      </c>
      <c r="BI178" s="21" t="n">
        <f aca="false">IF(OR($A178="",BI$4=""),0,COUNTIFS(Formulas!$A$2:$A$1501,BI$4,Formulas!$B$2:$B$1501,$A178))</f>
        <v>0</v>
      </c>
      <c r="BJ178" s="21" t="n">
        <f aca="false">IF(OR($A178="",BJ$4=""),0,COUNTIFS(Formulas!$A$2:$A$1501,BJ$4,Formulas!$B$2:$B$1501,$A178))</f>
        <v>0</v>
      </c>
    </row>
    <row r="179" customFormat="false" ht="15" hidden="false" customHeight="false" outlineLevel="0" collapsed="false">
      <c r="A179" s="13" t="str">
        <f aca="false">IF(INDEX(Materials!$A$2:$A$201,175)="","",INDEX(Materials!$A$2:$A$201,175))</f>
        <v/>
      </c>
      <c r="B179" s="19" t="str">
        <f aca="false">IF(A179="","",COUNTIF(C179:BJ179,"&gt;0"))</f>
        <v/>
      </c>
      <c r="C179" s="21" t="n">
        <f aca="false">IF(OR($A179="",C$4=""),0,COUNTIFS(Formulas!$A$2:$A$1501,C$4,Formulas!$B$2:$B$1501,$A179))</f>
        <v>0</v>
      </c>
      <c r="D179" s="21" t="n">
        <f aca="false">IF(OR($A179="",D$4=""),0,COUNTIFS(Formulas!$A$2:$A$1501,D$4,Formulas!$B$2:$B$1501,$A179))</f>
        <v>0</v>
      </c>
      <c r="E179" s="21" t="n">
        <f aca="false">IF(OR($A179="",E$4=""),0,COUNTIFS(Formulas!$A$2:$A$1501,E$4,Formulas!$B$2:$B$1501,$A179))</f>
        <v>0</v>
      </c>
      <c r="F179" s="21" t="n">
        <f aca="false">IF(OR($A179="",F$4=""),0,COUNTIFS(Formulas!$A$2:$A$1501,F$4,Formulas!$B$2:$B$1501,$A179))</f>
        <v>0</v>
      </c>
      <c r="G179" s="21" t="n">
        <f aca="false">IF(OR($A179="",G$4=""),0,COUNTIFS(Formulas!$A$2:$A$1501,G$4,Formulas!$B$2:$B$1501,$A179))</f>
        <v>0</v>
      </c>
      <c r="H179" s="21" t="n">
        <f aca="false">IF(OR($A179="",H$4=""),0,COUNTIFS(Formulas!$A$2:$A$1501,H$4,Formulas!$B$2:$B$1501,$A179))</f>
        <v>0</v>
      </c>
      <c r="I179" s="21" t="n">
        <f aca="false">IF(OR($A179="",I$4=""),0,COUNTIFS(Formulas!$A$2:$A$1501,I$4,Formulas!$B$2:$B$1501,$A179))</f>
        <v>0</v>
      </c>
      <c r="J179" s="21" t="n">
        <f aca="false">IF(OR($A179="",J$4=""),0,COUNTIFS(Formulas!$A$2:$A$1501,J$4,Formulas!$B$2:$B$1501,$A179))</f>
        <v>0</v>
      </c>
      <c r="K179" s="21" t="n">
        <f aca="false">IF(OR($A179="",K$4=""),0,COUNTIFS(Formulas!$A$2:$A$1501,K$4,Formulas!$B$2:$B$1501,$A179))</f>
        <v>0</v>
      </c>
      <c r="L179" s="21" t="n">
        <f aca="false">IF(OR($A179="",L$4=""),0,COUNTIFS(Formulas!$A$2:$A$1501,L$4,Formulas!$B$2:$B$1501,$A179))</f>
        <v>0</v>
      </c>
      <c r="M179" s="21" t="n">
        <f aca="false">IF(OR($A179="",M$4=""),0,COUNTIFS(Formulas!$A$2:$A$1501,M$4,Formulas!$B$2:$B$1501,$A179))</f>
        <v>0</v>
      </c>
      <c r="N179" s="21" t="n">
        <f aca="false">IF(OR($A179="",N$4=""),0,COUNTIFS(Formulas!$A$2:$A$1501,N$4,Formulas!$B$2:$B$1501,$A179))</f>
        <v>0</v>
      </c>
      <c r="O179" s="21" t="n">
        <f aca="false">IF(OR($A179="",O$4=""),0,COUNTIFS(Formulas!$A$2:$A$1501,O$4,Formulas!$B$2:$B$1501,$A179))</f>
        <v>0</v>
      </c>
      <c r="P179" s="21" t="n">
        <f aca="false">IF(OR($A179="",P$4=""),0,COUNTIFS(Formulas!$A$2:$A$1501,P$4,Formulas!$B$2:$B$1501,$A179))</f>
        <v>0</v>
      </c>
      <c r="Q179" s="21" t="n">
        <f aca="false">IF(OR($A179="",Q$4=""),0,COUNTIFS(Formulas!$A$2:$A$1501,Q$4,Formulas!$B$2:$B$1501,$A179))</f>
        <v>0</v>
      </c>
      <c r="R179" s="21" t="n">
        <f aca="false">IF(OR($A179="",R$4=""),0,COUNTIFS(Formulas!$A$2:$A$1501,R$4,Formulas!$B$2:$B$1501,$A179))</f>
        <v>0</v>
      </c>
      <c r="S179" s="21" t="n">
        <f aca="false">IF(OR($A179="",S$4=""),0,COUNTIFS(Formulas!$A$2:$A$1501,S$4,Formulas!$B$2:$B$1501,$A179))</f>
        <v>0</v>
      </c>
      <c r="T179" s="21" t="n">
        <f aca="false">IF(OR($A179="",T$4=""),0,COUNTIFS(Formulas!$A$2:$A$1501,T$4,Formulas!$B$2:$B$1501,$A179))</f>
        <v>0</v>
      </c>
      <c r="U179" s="21" t="n">
        <f aca="false">IF(OR($A179="",U$4=""),0,COUNTIFS(Formulas!$A$2:$A$1501,U$4,Formulas!$B$2:$B$1501,$A179))</f>
        <v>0</v>
      </c>
      <c r="V179" s="21" t="n">
        <f aca="false">IF(OR($A179="",V$4=""),0,COUNTIFS(Formulas!$A$2:$A$1501,V$4,Formulas!$B$2:$B$1501,$A179))</f>
        <v>0</v>
      </c>
      <c r="W179" s="21" t="n">
        <f aca="false">IF(OR($A179="",W$4=""),0,COUNTIFS(Formulas!$A$2:$A$1501,W$4,Formulas!$B$2:$B$1501,$A179))</f>
        <v>0</v>
      </c>
      <c r="X179" s="21" t="n">
        <f aca="false">IF(OR($A179="",X$4=""),0,COUNTIFS(Formulas!$A$2:$A$1501,X$4,Formulas!$B$2:$B$1501,$A179))</f>
        <v>0</v>
      </c>
      <c r="Y179" s="21" t="n">
        <f aca="false">IF(OR($A179="",Y$4=""),0,COUNTIFS(Formulas!$A$2:$A$1501,Y$4,Formulas!$B$2:$B$1501,$A179))</f>
        <v>0</v>
      </c>
      <c r="Z179" s="21" t="n">
        <f aca="false">IF(OR($A179="",Z$4=""),0,COUNTIFS(Formulas!$A$2:$A$1501,Z$4,Formulas!$B$2:$B$1501,$A179))</f>
        <v>0</v>
      </c>
      <c r="AA179" s="21" t="n">
        <f aca="false">IF(OR($A179="",AA$4=""),0,COUNTIFS(Formulas!$A$2:$A$1501,AA$4,Formulas!$B$2:$B$1501,$A179))</f>
        <v>0</v>
      </c>
      <c r="AB179" s="21" t="n">
        <f aca="false">IF(OR($A179="",AB$4=""),0,COUNTIFS(Formulas!$A$2:$A$1501,AB$4,Formulas!$B$2:$B$1501,$A179))</f>
        <v>0</v>
      </c>
      <c r="AC179" s="21" t="n">
        <f aca="false">IF(OR($A179="",AC$4=""),0,COUNTIFS(Formulas!$A$2:$A$1501,AC$4,Formulas!$B$2:$B$1501,$A179))</f>
        <v>0</v>
      </c>
      <c r="AD179" s="21" t="n">
        <f aca="false">IF(OR($A179="",AD$4=""),0,COUNTIFS(Formulas!$A$2:$A$1501,AD$4,Formulas!$B$2:$B$1501,$A179))</f>
        <v>0</v>
      </c>
      <c r="AE179" s="21" t="n">
        <f aca="false">IF(OR($A179="",AE$4=""),0,COUNTIFS(Formulas!$A$2:$A$1501,AE$4,Formulas!$B$2:$B$1501,$A179))</f>
        <v>0</v>
      </c>
      <c r="AF179" s="21" t="n">
        <f aca="false">IF(OR($A179="",AF$4=""),0,COUNTIFS(Formulas!$A$2:$A$1501,AF$4,Formulas!$B$2:$B$1501,$A179))</f>
        <v>0</v>
      </c>
      <c r="AG179" s="21" t="n">
        <f aca="false">IF(OR($A179="",AG$4=""),0,COUNTIFS(Formulas!$A$2:$A$1501,AG$4,Formulas!$B$2:$B$1501,$A179))</f>
        <v>0</v>
      </c>
      <c r="AH179" s="21" t="n">
        <f aca="false">IF(OR($A179="",AH$4=""),0,COUNTIFS(Formulas!$A$2:$A$1501,AH$4,Formulas!$B$2:$B$1501,$A179))</f>
        <v>0</v>
      </c>
      <c r="AI179" s="21" t="n">
        <f aca="false">IF(OR($A179="",AI$4=""),0,COUNTIFS(Formulas!$A$2:$A$1501,AI$4,Formulas!$B$2:$B$1501,$A179))</f>
        <v>0</v>
      </c>
      <c r="AJ179" s="21" t="n">
        <f aca="false">IF(OR($A179="",AJ$4=""),0,COUNTIFS(Formulas!$A$2:$A$1501,AJ$4,Formulas!$B$2:$B$1501,$A179))</f>
        <v>0</v>
      </c>
      <c r="AK179" s="21" t="n">
        <f aca="false">IF(OR($A179="",AK$4=""),0,COUNTIFS(Formulas!$A$2:$A$1501,AK$4,Formulas!$B$2:$B$1501,$A179))</f>
        <v>0</v>
      </c>
      <c r="AL179" s="21" t="n">
        <f aca="false">IF(OR($A179="",AL$4=""),0,COUNTIFS(Formulas!$A$2:$A$1501,AL$4,Formulas!$B$2:$B$1501,$A179))</f>
        <v>0</v>
      </c>
      <c r="AM179" s="21" t="n">
        <f aca="false">IF(OR($A179="",AM$4=""),0,COUNTIFS(Formulas!$A$2:$A$1501,AM$4,Formulas!$B$2:$B$1501,$A179))</f>
        <v>0</v>
      </c>
      <c r="AN179" s="21" t="n">
        <f aca="false">IF(OR($A179="",AN$4=""),0,COUNTIFS(Formulas!$A$2:$A$1501,AN$4,Formulas!$B$2:$B$1501,$A179))</f>
        <v>0</v>
      </c>
      <c r="AO179" s="21" t="n">
        <f aca="false">IF(OR($A179="",AO$4=""),0,COUNTIFS(Formulas!$A$2:$A$1501,AO$4,Formulas!$B$2:$B$1501,$A179))</f>
        <v>0</v>
      </c>
      <c r="AP179" s="21" t="n">
        <f aca="false">IF(OR($A179="",AP$4=""),0,COUNTIFS(Formulas!$A$2:$A$1501,AP$4,Formulas!$B$2:$B$1501,$A179))</f>
        <v>0</v>
      </c>
      <c r="AQ179" s="21" t="n">
        <f aca="false">IF(OR($A179="",AQ$4=""),0,COUNTIFS(Formulas!$A$2:$A$1501,AQ$4,Formulas!$B$2:$B$1501,$A179))</f>
        <v>0</v>
      </c>
      <c r="AR179" s="21" t="n">
        <f aca="false">IF(OR($A179="",AR$4=""),0,COUNTIFS(Formulas!$A$2:$A$1501,AR$4,Formulas!$B$2:$B$1501,$A179))</f>
        <v>0</v>
      </c>
      <c r="AS179" s="21" t="n">
        <f aca="false">IF(OR($A179="",AS$4=""),0,COUNTIFS(Formulas!$A$2:$A$1501,AS$4,Formulas!$B$2:$B$1501,$A179))</f>
        <v>0</v>
      </c>
      <c r="AT179" s="21" t="n">
        <f aca="false">IF(OR($A179="",AT$4=""),0,COUNTIFS(Formulas!$A$2:$A$1501,AT$4,Formulas!$B$2:$B$1501,$A179))</f>
        <v>0</v>
      </c>
      <c r="AU179" s="21" t="n">
        <f aca="false">IF(OR($A179="",AU$4=""),0,COUNTIFS(Formulas!$A$2:$A$1501,AU$4,Formulas!$B$2:$B$1501,$A179))</f>
        <v>0</v>
      </c>
      <c r="AV179" s="21" t="n">
        <f aca="false">IF(OR($A179="",AV$4=""),0,COUNTIFS(Formulas!$A$2:$A$1501,AV$4,Formulas!$B$2:$B$1501,$A179))</f>
        <v>0</v>
      </c>
      <c r="AW179" s="21" t="n">
        <f aca="false">IF(OR($A179="",AW$4=""),0,COUNTIFS(Formulas!$A$2:$A$1501,AW$4,Formulas!$B$2:$B$1501,$A179))</f>
        <v>0</v>
      </c>
      <c r="AX179" s="21" t="n">
        <f aca="false">IF(OR($A179="",AX$4=""),0,COUNTIFS(Formulas!$A$2:$A$1501,AX$4,Formulas!$B$2:$B$1501,$A179))</f>
        <v>0</v>
      </c>
      <c r="AY179" s="21" t="n">
        <f aca="false">IF(OR($A179="",AY$4=""),0,COUNTIFS(Formulas!$A$2:$A$1501,AY$4,Formulas!$B$2:$B$1501,$A179))</f>
        <v>0</v>
      </c>
      <c r="AZ179" s="21" t="n">
        <f aca="false">IF(OR($A179="",AZ$4=""),0,COUNTIFS(Formulas!$A$2:$A$1501,AZ$4,Formulas!$B$2:$B$1501,$A179))</f>
        <v>0</v>
      </c>
      <c r="BA179" s="21" t="n">
        <f aca="false">IF(OR($A179="",BA$4=""),0,COUNTIFS(Formulas!$A$2:$A$1501,BA$4,Formulas!$B$2:$B$1501,$A179))</f>
        <v>0</v>
      </c>
      <c r="BB179" s="21" t="n">
        <f aca="false">IF(OR($A179="",BB$4=""),0,COUNTIFS(Formulas!$A$2:$A$1501,BB$4,Formulas!$B$2:$B$1501,$A179))</f>
        <v>0</v>
      </c>
      <c r="BC179" s="21" t="n">
        <f aca="false">IF(OR($A179="",BC$4=""),0,COUNTIFS(Formulas!$A$2:$A$1501,BC$4,Formulas!$B$2:$B$1501,$A179))</f>
        <v>0</v>
      </c>
      <c r="BD179" s="21" t="n">
        <f aca="false">IF(OR($A179="",BD$4=""),0,COUNTIFS(Formulas!$A$2:$A$1501,BD$4,Formulas!$B$2:$B$1501,$A179))</f>
        <v>0</v>
      </c>
      <c r="BE179" s="21" t="n">
        <f aca="false">IF(OR($A179="",BE$4=""),0,COUNTIFS(Formulas!$A$2:$A$1501,BE$4,Formulas!$B$2:$B$1501,$A179))</f>
        <v>0</v>
      </c>
      <c r="BF179" s="21" t="n">
        <f aca="false">IF(OR($A179="",BF$4=""),0,COUNTIFS(Formulas!$A$2:$A$1501,BF$4,Formulas!$B$2:$B$1501,$A179))</f>
        <v>0</v>
      </c>
      <c r="BG179" s="21" t="n">
        <f aca="false">IF(OR($A179="",BG$4=""),0,COUNTIFS(Formulas!$A$2:$A$1501,BG$4,Formulas!$B$2:$B$1501,$A179))</f>
        <v>0</v>
      </c>
      <c r="BH179" s="21" t="n">
        <f aca="false">IF(OR($A179="",BH$4=""),0,COUNTIFS(Formulas!$A$2:$A$1501,BH$4,Formulas!$B$2:$B$1501,$A179))</f>
        <v>0</v>
      </c>
      <c r="BI179" s="21" t="n">
        <f aca="false">IF(OR($A179="",BI$4=""),0,COUNTIFS(Formulas!$A$2:$A$1501,BI$4,Formulas!$B$2:$B$1501,$A179))</f>
        <v>0</v>
      </c>
      <c r="BJ179" s="21" t="n">
        <f aca="false">IF(OR($A179="",BJ$4=""),0,COUNTIFS(Formulas!$A$2:$A$1501,BJ$4,Formulas!$B$2:$B$1501,$A179))</f>
        <v>0</v>
      </c>
    </row>
    <row r="180" customFormat="false" ht="15" hidden="false" customHeight="false" outlineLevel="0" collapsed="false">
      <c r="A180" s="13" t="str">
        <f aca="false">IF(INDEX(Materials!$A$2:$A$201,176)="","",INDEX(Materials!$A$2:$A$201,176))</f>
        <v/>
      </c>
      <c r="B180" s="19" t="str">
        <f aca="false">IF(A180="","",COUNTIF(C180:BJ180,"&gt;0"))</f>
        <v/>
      </c>
      <c r="C180" s="21" t="n">
        <f aca="false">IF(OR($A180="",C$4=""),0,COUNTIFS(Formulas!$A$2:$A$1501,C$4,Formulas!$B$2:$B$1501,$A180))</f>
        <v>0</v>
      </c>
      <c r="D180" s="21" t="n">
        <f aca="false">IF(OR($A180="",D$4=""),0,COUNTIFS(Formulas!$A$2:$A$1501,D$4,Formulas!$B$2:$B$1501,$A180))</f>
        <v>0</v>
      </c>
      <c r="E180" s="21" t="n">
        <f aca="false">IF(OR($A180="",E$4=""),0,COUNTIFS(Formulas!$A$2:$A$1501,E$4,Formulas!$B$2:$B$1501,$A180))</f>
        <v>0</v>
      </c>
      <c r="F180" s="21" t="n">
        <f aca="false">IF(OR($A180="",F$4=""),0,COUNTIFS(Formulas!$A$2:$A$1501,F$4,Formulas!$B$2:$B$1501,$A180))</f>
        <v>0</v>
      </c>
      <c r="G180" s="21" t="n">
        <f aca="false">IF(OR($A180="",G$4=""),0,COUNTIFS(Formulas!$A$2:$A$1501,G$4,Formulas!$B$2:$B$1501,$A180))</f>
        <v>0</v>
      </c>
      <c r="H180" s="21" t="n">
        <f aca="false">IF(OR($A180="",H$4=""),0,COUNTIFS(Formulas!$A$2:$A$1501,H$4,Formulas!$B$2:$B$1501,$A180))</f>
        <v>0</v>
      </c>
      <c r="I180" s="21" t="n">
        <f aca="false">IF(OR($A180="",I$4=""),0,COUNTIFS(Formulas!$A$2:$A$1501,I$4,Formulas!$B$2:$B$1501,$A180))</f>
        <v>0</v>
      </c>
      <c r="J180" s="21" t="n">
        <f aca="false">IF(OR($A180="",J$4=""),0,COUNTIFS(Formulas!$A$2:$A$1501,J$4,Formulas!$B$2:$B$1501,$A180))</f>
        <v>0</v>
      </c>
      <c r="K180" s="21" t="n">
        <f aca="false">IF(OR($A180="",K$4=""),0,COUNTIFS(Formulas!$A$2:$A$1501,K$4,Formulas!$B$2:$B$1501,$A180))</f>
        <v>0</v>
      </c>
      <c r="L180" s="21" t="n">
        <f aca="false">IF(OR($A180="",L$4=""),0,COUNTIFS(Formulas!$A$2:$A$1501,L$4,Formulas!$B$2:$B$1501,$A180))</f>
        <v>0</v>
      </c>
      <c r="M180" s="21" t="n">
        <f aca="false">IF(OR($A180="",M$4=""),0,COUNTIFS(Formulas!$A$2:$A$1501,M$4,Formulas!$B$2:$B$1501,$A180))</f>
        <v>0</v>
      </c>
      <c r="N180" s="21" t="n">
        <f aca="false">IF(OR($A180="",N$4=""),0,COUNTIFS(Formulas!$A$2:$A$1501,N$4,Formulas!$B$2:$B$1501,$A180))</f>
        <v>0</v>
      </c>
      <c r="O180" s="21" t="n">
        <f aca="false">IF(OR($A180="",O$4=""),0,COUNTIFS(Formulas!$A$2:$A$1501,O$4,Formulas!$B$2:$B$1501,$A180))</f>
        <v>0</v>
      </c>
      <c r="P180" s="21" t="n">
        <f aca="false">IF(OR($A180="",P$4=""),0,COUNTIFS(Formulas!$A$2:$A$1501,P$4,Formulas!$B$2:$B$1501,$A180))</f>
        <v>0</v>
      </c>
      <c r="Q180" s="21" t="n">
        <f aca="false">IF(OR($A180="",Q$4=""),0,COUNTIFS(Formulas!$A$2:$A$1501,Q$4,Formulas!$B$2:$B$1501,$A180))</f>
        <v>0</v>
      </c>
      <c r="R180" s="21" t="n">
        <f aca="false">IF(OR($A180="",R$4=""),0,COUNTIFS(Formulas!$A$2:$A$1501,R$4,Formulas!$B$2:$B$1501,$A180))</f>
        <v>0</v>
      </c>
      <c r="S180" s="21" t="n">
        <f aca="false">IF(OR($A180="",S$4=""),0,COUNTIFS(Formulas!$A$2:$A$1501,S$4,Formulas!$B$2:$B$1501,$A180))</f>
        <v>0</v>
      </c>
      <c r="T180" s="21" t="n">
        <f aca="false">IF(OR($A180="",T$4=""),0,COUNTIFS(Formulas!$A$2:$A$1501,T$4,Formulas!$B$2:$B$1501,$A180))</f>
        <v>0</v>
      </c>
      <c r="U180" s="21" t="n">
        <f aca="false">IF(OR($A180="",U$4=""),0,COUNTIFS(Formulas!$A$2:$A$1501,U$4,Formulas!$B$2:$B$1501,$A180))</f>
        <v>0</v>
      </c>
      <c r="V180" s="21" t="n">
        <f aca="false">IF(OR($A180="",V$4=""),0,COUNTIFS(Formulas!$A$2:$A$1501,V$4,Formulas!$B$2:$B$1501,$A180))</f>
        <v>0</v>
      </c>
      <c r="W180" s="21" t="n">
        <f aca="false">IF(OR($A180="",W$4=""),0,COUNTIFS(Formulas!$A$2:$A$1501,W$4,Formulas!$B$2:$B$1501,$A180))</f>
        <v>0</v>
      </c>
      <c r="X180" s="21" t="n">
        <f aca="false">IF(OR($A180="",X$4=""),0,COUNTIFS(Formulas!$A$2:$A$1501,X$4,Formulas!$B$2:$B$1501,$A180))</f>
        <v>0</v>
      </c>
      <c r="Y180" s="21" t="n">
        <f aca="false">IF(OR($A180="",Y$4=""),0,COUNTIFS(Formulas!$A$2:$A$1501,Y$4,Formulas!$B$2:$B$1501,$A180))</f>
        <v>0</v>
      </c>
      <c r="Z180" s="21" t="n">
        <f aca="false">IF(OR($A180="",Z$4=""),0,COUNTIFS(Formulas!$A$2:$A$1501,Z$4,Formulas!$B$2:$B$1501,$A180))</f>
        <v>0</v>
      </c>
      <c r="AA180" s="21" t="n">
        <f aca="false">IF(OR($A180="",AA$4=""),0,COUNTIFS(Formulas!$A$2:$A$1501,AA$4,Formulas!$B$2:$B$1501,$A180))</f>
        <v>0</v>
      </c>
      <c r="AB180" s="21" t="n">
        <f aca="false">IF(OR($A180="",AB$4=""),0,COUNTIFS(Formulas!$A$2:$A$1501,AB$4,Formulas!$B$2:$B$1501,$A180))</f>
        <v>0</v>
      </c>
      <c r="AC180" s="21" t="n">
        <f aca="false">IF(OR($A180="",AC$4=""),0,COUNTIFS(Formulas!$A$2:$A$1501,AC$4,Formulas!$B$2:$B$1501,$A180))</f>
        <v>0</v>
      </c>
      <c r="AD180" s="21" t="n">
        <f aca="false">IF(OR($A180="",AD$4=""),0,COUNTIFS(Formulas!$A$2:$A$1501,AD$4,Formulas!$B$2:$B$1501,$A180))</f>
        <v>0</v>
      </c>
      <c r="AE180" s="21" t="n">
        <f aca="false">IF(OR($A180="",AE$4=""),0,COUNTIFS(Formulas!$A$2:$A$1501,AE$4,Formulas!$B$2:$B$1501,$A180))</f>
        <v>0</v>
      </c>
      <c r="AF180" s="21" t="n">
        <f aca="false">IF(OR($A180="",AF$4=""),0,COUNTIFS(Formulas!$A$2:$A$1501,AF$4,Formulas!$B$2:$B$1501,$A180))</f>
        <v>0</v>
      </c>
      <c r="AG180" s="21" t="n">
        <f aca="false">IF(OR($A180="",AG$4=""),0,COUNTIFS(Formulas!$A$2:$A$1501,AG$4,Formulas!$B$2:$B$1501,$A180))</f>
        <v>0</v>
      </c>
      <c r="AH180" s="21" t="n">
        <f aca="false">IF(OR($A180="",AH$4=""),0,COUNTIFS(Formulas!$A$2:$A$1501,AH$4,Formulas!$B$2:$B$1501,$A180))</f>
        <v>0</v>
      </c>
      <c r="AI180" s="21" t="n">
        <f aca="false">IF(OR($A180="",AI$4=""),0,COUNTIFS(Formulas!$A$2:$A$1501,AI$4,Formulas!$B$2:$B$1501,$A180))</f>
        <v>0</v>
      </c>
      <c r="AJ180" s="21" t="n">
        <f aca="false">IF(OR($A180="",AJ$4=""),0,COUNTIFS(Formulas!$A$2:$A$1501,AJ$4,Formulas!$B$2:$B$1501,$A180))</f>
        <v>0</v>
      </c>
      <c r="AK180" s="21" t="n">
        <f aca="false">IF(OR($A180="",AK$4=""),0,COUNTIFS(Formulas!$A$2:$A$1501,AK$4,Formulas!$B$2:$B$1501,$A180))</f>
        <v>0</v>
      </c>
      <c r="AL180" s="21" t="n">
        <f aca="false">IF(OR($A180="",AL$4=""),0,COUNTIFS(Formulas!$A$2:$A$1501,AL$4,Formulas!$B$2:$B$1501,$A180))</f>
        <v>0</v>
      </c>
      <c r="AM180" s="21" t="n">
        <f aca="false">IF(OR($A180="",AM$4=""),0,COUNTIFS(Formulas!$A$2:$A$1501,AM$4,Formulas!$B$2:$B$1501,$A180))</f>
        <v>0</v>
      </c>
      <c r="AN180" s="21" t="n">
        <f aca="false">IF(OR($A180="",AN$4=""),0,COUNTIFS(Formulas!$A$2:$A$1501,AN$4,Formulas!$B$2:$B$1501,$A180))</f>
        <v>0</v>
      </c>
      <c r="AO180" s="21" t="n">
        <f aca="false">IF(OR($A180="",AO$4=""),0,COUNTIFS(Formulas!$A$2:$A$1501,AO$4,Formulas!$B$2:$B$1501,$A180))</f>
        <v>0</v>
      </c>
      <c r="AP180" s="21" t="n">
        <f aca="false">IF(OR($A180="",AP$4=""),0,COUNTIFS(Formulas!$A$2:$A$1501,AP$4,Formulas!$B$2:$B$1501,$A180))</f>
        <v>0</v>
      </c>
      <c r="AQ180" s="21" t="n">
        <f aca="false">IF(OR($A180="",AQ$4=""),0,COUNTIFS(Formulas!$A$2:$A$1501,AQ$4,Formulas!$B$2:$B$1501,$A180))</f>
        <v>0</v>
      </c>
      <c r="AR180" s="21" t="n">
        <f aca="false">IF(OR($A180="",AR$4=""),0,COUNTIFS(Formulas!$A$2:$A$1501,AR$4,Formulas!$B$2:$B$1501,$A180))</f>
        <v>0</v>
      </c>
      <c r="AS180" s="21" t="n">
        <f aca="false">IF(OR($A180="",AS$4=""),0,COUNTIFS(Formulas!$A$2:$A$1501,AS$4,Formulas!$B$2:$B$1501,$A180))</f>
        <v>0</v>
      </c>
      <c r="AT180" s="21" t="n">
        <f aca="false">IF(OR($A180="",AT$4=""),0,COUNTIFS(Formulas!$A$2:$A$1501,AT$4,Formulas!$B$2:$B$1501,$A180))</f>
        <v>0</v>
      </c>
      <c r="AU180" s="21" t="n">
        <f aca="false">IF(OR($A180="",AU$4=""),0,COUNTIFS(Formulas!$A$2:$A$1501,AU$4,Formulas!$B$2:$B$1501,$A180))</f>
        <v>0</v>
      </c>
      <c r="AV180" s="21" t="n">
        <f aca="false">IF(OR($A180="",AV$4=""),0,COUNTIFS(Formulas!$A$2:$A$1501,AV$4,Formulas!$B$2:$B$1501,$A180))</f>
        <v>0</v>
      </c>
      <c r="AW180" s="21" t="n">
        <f aca="false">IF(OR($A180="",AW$4=""),0,COUNTIFS(Formulas!$A$2:$A$1501,AW$4,Formulas!$B$2:$B$1501,$A180))</f>
        <v>0</v>
      </c>
      <c r="AX180" s="21" t="n">
        <f aca="false">IF(OR($A180="",AX$4=""),0,COUNTIFS(Formulas!$A$2:$A$1501,AX$4,Formulas!$B$2:$B$1501,$A180))</f>
        <v>0</v>
      </c>
      <c r="AY180" s="21" t="n">
        <f aca="false">IF(OR($A180="",AY$4=""),0,COUNTIFS(Formulas!$A$2:$A$1501,AY$4,Formulas!$B$2:$B$1501,$A180))</f>
        <v>0</v>
      </c>
      <c r="AZ180" s="21" t="n">
        <f aca="false">IF(OR($A180="",AZ$4=""),0,COUNTIFS(Formulas!$A$2:$A$1501,AZ$4,Formulas!$B$2:$B$1501,$A180))</f>
        <v>0</v>
      </c>
      <c r="BA180" s="21" t="n">
        <f aca="false">IF(OR($A180="",BA$4=""),0,COUNTIFS(Formulas!$A$2:$A$1501,BA$4,Formulas!$B$2:$B$1501,$A180))</f>
        <v>0</v>
      </c>
      <c r="BB180" s="21" t="n">
        <f aca="false">IF(OR($A180="",BB$4=""),0,COUNTIFS(Formulas!$A$2:$A$1501,BB$4,Formulas!$B$2:$B$1501,$A180))</f>
        <v>0</v>
      </c>
      <c r="BC180" s="21" t="n">
        <f aca="false">IF(OR($A180="",BC$4=""),0,COUNTIFS(Formulas!$A$2:$A$1501,BC$4,Formulas!$B$2:$B$1501,$A180))</f>
        <v>0</v>
      </c>
      <c r="BD180" s="21" t="n">
        <f aca="false">IF(OR($A180="",BD$4=""),0,COUNTIFS(Formulas!$A$2:$A$1501,BD$4,Formulas!$B$2:$B$1501,$A180))</f>
        <v>0</v>
      </c>
      <c r="BE180" s="21" t="n">
        <f aca="false">IF(OR($A180="",BE$4=""),0,COUNTIFS(Formulas!$A$2:$A$1501,BE$4,Formulas!$B$2:$B$1501,$A180))</f>
        <v>0</v>
      </c>
      <c r="BF180" s="21" t="n">
        <f aca="false">IF(OR($A180="",BF$4=""),0,COUNTIFS(Formulas!$A$2:$A$1501,BF$4,Formulas!$B$2:$B$1501,$A180))</f>
        <v>0</v>
      </c>
      <c r="BG180" s="21" t="n">
        <f aca="false">IF(OR($A180="",BG$4=""),0,COUNTIFS(Formulas!$A$2:$A$1501,BG$4,Formulas!$B$2:$B$1501,$A180))</f>
        <v>0</v>
      </c>
      <c r="BH180" s="21" t="n">
        <f aca="false">IF(OR($A180="",BH$4=""),0,COUNTIFS(Formulas!$A$2:$A$1501,BH$4,Formulas!$B$2:$B$1501,$A180))</f>
        <v>0</v>
      </c>
      <c r="BI180" s="21" t="n">
        <f aca="false">IF(OR($A180="",BI$4=""),0,COUNTIFS(Formulas!$A$2:$A$1501,BI$4,Formulas!$B$2:$B$1501,$A180))</f>
        <v>0</v>
      </c>
      <c r="BJ180" s="21" t="n">
        <f aca="false">IF(OR($A180="",BJ$4=""),0,COUNTIFS(Formulas!$A$2:$A$1501,BJ$4,Formulas!$B$2:$B$1501,$A180))</f>
        <v>0</v>
      </c>
    </row>
    <row r="181" customFormat="false" ht="15" hidden="false" customHeight="false" outlineLevel="0" collapsed="false">
      <c r="A181" s="13" t="str">
        <f aca="false">IF(INDEX(Materials!$A$2:$A$201,177)="","",INDEX(Materials!$A$2:$A$201,177))</f>
        <v/>
      </c>
      <c r="B181" s="19" t="str">
        <f aca="false">IF(A181="","",COUNTIF(C181:BJ181,"&gt;0"))</f>
        <v/>
      </c>
      <c r="C181" s="21" t="n">
        <f aca="false">IF(OR($A181="",C$4=""),0,COUNTIFS(Formulas!$A$2:$A$1501,C$4,Formulas!$B$2:$B$1501,$A181))</f>
        <v>0</v>
      </c>
      <c r="D181" s="21" t="n">
        <f aca="false">IF(OR($A181="",D$4=""),0,COUNTIFS(Formulas!$A$2:$A$1501,D$4,Formulas!$B$2:$B$1501,$A181))</f>
        <v>0</v>
      </c>
      <c r="E181" s="21" t="n">
        <f aca="false">IF(OR($A181="",E$4=""),0,COUNTIFS(Formulas!$A$2:$A$1501,E$4,Formulas!$B$2:$B$1501,$A181))</f>
        <v>0</v>
      </c>
      <c r="F181" s="21" t="n">
        <f aca="false">IF(OR($A181="",F$4=""),0,COUNTIFS(Formulas!$A$2:$A$1501,F$4,Formulas!$B$2:$B$1501,$A181))</f>
        <v>0</v>
      </c>
      <c r="G181" s="21" t="n">
        <f aca="false">IF(OR($A181="",G$4=""),0,COUNTIFS(Formulas!$A$2:$A$1501,G$4,Formulas!$B$2:$B$1501,$A181))</f>
        <v>0</v>
      </c>
      <c r="H181" s="21" t="n">
        <f aca="false">IF(OR($A181="",H$4=""),0,COUNTIFS(Formulas!$A$2:$A$1501,H$4,Formulas!$B$2:$B$1501,$A181))</f>
        <v>0</v>
      </c>
      <c r="I181" s="21" t="n">
        <f aca="false">IF(OR($A181="",I$4=""),0,COUNTIFS(Formulas!$A$2:$A$1501,I$4,Formulas!$B$2:$B$1501,$A181))</f>
        <v>0</v>
      </c>
      <c r="J181" s="21" t="n">
        <f aca="false">IF(OR($A181="",J$4=""),0,COUNTIFS(Formulas!$A$2:$A$1501,J$4,Formulas!$B$2:$B$1501,$A181))</f>
        <v>0</v>
      </c>
      <c r="K181" s="21" t="n">
        <f aca="false">IF(OR($A181="",K$4=""),0,COUNTIFS(Formulas!$A$2:$A$1501,K$4,Formulas!$B$2:$B$1501,$A181))</f>
        <v>0</v>
      </c>
      <c r="L181" s="21" t="n">
        <f aca="false">IF(OR($A181="",L$4=""),0,COUNTIFS(Formulas!$A$2:$A$1501,L$4,Formulas!$B$2:$B$1501,$A181))</f>
        <v>0</v>
      </c>
      <c r="M181" s="21" t="n">
        <f aca="false">IF(OR($A181="",M$4=""),0,COUNTIFS(Formulas!$A$2:$A$1501,M$4,Formulas!$B$2:$B$1501,$A181))</f>
        <v>0</v>
      </c>
      <c r="N181" s="21" t="n">
        <f aca="false">IF(OR($A181="",N$4=""),0,COUNTIFS(Formulas!$A$2:$A$1501,N$4,Formulas!$B$2:$B$1501,$A181))</f>
        <v>0</v>
      </c>
      <c r="O181" s="21" t="n">
        <f aca="false">IF(OR($A181="",O$4=""),0,COUNTIFS(Formulas!$A$2:$A$1501,O$4,Formulas!$B$2:$B$1501,$A181))</f>
        <v>0</v>
      </c>
      <c r="P181" s="21" t="n">
        <f aca="false">IF(OR($A181="",P$4=""),0,COUNTIFS(Formulas!$A$2:$A$1501,P$4,Formulas!$B$2:$B$1501,$A181))</f>
        <v>0</v>
      </c>
      <c r="Q181" s="21" t="n">
        <f aca="false">IF(OR($A181="",Q$4=""),0,COUNTIFS(Formulas!$A$2:$A$1501,Q$4,Formulas!$B$2:$B$1501,$A181))</f>
        <v>0</v>
      </c>
      <c r="R181" s="21" t="n">
        <f aca="false">IF(OR($A181="",R$4=""),0,COUNTIFS(Formulas!$A$2:$A$1501,R$4,Formulas!$B$2:$B$1501,$A181))</f>
        <v>0</v>
      </c>
      <c r="S181" s="21" t="n">
        <f aca="false">IF(OR($A181="",S$4=""),0,COUNTIFS(Formulas!$A$2:$A$1501,S$4,Formulas!$B$2:$B$1501,$A181))</f>
        <v>0</v>
      </c>
      <c r="T181" s="21" t="n">
        <f aca="false">IF(OR($A181="",T$4=""),0,COUNTIFS(Formulas!$A$2:$A$1501,T$4,Formulas!$B$2:$B$1501,$A181))</f>
        <v>0</v>
      </c>
      <c r="U181" s="21" t="n">
        <f aca="false">IF(OR($A181="",U$4=""),0,COUNTIFS(Formulas!$A$2:$A$1501,U$4,Formulas!$B$2:$B$1501,$A181))</f>
        <v>0</v>
      </c>
      <c r="V181" s="21" t="n">
        <f aca="false">IF(OR($A181="",V$4=""),0,COUNTIFS(Formulas!$A$2:$A$1501,V$4,Formulas!$B$2:$B$1501,$A181))</f>
        <v>0</v>
      </c>
      <c r="W181" s="21" t="n">
        <f aca="false">IF(OR($A181="",W$4=""),0,COUNTIFS(Formulas!$A$2:$A$1501,W$4,Formulas!$B$2:$B$1501,$A181))</f>
        <v>0</v>
      </c>
      <c r="X181" s="21" t="n">
        <f aca="false">IF(OR($A181="",X$4=""),0,COUNTIFS(Formulas!$A$2:$A$1501,X$4,Formulas!$B$2:$B$1501,$A181))</f>
        <v>0</v>
      </c>
      <c r="Y181" s="21" t="n">
        <f aca="false">IF(OR($A181="",Y$4=""),0,COUNTIFS(Formulas!$A$2:$A$1501,Y$4,Formulas!$B$2:$B$1501,$A181))</f>
        <v>0</v>
      </c>
      <c r="Z181" s="21" t="n">
        <f aca="false">IF(OR($A181="",Z$4=""),0,COUNTIFS(Formulas!$A$2:$A$1501,Z$4,Formulas!$B$2:$B$1501,$A181))</f>
        <v>0</v>
      </c>
      <c r="AA181" s="21" t="n">
        <f aca="false">IF(OR($A181="",AA$4=""),0,COUNTIFS(Formulas!$A$2:$A$1501,AA$4,Formulas!$B$2:$B$1501,$A181))</f>
        <v>0</v>
      </c>
      <c r="AB181" s="21" t="n">
        <f aca="false">IF(OR($A181="",AB$4=""),0,COUNTIFS(Formulas!$A$2:$A$1501,AB$4,Formulas!$B$2:$B$1501,$A181))</f>
        <v>0</v>
      </c>
      <c r="AC181" s="21" t="n">
        <f aca="false">IF(OR($A181="",AC$4=""),0,COUNTIFS(Formulas!$A$2:$A$1501,AC$4,Formulas!$B$2:$B$1501,$A181))</f>
        <v>0</v>
      </c>
      <c r="AD181" s="21" t="n">
        <f aca="false">IF(OR($A181="",AD$4=""),0,COUNTIFS(Formulas!$A$2:$A$1501,AD$4,Formulas!$B$2:$B$1501,$A181))</f>
        <v>0</v>
      </c>
      <c r="AE181" s="21" t="n">
        <f aca="false">IF(OR($A181="",AE$4=""),0,COUNTIFS(Formulas!$A$2:$A$1501,AE$4,Formulas!$B$2:$B$1501,$A181))</f>
        <v>0</v>
      </c>
      <c r="AF181" s="21" t="n">
        <f aca="false">IF(OR($A181="",AF$4=""),0,COUNTIFS(Formulas!$A$2:$A$1501,AF$4,Formulas!$B$2:$B$1501,$A181))</f>
        <v>0</v>
      </c>
      <c r="AG181" s="21" t="n">
        <f aca="false">IF(OR($A181="",AG$4=""),0,COUNTIFS(Formulas!$A$2:$A$1501,AG$4,Formulas!$B$2:$B$1501,$A181))</f>
        <v>0</v>
      </c>
      <c r="AH181" s="21" t="n">
        <f aca="false">IF(OR($A181="",AH$4=""),0,COUNTIFS(Formulas!$A$2:$A$1501,AH$4,Formulas!$B$2:$B$1501,$A181))</f>
        <v>0</v>
      </c>
      <c r="AI181" s="21" t="n">
        <f aca="false">IF(OR($A181="",AI$4=""),0,COUNTIFS(Formulas!$A$2:$A$1501,AI$4,Formulas!$B$2:$B$1501,$A181))</f>
        <v>0</v>
      </c>
      <c r="AJ181" s="21" t="n">
        <f aca="false">IF(OR($A181="",AJ$4=""),0,COUNTIFS(Formulas!$A$2:$A$1501,AJ$4,Formulas!$B$2:$B$1501,$A181))</f>
        <v>0</v>
      </c>
      <c r="AK181" s="21" t="n">
        <f aca="false">IF(OR($A181="",AK$4=""),0,COUNTIFS(Formulas!$A$2:$A$1501,AK$4,Formulas!$B$2:$B$1501,$A181))</f>
        <v>0</v>
      </c>
      <c r="AL181" s="21" t="n">
        <f aca="false">IF(OR($A181="",AL$4=""),0,COUNTIFS(Formulas!$A$2:$A$1501,AL$4,Formulas!$B$2:$B$1501,$A181))</f>
        <v>0</v>
      </c>
      <c r="AM181" s="21" t="n">
        <f aca="false">IF(OR($A181="",AM$4=""),0,COUNTIFS(Formulas!$A$2:$A$1501,AM$4,Formulas!$B$2:$B$1501,$A181))</f>
        <v>0</v>
      </c>
      <c r="AN181" s="21" t="n">
        <f aca="false">IF(OR($A181="",AN$4=""),0,COUNTIFS(Formulas!$A$2:$A$1501,AN$4,Formulas!$B$2:$B$1501,$A181))</f>
        <v>0</v>
      </c>
      <c r="AO181" s="21" t="n">
        <f aca="false">IF(OR($A181="",AO$4=""),0,COUNTIFS(Formulas!$A$2:$A$1501,AO$4,Formulas!$B$2:$B$1501,$A181))</f>
        <v>0</v>
      </c>
      <c r="AP181" s="21" t="n">
        <f aca="false">IF(OR($A181="",AP$4=""),0,COUNTIFS(Formulas!$A$2:$A$1501,AP$4,Formulas!$B$2:$B$1501,$A181))</f>
        <v>0</v>
      </c>
      <c r="AQ181" s="21" t="n">
        <f aca="false">IF(OR($A181="",AQ$4=""),0,COUNTIFS(Formulas!$A$2:$A$1501,AQ$4,Formulas!$B$2:$B$1501,$A181))</f>
        <v>0</v>
      </c>
      <c r="AR181" s="21" t="n">
        <f aca="false">IF(OR($A181="",AR$4=""),0,COUNTIFS(Formulas!$A$2:$A$1501,AR$4,Formulas!$B$2:$B$1501,$A181))</f>
        <v>0</v>
      </c>
      <c r="AS181" s="21" t="n">
        <f aca="false">IF(OR($A181="",AS$4=""),0,COUNTIFS(Formulas!$A$2:$A$1501,AS$4,Formulas!$B$2:$B$1501,$A181))</f>
        <v>0</v>
      </c>
      <c r="AT181" s="21" t="n">
        <f aca="false">IF(OR($A181="",AT$4=""),0,COUNTIFS(Formulas!$A$2:$A$1501,AT$4,Formulas!$B$2:$B$1501,$A181))</f>
        <v>0</v>
      </c>
      <c r="AU181" s="21" t="n">
        <f aca="false">IF(OR($A181="",AU$4=""),0,COUNTIFS(Formulas!$A$2:$A$1501,AU$4,Formulas!$B$2:$B$1501,$A181))</f>
        <v>0</v>
      </c>
      <c r="AV181" s="21" t="n">
        <f aca="false">IF(OR($A181="",AV$4=""),0,COUNTIFS(Formulas!$A$2:$A$1501,AV$4,Formulas!$B$2:$B$1501,$A181))</f>
        <v>0</v>
      </c>
      <c r="AW181" s="21" t="n">
        <f aca="false">IF(OR($A181="",AW$4=""),0,COUNTIFS(Formulas!$A$2:$A$1501,AW$4,Formulas!$B$2:$B$1501,$A181))</f>
        <v>0</v>
      </c>
      <c r="AX181" s="21" t="n">
        <f aca="false">IF(OR($A181="",AX$4=""),0,COUNTIFS(Formulas!$A$2:$A$1501,AX$4,Formulas!$B$2:$B$1501,$A181))</f>
        <v>0</v>
      </c>
      <c r="AY181" s="21" t="n">
        <f aca="false">IF(OR($A181="",AY$4=""),0,COUNTIFS(Formulas!$A$2:$A$1501,AY$4,Formulas!$B$2:$B$1501,$A181))</f>
        <v>0</v>
      </c>
      <c r="AZ181" s="21" t="n">
        <f aca="false">IF(OR($A181="",AZ$4=""),0,COUNTIFS(Formulas!$A$2:$A$1501,AZ$4,Formulas!$B$2:$B$1501,$A181))</f>
        <v>0</v>
      </c>
      <c r="BA181" s="21" t="n">
        <f aca="false">IF(OR($A181="",BA$4=""),0,COUNTIFS(Formulas!$A$2:$A$1501,BA$4,Formulas!$B$2:$B$1501,$A181))</f>
        <v>0</v>
      </c>
      <c r="BB181" s="21" t="n">
        <f aca="false">IF(OR($A181="",BB$4=""),0,COUNTIFS(Formulas!$A$2:$A$1501,BB$4,Formulas!$B$2:$B$1501,$A181))</f>
        <v>0</v>
      </c>
      <c r="BC181" s="21" t="n">
        <f aca="false">IF(OR($A181="",BC$4=""),0,COUNTIFS(Formulas!$A$2:$A$1501,BC$4,Formulas!$B$2:$B$1501,$A181))</f>
        <v>0</v>
      </c>
      <c r="BD181" s="21" t="n">
        <f aca="false">IF(OR($A181="",BD$4=""),0,COUNTIFS(Formulas!$A$2:$A$1501,BD$4,Formulas!$B$2:$B$1501,$A181))</f>
        <v>0</v>
      </c>
      <c r="BE181" s="21" t="n">
        <f aca="false">IF(OR($A181="",BE$4=""),0,COUNTIFS(Formulas!$A$2:$A$1501,BE$4,Formulas!$B$2:$B$1501,$A181))</f>
        <v>0</v>
      </c>
      <c r="BF181" s="21" t="n">
        <f aca="false">IF(OR($A181="",BF$4=""),0,COUNTIFS(Formulas!$A$2:$A$1501,BF$4,Formulas!$B$2:$B$1501,$A181))</f>
        <v>0</v>
      </c>
      <c r="BG181" s="21" t="n">
        <f aca="false">IF(OR($A181="",BG$4=""),0,COUNTIFS(Formulas!$A$2:$A$1501,BG$4,Formulas!$B$2:$B$1501,$A181))</f>
        <v>0</v>
      </c>
      <c r="BH181" s="21" t="n">
        <f aca="false">IF(OR($A181="",BH$4=""),0,COUNTIFS(Formulas!$A$2:$A$1501,BH$4,Formulas!$B$2:$B$1501,$A181))</f>
        <v>0</v>
      </c>
      <c r="BI181" s="21" t="n">
        <f aca="false">IF(OR($A181="",BI$4=""),0,COUNTIFS(Formulas!$A$2:$A$1501,BI$4,Formulas!$B$2:$B$1501,$A181))</f>
        <v>0</v>
      </c>
      <c r="BJ181" s="21" t="n">
        <f aca="false">IF(OR($A181="",BJ$4=""),0,COUNTIFS(Formulas!$A$2:$A$1501,BJ$4,Formulas!$B$2:$B$1501,$A181))</f>
        <v>0</v>
      </c>
    </row>
    <row r="182" customFormat="false" ht="15" hidden="false" customHeight="false" outlineLevel="0" collapsed="false">
      <c r="A182" s="13" t="str">
        <f aca="false">IF(INDEX(Materials!$A$2:$A$201,178)="","",INDEX(Materials!$A$2:$A$201,178))</f>
        <v/>
      </c>
      <c r="B182" s="19" t="str">
        <f aca="false">IF(A182="","",COUNTIF(C182:BJ182,"&gt;0"))</f>
        <v/>
      </c>
      <c r="C182" s="21" t="n">
        <f aca="false">IF(OR($A182="",C$4=""),0,COUNTIFS(Formulas!$A$2:$A$1501,C$4,Formulas!$B$2:$B$1501,$A182))</f>
        <v>0</v>
      </c>
      <c r="D182" s="21" t="n">
        <f aca="false">IF(OR($A182="",D$4=""),0,COUNTIFS(Formulas!$A$2:$A$1501,D$4,Formulas!$B$2:$B$1501,$A182))</f>
        <v>0</v>
      </c>
      <c r="E182" s="21" t="n">
        <f aca="false">IF(OR($A182="",E$4=""),0,COUNTIFS(Formulas!$A$2:$A$1501,E$4,Formulas!$B$2:$B$1501,$A182))</f>
        <v>0</v>
      </c>
      <c r="F182" s="21" t="n">
        <f aca="false">IF(OR($A182="",F$4=""),0,COUNTIFS(Formulas!$A$2:$A$1501,F$4,Formulas!$B$2:$B$1501,$A182))</f>
        <v>0</v>
      </c>
      <c r="G182" s="21" t="n">
        <f aca="false">IF(OR($A182="",G$4=""),0,COUNTIFS(Formulas!$A$2:$A$1501,G$4,Formulas!$B$2:$B$1501,$A182))</f>
        <v>0</v>
      </c>
      <c r="H182" s="21" t="n">
        <f aca="false">IF(OR($A182="",H$4=""),0,COUNTIFS(Formulas!$A$2:$A$1501,H$4,Formulas!$B$2:$B$1501,$A182))</f>
        <v>0</v>
      </c>
      <c r="I182" s="21" t="n">
        <f aca="false">IF(OR($A182="",I$4=""),0,COUNTIFS(Formulas!$A$2:$A$1501,I$4,Formulas!$B$2:$B$1501,$A182))</f>
        <v>0</v>
      </c>
      <c r="J182" s="21" t="n">
        <f aca="false">IF(OR($A182="",J$4=""),0,COUNTIFS(Formulas!$A$2:$A$1501,J$4,Formulas!$B$2:$B$1501,$A182))</f>
        <v>0</v>
      </c>
      <c r="K182" s="21" t="n">
        <f aca="false">IF(OR($A182="",K$4=""),0,COUNTIFS(Formulas!$A$2:$A$1501,K$4,Formulas!$B$2:$B$1501,$A182))</f>
        <v>0</v>
      </c>
      <c r="L182" s="21" t="n">
        <f aca="false">IF(OR($A182="",L$4=""),0,COUNTIFS(Formulas!$A$2:$A$1501,L$4,Formulas!$B$2:$B$1501,$A182))</f>
        <v>0</v>
      </c>
      <c r="M182" s="21" t="n">
        <f aca="false">IF(OR($A182="",M$4=""),0,COUNTIFS(Formulas!$A$2:$A$1501,M$4,Formulas!$B$2:$B$1501,$A182))</f>
        <v>0</v>
      </c>
      <c r="N182" s="21" t="n">
        <f aca="false">IF(OR($A182="",N$4=""),0,COUNTIFS(Formulas!$A$2:$A$1501,N$4,Formulas!$B$2:$B$1501,$A182))</f>
        <v>0</v>
      </c>
      <c r="O182" s="21" t="n">
        <f aca="false">IF(OR($A182="",O$4=""),0,COUNTIFS(Formulas!$A$2:$A$1501,O$4,Formulas!$B$2:$B$1501,$A182))</f>
        <v>0</v>
      </c>
      <c r="P182" s="21" t="n">
        <f aca="false">IF(OR($A182="",P$4=""),0,COUNTIFS(Formulas!$A$2:$A$1501,P$4,Formulas!$B$2:$B$1501,$A182))</f>
        <v>0</v>
      </c>
      <c r="Q182" s="21" t="n">
        <f aca="false">IF(OR($A182="",Q$4=""),0,COUNTIFS(Formulas!$A$2:$A$1501,Q$4,Formulas!$B$2:$B$1501,$A182))</f>
        <v>0</v>
      </c>
      <c r="R182" s="21" t="n">
        <f aca="false">IF(OR($A182="",R$4=""),0,COUNTIFS(Formulas!$A$2:$A$1501,R$4,Formulas!$B$2:$B$1501,$A182))</f>
        <v>0</v>
      </c>
      <c r="S182" s="21" t="n">
        <f aca="false">IF(OR($A182="",S$4=""),0,COUNTIFS(Formulas!$A$2:$A$1501,S$4,Formulas!$B$2:$B$1501,$A182))</f>
        <v>0</v>
      </c>
      <c r="T182" s="21" t="n">
        <f aca="false">IF(OR($A182="",T$4=""),0,COUNTIFS(Formulas!$A$2:$A$1501,T$4,Formulas!$B$2:$B$1501,$A182))</f>
        <v>0</v>
      </c>
      <c r="U182" s="21" t="n">
        <f aca="false">IF(OR($A182="",U$4=""),0,COUNTIFS(Formulas!$A$2:$A$1501,U$4,Formulas!$B$2:$B$1501,$A182))</f>
        <v>0</v>
      </c>
      <c r="V182" s="21" t="n">
        <f aca="false">IF(OR($A182="",V$4=""),0,COUNTIFS(Formulas!$A$2:$A$1501,V$4,Formulas!$B$2:$B$1501,$A182))</f>
        <v>0</v>
      </c>
      <c r="W182" s="21" t="n">
        <f aca="false">IF(OR($A182="",W$4=""),0,COUNTIFS(Formulas!$A$2:$A$1501,W$4,Formulas!$B$2:$B$1501,$A182))</f>
        <v>0</v>
      </c>
      <c r="X182" s="21" t="n">
        <f aca="false">IF(OR($A182="",X$4=""),0,COUNTIFS(Formulas!$A$2:$A$1501,X$4,Formulas!$B$2:$B$1501,$A182))</f>
        <v>0</v>
      </c>
      <c r="Y182" s="21" t="n">
        <f aca="false">IF(OR($A182="",Y$4=""),0,COUNTIFS(Formulas!$A$2:$A$1501,Y$4,Formulas!$B$2:$B$1501,$A182))</f>
        <v>0</v>
      </c>
      <c r="Z182" s="21" t="n">
        <f aca="false">IF(OR($A182="",Z$4=""),0,COUNTIFS(Formulas!$A$2:$A$1501,Z$4,Formulas!$B$2:$B$1501,$A182))</f>
        <v>0</v>
      </c>
      <c r="AA182" s="21" t="n">
        <f aca="false">IF(OR($A182="",AA$4=""),0,COUNTIFS(Formulas!$A$2:$A$1501,AA$4,Formulas!$B$2:$B$1501,$A182))</f>
        <v>0</v>
      </c>
      <c r="AB182" s="21" t="n">
        <f aca="false">IF(OR($A182="",AB$4=""),0,COUNTIFS(Formulas!$A$2:$A$1501,AB$4,Formulas!$B$2:$B$1501,$A182))</f>
        <v>0</v>
      </c>
      <c r="AC182" s="21" t="n">
        <f aca="false">IF(OR($A182="",AC$4=""),0,COUNTIFS(Formulas!$A$2:$A$1501,AC$4,Formulas!$B$2:$B$1501,$A182))</f>
        <v>0</v>
      </c>
      <c r="AD182" s="21" t="n">
        <f aca="false">IF(OR($A182="",AD$4=""),0,COUNTIFS(Formulas!$A$2:$A$1501,AD$4,Formulas!$B$2:$B$1501,$A182))</f>
        <v>0</v>
      </c>
      <c r="AE182" s="21" t="n">
        <f aca="false">IF(OR($A182="",AE$4=""),0,COUNTIFS(Formulas!$A$2:$A$1501,AE$4,Formulas!$B$2:$B$1501,$A182))</f>
        <v>0</v>
      </c>
      <c r="AF182" s="21" t="n">
        <f aca="false">IF(OR($A182="",AF$4=""),0,COUNTIFS(Formulas!$A$2:$A$1501,AF$4,Formulas!$B$2:$B$1501,$A182))</f>
        <v>0</v>
      </c>
      <c r="AG182" s="21" t="n">
        <f aca="false">IF(OR($A182="",AG$4=""),0,COUNTIFS(Formulas!$A$2:$A$1501,AG$4,Formulas!$B$2:$B$1501,$A182))</f>
        <v>0</v>
      </c>
      <c r="AH182" s="21" t="n">
        <f aca="false">IF(OR($A182="",AH$4=""),0,COUNTIFS(Formulas!$A$2:$A$1501,AH$4,Formulas!$B$2:$B$1501,$A182))</f>
        <v>0</v>
      </c>
      <c r="AI182" s="21" t="n">
        <f aca="false">IF(OR($A182="",AI$4=""),0,COUNTIFS(Formulas!$A$2:$A$1501,AI$4,Formulas!$B$2:$B$1501,$A182))</f>
        <v>0</v>
      </c>
      <c r="AJ182" s="21" t="n">
        <f aca="false">IF(OR($A182="",AJ$4=""),0,COUNTIFS(Formulas!$A$2:$A$1501,AJ$4,Formulas!$B$2:$B$1501,$A182))</f>
        <v>0</v>
      </c>
      <c r="AK182" s="21" t="n">
        <f aca="false">IF(OR($A182="",AK$4=""),0,COUNTIFS(Formulas!$A$2:$A$1501,AK$4,Formulas!$B$2:$B$1501,$A182))</f>
        <v>0</v>
      </c>
      <c r="AL182" s="21" t="n">
        <f aca="false">IF(OR($A182="",AL$4=""),0,COUNTIFS(Formulas!$A$2:$A$1501,AL$4,Formulas!$B$2:$B$1501,$A182))</f>
        <v>0</v>
      </c>
      <c r="AM182" s="21" t="n">
        <f aca="false">IF(OR($A182="",AM$4=""),0,COUNTIFS(Formulas!$A$2:$A$1501,AM$4,Formulas!$B$2:$B$1501,$A182))</f>
        <v>0</v>
      </c>
      <c r="AN182" s="21" t="n">
        <f aca="false">IF(OR($A182="",AN$4=""),0,COUNTIFS(Formulas!$A$2:$A$1501,AN$4,Formulas!$B$2:$B$1501,$A182))</f>
        <v>0</v>
      </c>
      <c r="AO182" s="21" t="n">
        <f aca="false">IF(OR($A182="",AO$4=""),0,COUNTIFS(Formulas!$A$2:$A$1501,AO$4,Formulas!$B$2:$B$1501,$A182))</f>
        <v>0</v>
      </c>
      <c r="AP182" s="21" t="n">
        <f aca="false">IF(OR($A182="",AP$4=""),0,COUNTIFS(Formulas!$A$2:$A$1501,AP$4,Formulas!$B$2:$B$1501,$A182))</f>
        <v>0</v>
      </c>
      <c r="AQ182" s="21" t="n">
        <f aca="false">IF(OR($A182="",AQ$4=""),0,COUNTIFS(Formulas!$A$2:$A$1501,AQ$4,Formulas!$B$2:$B$1501,$A182))</f>
        <v>0</v>
      </c>
      <c r="AR182" s="21" t="n">
        <f aca="false">IF(OR($A182="",AR$4=""),0,COUNTIFS(Formulas!$A$2:$A$1501,AR$4,Formulas!$B$2:$B$1501,$A182))</f>
        <v>0</v>
      </c>
      <c r="AS182" s="21" t="n">
        <f aca="false">IF(OR($A182="",AS$4=""),0,COUNTIFS(Formulas!$A$2:$A$1501,AS$4,Formulas!$B$2:$B$1501,$A182))</f>
        <v>0</v>
      </c>
      <c r="AT182" s="21" t="n">
        <f aca="false">IF(OR($A182="",AT$4=""),0,COUNTIFS(Formulas!$A$2:$A$1501,AT$4,Formulas!$B$2:$B$1501,$A182))</f>
        <v>0</v>
      </c>
      <c r="AU182" s="21" t="n">
        <f aca="false">IF(OR($A182="",AU$4=""),0,COUNTIFS(Formulas!$A$2:$A$1501,AU$4,Formulas!$B$2:$B$1501,$A182))</f>
        <v>0</v>
      </c>
      <c r="AV182" s="21" t="n">
        <f aca="false">IF(OR($A182="",AV$4=""),0,COUNTIFS(Formulas!$A$2:$A$1501,AV$4,Formulas!$B$2:$B$1501,$A182))</f>
        <v>0</v>
      </c>
      <c r="AW182" s="21" t="n">
        <f aca="false">IF(OR($A182="",AW$4=""),0,COUNTIFS(Formulas!$A$2:$A$1501,AW$4,Formulas!$B$2:$B$1501,$A182))</f>
        <v>0</v>
      </c>
      <c r="AX182" s="21" t="n">
        <f aca="false">IF(OR($A182="",AX$4=""),0,COUNTIFS(Formulas!$A$2:$A$1501,AX$4,Formulas!$B$2:$B$1501,$A182))</f>
        <v>0</v>
      </c>
      <c r="AY182" s="21" t="n">
        <f aca="false">IF(OR($A182="",AY$4=""),0,COUNTIFS(Formulas!$A$2:$A$1501,AY$4,Formulas!$B$2:$B$1501,$A182))</f>
        <v>0</v>
      </c>
      <c r="AZ182" s="21" t="n">
        <f aca="false">IF(OR($A182="",AZ$4=""),0,COUNTIFS(Formulas!$A$2:$A$1501,AZ$4,Formulas!$B$2:$B$1501,$A182))</f>
        <v>0</v>
      </c>
      <c r="BA182" s="21" t="n">
        <f aca="false">IF(OR($A182="",BA$4=""),0,COUNTIFS(Formulas!$A$2:$A$1501,BA$4,Formulas!$B$2:$B$1501,$A182))</f>
        <v>0</v>
      </c>
      <c r="BB182" s="21" t="n">
        <f aca="false">IF(OR($A182="",BB$4=""),0,COUNTIFS(Formulas!$A$2:$A$1501,BB$4,Formulas!$B$2:$B$1501,$A182))</f>
        <v>0</v>
      </c>
      <c r="BC182" s="21" t="n">
        <f aca="false">IF(OR($A182="",BC$4=""),0,COUNTIFS(Formulas!$A$2:$A$1501,BC$4,Formulas!$B$2:$B$1501,$A182))</f>
        <v>0</v>
      </c>
      <c r="BD182" s="21" t="n">
        <f aca="false">IF(OR($A182="",BD$4=""),0,COUNTIFS(Formulas!$A$2:$A$1501,BD$4,Formulas!$B$2:$B$1501,$A182))</f>
        <v>0</v>
      </c>
      <c r="BE182" s="21" t="n">
        <f aca="false">IF(OR($A182="",BE$4=""),0,COUNTIFS(Formulas!$A$2:$A$1501,BE$4,Formulas!$B$2:$B$1501,$A182))</f>
        <v>0</v>
      </c>
      <c r="BF182" s="21" t="n">
        <f aca="false">IF(OR($A182="",BF$4=""),0,COUNTIFS(Formulas!$A$2:$A$1501,BF$4,Formulas!$B$2:$B$1501,$A182))</f>
        <v>0</v>
      </c>
      <c r="BG182" s="21" t="n">
        <f aca="false">IF(OR($A182="",BG$4=""),0,COUNTIFS(Formulas!$A$2:$A$1501,BG$4,Formulas!$B$2:$B$1501,$A182))</f>
        <v>0</v>
      </c>
      <c r="BH182" s="21" t="n">
        <f aca="false">IF(OR($A182="",BH$4=""),0,COUNTIFS(Formulas!$A$2:$A$1501,BH$4,Formulas!$B$2:$B$1501,$A182))</f>
        <v>0</v>
      </c>
      <c r="BI182" s="21" t="n">
        <f aca="false">IF(OR($A182="",BI$4=""),0,COUNTIFS(Formulas!$A$2:$A$1501,BI$4,Formulas!$B$2:$B$1501,$A182))</f>
        <v>0</v>
      </c>
      <c r="BJ182" s="21" t="n">
        <f aca="false">IF(OR($A182="",BJ$4=""),0,COUNTIFS(Formulas!$A$2:$A$1501,BJ$4,Formulas!$B$2:$B$1501,$A182))</f>
        <v>0</v>
      </c>
    </row>
    <row r="183" customFormat="false" ht="15" hidden="false" customHeight="false" outlineLevel="0" collapsed="false">
      <c r="A183" s="13" t="str">
        <f aca="false">IF(INDEX(Materials!$A$2:$A$201,179)="","",INDEX(Materials!$A$2:$A$201,179))</f>
        <v/>
      </c>
      <c r="B183" s="19" t="str">
        <f aca="false">IF(A183="","",COUNTIF(C183:BJ183,"&gt;0"))</f>
        <v/>
      </c>
      <c r="C183" s="21" t="n">
        <f aca="false">IF(OR($A183="",C$4=""),0,COUNTIFS(Formulas!$A$2:$A$1501,C$4,Formulas!$B$2:$B$1501,$A183))</f>
        <v>0</v>
      </c>
      <c r="D183" s="21" t="n">
        <f aca="false">IF(OR($A183="",D$4=""),0,COUNTIFS(Formulas!$A$2:$A$1501,D$4,Formulas!$B$2:$B$1501,$A183))</f>
        <v>0</v>
      </c>
      <c r="E183" s="21" t="n">
        <f aca="false">IF(OR($A183="",E$4=""),0,COUNTIFS(Formulas!$A$2:$A$1501,E$4,Formulas!$B$2:$B$1501,$A183))</f>
        <v>0</v>
      </c>
      <c r="F183" s="21" t="n">
        <f aca="false">IF(OR($A183="",F$4=""),0,COUNTIFS(Formulas!$A$2:$A$1501,F$4,Formulas!$B$2:$B$1501,$A183))</f>
        <v>0</v>
      </c>
      <c r="G183" s="21" t="n">
        <f aca="false">IF(OR($A183="",G$4=""),0,COUNTIFS(Formulas!$A$2:$A$1501,G$4,Formulas!$B$2:$B$1501,$A183))</f>
        <v>0</v>
      </c>
      <c r="H183" s="21" t="n">
        <f aca="false">IF(OR($A183="",H$4=""),0,COUNTIFS(Formulas!$A$2:$A$1501,H$4,Formulas!$B$2:$B$1501,$A183))</f>
        <v>0</v>
      </c>
      <c r="I183" s="21" t="n">
        <f aca="false">IF(OR($A183="",I$4=""),0,COUNTIFS(Formulas!$A$2:$A$1501,I$4,Formulas!$B$2:$B$1501,$A183))</f>
        <v>0</v>
      </c>
      <c r="J183" s="21" t="n">
        <f aca="false">IF(OR($A183="",J$4=""),0,COUNTIFS(Formulas!$A$2:$A$1501,J$4,Formulas!$B$2:$B$1501,$A183))</f>
        <v>0</v>
      </c>
      <c r="K183" s="21" t="n">
        <f aca="false">IF(OR($A183="",K$4=""),0,COUNTIFS(Formulas!$A$2:$A$1501,K$4,Formulas!$B$2:$B$1501,$A183))</f>
        <v>0</v>
      </c>
      <c r="L183" s="21" t="n">
        <f aca="false">IF(OR($A183="",L$4=""),0,COUNTIFS(Formulas!$A$2:$A$1501,L$4,Formulas!$B$2:$B$1501,$A183))</f>
        <v>0</v>
      </c>
      <c r="M183" s="21" t="n">
        <f aca="false">IF(OR($A183="",M$4=""),0,COUNTIFS(Formulas!$A$2:$A$1501,M$4,Formulas!$B$2:$B$1501,$A183))</f>
        <v>0</v>
      </c>
      <c r="N183" s="21" t="n">
        <f aca="false">IF(OR($A183="",N$4=""),0,COUNTIFS(Formulas!$A$2:$A$1501,N$4,Formulas!$B$2:$B$1501,$A183))</f>
        <v>0</v>
      </c>
      <c r="O183" s="21" t="n">
        <f aca="false">IF(OR($A183="",O$4=""),0,COUNTIFS(Formulas!$A$2:$A$1501,O$4,Formulas!$B$2:$B$1501,$A183))</f>
        <v>0</v>
      </c>
      <c r="P183" s="21" t="n">
        <f aca="false">IF(OR($A183="",P$4=""),0,COUNTIFS(Formulas!$A$2:$A$1501,P$4,Formulas!$B$2:$B$1501,$A183))</f>
        <v>0</v>
      </c>
      <c r="Q183" s="21" t="n">
        <f aca="false">IF(OR($A183="",Q$4=""),0,COUNTIFS(Formulas!$A$2:$A$1501,Q$4,Formulas!$B$2:$B$1501,$A183))</f>
        <v>0</v>
      </c>
      <c r="R183" s="21" t="n">
        <f aca="false">IF(OR($A183="",R$4=""),0,COUNTIFS(Formulas!$A$2:$A$1501,R$4,Formulas!$B$2:$B$1501,$A183))</f>
        <v>0</v>
      </c>
      <c r="S183" s="21" t="n">
        <f aca="false">IF(OR($A183="",S$4=""),0,COUNTIFS(Formulas!$A$2:$A$1501,S$4,Formulas!$B$2:$B$1501,$A183))</f>
        <v>0</v>
      </c>
      <c r="T183" s="21" t="n">
        <f aca="false">IF(OR($A183="",T$4=""),0,COUNTIFS(Formulas!$A$2:$A$1501,T$4,Formulas!$B$2:$B$1501,$A183))</f>
        <v>0</v>
      </c>
      <c r="U183" s="21" t="n">
        <f aca="false">IF(OR($A183="",U$4=""),0,COUNTIFS(Formulas!$A$2:$A$1501,U$4,Formulas!$B$2:$B$1501,$A183))</f>
        <v>0</v>
      </c>
      <c r="V183" s="21" t="n">
        <f aca="false">IF(OR($A183="",V$4=""),0,COUNTIFS(Formulas!$A$2:$A$1501,V$4,Formulas!$B$2:$B$1501,$A183))</f>
        <v>0</v>
      </c>
      <c r="W183" s="21" t="n">
        <f aca="false">IF(OR($A183="",W$4=""),0,COUNTIFS(Formulas!$A$2:$A$1501,W$4,Formulas!$B$2:$B$1501,$A183))</f>
        <v>0</v>
      </c>
      <c r="X183" s="21" t="n">
        <f aca="false">IF(OR($A183="",X$4=""),0,COUNTIFS(Formulas!$A$2:$A$1501,X$4,Formulas!$B$2:$B$1501,$A183))</f>
        <v>0</v>
      </c>
      <c r="Y183" s="21" t="n">
        <f aca="false">IF(OR($A183="",Y$4=""),0,COUNTIFS(Formulas!$A$2:$A$1501,Y$4,Formulas!$B$2:$B$1501,$A183))</f>
        <v>0</v>
      </c>
      <c r="Z183" s="21" t="n">
        <f aca="false">IF(OR($A183="",Z$4=""),0,COUNTIFS(Formulas!$A$2:$A$1501,Z$4,Formulas!$B$2:$B$1501,$A183))</f>
        <v>0</v>
      </c>
      <c r="AA183" s="21" t="n">
        <f aca="false">IF(OR($A183="",AA$4=""),0,COUNTIFS(Formulas!$A$2:$A$1501,AA$4,Formulas!$B$2:$B$1501,$A183))</f>
        <v>0</v>
      </c>
      <c r="AB183" s="21" t="n">
        <f aca="false">IF(OR($A183="",AB$4=""),0,COUNTIFS(Formulas!$A$2:$A$1501,AB$4,Formulas!$B$2:$B$1501,$A183))</f>
        <v>0</v>
      </c>
      <c r="AC183" s="21" t="n">
        <f aca="false">IF(OR($A183="",AC$4=""),0,COUNTIFS(Formulas!$A$2:$A$1501,AC$4,Formulas!$B$2:$B$1501,$A183))</f>
        <v>0</v>
      </c>
      <c r="AD183" s="21" t="n">
        <f aca="false">IF(OR($A183="",AD$4=""),0,COUNTIFS(Formulas!$A$2:$A$1501,AD$4,Formulas!$B$2:$B$1501,$A183))</f>
        <v>0</v>
      </c>
      <c r="AE183" s="21" t="n">
        <f aca="false">IF(OR($A183="",AE$4=""),0,COUNTIFS(Formulas!$A$2:$A$1501,AE$4,Formulas!$B$2:$B$1501,$A183))</f>
        <v>0</v>
      </c>
      <c r="AF183" s="21" t="n">
        <f aca="false">IF(OR($A183="",AF$4=""),0,COUNTIFS(Formulas!$A$2:$A$1501,AF$4,Formulas!$B$2:$B$1501,$A183))</f>
        <v>0</v>
      </c>
      <c r="AG183" s="21" t="n">
        <f aca="false">IF(OR($A183="",AG$4=""),0,COUNTIFS(Formulas!$A$2:$A$1501,AG$4,Formulas!$B$2:$B$1501,$A183))</f>
        <v>0</v>
      </c>
      <c r="AH183" s="21" t="n">
        <f aca="false">IF(OR($A183="",AH$4=""),0,COUNTIFS(Formulas!$A$2:$A$1501,AH$4,Formulas!$B$2:$B$1501,$A183))</f>
        <v>0</v>
      </c>
      <c r="AI183" s="21" t="n">
        <f aca="false">IF(OR($A183="",AI$4=""),0,COUNTIFS(Formulas!$A$2:$A$1501,AI$4,Formulas!$B$2:$B$1501,$A183))</f>
        <v>0</v>
      </c>
      <c r="AJ183" s="21" t="n">
        <f aca="false">IF(OR($A183="",AJ$4=""),0,COUNTIFS(Formulas!$A$2:$A$1501,AJ$4,Formulas!$B$2:$B$1501,$A183))</f>
        <v>0</v>
      </c>
      <c r="AK183" s="21" t="n">
        <f aca="false">IF(OR($A183="",AK$4=""),0,COUNTIFS(Formulas!$A$2:$A$1501,AK$4,Formulas!$B$2:$B$1501,$A183))</f>
        <v>0</v>
      </c>
      <c r="AL183" s="21" t="n">
        <f aca="false">IF(OR($A183="",AL$4=""),0,COUNTIFS(Formulas!$A$2:$A$1501,AL$4,Formulas!$B$2:$B$1501,$A183))</f>
        <v>0</v>
      </c>
      <c r="AM183" s="21" t="n">
        <f aca="false">IF(OR($A183="",AM$4=""),0,COUNTIFS(Formulas!$A$2:$A$1501,AM$4,Formulas!$B$2:$B$1501,$A183))</f>
        <v>0</v>
      </c>
      <c r="AN183" s="21" t="n">
        <f aca="false">IF(OR($A183="",AN$4=""),0,COUNTIFS(Formulas!$A$2:$A$1501,AN$4,Formulas!$B$2:$B$1501,$A183))</f>
        <v>0</v>
      </c>
      <c r="AO183" s="21" t="n">
        <f aca="false">IF(OR($A183="",AO$4=""),0,COUNTIFS(Formulas!$A$2:$A$1501,AO$4,Formulas!$B$2:$B$1501,$A183))</f>
        <v>0</v>
      </c>
      <c r="AP183" s="21" t="n">
        <f aca="false">IF(OR($A183="",AP$4=""),0,COUNTIFS(Formulas!$A$2:$A$1501,AP$4,Formulas!$B$2:$B$1501,$A183))</f>
        <v>0</v>
      </c>
      <c r="AQ183" s="21" t="n">
        <f aca="false">IF(OR($A183="",AQ$4=""),0,COUNTIFS(Formulas!$A$2:$A$1501,AQ$4,Formulas!$B$2:$B$1501,$A183))</f>
        <v>0</v>
      </c>
      <c r="AR183" s="21" t="n">
        <f aca="false">IF(OR($A183="",AR$4=""),0,COUNTIFS(Formulas!$A$2:$A$1501,AR$4,Formulas!$B$2:$B$1501,$A183))</f>
        <v>0</v>
      </c>
      <c r="AS183" s="21" t="n">
        <f aca="false">IF(OR($A183="",AS$4=""),0,COUNTIFS(Formulas!$A$2:$A$1501,AS$4,Formulas!$B$2:$B$1501,$A183))</f>
        <v>0</v>
      </c>
      <c r="AT183" s="21" t="n">
        <f aca="false">IF(OR($A183="",AT$4=""),0,COUNTIFS(Formulas!$A$2:$A$1501,AT$4,Formulas!$B$2:$B$1501,$A183))</f>
        <v>0</v>
      </c>
      <c r="AU183" s="21" t="n">
        <f aca="false">IF(OR($A183="",AU$4=""),0,COUNTIFS(Formulas!$A$2:$A$1501,AU$4,Formulas!$B$2:$B$1501,$A183))</f>
        <v>0</v>
      </c>
      <c r="AV183" s="21" t="n">
        <f aca="false">IF(OR($A183="",AV$4=""),0,COUNTIFS(Formulas!$A$2:$A$1501,AV$4,Formulas!$B$2:$B$1501,$A183))</f>
        <v>0</v>
      </c>
      <c r="AW183" s="21" t="n">
        <f aca="false">IF(OR($A183="",AW$4=""),0,COUNTIFS(Formulas!$A$2:$A$1501,AW$4,Formulas!$B$2:$B$1501,$A183))</f>
        <v>0</v>
      </c>
      <c r="AX183" s="21" t="n">
        <f aca="false">IF(OR($A183="",AX$4=""),0,COUNTIFS(Formulas!$A$2:$A$1501,AX$4,Formulas!$B$2:$B$1501,$A183))</f>
        <v>0</v>
      </c>
      <c r="AY183" s="21" t="n">
        <f aca="false">IF(OR($A183="",AY$4=""),0,COUNTIFS(Formulas!$A$2:$A$1501,AY$4,Formulas!$B$2:$B$1501,$A183))</f>
        <v>0</v>
      </c>
      <c r="AZ183" s="21" t="n">
        <f aca="false">IF(OR($A183="",AZ$4=""),0,COUNTIFS(Formulas!$A$2:$A$1501,AZ$4,Formulas!$B$2:$B$1501,$A183))</f>
        <v>0</v>
      </c>
      <c r="BA183" s="21" t="n">
        <f aca="false">IF(OR($A183="",BA$4=""),0,COUNTIFS(Formulas!$A$2:$A$1501,BA$4,Formulas!$B$2:$B$1501,$A183))</f>
        <v>0</v>
      </c>
      <c r="BB183" s="21" t="n">
        <f aca="false">IF(OR($A183="",BB$4=""),0,COUNTIFS(Formulas!$A$2:$A$1501,BB$4,Formulas!$B$2:$B$1501,$A183))</f>
        <v>0</v>
      </c>
      <c r="BC183" s="21" t="n">
        <f aca="false">IF(OR($A183="",BC$4=""),0,COUNTIFS(Formulas!$A$2:$A$1501,BC$4,Formulas!$B$2:$B$1501,$A183))</f>
        <v>0</v>
      </c>
      <c r="BD183" s="21" t="n">
        <f aca="false">IF(OR($A183="",BD$4=""),0,COUNTIFS(Formulas!$A$2:$A$1501,BD$4,Formulas!$B$2:$B$1501,$A183))</f>
        <v>0</v>
      </c>
      <c r="BE183" s="21" t="n">
        <f aca="false">IF(OR($A183="",BE$4=""),0,COUNTIFS(Formulas!$A$2:$A$1501,BE$4,Formulas!$B$2:$B$1501,$A183))</f>
        <v>0</v>
      </c>
      <c r="BF183" s="21" t="n">
        <f aca="false">IF(OR($A183="",BF$4=""),0,COUNTIFS(Formulas!$A$2:$A$1501,BF$4,Formulas!$B$2:$B$1501,$A183))</f>
        <v>0</v>
      </c>
      <c r="BG183" s="21" t="n">
        <f aca="false">IF(OR($A183="",BG$4=""),0,COUNTIFS(Formulas!$A$2:$A$1501,BG$4,Formulas!$B$2:$B$1501,$A183))</f>
        <v>0</v>
      </c>
      <c r="BH183" s="21" t="n">
        <f aca="false">IF(OR($A183="",BH$4=""),0,COUNTIFS(Formulas!$A$2:$A$1501,BH$4,Formulas!$B$2:$B$1501,$A183))</f>
        <v>0</v>
      </c>
      <c r="BI183" s="21" t="n">
        <f aca="false">IF(OR($A183="",BI$4=""),0,COUNTIFS(Formulas!$A$2:$A$1501,BI$4,Formulas!$B$2:$B$1501,$A183))</f>
        <v>0</v>
      </c>
      <c r="BJ183" s="21" t="n">
        <f aca="false">IF(OR($A183="",BJ$4=""),0,COUNTIFS(Formulas!$A$2:$A$1501,BJ$4,Formulas!$B$2:$B$1501,$A183))</f>
        <v>0</v>
      </c>
    </row>
    <row r="184" customFormat="false" ht="15" hidden="false" customHeight="false" outlineLevel="0" collapsed="false">
      <c r="A184" s="13" t="str">
        <f aca="false">IF(INDEX(Materials!$A$2:$A$201,180)="","",INDEX(Materials!$A$2:$A$201,180))</f>
        <v/>
      </c>
      <c r="B184" s="19" t="str">
        <f aca="false">IF(A184="","",COUNTIF(C184:BJ184,"&gt;0"))</f>
        <v/>
      </c>
      <c r="C184" s="21" t="n">
        <f aca="false">IF(OR($A184="",C$4=""),0,COUNTIFS(Formulas!$A$2:$A$1501,C$4,Formulas!$B$2:$B$1501,$A184))</f>
        <v>0</v>
      </c>
      <c r="D184" s="21" t="n">
        <f aca="false">IF(OR($A184="",D$4=""),0,COUNTIFS(Formulas!$A$2:$A$1501,D$4,Formulas!$B$2:$B$1501,$A184))</f>
        <v>0</v>
      </c>
      <c r="E184" s="21" t="n">
        <f aca="false">IF(OR($A184="",E$4=""),0,COUNTIFS(Formulas!$A$2:$A$1501,E$4,Formulas!$B$2:$B$1501,$A184))</f>
        <v>0</v>
      </c>
      <c r="F184" s="21" t="n">
        <f aca="false">IF(OR($A184="",F$4=""),0,COUNTIFS(Formulas!$A$2:$A$1501,F$4,Formulas!$B$2:$B$1501,$A184))</f>
        <v>0</v>
      </c>
      <c r="G184" s="21" t="n">
        <f aca="false">IF(OR($A184="",G$4=""),0,COUNTIFS(Formulas!$A$2:$A$1501,G$4,Formulas!$B$2:$B$1501,$A184))</f>
        <v>0</v>
      </c>
      <c r="H184" s="21" t="n">
        <f aca="false">IF(OR($A184="",H$4=""),0,COUNTIFS(Formulas!$A$2:$A$1501,H$4,Formulas!$B$2:$B$1501,$A184))</f>
        <v>0</v>
      </c>
      <c r="I184" s="21" t="n">
        <f aca="false">IF(OR($A184="",I$4=""),0,COUNTIFS(Formulas!$A$2:$A$1501,I$4,Formulas!$B$2:$B$1501,$A184))</f>
        <v>0</v>
      </c>
      <c r="J184" s="21" t="n">
        <f aca="false">IF(OR($A184="",J$4=""),0,COUNTIFS(Formulas!$A$2:$A$1501,J$4,Formulas!$B$2:$B$1501,$A184))</f>
        <v>0</v>
      </c>
      <c r="K184" s="21" t="n">
        <f aca="false">IF(OR($A184="",K$4=""),0,COUNTIFS(Formulas!$A$2:$A$1501,K$4,Formulas!$B$2:$B$1501,$A184))</f>
        <v>0</v>
      </c>
      <c r="L184" s="21" t="n">
        <f aca="false">IF(OR($A184="",L$4=""),0,COUNTIFS(Formulas!$A$2:$A$1501,L$4,Formulas!$B$2:$B$1501,$A184))</f>
        <v>0</v>
      </c>
      <c r="M184" s="21" t="n">
        <f aca="false">IF(OR($A184="",M$4=""),0,COUNTIFS(Formulas!$A$2:$A$1501,M$4,Formulas!$B$2:$B$1501,$A184))</f>
        <v>0</v>
      </c>
      <c r="N184" s="21" t="n">
        <f aca="false">IF(OR($A184="",N$4=""),0,COUNTIFS(Formulas!$A$2:$A$1501,N$4,Formulas!$B$2:$B$1501,$A184))</f>
        <v>0</v>
      </c>
      <c r="O184" s="21" t="n">
        <f aca="false">IF(OR($A184="",O$4=""),0,COUNTIFS(Formulas!$A$2:$A$1501,O$4,Formulas!$B$2:$B$1501,$A184))</f>
        <v>0</v>
      </c>
      <c r="P184" s="21" t="n">
        <f aca="false">IF(OR($A184="",P$4=""),0,COUNTIFS(Formulas!$A$2:$A$1501,P$4,Formulas!$B$2:$B$1501,$A184))</f>
        <v>0</v>
      </c>
      <c r="Q184" s="21" t="n">
        <f aca="false">IF(OR($A184="",Q$4=""),0,COUNTIFS(Formulas!$A$2:$A$1501,Q$4,Formulas!$B$2:$B$1501,$A184))</f>
        <v>0</v>
      </c>
      <c r="R184" s="21" t="n">
        <f aca="false">IF(OR($A184="",R$4=""),0,COUNTIFS(Formulas!$A$2:$A$1501,R$4,Formulas!$B$2:$B$1501,$A184))</f>
        <v>0</v>
      </c>
      <c r="S184" s="21" t="n">
        <f aca="false">IF(OR($A184="",S$4=""),0,COUNTIFS(Formulas!$A$2:$A$1501,S$4,Formulas!$B$2:$B$1501,$A184))</f>
        <v>0</v>
      </c>
      <c r="T184" s="21" t="n">
        <f aca="false">IF(OR($A184="",T$4=""),0,COUNTIFS(Formulas!$A$2:$A$1501,T$4,Formulas!$B$2:$B$1501,$A184))</f>
        <v>0</v>
      </c>
      <c r="U184" s="21" t="n">
        <f aca="false">IF(OR($A184="",U$4=""),0,COUNTIFS(Formulas!$A$2:$A$1501,U$4,Formulas!$B$2:$B$1501,$A184))</f>
        <v>0</v>
      </c>
      <c r="V184" s="21" t="n">
        <f aca="false">IF(OR($A184="",V$4=""),0,COUNTIFS(Formulas!$A$2:$A$1501,V$4,Formulas!$B$2:$B$1501,$A184))</f>
        <v>0</v>
      </c>
      <c r="W184" s="21" t="n">
        <f aca="false">IF(OR($A184="",W$4=""),0,COUNTIFS(Formulas!$A$2:$A$1501,W$4,Formulas!$B$2:$B$1501,$A184))</f>
        <v>0</v>
      </c>
      <c r="X184" s="21" t="n">
        <f aca="false">IF(OR($A184="",X$4=""),0,COUNTIFS(Formulas!$A$2:$A$1501,X$4,Formulas!$B$2:$B$1501,$A184))</f>
        <v>0</v>
      </c>
      <c r="Y184" s="21" t="n">
        <f aca="false">IF(OR($A184="",Y$4=""),0,COUNTIFS(Formulas!$A$2:$A$1501,Y$4,Formulas!$B$2:$B$1501,$A184))</f>
        <v>0</v>
      </c>
      <c r="Z184" s="21" t="n">
        <f aca="false">IF(OR($A184="",Z$4=""),0,COUNTIFS(Formulas!$A$2:$A$1501,Z$4,Formulas!$B$2:$B$1501,$A184))</f>
        <v>0</v>
      </c>
      <c r="AA184" s="21" t="n">
        <f aca="false">IF(OR($A184="",AA$4=""),0,COUNTIFS(Formulas!$A$2:$A$1501,AA$4,Formulas!$B$2:$B$1501,$A184))</f>
        <v>0</v>
      </c>
      <c r="AB184" s="21" t="n">
        <f aca="false">IF(OR($A184="",AB$4=""),0,COUNTIFS(Formulas!$A$2:$A$1501,AB$4,Formulas!$B$2:$B$1501,$A184))</f>
        <v>0</v>
      </c>
      <c r="AC184" s="21" t="n">
        <f aca="false">IF(OR($A184="",AC$4=""),0,COUNTIFS(Formulas!$A$2:$A$1501,AC$4,Formulas!$B$2:$B$1501,$A184))</f>
        <v>0</v>
      </c>
      <c r="AD184" s="21" t="n">
        <f aca="false">IF(OR($A184="",AD$4=""),0,COUNTIFS(Formulas!$A$2:$A$1501,AD$4,Formulas!$B$2:$B$1501,$A184))</f>
        <v>0</v>
      </c>
      <c r="AE184" s="21" t="n">
        <f aca="false">IF(OR($A184="",AE$4=""),0,COUNTIFS(Formulas!$A$2:$A$1501,AE$4,Formulas!$B$2:$B$1501,$A184))</f>
        <v>0</v>
      </c>
      <c r="AF184" s="21" t="n">
        <f aca="false">IF(OR($A184="",AF$4=""),0,COUNTIFS(Formulas!$A$2:$A$1501,AF$4,Formulas!$B$2:$B$1501,$A184))</f>
        <v>0</v>
      </c>
      <c r="AG184" s="21" t="n">
        <f aca="false">IF(OR($A184="",AG$4=""),0,COUNTIFS(Formulas!$A$2:$A$1501,AG$4,Formulas!$B$2:$B$1501,$A184))</f>
        <v>0</v>
      </c>
      <c r="AH184" s="21" t="n">
        <f aca="false">IF(OR($A184="",AH$4=""),0,COUNTIFS(Formulas!$A$2:$A$1501,AH$4,Formulas!$B$2:$B$1501,$A184))</f>
        <v>0</v>
      </c>
      <c r="AI184" s="21" t="n">
        <f aca="false">IF(OR($A184="",AI$4=""),0,COUNTIFS(Formulas!$A$2:$A$1501,AI$4,Formulas!$B$2:$B$1501,$A184))</f>
        <v>0</v>
      </c>
      <c r="AJ184" s="21" t="n">
        <f aca="false">IF(OR($A184="",AJ$4=""),0,COUNTIFS(Formulas!$A$2:$A$1501,AJ$4,Formulas!$B$2:$B$1501,$A184))</f>
        <v>0</v>
      </c>
      <c r="AK184" s="21" t="n">
        <f aca="false">IF(OR($A184="",AK$4=""),0,COUNTIFS(Formulas!$A$2:$A$1501,AK$4,Formulas!$B$2:$B$1501,$A184))</f>
        <v>0</v>
      </c>
      <c r="AL184" s="21" t="n">
        <f aca="false">IF(OR($A184="",AL$4=""),0,COUNTIFS(Formulas!$A$2:$A$1501,AL$4,Formulas!$B$2:$B$1501,$A184))</f>
        <v>0</v>
      </c>
      <c r="AM184" s="21" t="n">
        <f aca="false">IF(OR($A184="",AM$4=""),0,COUNTIFS(Formulas!$A$2:$A$1501,AM$4,Formulas!$B$2:$B$1501,$A184))</f>
        <v>0</v>
      </c>
      <c r="AN184" s="21" t="n">
        <f aca="false">IF(OR($A184="",AN$4=""),0,COUNTIFS(Formulas!$A$2:$A$1501,AN$4,Formulas!$B$2:$B$1501,$A184))</f>
        <v>0</v>
      </c>
      <c r="AO184" s="21" t="n">
        <f aca="false">IF(OR($A184="",AO$4=""),0,COUNTIFS(Formulas!$A$2:$A$1501,AO$4,Formulas!$B$2:$B$1501,$A184))</f>
        <v>0</v>
      </c>
      <c r="AP184" s="21" t="n">
        <f aca="false">IF(OR($A184="",AP$4=""),0,COUNTIFS(Formulas!$A$2:$A$1501,AP$4,Formulas!$B$2:$B$1501,$A184))</f>
        <v>0</v>
      </c>
      <c r="AQ184" s="21" t="n">
        <f aca="false">IF(OR($A184="",AQ$4=""),0,COUNTIFS(Formulas!$A$2:$A$1501,AQ$4,Formulas!$B$2:$B$1501,$A184))</f>
        <v>0</v>
      </c>
      <c r="AR184" s="21" t="n">
        <f aca="false">IF(OR($A184="",AR$4=""),0,COUNTIFS(Formulas!$A$2:$A$1501,AR$4,Formulas!$B$2:$B$1501,$A184))</f>
        <v>0</v>
      </c>
      <c r="AS184" s="21" t="n">
        <f aca="false">IF(OR($A184="",AS$4=""),0,COUNTIFS(Formulas!$A$2:$A$1501,AS$4,Formulas!$B$2:$B$1501,$A184))</f>
        <v>0</v>
      </c>
      <c r="AT184" s="21" t="n">
        <f aca="false">IF(OR($A184="",AT$4=""),0,COUNTIFS(Formulas!$A$2:$A$1501,AT$4,Formulas!$B$2:$B$1501,$A184))</f>
        <v>0</v>
      </c>
      <c r="AU184" s="21" t="n">
        <f aca="false">IF(OR($A184="",AU$4=""),0,COUNTIFS(Formulas!$A$2:$A$1501,AU$4,Formulas!$B$2:$B$1501,$A184))</f>
        <v>0</v>
      </c>
      <c r="AV184" s="21" t="n">
        <f aca="false">IF(OR($A184="",AV$4=""),0,COUNTIFS(Formulas!$A$2:$A$1501,AV$4,Formulas!$B$2:$B$1501,$A184))</f>
        <v>0</v>
      </c>
      <c r="AW184" s="21" t="n">
        <f aca="false">IF(OR($A184="",AW$4=""),0,COUNTIFS(Formulas!$A$2:$A$1501,AW$4,Formulas!$B$2:$B$1501,$A184))</f>
        <v>0</v>
      </c>
      <c r="AX184" s="21" t="n">
        <f aca="false">IF(OR($A184="",AX$4=""),0,COUNTIFS(Formulas!$A$2:$A$1501,AX$4,Formulas!$B$2:$B$1501,$A184))</f>
        <v>0</v>
      </c>
      <c r="AY184" s="21" t="n">
        <f aca="false">IF(OR($A184="",AY$4=""),0,COUNTIFS(Formulas!$A$2:$A$1501,AY$4,Formulas!$B$2:$B$1501,$A184))</f>
        <v>0</v>
      </c>
      <c r="AZ184" s="21" t="n">
        <f aca="false">IF(OR($A184="",AZ$4=""),0,COUNTIFS(Formulas!$A$2:$A$1501,AZ$4,Formulas!$B$2:$B$1501,$A184))</f>
        <v>0</v>
      </c>
      <c r="BA184" s="21" t="n">
        <f aca="false">IF(OR($A184="",BA$4=""),0,COUNTIFS(Formulas!$A$2:$A$1501,BA$4,Formulas!$B$2:$B$1501,$A184))</f>
        <v>0</v>
      </c>
      <c r="BB184" s="21" t="n">
        <f aca="false">IF(OR($A184="",BB$4=""),0,COUNTIFS(Formulas!$A$2:$A$1501,BB$4,Formulas!$B$2:$B$1501,$A184))</f>
        <v>0</v>
      </c>
      <c r="BC184" s="21" t="n">
        <f aca="false">IF(OR($A184="",BC$4=""),0,COUNTIFS(Formulas!$A$2:$A$1501,BC$4,Formulas!$B$2:$B$1501,$A184))</f>
        <v>0</v>
      </c>
      <c r="BD184" s="21" t="n">
        <f aca="false">IF(OR($A184="",BD$4=""),0,COUNTIFS(Formulas!$A$2:$A$1501,BD$4,Formulas!$B$2:$B$1501,$A184))</f>
        <v>0</v>
      </c>
      <c r="BE184" s="21" t="n">
        <f aca="false">IF(OR($A184="",BE$4=""),0,COUNTIFS(Formulas!$A$2:$A$1501,BE$4,Formulas!$B$2:$B$1501,$A184))</f>
        <v>0</v>
      </c>
      <c r="BF184" s="21" t="n">
        <f aca="false">IF(OR($A184="",BF$4=""),0,COUNTIFS(Formulas!$A$2:$A$1501,BF$4,Formulas!$B$2:$B$1501,$A184))</f>
        <v>0</v>
      </c>
      <c r="BG184" s="21" t="n">
        <f aca="false">IF(OR($A184="",BG$4=""),0,COUNTIFS(Formulas!$A$2:$A$1501,BG$4,Formulas!$B$2:$B$1501,$A184))</f>
        <v>0</v>
      </c>
      <c r="BH184" s="21" t="n">
        <f aca="false">IF(OR($A184="",BH$4=""),0,COUNTIFS(Formulas!$A$2:$A$1501,BH$4,Formulas!$B$2:$B$1501,$A184))</f>
        <v>0</v>
      </c>
      <c r="BI184" s="21" t="n">
        <f aca="false">IF(OR($A184="",BI$4=""),0,COUNTIFS(Formulas!$A$2:$A$1501,BI$4,Formulas!$B$2:$B$1501,$A184))</f>
        <v>0</v>
      </c>
      <c r="BJ184" s="21" t="n">
        <f aca="false">IF(OR($A184="",BJ$4=""),0,COUNTIFS(Formulas!$A$2:$A$1501,BJ$4,Formulas!$B$2:$B$1501,$A184))</f>
        <v>0</v>
      </c>
    </row>
    <row r="185" customFormat="false" ht="15" hidden="false" customHeight="false" outlineLevel="0" collapsed="false">
      <c r="A185" s="13" t="str">
        <f aca="false">IF(INDEX(Materials!$A$2:$A$201,181)="","",INDEX(Materials!$A$2:$A$201,181))</f>
        <v/>
      </c>
      <c r="B185" s="19" t="str">
        <f aca="false">IF(A185="","",COUNTIF(C185:BJ185,"&gt;0"))</f>
        <v/>
      </c>
      <c r="C185" s="21" t="n">
        <f aca="false">IF(OR($A185="",C$4=""),0,COUNTIFS(Formulas!$A$2:$A$1501,C$4,Formulas!$B$2:$B$1501,$A185))</f>
        <v>0</v>
      </c>
      <c r="D185" s="21" t="n">
        <f aca="false">IF(OR($A185="",D$4=""),0,COUNTIFS(Formulas!$A$2:$A$1501,D$4,Formulas!$B$2:$B$1501,$A185))</f>
        <v>0</v>
      </c>
      <c r="E185" s="21" t="n">
        <f aca="false">IF(OR($A185="",E$4=""),0,COUNTIFS(Formulas!$A$2:$A$1501,E$4,Formulas!$B$2:$B$1501,$A185))</f>
        <v>0</v>
      </c>
      <c r="F185" s="21" t="n">
        <f aca="false">IF(OR($A185="",F$4=""),0,COUNTIFS(Formulas!$A$2:$A$1501,F$4,Formulas!$B$2:$B$1501,$A185))</f>
        <v>0</v>
      </c>
      <c r="G185" s="21" t="n">
        <f aca="false">IF(OR($A185="",G$4=""),0,COUNTIFS(Formulas!$A$2:$A$1501,G$4,Formulas!$B$2:$B$1501,$A185))</f>
        <v>0</v>
      </c>
      <c r="H185" s="21" t="n">
        <f aca="false">IF(OR($A185="",H$4=""),0,COUNTIFS(Formulas!$A$2:$A$1501,H$4,Formulas!$B$2:$B$1501,$A185))</f>
        <v>0</v>
      </c>
      <c r="I185" s="21" t="n">
        <f aca="false">IF(OR($A185="",I$4=""),0,COUNTIFS(Formulas!$A$2:$A$1501,I$4,Formulas!$B$2:$B$1501,$A185))</f>
        <v>0</v>
      </c>
      <c r="J185" s="21" t="n">
        <f aca="false">IF(OR($A185="",J$4=""),0,COUNTIFS(Formulas!$A$2:$A$1501,J$4,Formulas!$B$2:$B$1501,$A185))</f>
        <v>0</v>
      </c>
      <c r="K185" s="21" t="n">
        <f aca="false">IF(OR($A185="",K$4=""),0,COUNTIFS(Formulas!$A$2:$A$1501,K$4,Formulas!$B$2:$B$1501,$A185))</f>
        <v>0</v>
      </c>
      <c r="L185" s="21" t="n">
        <f aca="false">IF(OR($A185="",L$4=""),0,COUNTIFS(Formulas!$A$2:$A$1501,L$4,Formulas!$B$2:$B$1501,$A185))</f>
        <v>0</v>
      </c>
      <c r="M185" s="21" t="n">
        <f aca="false">IF(OR($A185="",M$4=""),0,COUNTIFS(Formulas!$A$2:$A$1501,M$4,Formulas!$B$2:$B$1501,$A185))</f>
        <v>0</v>
      </c>
      <c r="N185" s="21" t="n">
        <f aca="false">IF(OR($A185="",N$4=""),0,COUNTIFS(Formulas!$A$2:$A$1501,N$4,Formulas!$B$2:$B$1501,$A185))</f>
        <v>0</v>
      </c>
      <c r="O185" s="21" t="n">
        <f aca="false">IF(OR($A185="",O$4=""),0,COUNTIFS(Formulas!$A$2:$A$1501,O$4,Formulas!$B$2:$B$1501,$A185))</f>
        <v>0</v>
      </c>
      <c r="P185" s="21" t="n">
        <f aca="false">IF(OR($A185="",P$4=""),0,COUNTIFS(Formulas!$A$2:$A$1501,P$4,Formulas!$B$2:$B$1501,$A185))</f>
        <v>0</v>
      </c>
      <c r="Q185" s="21" t="n">
        <f aca="false">IF(OR($A185="",Q$4=""),0,COUNTIFS(Formulas!$A$2:$A$1501,Q$4,Formulas!$B$2:$B$1501,$A185))</f>
        <v>0</v>
      </c>
      <c r="R185" s="21" t="n">
        <f aca="false">IF(OR($A185="",R$4=""),0,COUNTIFS(Formulas!$A$2:$A$1501,R$4,Formulas!$B$2:$B$1501,$A185))</f>
        <v>0</v>
      </c>
      <c r="S185" s="21" t="n">
        <f aca="false">IF(OR($A185="",S$4=""),0,COUNTIFS(Formulas!$A$2:$A$1501,S$4,Formulas!$B$2:$B$1501,$A185))</f>
        <v>0</v>
      </c>
      <c r="T185" s="21" t="n">
        <f aca="false">IF(OR($A185="",T$4=""),0,COUNTIFS(Formulas!$A$2:$A$1501,T$4,Formulas!$B$2:$B$1501,$A185))</f>
        <v>0</v>
      </c>
      <c r="U185" s="21" t="n">
        <f aca="false">IF(OR($A185="",U$4=""),0,COUNTIFS(Formulas!$A$2:$A$1501,U$4,Formulas!$B$2:$B$1501,$A185))</f>
        <v>0</v>
      </c>
      <c r="V185" s="21" t="n">
        <f aca="false">IF(OR($A185="",V$4=""),0,COUNTIFS(Formulas!$A$2:$A$1501,V$4,Formulas!$B$2:$B$1501,$A185))</f>
        <v>0</v>
      </c>
      <c r="W185" s="21" t="n">
        <f aca="false">IF(OR($A185="",W$4=""),0,COUNTIFS(Formulas!$A$2:$A$1501,W$4,Formulas!$B$2:$B$1501,$A185))</f>
        <v>0</v>
      </c>
      <c r="X185" s="21" t="n">
        <f aca="false">IF(OR($A185="",X$4=""),0,COUNTIFS(Formulas!$A$2:$A$1501,X$4,Formulas!$B$2:$B$1501,$A185))</f>
        <v>0</v>
      </c>
      <c r="Y185" s="21" t="n">
        <f aca="false">IF(OR($A185="",Y$4=""),0,COUNTIFS(Formulas!$A$2:$A$1501,Y$4,Formulas!$B$2:$B$1501,$A185))</f>
        <v>0</v>
      </c>
      <c r="Z185" s="21" t="n">
        <f aca="false">IF(OR($A185="",Z$4=""),0,COUNTIFS(Formulas!$A$2:$A$1501,Z$4,Formulas!$B$2:$B$1501,$A185))</f>
        <v>0</v>
      </c>
      <c r="AA185" s="21" t="n">
        <f aca="false">IF(OR($A185="",AA$4=""),0,COUNTIFS(Formulas!$A$2:$A$1501,AA$4,Formulas!$B$2:$B$1501,$A185))</f>
        <v>0</v>
      </c>
      <c r="AB185" s="21" t="n">
        <f aca="false">IF(OR($A185="",AB$4=""),0,COUNTIFS(Formulas!$A$2:$A$1501,AB$4,Formulas!$B$2:$B$1501,$A185))</f>
        <v>0</v>
      </c>
      <c r="AC185" s="21" t="n">
        <f aca="false">IF(OR($A185="",AC$4=""),0,COUNTIFS(Formulas!$A$2:$A$1501,AC$4,Formulas!$B$2:$B$1501,$A185))</f>
        <v>0</v>
      </c>
      <c r="AD185" s="21" t="n">
        <f aca="false">IF(OR($A185="",AD$4=""),0,COUNTIFS(Formulas!$A$2:$A$1501,AD$4,Formulas!$B$2:$B$1501,$A185))</f>
        <v>0</v>
      </c>
      <c r="AE185" s="21" t="n">
        <f aca="false">IF(OR($A185="",AE$4=""),0,COUNTIFS(Formulas!$A$2:$A$1501,AE$4,Formulas!$B$2:$B$1501,$A185))</f>
        <v>0</v>
      </c>
      <c r="AF185" s="21" t="n">
        <f aca="false">IF(OR($A185="",AF$4=""),0,COUNTIFS(Formulas!$A$2:$A$1501,AF$4,Formulas!$B$2:$B$1501,$A185))</f>
        <v>0</v>
      </c>
      <c r="AG185" s="21" t="n">
        <f aca="false">IF(OR($A185="",AG$4=""),0,COUNTIFS(Formulas!$A$2:$A$1501,AG$4,Formulas!$B$2:$B$1501,$A185))</f>
        <v>0</v>
      </c>
      <c r="AH185" s="21" t="n">
        <f aca="false">IF(OR($A185="",AH$4=""),0,COUNTIFS(Formulas!$A$2:$A$1501,AH$4,Formulas!$B$2:$B$1501,$A185))</f>
        <v>0</v>
      </c>
      <c r="AI185" s="21" t="n">
        <f aca="false">IF(OR($A185="",AI$4=""),0,COUNTIFS(Formulas!$A$2:$A$1501,AI$4,Formulas!$B$2:$B$1501,$A185))</f>
        <v>0</v>
      </c>
      <c r="AJ185" s="21" t="n">
        <f aca="false">IF(OR($A185="",AJ$4=""),0,COUNTIFS(Formulas!$A$2:$A$1501,AJ$4,Formulas!$B$2:$B$1501,$A185))</f>
        <v>0</v>
      </c>
      <c r="AK185" s="21" t="n">
        <f aca="false">IF(OR($A185="",AK$4=""),0,COUNTIFS(Formulas!$A$2:$A$1501,AK$4,Formulas!$B$2:$B$1501,$A185))</f>
        <v>0</v>
      </c>
      <c r="AL185" s="21" t="n">
        <f aca="false">IF(OR($A185="",AL$4=""),0,COUNTIFS(Formulas!$A$2:$A$1501,AL$4,Formulas!$B$2:$B$1501,$A185))</f>
        <v>0</v>
      </c>
      <c r="AM185" s="21" t="n">
        <f aca="false">IF(OR($A185="",AM$4=""),0,COUNTIFS(Formulas!$A$2:$A$1501,AM$4,Formulas!$B$2:$B$1501,$A185))</f>
        <v>0</v>
      </c>
      <c r="AN185" s="21" t="n">
        <f aca="false">IF(OR($A185="",AN$4=""),0,COUNTIFS(Formulas!$A$2:$A$1501,AN$4,Formulas!$B$2:$B$1501,$A185))</f>
        <v>0</v>
      </c>
      <c r="AO185" s="21" t="n">
        <f aca="false">IF(OR($A185="",AO$4=""),0,COUNTIFS(Formulas!$A$2:$A$1501,AO$4,Formulas!$B$2:$B$1501,$A185))</f>
        <v>0</v>
      </c>
      <c r="AP185" s="21" t="n">
        <f aca="false">IF(OR($A185="",AP$4=""),0,COUNTIFS(Formulas!$A$2:$A$1501,AP$4,Formulas!$B$2:$B$1501,$A185))</f>
        <v>0</v>
      </c>
      <c r="AQ185" s="21" t="n">
        <f aca="false">IF(OR($A185="",AQ$4=""),0,COUNTIFS(Formulas!$A$2:$A$1501,AQ$4,Formulas!$B$2:$B$1501,$A185))</f>
        <v>0</v>
      </c>
      <c r="AR185" s="21" t="n">
        <f aca="false">IF(OR($A185="",AR$4=""),0,COUNTIFS(Formulas!$A$2:$A$1501,AR$4,Formulas!$B$2:$B$1501,$A185))</f>
        <v>0</v>
      </c>
      <c r="AS185" s="21" t="n">
        <f aca="false">IF(OR($A185="",AS$4=""),0,COUNTIFS(Formulas!$A$2:$A$1501,AS$4,Formulas!$B$2:$B$1501,$A185))</f>
        <v>0</v>
      </c>
      <c r="AT185" s="21" t="n">
        <f aca="false">IF(OR($A185="",AT$4=""),0,COUNTIFS(Formulas!$A$2:$A$1501,AT$4,Formulas!$B$2:$B$1501,$A185))</f>
        <v>0</v>
      </c>
      <c r="AU185" s="21" t="n">
        <f aca="false">IF(OR($A185="",AU$4=""),0,COUNTIFS(Formulas!$A$2:$A$1501,AU$4,Formulas!$B$2:$B$1501,$A185))</f>
        <v>0</v>
      </c>
      <c r="AV185" s="21" t="n">
        <f aca="false">IF(OR($A185="",AV$4=""),0,COUNTIFS(Formulas!$A$2:$A$1501,AV$4,Formulas!$B$2:$B$1501,$A185))</f>
        <v>0</v>
      </c>
      <c r="AW185" s="21" t="n">
        <f aca="false">IF(OR($A185="",AW$4=""),0,COUNTIFS(Formulas!$A$2:$A$1501,AW$4,Formulas!$B$2:$B$1501,$A185))</f>
        <v>0</v>
      </c>
      <c r="AX185" s="21" t="n">
        <f aca="false">IF(OR($A185="",AX$4=""),0,COUNTIFS(Formulas!$A$2:$A$1501,AX$4,Formulas!$B$2:$B$1501,$A185))</f>
        <v>0</v>
      </c>
      <c r="AY185" s="21" t="n">
        <f aca="false">IF(OR($A185="",AY$4=""),0,COUNTIFS(Formulas!$A$2:$A$1501,AY$4,Formulas!$B$2:$B$1501,$A185))</f>
        <v>0</v>
      </c>
      <c r="AZ185" s="21" t="n">
        <f aca="false">IF(OR($A185="",AZ$4=""),0,COUNTIFS(Formulas!$A$2:$A$1501,AZ$4,Formulas!$B$2:$B$1501,$A185))</f>
        <v>0</v>
      </c>
      <c r="BA185" s="21" t="n">
        <f aca="false">IF(OR($A185="",BA$4=""),0,COUNTIFS(Formulas!$A$2:$A$1501,BA$4,Formulas!$B$2:$B$1501,$A185))</f>
        <v>0</v>
      </c>
      <c r="BB185" s="21" t="n">
        <f aca="false">IF(OR($A185="",BB$4=""),0,COUNTIFS(Formulas!$A$2:$A$1501,BB$4,Formulas!$B$2:$B$1501,$A185))</f>
        <v>0</v>
      </c>
      <c r="BC185" s="21" t="n">
        <f aca="false">IF(OR($A185="",BC$4=""),0,COUNTIFS(Formulas!$A$2:$A$1501,BC$4,Formulas!$B$2:$B$1501,$A185))</f>
        <v>0</v>
      </c>
      <c r="BD185" s="21" t="n">
        <f aca="false">IF(OR($A185="",BD$4=""),0,COUNTIFS(Formulas!$A$2:$A$1501,BD$4,Formulas!$B$2:$B$1501,$A185))</f>
        <v>0</v>
      </c>
      <c r="BE185" s="21" t="n">
        <f aca="false">IF(OR($A185="",BE$4=""),0,COUNTIFS(Formulas!$A$2:$A$1501,BE$4,Formulas!$B$2:$B$1501,$A185))</f>
        <v>0</v>
      </c>
      <c r="BF185" s="21" t="n">
        <f aca="false">IF(OR($A185="",BF$4=""),0,COUNTIFS(Formulas!$A$2:$A$1501,BF$4,Formulas!$B$2:$B$1501,$A185))</f>
        <v>0</v>
      </c>
      <c r="BG185" s="21" t="n">
        <f aca="false">IF(OR($A185="",BG$4=""),0,COUNTIFS(Formulas!$A$2:$A$1501,BG$4,Formulas!$B$2:$B$1501,$A185))</f>
        <v>0</v>
      </c>
      <c r="BH185" s="21" t="n">
        <f aca="false">IF(OR($A185="",BH$4=""),0,COUNTIFS(Formulas!$A$2:$A$1501,BH$4,Formulas!$B$2:$B$1501,$A185))</f>
        <v>0</v>
      </c>
      <c r="BI185" s="21" t="n">
        <f aca="false">IF(OR($A185="",BI$4=""),0,COUNTIFS(Formulas!$A$2:$A$1501,BI$4,Formulas!$B$2:$B$1501,$A185))</f>
        <v>0</v>
      </c>
      <c r="BJ185" s="21" t="n">
        <f aca="false">IF(OR($A185="",BJ$4=""),0,COUNTIFS(Formulas!$A$2:$A$1501,BJ$4,Formulas!$B$2:$B$1501,$A185))</f>
        <v>0</v>
      </c>
    </row>
    <row r="186" customFormat="false" ht="15" hidden="false" customHeight="false" outlineLevel="0" collapsed="false">
      <c r="A186" s="13" t="str">
        <f aca="false">IF(INDEX(Materials!$A$2:$A$201,182)="","",INDEX(Materials!$A$2:$A$201,182))</f>
        <v/>
      </c>
      <c r="B186" s="19" t="str">
        <f aca="false">IF(A186="","",COUNTIF(C186:BJ186,"&gt;0"))</f>
        <v/>
      </c>
      <c r="C186" s="21" t="n">
        <f aca="false">IF(OR($A186="",C$4=""),0,COUNTIFS(Formulas!$A$2:$A$1501,C$4,Formulas!$B$2:$B$1501,$A186))</f>
        <v>0</v>
      </c>
      <c r="D186" s="21" t="n">
        <f aca="false">IF(OR($A186="",D$4=""),0,COUNTIFS(Formulas!$A$2:$A$1501,D$4,Formulas!$B$2:$B$1501,$A186))</f>
        <v>0</v>
      </c>
      <c r="E186" s="21" t="n">
        <f aca="false">IF(OR($A186="",E$4=""),0,COUNTIFS(Formulas!$A$2:$A$1501,E$4,Formulas!$B$2:$B$1501,$A186))</f>
        <v>0</v>
      </c>
      <c r="F186" s="21" t="n">
        <f aca="false">IF(OR($A186="",F$4=""),0,COUNTIFS(Formulas!$A$2:$A$1501,F$4,Formulas!$B$2:$B$1501,$A186))</f>
        <v>0</v>
      </c>
      <c r="G186" s="21" t="n">
        <f aca="false">IF(OR($A186="",G$4=""),0,COUNTIFS(Formulas!$A$2:$A$1501,G$4,Formulas!$B$2:$B$1501,$A186))</f>
        <v>0</v>
      </c>
      <c r="H186" s="21" t="n">
        <f aca="false">IF(OR($A186="",H$4=""),0,COUNTIFS(Formulas!$A$2:$A$1501,H$4,Formulas!$B$2:$B$1501,$A186))</f>
        <v>0</v>
      </c>
      <c r="I186" s="21" t="n">
        <f aca="false">IF(OR($A186="",I$4=""),0,COUNTIFS(Formulas!$A$2:$A$1501,I$4,Formulas!$B$2:$B$1501,$A186))</f>
        <v>0</v>
      </c>
      <c r="J186" s="21" t="n">
        <f aca="false">IF(OR($A186="",J$4=""),0,COUNTIFS(Formulas!$A$2:$A$1501,J$4,Formulas!$B$2:$B$1501,$A186))</f>
        <v>0</v>
      </c>
      <c r="K186" s="21" t="n">
        <f aca="false">IF(OR($A186="",K$4=""),0,COUNTIFS(Formulas!$A$2:$A$1501,K$4,Formulas!$B$2:$B$1501,$A186))</f>
        <v>0</v>
      </c>
      <c r="L186" s="21" t="n">
        <f aca="false">IF(OR($A186="",L$4=""),0,COUNTIFS(Formulas!$A$2:$A$1501,L$4,Formulas!$B$2:$B$1501,$A186))</f>
        <v>0</v>
      </c>
      <c r="M186" s="21" t="n">
        <f aca="false">IF(OR($A186="",M$4=""),0,COUNTIFS(Formulas!$A$2:$A$1501,M$4,Formulas!$B$2:$B$1501,$A186))</f>
        <v>0</v>
      </c>
      <c r="N186" s="21" t="n">
        <f aca="false">IF(OR($A186="",N$4=""),0,COUNTIFS(Formulas!$A$2:$A$1501,N$4,Formulas!$B$2:$B$1501,$A186))</f>
        <v>0</v>
      </c>
      <c r="O186" s="21" t="n">
        <f aca="false">IF(OR($A186="",O$4=""),0,COUNTIFS(Formulas!$A$2:$A$1501,O$4,Formulas!$B$2:$B$1501,$A186))</f>
        <v>0</v>
      </c>
      <c r="P186" s="21" t="n">
        <f aca="false">IF(OR($A186="",P$4=""),0,COUNTIFS(Formulas!$A$2:$A$1501,P$4,Formulas!$B$2:$B$1501,$A186))</f>
        <v>0</v>
      </c>
      <c r="Q186" s="21" t="n">
        <f aca="false">IF(OR($A186="",Q$4=""),0,COUNTIFS(Formulas!$A$2:$A$1501,Q$4,Formulas!$B$2:$B$1501,$A186))</f>
        <v>0</v>
      </c>
      <c r="R186" s="21" t="n">
        <f aca="false">IF(OR($A186="",R$4=""),0,COUNTIFS(Formulas!$A$2:$A$1501,R$4,Formulas!$B$2:$B$1501,$A186))</f>
        <v>0</v>
      </c>
      <c r="S186" s="21" t="n">
        <f aca="false">IF(OR($A186="",S$4=""),0,COUNTIFS(Formulas!$A$2:$A$1501,S$4,Formulas!$B$2:$B$1501,$A186))</f>
        <v>0</v>
      </c>
      <c r="T186" s="21" t="n">
        <f aca="false">IF(OR($A186="",T$4=""),0,COUNTIFS(Formulas!$A$2:$A$1501,T$4,Formulas!$B$2:$B$1501,$A186))</f>
        <v>0</v>
      </c>
      <c r="U186" s="21" t="n">
        <f aca="false">IF(OR($A186="",U$4=""),0,COUNTIFS(Formulas!$A$2:$A$1501,U$4,Formulas!$B$2:$B$1501,$A186))</f>
        <v>0</v>
      </c>
      <c r="V186" s="21" t="n">
        <f aca="false">IF(OR($A186="",V$4=""),0,COUNTIFS(Formulas!$A$2:$A$1501,V$4,Formulas!$B$2:$B$1501,$A186))</f>
        <v>0</v>
      </c>
      <c r="W186" s="21" t="n">
        <f aca="false">IF(OR($A186="",W$4=""),0,COUNTIFS(Formulas!$A$2:$A$1501,W$4,Formulas!$B$2:$B$1501,$A186))</f>
        <v>0</v>
      </c>
      <c r="X186" s="21" t="n">
        <f aca="false">IF(OR($A186="",X$4=""),0,COUNTIFS(Formulas!$A$2:$A$1501,X$4,Formulas!$B$2:$B$1501,$A186))</f>
        <v>0</v>
      </c>
      <c r="Y186" s="21" t="n">
        <f aca="false">IF(OR($A186="",Y$4=""),0,COUNTIFS(Formulas!$A$2:$A$1501,Y$4,Formulas!$B$2:$B$1501,$A186))</f>
        <v>0</v>
      </c>
      <c r="Z186" s="21" t="n">
        <f aca="false">IF(OR($A186="",Z$4=""),0,COUNTIFS(Formulas!$A$2:$A$1501,Z$4,Formulas!$B$2:$B$1501,$A186))</f>
        <v>0</v>
      </c>
      <c r="AA186" s="21" t="n">
        <f aca="false">IF(OR($A186="",AA$4=""),0,COUNTIFS(Formulas!$A$2:$A$1501,AA$4,Formulas!$B$2:$B$1501,$A186))</f>
        <v>0</v>
      </c>
      <c r="AB186" s="21" t="n">
        <f aca="false">IF(OR($A186="",AB$4=""),0,COUNTIFS(Formulas!$A$2:$A$1501,AB$4,Formulas!$B$2:$B$1501,$A186))</f>
        <v>0</v>
      </c>
      <c r="AC186" s="21" t="n">
        <f aca="false">IF(OR($A186="",AC$4=""),0,COUNTIFS(Formulas!$A$2:$A$1501,AC$4,Formulas!$B$2:$B$1501,$A186))</f>
        <v>0</v>
      </c>
      <c r="AD186" s="21" t="n">
        <f aca="false">IF(OR($A186="",AD$4=""),0,COUNTIFS(Formulas!$A$2:$A$1501,AD$4,Formulas!$B$2:$B$1501,$A186))</f>
        <v>0</v>
      </c>
      <c r="AE186" s="21" t="n">
        <f aca="false">IF(OR($A186="",AE$4=""),0,COUNTIFS(Formulas!$A$2:$A$1501,AE$4,Formulas!$B$2:$B$1501,$A186))</f>
        <v>0</v>
      </c>
      <c r="AF186" s="21" t="n">
        <f aca="false">IF(OR($A186="",AF$4=""),0,COUNTIFS(Formulas!$A$2:$A$1501,AF$4,Formulas!$B$2:$B$1501,$A186))</f>
        <v>0</v>
      </c>
      <c r="AG186" s="21" t="n">
        <f aca="false">IF(OR($A186="",AG$4=""),0,COUNTIFS(Formulas!$A$2:$A$1501,AG$4,Formulas!$B$2:$B$1501,$A186))</f>
        <v>0</v>
      </c>
      <c r="AH186" s="21" t="n">
        <f aca="false">IF(OR($A186="",AH$4=""),0,COUNTIFS(Formulas!$A$2:$A$1501,AH$4,Formulas!$B$2:$B$1501,$A186))</f>
        <v>0</v>
      </c>
      <c r="AI186" s="21" t="n">
        <f aca="false">IF(OR($A186="",AI$4=""),0,COUNTIFS(Formulas!$A$2:$A$1501,AI$4,Formulas!$B$2:$B$1501,$A186))</f>
        <v>0</v>
      </c>
      <c r="AJ186" s="21" t="n">
        <f aca="false">IF(OR($A186="",AJ$4=""),0,COUNTIFS(Formulas!$A$2:$A$1501,AJ$4,Formulas!$B$2:$B$1501,$A186))</f>
        <v>0</v>
      </c>
      <c r="AK186" s="21" t="n">
        <f aca="false">IF(OR($A186="",AK$4=""),0,COUNTIFS(Formulas!$A$2:$A$1501,AK$4,Formulas!$B$2:$B$1501,$A186))</f>
        <v>0</v>
      </c>
      <c r="AL186" s="21" t="n">
        <f aca="false">IF(OR($A186="",AL$4=""),0,COUNTIFS(Formulas!$A$2:$A$1501,AL$4,Formulas!$B$2:$B$1501,$A186))</f>
        <v>0</v>
      </c>
      <c r="AM186" s="21" t="n">
        <f aca="false">IF(OR($A186="",AM$4=""),0,COUNTIFS(Formulas!$A$2:$A$1501,AM$4,Formulas!$B$2:$B$1501,$A186))</f>
        <v>0</v>
      </c>
      <c r="AN186" s="21" t="n">
        <f aca="false">IF(OR($A186="",AN$4=""),0,COUNTIFS(Formulas!$A$2:$A$1501,AN$4,Formulas!$B$2:$B$1501,$A186))</f>
        <v>0</v>
      </c>
      <c r="AO186" s="21" t="n">
        <f aca="false">IF(OR($A186="",AO$4=""),0,COUNTIFS(Formulas!$A$2:$A$1501,AO$4,Formulas!$B$2:$B$1501,$A186))</f>
        <v>0</v>
      </c>
      <c r="AP186" s="21" t="n">
        <f aca="false">IF(OR($A186="",AP$4=""),0,COUNTIFS(Formulas!$A$2:$A$1501,AP$4,Formulas!$B$2:$B$1501,$A186))</f>
        <v>0</v>
      </c>
      <c r="AQ186" s="21" t="n">
        <f aca="false">IF(OR($A186="",AQ$4=""),0,COUNTIFS(Formulas!$A$2:$A$1501,AQ$4,Formulas!$B$2:$B$1501,$A186))</f>
        <v>0</v>
      </c>
      <c r="AR186" s="21" t="n">
        <f aca="false">IF(OR($A186="",AR$4=""),0,COUNTIFS(Formulas!$A$2:$A$1501,AR$4,Formulas!$B$2:$B$1501,$A186))</f>
        <v>0</v>
      </c>
      <c r="AS186" s="21" t="n">
        <f aca="false">IF(OR($A186="",AS$4=""),0,COUNTIFS(Formulas!$A$2:$A$1501,AS$4,Formulas!$B$2:$B$1501,$A186))</f>
        <v>0</v>
      </c>
      <c r="AT186" s="21" t="n">
        <f aca="false">IF(OR($A186="",AT$4=""),0,COUNTIFS(Formulas!$A$2:$A$1501,AT$4,Formulas!$B$2:$B$1501,$A186))</f>
        <v>0</v>
      </c>
      <c r="AU186" s="21" t="n">
        <f aca="false">IF(OR($A186="",AU$4=""),0,COUNTIFS(Formulas!$A$2:$A$1501,AU$4,Formulas!$B$2:$B$1501,$A186))</f>
        <v>0</v>
      </c>
      <c r="AV186" s="21" t="n">
        <f aca="false">IF(OR($A186="",AV$4=""),0,COUNTIFS(Formulas!$A$2:$A$1501,AV$4,Formulas!$B$2:$B$1501,$A186))</f>
        <v>0</v>
      </c>
      <c r="AW186" s="21" t="n">
        <f aca="false">IF(OR($A186="",AW$4=""),0,COUNTIFS(Formulas!$A$2:$A$1501,AW$4,Formulas!$B$2:$B$1501,$A186))</f>
        <v>0</v>
      </c>
      <c r="AX186" s="21" t="n">
        <f aca="false">IF(OR($A186="",AX$4=""),0,COUNTIFS(Formulas!$A$2:$A$1501,AX$4,Formulas!$B$2:$B$1501,$A186))</f>
        <v>0</v>
      </c>
      <c r="AY186" s="21" t="n">
        <f aca="false">IF(OR($A186="",AY$4=""),0,COUNTIFS(Formulas!$A$2:$A$1501,AY$4,Formulas!$B$2:$B$1501,$A186))</f>
        <v>0</v>
      </c>
      <c r="AZ186" s="21" t="n">
        <f aca="false">IF(OR($A186="",AZ$4=""),0,COUNTIFS(Formulas!$A$2:$A$1501,AZ$4,Formulas!$B$2:$B$1501,$A186))</f>
        <v>0</v>
      </c>
      <c r="BA186" s="21" t="n">
        <f aca="false">IF(OR($A186="",BA$4=""),0,COUNTIFS(Formulas!$A$2:$A$1501,BA$4,Formulas!$B$2:$B$1501,$A186))</f>
        <v>0</v>
      </c>
      <c r="BB186" s="21" t="n">
        <f aca="false">IF(OR($A186="",BB$4=""),0,COUNTIFS(Formulas!$A$2:$A$1501,BB$4,Formulas!$B$2:$B$1501,$A186))</f>
        <v>0</v>
      </c>
      <c r="BC186" s="21" t="n">
        <f aca="false">IF(OR($A186="",BC$4=""),0,COUNTIFS(Formulas!$A$2:$A$1501,BC$4,Formulas!$B$2:$B$1501,$A186))</f>
        <v>0</v>
      </c>
      <c r="BD186" s="21" t="n">
        <f aca="false">IF(OR($A186="",BD$4=""),0,COUNTIFS(Formulas!$A$2:$A$1501,BD$4,Formulas!$B$2:$B$1501,$A186))</f>
        <v>0</v>
      </c>
      <c r="BE186" s="21" t="n">
        <f aca="false">IF(OR($A186="",BE$4=""),0,COUNTIFS(Formulas!$A$2:$A$1501,BE$4,Formulas!$B$2:$B$1501,$A186))</f>
        <v>0</v>
      </c>
      <c r="BF186" s="21" t="n">
        <f aca="false">IF(OR($A186="",BF$4=""),0,COUNTIFS(Formulas!$A$2:$A$1501,BF$4,Formulas!$B$2:$B$1501,$A186))</f>
        <v>0</v>
      </c>
      <c r="BG186" s="21" t="n">
        <f aca="false">IF(OR($A186="",BG$4=""),0,COUNTIFS(Formulas!$A$2:$A$1501,BG$4,Formulas!$B$2:$B$1501,$A186))</f>
        <v>0</v>
      </c>
      <c r="BH186" s="21" t="n">
        <f aca="false">IF(OR($A186="",BH$4=""),0,COUNTIFS(Formulas!$A$2:$A$1501,BH$4,Formulas!$B$2:$B$1501,$A186))</f>
        <v>0</v>
      </c>
      <c r="BI186" s="21" t="n">
        <f aca="false">IF(OR($A186="",BI$4=""),0,COUNTIFS(Formulas!$A$2:$A$1501,BI$4,Formulas!$B$2:$B$1501,$A186))</f>
        <v>0</v>
      </c>
      <c r="BJ186" s="21" t="n">
        <f aca="false">IF(OR($A186="",BJ$4=""),0,COUNTIFS(Formulas!$A$2:$A$1501,BJ$4,Formulas!$B$2:$B$1501,$A186))</f>
        <v>0</v>
      </c>
    </row>
    <row r="187" customFormat="false" ht="15" hidden="false" customHeight="false" outlineLevel="0" collapsed="false">
      <c r="A187" s="13" t="str">
        <f aca="false">IF(INDEX(Materials!$A$2:$A$201,183)="","",INDEX(Materials!$A$2:$A$201,183))</f>
        <v/>
      </c>
      <c r="B187" s="19" t="str">
        <f aca="false">IF(A187="","",COUNTIF(C187:BJ187,"&gt;0"))</f>
        <v/>
      </c>
      <c r="C187" s="21" t="n">
        <f aca="false">IF(OR($A187="",C$4=""),0,COUNTIFS(Formulas!$A$2:$A$1501,C$4,Formulas!$B$2:$B$1501,$A187))</f>
        <v>0</v>
      </c>
      <c r="D187" s="21" t="n">
        <f aca="false">IF(OR($A187="",D$4=""),0,COUNTIFS(Formulas!$A$2:$A$1501,D$4,Formulas!$B$2:$B$1501,$A187))</f>
        <v>0</v>
      </c>
      <c r="E187" s="21" t="n">
        <f aca="false">IF(OR($A187="",E$4=""),0,COUNTIFS(Formulas!$A$2:$A$1501,E$4,Formulas!$B$2:$B$1501,$A187))</f>
        <v>0</v>
      </c>
      <c r="F187" s="21" t="n">
        <f aca="false">IF(OR($A187="",F$4=""),0,COUNTIFS(Formulas!$A$2:$A$1501,F$4,Formulas!$B$2:$B$1501,$A187))</f>
        <v>0</v>
      </c>
      <c r="G187" s="21" t="n">
        <f aca="false">IF(OR($A187="",G$4=""),0,COUNTIFS(Formulas!$A$2:$A$1501,G$4,Formulas!$B$2:$B$1501,$A187))</f>
        <v>0</v>
      </c>
      <c r="H187" s="21" t="n">
        <f aca="false">IF(OR($A187="",H$4=""),0,COUNTIFS(Formulas!$A$2:$A$1501,H$4,Formulas!$B$2:$B$1501,$A187))</f>
        <v>0</v>
      </c>
      <c r="I187" s="21" t="n">
        <f aca="false">IF(OR($A187="",I$4=""),0,COUNTIFS(Formulas!$A$2:$A$1501,I$4,Formulas!$B$2:$B$1501,$A187))</f>
        <v>0</v>
      </c>
      <c r="J187" s="21" t="n">
        <f aca="false">IF(OR($A187="",J$4=""),0,COUNTIFS(Formulas!$A$2:$A$1501,J$4,Formulas!$B$2:$B$1501,$A187))</f>
        <v>0</v>
      </c>
      <c r="K187" s="21" t="n">
        <f aca="false">IF(OR($A187="",K$4=""),0,COUNTIFS(Formulas!$A$2:$A$1501,K$4,Formulas!$B$2:$B$1501,$A187))</f>
        <v>0</v>
      </c>
      <c r="L187" s="21" t="n">
        <f aca="false">IF(OR($A187="",L$4=""),0,COUNTIFS(Formulas!$A$2:$A$1501,L$4,Formulas!$B$2:$B$1501,$A187))</f>
        <v>0</v>
      </c>
      <c r="M187" s="21" t="n">
        <f aca="false">IF(OR($A187="",M$4=""),0,COUNTIFS(Formulas!$A$2:$A$1501,M$4,Formulas!$B$2:$B$1501,$A187))</f>
        <v>0</v>
      </c>
      <c r="N187" s="21" t="n">
        <f aca="false">IF(OR($A187="",N$4=""),0,COUNTIFS(Formulas!$A$2:$A$1501,N$4,Formulas!$B$2:$B$1501,$A187))</f>
        <v>0</v>
      </c>
      <c r="O187" s="21" t="n">
        <f aca="false">IF(OR($A187="",O$4=""),0,COUNTIFS(Formulas!$A$2:$A$1501,O$4,Formulas!$B$2:$B$1501,$A187))</f>
        <v>0</v>
      </c>
      <c r="P187" s="21" t="n">
        <f aca="false">IF(OR($A187="",P$4=""),0,COUNTIFS(Formulas!$A$2:$A$1501,P$4,Formulas!$B$2:$B$1501,$A187))</f>
        <v>0</v>
      </c>
      <c r="Q187" s="21" t="n">
        <f aca="false">IF(OR($A187="",Q$4=""),0,COUNTIFS(Formulas!$A$2:$A$1501,Q$4,Formulas!$B$2:$B$1501,$A187))</f>
        <v>0</v>
      </c>
      <c r="R187" s="21" t="n">
        <f aca="false">IF(OR($A187="",R$4=""),0,COUNTIFS(Formulas!$A$2:$A$1501,R$4,Formulas!$B$2:$B$1501,$A187))</f>
        <v>0</v>
      </c>
      <c r="S187" s="21" t="n">
        <f aca="false">IF(OR($A187="",S$4=""),0,COUNTIFS(Formulas!$A$2:$A$1501,S$4,Formulas!$B$2:$B$1501,$A187))</f>
        <v>0</v>
      </c>
      <c r="T187" s="21" t="n">
        <f aca="false">IF(OR($A187="",T$4=""),0,COUNTIFS(Formulas!$A$2:$A$1501,T$4,Formulas!$B$2:$B$1501,$A187))</f>
        <v>0</v>
      </c>
      <c r="U187" s="21" t="n">
        <f aca="false">IF(OR($A187="",U$4=""),0,COUNTIFS(Formulas!$A$2:$A$1501,U$4,Formulas!$B$2:$B$1501,$A187))</f>
        <v>0</v>
      </c>
      <c r="V187" s="21" t="n">
        <f aca="false">IF(OR($A187="",V$4=""),0,COUNTIFS(Formulas!$A$2:$A$1501,V$4,Formulas!$B$2:$B$1501,$A187))</f>
        <v>0</v>
      </c>
      <c r="W187" s="21" t="n">
        <f aca="false">IF(OR($A187="",W$4=""),0,COUNTIFS(Formulas!$A$2:$A$1501,W$4,Formulas!$B$2:$B$1501,$A187))</f>
        <v>0</v>
      </c>
      <c r="X187" s="21" t="n">
        <f aca="false">IF(OR($A187="",X$4=""),0,COUNTIFS(Formulas!$A$2:$A$1501,X$4,Formulas!$B$2:$B$1501,$A187))</f>
        <v>0</v>
      </c>
      <c r="Y187" s="21" t="n">
        <f aca="false">IF(OR($A187="",Y$4=""),0,COUNTIFS(Formulas!$A$2:$A$1501,Y$4,Formulas!$B$2:$B$1501,$A187))</f>
        <v>0</v>
      </c>
      <c r="Z187" s="21" t="n">
        <f aca="false">IF(OR($A187="",Z$4=""),0,COUNTIFS(Formulas!$A$2:$A$1501,Z$4,Formulas!$B$2:$B$1501,$A187))</f>
        <v>0</v>
      </c>
      <c r="AA187" s="21" t="n">
        <f aca="false">IF(OR($A187="",AA$4=""),0,COUNTIFS(Formulas!$A$2:$A$1501,AA$4,Formulas!$B$2:$B$1501,$A187))</f>
        <v>0</v>
      </c>
      <c r="AB187" s="21" t="n">
        <f aca="false">IF(OR($A187="",AB$4=""),0,COUNTIFS(Formulas!$A$2:$A$1501,AB$4,Formulas!$B$2:$B$1501,$A187))</f>
        <v>0</v>
      </c>
      <c r="AC187" s="21" t="n">
        <f aca="false">IF(OR($A187="",AC$4=""),0,COUNTIFS(Formulas!$A$2:$A$1501,AC$4,Formulas!$B$2:$B$1501,$A187))</f>
        <v>0</v>
      </c>
      <c r="AD187" s="21" t="n">
        <f aca="false">IF(OR($A187="",AD$4=""),0,COUNTIFS(Formulas!$A$2:$A$1501,AD$4,Formulas!$B$2:$B$1501,$A187))</f>
        <v>0</v>
      </c>
      <c r="AE187" s="21" t="n">
        <f aca="false">IF(OR($A187="",AE$4=""),0,COUNTIFS(Formulas!$A$2:$A$1501,AE$4,Formulas!$B$2:$B$1501,$A187))</f>
        <v>0</v>
      </c>
      <c r="AF187" s="21" t="n">
        <f aca="false">IF(OR($A187="",AF$4=""),0,COUNTIFS(Formulas!$A$2:$A$1501,AF$4,Formulas!$B$2:$B$1501,$A187))</f>
        <v>0</v>
      </c>
      <c r="AG187" s="21" t="n">
        <f aca="false">IF(OR($A187="",AG$4=""),0,COUNTIFS(Formulas!$A$2:$A$1501,AG$4,Formulas!$B$2:$B$1501,$A187))</f>
        <v>0</v>
      </c>
      <c r="AH187" s="21" t="n">
        <f aca="false">IF(OR($A187="",AH$4=""),0,COUNTIFS(Formulas!$A$2:$A$1501,AH$4,Formulas!$B$2:$B$1501,$A187))</f>
        <v>0</v>
      </c>
      <c r="AI187" s="21" t="n">
        <f aca="false">IF(OR($A187="",AI$4=""),0,COUNTIFS(Formulas!$A$2:$A$1501,AI$4,Formulas!$B$2:$B$1501,$A187))</f>
        <v>0</v>
      </c>
      <c r="AJ187" s="21" t="n">
        <f aca="false">IF(OR($A187="",AJ$4=""),0,COUNTIFS(Formulas!$A$2:$A$1501,AJ$4,Formulas!$B$2:$B$1501,$A187))</f>
        <v>0</v>
      </c>
      <c r="AK187" s="21" t="n">
        <f aca="false">IF(OR($A187="",AK$4=""),0,COUNTIFS(Formulas!$A$2:$A$1501,AK$4,Formulas!$B$2:$B$1501,$A187))</f>
        <v>0</v>
      </c>
      <c r="AL187" s="21" t="n">
        <f aca="false">IF(OR($A187="",AL$4=""),0,COUNTIFS(Formulas!$A$2:$A$1501,AL$4,Formulas!$B$2:$B$1501,$A187))</f>
        <v>0</v>
      </c>
      <c r="AM187" s="21" t="n">
        <f aca="false">IF(OR($A187="",AM$4=""),0,COUNTIFS(Formulas!$A$2:$A$1501,AM$4,Formulas!$B$2:$B$1501,$A187))</f>
        <v>0</v>
      </c>
      <c r="AN187" s="21" t="n">
        <f aca="false">IF(OR($A187="",AN$4=""),0,COUNTIFS(Formulas!$A$2:$A$1501,AN$4,Formulas!$B$2:$B$1501,$A187))</f>
        <v>0</v>
      </c>
      <c r="AO187" s="21" t="n">
        <f aca="false">IF(OR($A187="",AO$4=""),0,COUNTIFS(Formulas!$A$2:$A$1501,AO$4,Formulas!$B$2:$B$1501,$A187))</f>
        <v>0</v>
      </c>
      <c r="AP187" s="21" t="n">
        <f aca="false">IF(OR($A187="",AP$4=""),0,COUNTIFS(Formulas!$A$2:$A$1501,AP$4,Formulas!$B$2:$B$1501,$A187))</f>
        <v>0</v>
      </c>
      <c r="AQ187" s="21" t="n">
        <f aca="false">IF(OR($A187="",AQ$4=""),0,COUNTIFS(Formulas!$A$2:$A$1501,AQ$4,Formulas!$B$2:$B$1501,$A187))</f>
        <v>0</v>
      </c>
      <c r="AR187" s="21" t="n">
        <f aca="false">IF(OR($A187="",AR$4=""),0,COUNTIFS(Formulas!$A$2:$A$1501,AR$4,Formulas!$B$2:$B$1501,$A187))</f>
        <v>0</v>
      </c>
      <c r="AS187" s="21" t="n">
        <f aca="false">IF(OR($A187="",AS$4=""),0,COUNTIFS(Formulas!$A$2:$A$1501,AS$4,Formulas!$B$2:$B$1501,$A187))</f>
        <v>0</v>
      </c>
      <c r="AT187" s="21" t="n">
        <f aca="false">IF(OR($A187="",AT$4=""),0,COUNTIFS(Formulas!$A$2:$A$1501,AT$4,Formulas!$B$2:$B$1501,$A187))</f>
        <v>0</v>
      </c>
      <c r="AU187" s="21" t="n">
        <f aca="false">IF(OR($A187="",AU$4=""),0,COUNTIFS(Formulas!$A$2:$A$1501,AU$4,Formulas!$B$2:$B$1501,$A187))</f>
        <v>0</v>
      </c>
      <c r="AV187" s="21" t="n">
        <f aca="false">IF(OR($A187="",AV$4=""),0,COUNTIFS(Formulas!$A$2:$A$1501,AV$4,Formulas!$B$2:$B$1501,$A187))</f>
        <v>0</v>
      </c>
      <c r="AW187" s="21" t="n">
        <f aca="false">IF(OR($A187="",AW$4=""),0,COUNTIFS(Formulas!$A$2:$A$1501,AW$4,Formulas!$B$2:$B$1501,$A187))</f>
        <v>0</v>
      </c>
      <c r="AX187" s="21" t="n">
        <f aca="false">IF(OR($A187="",AX$4=""),0,COUNTIFS(Formulas!$A$2:$A$1501,AX$4,Formulas!$B$2:$B$1501,$A187))</f>
        <v>0</v>
      </c>
      <c r="AY187" s="21" t="n">
        <f aca="false">IF(OR($A187="",AY$4=""),0,COUNTIFS(Formulas!$A$2:$A$1501,AY$4,Formulas!$B$2:$B$1501,$A187))</f>
        <v>0</v>
      </c>
      <c r="AZ187" s="21" t="n">
        <f aca="false">IF(OR($A187="",AZ$4=""),0,COUNTIFS(Formulas!$A$2:$A$1501,AZ$4,Formulas!$B$2:$B$1501,$A187))</f>
        <v>0</v>
      </c>
      <c r="BA187" s="21" t="n">
        <f aca="false">IF(OR($A187="",BA$4=""),0,COUNTIFS(Formulas!$A$2:$A$1501,BA$4,Formulas!$B$2:$B$1501,$A187))</f>
        <v>0</v>
      </c>
      <c r="BB187" s="21" t="n">
        <f aca="false">IF(OR($A187="",BB$4=""),0,COUNTIFS(Formulas!$A$2:$A$1501,BB$4,Formulas!$B$2:$B$1501,$A187))</f>
        <v>0</v>
      </c>
      <c r="BC187" s="21" t="n">
        <f aca="false">IF(OR($A187="",BC$4=""),0,COUNTIFS(Formulas!$A$2:$A$1501,BC$4,Formulas!$B$2:$B$1501,$A187))</f>
        <v>0</v>
      </c>
      <c r="BD187" s="21" t="n">
        <f aca="false">IF(OR($A187="",BD$4=""),0,COUNTIFS(Formulas!$A$2:$A$1501,BD$4,Formulas!$B$2:$B$1501,$A187))</f>
        <v>0</v>
      </c>
      <c r="BE187" s="21" t="n">
        <f aca="false">IF(OR($A187="",BE$4=""),0,COUNTIFS(Formulas!$A$2:$A$1501,BE$4,Formulas!$B$2:$B$1501,$A187))</f>
        <v>0</v>
      </c>
      <c r="BF187" s="21" t="n">
        <f aca="false">IF(OR($A187="",BF$4=""),0,COUNTIFS(Formulas!$A$2:$A$1501,BF$4,Formulas!$B$2:$B$1501,$A187))</f>
        <v>0</v>
      </c>
      <c r="BG187" s="21" t="n">
        <f aca="false">IF(OR($A187="",BG$4=""),0,COUNTIFS(Formulas!$A$2:$A$1501,BG$4,Formulas!$B$2:$B$1501,$A187))</f>
        <v>0</v>
      </c>
      <c r="BH187" s="21" t="n">
        <f aca="false">IF(OR($A187="",BH$4=""),0,COUNTIFS(Formulas!$A$2:$A$1501,BH$4,Formulas!$B$2:$B$1501,$A187))</f>
        <v>0</v>
      </c>
      <c r="BI187" s="21" t="n">
        <f aca="false">IF(OR($A187="",BI$4=""),0,COUNTIFS(Formulas!$A$2:$A$1501,BI$4,Formulas!$B$2:$B$1501,$A187))</f>
        <v>0</v>
      </c>
      <c r="BJ187" s="21" t="n">
        <f aca="false">IF(OR($A187="",BJ$4=""),0,COUNTIFS(Formulas!$A$2:$A$1501,BJ$4,Formulas!$B$2:$B$1501,$A187))</f>
        <v>0</v>
      </c>
    </row>
    <row r="188" customFormat="false" ht="15" hidden="false" customHeight="false" outlineLevel="0" collapsed="false">
      <c r="A188" s="13" t="str">
        <f aca="false">IF(INDEX(Materials!$A$2:$A$201,184)="","",INDEX(Materials!$A$2:$A$201,184))</f>
        <v/>
      </c>
      <c r="B188" s="19" t="str">
        <f aca="false">IF(A188="","",COUNTIF(C188:BJ188,"&gt;0"))</f>
        <v/>
      </c>
      <c r="C188" s="21" t="n">
        <f aca="false">IF(OR($A188="",C$4=""),0,COUNTIFS(Formulas!$A$2:$A$1501,C$4,Formulas!$B$2:$B$1501,$A188))</f>
        <v>0</v>
      </c>
      <c r="D188" s="21" t="n">
        <f aca="false">IF(OR($A188="",D$4=""),0,COUNTIFS(Formulas!$A$2:$A$1501,D$4,Formulas!$B$2:$B$1501,$A188))</f>
        <v>0</v>
      </c>
      <c r="E188" s="21" t="n">
        <f aca="false">IF(OR($A188="",E$4=""),0,COUNTIFS(Formulas!$A$2:$A$1501,E$4,Formulas!$B$2:$B$1501,$A188))</f>
        <v>0</v>
      </c>
      <c r="F188" s="21" t="n">
        <f aca="false">IF(OR($A188="",F$4=""),0,COUNTIFS(Formulas!$A$2:$A$1501,F$4,Formulas!$B$2:$B$1501,$A188))</f>
        <v>0</v>
      </c>
      <c r="G188" s="21" t="n">
        <f aca="false">IF(OR($A188="",G$4=""),0,COUNTIFS(Formulas!$A$2:$A$1501,G$4,Formulas!$B$2:$B$1501,$A188))</f>
        <v>0</v>
      </c>
      <c r="H188" s="21" t="n">
        <f aca="false">IF(OR($A188="",H$4=""),0,COUNTIFS(Formulas!$A$2:$A$1501,H$4,Formulas!$B$2:$B$1501,$A188))</f>
        <v>0</v>
      </c>
      <c r="I188" s="21" t="n">
        <f aca="false">IF(OR($A188="",I$4=""),0,COUNTIFS(Formulas!$A$2:$A$1501,I$4,Formulas!$B$2:$B$1501,$A188))</f>
        <v>0</v>
      </c>
      <c r="J188" s="21" t="n">
        <f aca="false">IF(OR($A188="",J$4=""),0,COUNTIFS(Formulas!$A$2:$A$1501,J$4,Formulas!$B$2:$B$1501,$A188))</f>
        <v>0</v>
      </c>
      <c r="K188" s="21" t="n">
        <f aca="false">IF(OR($A188="",K$4=""),0,COUNTIFS(Formulas!$A$2:$A$1501,K$4,Formulas!$B$2:$B$1501,$A188))</f>
        <v>0</v>
      </c>
      <c r="L188" s="21" t="n">
        <f aca="false">IF(OR($A188="",L$4=""),0,COUNTIFS(Formulas!$A$2:$A$1501,L$4,Formulas!$B$2:$B$1501,$A188))</f>
        <v>0</v>
      </c>
      <c r="M188" s="21" t="n">
        <f aca="false">IF(OR($A188="",M$4=""),0,COUNTIFS(Formulas!$A$2:$A$1501,M$4,Formulas!$B$2:$B$1501,$A188))</f>
        <v>0</v>
      </c>
      <c r="N188" s="21" t="n">
        <f aca="false">IF(OR($A188="",N$4=""),0,COUNTIFS(Formulas!$A$2:$A$1501,N$4,Formulas!$B$2:$B$1501,$A188))</f>
        <v>0</v>
      </c>
      <c r="O188" s="21" t="n">
        <f aca="false">IF(OR($A188="",O$4=""),0,COUNTIFS(Formulas!$A$2:$A$1501,O$4,Formulas!$B$2:$B$1501,$A188))</f>
        <v>0</v>
      </c>
      <c r="P188" s="21" t="n">
        <f aca="false">IF(OR($A188="",P$4=""),0,COUNTIFS(Formulas!$A$2:$A$1501,P$4,Formulas!$B$2:$B$1501,$A188))</f>
        <v>0</v>
      </c>
      <c r="Q188" s="21" t="n">
        <f aca="false">IF(OR($A188="",Q$4=""),0,COUNTIFS(Formulas!$A$2:$A$1501,Q$4,Formulas!$B$2:$B$1501,$A188))</f>
        <v>0</v>
      </c>
      <c r="R188" s="21" t="n">
        <f aca="false">IF(OR($A188="",R$4=""),0,COUNTIFS(Formulas!$A$2:$A$1501,R$4,Formulas!$B$2:$B$1501,$A188))</f>
        <v>0</v>
      </c>
      <c r="S188" s="21" t="n">
        <f aca="false">IF(OR($A188="",S$4=""),0,COUNTIFS(Formulas!$A$2:$A$1501,S$4,Formulas!$B$2:$B$1501,$A188))</f>
        <v>0</v>
      </c>
      <c r="T188" s="21" t="n">
        <f aca="false">IF(OR($A188="",T$4=""),0,COUNTIFS(Formulas!$A$2:$A$1501,T$4,Formulas!$B$2:$B$1501,$A188))</f>
        <v>0</v>
      </c>
      <c r="U188" s="21" t="n">
        <f aca="false">IF(OR($A188="",U$4=""),0,COUNTIFS(Formulas!$A$2:$A$1501,U$4,Formulas!$B$2:$B$1501,$A188))</f>
        <v>0</v>
      </c>
      <c r="V188" s="21" t="n">
        <f aca="false">IF(OR($A188="",V$4=""),0,COUNTIFS(Formulas!$A$2:$A$1501,V$4,Formulas!$B$2:$B$1501,$A188))</f>
        <v>0</v>
      </c>
      <c r="W188" s="21" t="n">
        <f aca="false">IF(OR($A188="",W$4=""),0,COUNTIFS(Formulas!$A$2:$A$1501,W$4,Formulas!$B$2:$B$1501,$A188))</f>
        <v>0</v>
      </c>
      <c r="X188" s="21" t="n">
        <f aca="false">IF(OR($A188="",X$4=""),0,COUNTIFS(Formulas!$A$2:$A$1501,X$4,Formulas!$B$2:$B$1501,$A188))</f>
        <v>0</v>
      </c>
      <c r="Y188" s="21" t="n">
        <f aca="false">IF(OR($A188="",Y$4=""),0,COUNTIFS(Formulas!$A$2:$A$1501,Y$4,Formulas!$B$2:$B$1501,$A188))</f>
        <v>0</v>
      </c>
      <c r="Z188" s="21" t="n">
        <f aca="false">IF(OR($A188="",Z$4=""),0,COUNTIFS(Formulas!$A$2:$A$1501,Z$4,Formulas!$B$2:$B$1501,$A188))</f>
        <v>0</v>
      </c>
      <c r="AA188" s="21" t="n">
        <f aca="false">IF(OR($A188="",AA$4=""),0,COUNTIFS(Formulas!$A$2:$A$1501,AA$4,Formulas!$B$2:$B$1501,$A188))</f>
        <v>0</v>
      </c>
      <c r="AB188" s="21" t="n">
        <f aca="false">IF(OR($A188="",AB$4=""),0,COUNTIFS(Formulas!$A$2:$A$1501,AB$4,Formulas!$B$2:$B$1501,$A188))</f>
        <v>0</v>
      </c>
      <c r="AC188" s="21" t="n">
        <f aca="false">IF(OR($A188="",AC$4=""),0,COUNTIFS(Formulas!$A$2:$A$1501,AC$4,Formulas!$B$2:$B$1501,$A188))</f>
        <v>0</v>
      </c>
      <c r="AD188" s="21" t="n">
        <f aca="false">IF(OR($A188="",AD$4=""),0,COUNTIFS(Formulas!$A$2:$A$1501,AD$4,Formulas!$B$2:$B$1501,$A188))</f>
        <v>0</v>
      </c>
      <c r="AE188" s="21" t="n">
        <f aca="false">IF(OR($A188="",AE$4=""),0,COUNTIFS(Formulas!$A$2:$A$1501,AE$4,Formulas!$B$2:$B$1501,$A188))</f>
        <v>0</v>
      </c>
      <c r="AF188" s="21" t="n">
        <f aca="false">IF(OR($A188="",AF$4=""),0,COUNTIFS(Formulas!$A$2:$A$1501,AF$4,Formulas!$B$2:$B$1501,$A188))</f>
        <v>0</v>
      </c>
      <c r="AG188" s="21" t="n">
        <f aca="false">IF(OR($A188="",AG$4=""),0,COUNTIFS(Formulas!$A$2:$A$1501,AG$4,Formulas!$B$2:$B$1501,$A188))</f>
        <v>0</v>
      </c>
      <c r="AH188" s="21" t="n">
        <f aca="false">IF(OR($A188="",AH$4=""),0,COUNTIFS(Formulas!$A$2:$A$1501,AH$4,Formulas!$B$2:$B$1501,$A188))</f>
        <v>0</v>
      </c>
      <c r="AI188" s="21" t="n">
        <f aca="false">IF(OR($A188="",AI$4=""),0,COUNTIFS(Formulas!$A$2:$A$1501,AI$4,Formulas!$B$2:$B$1501,$A188))</f>
        <v>0</v>
      </c>
      <c r="AJ188" s="21" t="n">
        <f aca="false">IF(OR($A188="",AJ$4=""),0,COUNTIFS(Formulas!$A$2:$A$1501,AJ$4,Formulas!$B$2:$B$1501,$A188))</f>
        <v>0</v>
      </c>
      <c r="AK188" s="21" t="n">
        <f aca="false">IF(OR($A188="",AK$4=""),0,COUNTIFS(Formulas!$A$2:$A$1501,AK$4,Formulas!$B$2:$B$1501,$A188))</f>
        <v>0</v>
      </c>
      <c r="AL188" s="21" t="n">
        <f aca="false">IF(OR($A188="",AL$4=""),0,COUNTIFS(Formulas!$A$2:$A$1501,AL$4,Formulas!$B$2:$B$1501,$A188))</f>
        <v>0</v>
      </c>
      <c r="AM188" s="21" t="n">
        <f aca="false">IF(OR($A188="",AM$4=""),0,COUNTIFS(Formulas!$A$2:$A$1501,AM$4,Formulas!$B$2:$B$1501,$A188))</f>
        <v>0</v>
      </c>
      <c r="AN188" s="21" t="n">
        <f aca="false">IF(OR($A188="",AN$4=""),0,COUNTIFS(Formulas!$A$2:$A$1501,AN$4,Formulas!$B$2:$B$1501,$A188))</f>
        <v>0</v>
      </c>
      <c r="AO188" s="21" t="n">
        <f aca="false">IF(OR($A188="",AO$4=""),0,COUNTIFS(Formulas!$A$2:$A$1501,AO$4,Formulas!$B$2:$B$1501,$A188))</f>
        <v>0</v>
      </c>
      <c r="AP188" s="21" t="n">
        <f aca="false">IF(OR($A188="",AP$4=""),0,COUNTIFS(Formulas!$A$2:$A$1501,AP$4,Formulas!$B$2:$B$1501,$A188))</f>
        <v>0</v>
      </c>
      <c r="AQ188" s="21" t="n">
        <f aca="false">IF(OR($A188="",AQ$4=""),0,COUNTIFS(Formulas!$A$2:$A$1501,AQ$4,Formulas!$B$2:$B$1501,$A188))</f>
        <v>0</v>
      </c>
      <c r="AR188" s="21" t="n">
        <f aca="false">IF(OR($A188="",AR$4=""),0,COUNTIFS(Formulas!$A$2:$A$1501,AR$4,Formulas!$B$2:$B$1501,$A188))</f>
        <v>0</v>
      </c>
      <c r="AS188" s="21" t="n">
        <f aca="false">IF(OR($A188="",AS$4=""),0,COUNTIFS(Formulas!$A$2:$A$1501,AS$4,Formulas!$B$2:$B$1501,$A188))</f>
        <v>0</v>
      </c>
      <c r="AT188" s="21" t="n">
        <f aca="false">IF(OR($A188="",AT$4=""),0,COUNTIFS(Formulas!$A$2:$A$1501,AT$4,Formulas!$B$2:$B$1501,$A188))</f>
        <v>0</v>
      </c>
      <c r="AU188" s="21" t="n">
        <f aca="false">IF(OR($A188="",AU$4=""),0,COUNTIFS(Formulas!$A$2:$A$1501,AU$4,Formulas!$B$2:$B$1501,$A188))</f>
        <v>0</v>
      </c>
      <c r="AV188" s="21" t="n">
        <f aca="false">IF(OR($A188="",AV$4=""),0,COUNTIFS(Formulas!$A$2:$A$1501,AV$4,Formulas!$B$2:$B$1501,$A188))</f>
        <v>0</v>
      </c>
      <c r="AW188" s="21" t="n">
        <f aca="false">IF(OR($A188="",AW$4=""),0,COUNTIFS(Formulas!$A$2:$A$1501,AW$4,Formulas!$B$2:$B$1501,$A188))</f>
        <v>0</v>
      </c>
      <c r="AX188" s="21" t="n">
        <f aca="false">IF(OR($A188="",AX$4=""),0,COUNTIFS(Formulas!$A$2:$A$1501,AX$4,Formulas!$B$2:$B$1501,$A188))</f>
        <v>0</v>
      </c>
      <c r="AY188" s="21" t="n">
        <f aca="false">IF(OR($A188="",AY$4=""),0,COUNTIFS(Formulas!$A$2:$A$1501,AY$4,Formulas!$B$2:$B$1501,$A188))</f>
        <v>0</v>
      </c>
      <c r="AZ188" s="21" t="n">
        <f aca="false">IF(OR($A188="",AZ$4=""),0,COUNTIFS(Formulas!$A$2:$A$1501,AZ$4,Formulas!$B$2:$B$1501,$A188))</f>
        <v>0</v>
      </c>
      <c r="BA188" s="21" t="n">
        <f aca="false">IF(OR($A188="",BA$4=""),0,COUNTIFS(Formulas!$A$2:$A$1501,BA$4,Formulas!$B$2:$B$1501,$A188))</f>
        <v>0</v>
      </c>
      <c r="BB188" s="21" t="n">
        <f aca="false">IF(OR($A188="",BB$4=""),0,COUNTIFS(Formulas!$A$2:$A$1501,BB$4,Formulas!$B$2:$B$1501,$A188))</f>
        <v>0</v>
      </c>
      <c r="BC188" s="21" t="n">
        <f aca="false">IF(OR($A188="",BC$4=""),0,COUNTIFS(Formulas!$A$2:$A$1501,BC$4,Formulas!$B$2:$B$1501,$A188))</f>
        <v>0</v>
      </c>
      <c r="BD188" s="21" t="n">
        <f aca="false">IF(OR($A188="",BD$4=""),0,COUNTIFS(Formulas!$A$2:$A$1501,BD$4,Formulas!$B$2:$B$1501,$A188))</f>
        <v>0</v>
      </c>
      <c r="BE188" s="21" t="n">
        <f aca="false">IF(OR($A188="",BE$4=""),0,COUNTIFS(Formulas!$A$2:$A$1501,BE$4,Formulas!$B$2:$B$1501,$A188))</f>
        <v>0</v>
      </c>
      <c r="BF188" s="21" t="n">
        <f aca="false">IF(OR($A188="",BF$4=""),0,COUNTIFS(Formulas!$A$2:$A$1501,BF$4,Formulas!$B$2:$B$1501,$A188))</f>
        <v>0</v>
      </c>
      <c r="BG188" s="21" t="n">
        <f aca="false">IF(OR($A188="",BG$4=""),0,COUNTIFS(Formulas!$A$2:$A$1501,BG$4,Formulas!$B$2:$B$1501,$A188))</f>
        <v>0</v>
      </c>
      <c r="BH188" s="21" t="n">
        <f aca="false">IF(OR($A188="",BH$4=""),0,COUNTIFS(Formulas!$A$2:$A$1501,BH$4,Formulas!$B$2:$B$1501,$A188))</f>
        <v>0</v>
      </c>
      <c r="BI188" s="21" t="n">
        <f aca="false">IF(OR($A188="",BI$4=""),0,COUNTIFS(Formulas!$A$2:$A$1501,BI$4,Formulas!$B$2:$B$1501,$A188))</f>
        <v>0</v>
      </c>
      <c r="BJ188" s="21" t="n">
        <f aca="false">IF(OR($A188="",BJ$4=""),0,COUNTIFS(Formulas!$A$2:$A$1501,BJ$4,Formulas!$B$2:$B$1501,$A188))</f>
        <v>0</v>
      </c>
    </row>
    <row r="189" customFormat="false" ht="15" hidden="false" customHeight="false" outlineLevel="0" collapsed="false">
      <c r="A189" s="13" t="str">
        <f aca="false">IF(INDEX(Materials!$A$2:$A$201,185)="","",INDEX(Materials!$A$2:$A$201,185))</f>
        <v/>
      </c>
      <c r="B189" s="19" t="str">
        <f aca="false">IF(A189="","",COUNTIF(C189:BJ189,"&gt;0"))</f>
        <v/>
      </c>
      <c r="C189" s="21" t="n">
        <f aca="false">IF(OR($A189="",C$4=""),0,COUNTIFS(Formulas!$A$2:$A$1501,C$4,Formulas!$B$2:$B$1501,$A189))</f>
        <v>0</v>
      </c>
      <c r="D189" s="21" t="n">
        <f aca="false">IF(OR($A189="",D$4=""),0,COUNTIFS(Formulas!$A$2:$A$1501,D$4,Formulas!$B$2:$B$1501,$A189))</f>
        <v>0</v>
      </c>
      <c r="E189" s="21" t="n">
        <f aca="false">IF(OR($A189="",E$4=""),0,COUNTIFS(Formulas!$A$2:$A$1501,E$4,Formulas!$B$2:$B$1501,$A189))</f>
        <v>0</v>
      </c>
      <c r="F189" s="21" t="n">
        <f aca="false">IF(OR($A189="",F$4=""),0,COUNTIFS(Formulas!$A$2:$A$1501,F$4,Formulas!$B$2:$B$1501,$A189))</f>
        <v>0</v>
      </c>
      <c r="G189" s="21" t="n">
        <f aca="false">IF(OR($A189="",G$4=""),0,COUNTIFS(Formulas!$A$2:$A$1501,G$4,Formulas!$B$2:$B$1501,$A189))</f>
        <v>0</v>
      </c>
      <c r="H189" s="21" t="n">
        <f aca="false">IF(OR($A189="",H$4=""),0,COUNTIFS(Formulas!$A$2:$A$1501,H$4,Formulas!$B$2:$B$1501,$A189))</f>
        <v>0</v>
      </c>
      <c r="I189" s="21" t="n">
        <f aca="false">IF(OR($A189="",I$4=""),0,COUNTIFS(Formulas!$A$2:$A$1501,I$4,Formulas!$B$2:$B$1501,$A189))</f>
        <v>0</v>
      </c>
      <c r="J189" s="21" t="n">
        <f aca="false">IF(OR($A189="",J$4=""),0,COUNTIFS(Formulas!$A$2:$A$1501,J$4,Formulas!$B$2:$B$1501,$A189))</f>
        <v>0</v>
      </c>
      <c r="K189" s="21" t="n">
        <f aca="false">IF(OR($A189="",K$4=""),0,COUNTIFS(Formulas!$A$2:$A$1501,K$4,Formulas!$B$2:$B$1501,$A189))</f>
        <v>0</v>
      </c>
      <c r="L189" s="21" t="n">
        <f aca="false">IF(OR($A189="",L$4=""),0,COUNTIFS(Formulas!$A$2:$A$1501,L$4,Formulas!$B$2:$B$1501,$A189))</f>
        <v>0</v>
      </c>
      <c r="M189" s="21" t="n">
        <f aca="false">IF(OR($A189="",M$4=""),0,COUNTIFS(Formulas!$A$2:$A$1501,M$4,Formulas!$B$2:$B$1501,$A189))</f>
        <v>0</v>
      </c>
      <c r="N189" s="21" t="n">
        <f aca="false">IF(OR($A189="",N$4=""),0,COUNTIFS(Formulas!$A$2:$A$1501,N$4,Formulas!$B$2:$B$1501,$A189))</f>
        <v>0</v>
      </c>
      <c r="O189" s="21" t="n">
        <f aca="false">IF(OR($A189="",O$4=""),0,COUNTIFS(Formulas!$A$2:$A$1501,O$4,Formulas!$B$2:$B$1501,$A189))</f>
        <v>0</v>
      </c>
      <c r="P189" s="21" t="n">
        <f aca="false">IF(OR($A189="",P$4=""),0,COUNTIFS(Formulas!$A$2:$A$1501,P$4,Formulas!$B$2:$B$1501,$A189))</f>
        <v>0</v>
      </c>
      <c r="Q189" s="21" t="n">
        <f aca="false">IF(OR($A189="",Q$4=""),0,COUNTIFS(Formulas!$A$2:$A$1501,Q$4,Formulas!$B$2:$B$1501,$A189))</f>
        <v>0</v>
      </c>
      <c r="R189" s="21" t="n">
        <f aca="false">IF(OR($A189="",R$4=""),0,COUNTIFS(Formulas!$A$2:$A$1501,R$4,Formulas!$B$2:$B$1501,$A189))</f>
        <v>0</v>
      </c>
      <c r="S189" s="21" t="n">
        <f aca="false">IF(OR($A189="",S$4=""),0,COUNTIFS(Formulas!$A$2:$A$1501,S$4,Formulas!$B$2:$B$1501,$A189))</f>
        <v>0</v>
      </c>
      <c r="T189" s="21" t="n">
        <f aca="false">IF(OR($A189="",T$4=""),0,COUNTIFS(Formulas!$A$2:$A$1501,T$4,Formulas!$B$2:$B$1501,$A189))</f>
        <v>0</v>
      </c>
      <c r="U189" s="21" t="n">
        <f aca="false">IF(OR($A189="",U$4=""),0,COUNTIFS(Formulas!$A$2:$A$1501,U$4,Formulas!$B$2:$B$1501,$A189))</f>
        <v>0</v>
      </c>
      <c r="V189" s="21" t="n">
        <f aca="false">IF(OR($A189="",V$4=""),0,COUNTIFS(Formulas!$A$2:$A$1501,V$4,Formulas!$B$2:$B$1501,$A189))</f>
        <v>0</v>
      </c>
      <c r="W189" s="21" t="n">
        <f aca="false">IF(OR($A189="",W$4=""),0,COUNTIFS(Formulas!$A$2:$A$1501,W$4,Formulas!$B$2:$B$1501,$A189))</f>
        <v>0</v>
      </c>
      <c r="X189" s="21" t="n">
        <f aca="false">IF(OR($A189="",X$4=""),0,COUNTIFS(Formulas!$A$2:$A$1501,X$4,Formulas!$B$2:$B$1501,$A189))</f>
        <v>0</v>
      </c>
      <c r="Y189" s="21" t="n">
        <f aca="false">IF(OR($A189="",Y$4=""),0,COUNTIFS(Formulas!$A$2:$A$1501,Y$4,Formulas!$B$2:$B$1501,$A189))</f>
        <v>0</v>
      </c>
      <c r="Z189" s="21" t="n">
        <f aca="false">IF(OR($A189="",Z$4=""),0,COUNTIFS(Formulas!$A$2:$A$1501,Z$4,Formulas!$B$2:$B$1501,$A189))</f>
        <v>0</v>
      </c>
      <c r="AA189" s="21" t="n">
        <f aca="false">IF(OR($A189="",AA$4=""),0,COUNTIFS(Formulas!$A$2:$A$1501,AA$4,Formulas!$B$2:$B$1501,$A189))</f>
        <v>0</v>
      </c>
      <c r="AB189" s="21" t="n">
        <f aca="false">IF(OR($A189="",AB$4=""),0,COUNTIFS(Formulas!$A$2:$A$1501,AB$4,Formulas!$B$2:$B$1501,$A189))</f>
        <v>0</v>
      </c>
      <c r="AC189" s="21" t="n">
        <f aca="false">IF(OR($A189="",AC$4=""),0,COUNTIFS(Formulas!$A$2:$A$1501,AC$4,Formulas!$B$2:$B$1501,$A189))</f>
        <v>0</v>
      </c>
      <c r="AD189" s="21" t="n">
        <f aca="false">IF(OR($A189="",AD$4=""),0,COUNTIFS(Formulas!$A$2:$A$1501,AD$4,Formulas!$B$2:$B$1501,$A189))</f>
        <v>0</v>
      </c>
      <c r="AE189" s="21" t="n">
        <f aca="false">IF(OR($A189="",AE$4=""),0,COUNTIFS(Formulas!$A$2:$A$1501,AE$4,Formulas!$B$2:$B$1501,$A189))</f>
        <v>0</v>
      </c>
      <c r="AF189" s="21" t="n">
        <f aca="false">IF(OR($A189="",AF$4=""),0,COUNTIFS(Formulas!$A$2:$A$1501,AF$4,Formulas!$B$2:$B$1501,$A189))</f>
        <v>0</v>
      </c>
      <c r="AG189" s="21" t="n">
        <f aca="false">IF(OR($A189="",AG$4=""),0,COUNTIFS(Formulas!$A$2:$A$1501,AG$4,Formulas!$B$2:$B$1501,$A189))</f>
        <v>0</v>
      </c>
      <c r="AH189" s="21" t="n">
        <f aca="false">IF(OR($A189="",AH$4=""),0,COUNTIFS(Formulas!$A$2:$A$1501,AH$4,Formulas!$B$2:$B$1501,$A189))</f>
        <v>0</v>
      </c>
      <c r="AI189" s="21" t="n">
        <f aca="false">IF(OR($A189="",AI$4=""),0,COUNTIFS(Formulas!$A$2:$A$1501,AI$4,Formulas!$B$2:$B$1501,$A189))</f>
        <v>0</v>
      </c>
      <c r="AJ189" s="21" t="n">
        <f aca="false">IF(OR($A189="",AJ$4=""),0,COUNTIFS(Formulas!$A$2:$A$1501,AJ$4,Formulas!$B$2:$B$1501,$A189))</f>
        <v>0</v>
      </c>
      <c r="AK189" s="21" t="n">
        <f aca="false">IF(OR($A189="",AK$4=""),0,COUNTIFS(Formulas!$A$2:$A$1501,AK$4,Formulas!$B$2:$B$1501,$A189))</f>
        <v>0</v>
      </c>
      <c r="AL189" s="21" t="n">
        <f aca="false">IF(OR($A189="",AL$4=""),0,COUNTIFS(Formulas!$A$2:$A$1501,AL$4,Formulas!$B$2:$B$1501,$A189))</f>
        <v>0</v>
      </c>
      <c r="AM189" s="21" t="n">
        <f aca="false">IF(OR($A189="",AM$4=""),0,COUNTIFS(Formulas!$A$2:$A$1501,AM$4,Formulas!$B$2:$B$1501,$A189))</f>
        <v>0</v>
      </c>
      <c r="AN189" s="21" t="n">
        <f aca="false">IF(OR($A189="",AN$4=""),0,COUNTIFS(Formulas!$A$2:$A$1501,AN$4,Formulas!$B$2:$B$1501,$A189))</f>
        <v>0</v>
      </c>
      <c r="AO189" s="21" t="n">
        <f aca="false">IF(OR($A189="",AO$4=""),0,COUNTIFS(Formulas!$A$2:$A$1501,AO$4,Formulas!$B$2:$B$1501,$A189))</f>
        <v>0</v>
      </c>
      <c r="AP189" s="21" t="n">
        <f aca="false">IF(OR($A189="",AP$4=""),0,COUNTIFS(Formulas!$A$2:$A$1501,AP$4,Formulas!$B$2:$B$1501,$A189))</f>
        <v>0</v>
      </c>
      <c r="AQ189" s="21" t="n">
        <f aca="false">IF(OR($A189="",AQ$4=""),0,COUNTIFS(Formulas!$A$2:$A$1501,AQ$4,Formulas!$B$2:$B$1501,$A189))</f>
        <v>0</v>
      </c>
      <c r="AR189" s="21" t="n">
        <f aca="false">IF(OR($A189="",AR$4=""),0,COUNTIFS(Formulas!$A$2:$A$1501,AR$4,Formulas!$B$2:$B$1501,$A189))</f>
        <v>0</v>
      </c>
      <c r="AS189" s="21" t="n">
        <f aca="false">IF(OR($A189="",AS$4=""),0,COUNTIFS(Formulas!$A$2:$A$1501,AS$4,Formulas!$B$2:$B$1501,$A189))</f>
        <v>0</v>
      </c>
      <c r="AT189" s="21" t="n">
        <f aca="false">IF(OR($A189="",AT$4=""),0,COUNTIFS(Formulas!$A$2:$A$1501,AT$4,Formulas!$B$2:$B$1501,$A189))</f>
        <v>0</v>
      </c>
      <c r="AU189" s="21" t="n">
        <f aca="false">IF(OR($A189="",AU$4=""),0,COUNTIFS(Formulas!$A$2:$A$1501,AU$4,Formulas!$B$2:$B$1501,$A189))</f>
        <v>0</v>
      </c>
      <c r="AV189" s="21" t="n">
        <f aca="false">IF(OR($A189="",AV$4=""),0,COUNTIFS(Formulas!$A$2:$A$1501,AV$4,Formulas!$B$2:$B$1501,$A189))</f>
        <v>0</v>
      </c>
      <c r="AW189" s="21" t="n">
        <f aca="false">IF(OR($A189="",AW$4=""),0,COUNTIFS(Formulas!$A$2:$A$1501,AW$4,Formulas!$B$2:$B$1501,$A189))</f>
        <v>0</v>
      </c>
      <c r="AX189" s="21" t="n">
        <f aca="false">IF(OR($A189="",AX$4=""),0,COUNTIFS(Formulas!$A$2:$A$1501,AX$4,Formulas!$B$2:$B$1501,$A189))</f>
        <v>0</v>
      </c>
      <c r="AY189" s="21" t="n">
        <f aca="false">IF(OR($A189="",AY$4=""),0,COUNTIFS(Formulas!$A$2:$A$1501,AY$4,Formulas!$B$2:$B$1501,$A189))</f>
        <v>0</v>
      </c>
      <c r="AZ189" s="21" t="n">
        <f aca="false">IF(OR($A189="",AZ$4=""),0,COUNTIFS(Formulas!$A$2:$A$1501,AZ$4,Formulas!$B$2:$B$1501,$A189))</f>
        <v>0</v>
      </c>
      <c r="BA189" s="21" t="n">
        <f aca="false">IF(OR($A189="",BA$4=""),0,COUNTIFS(Formulas!$A$2:$A$1501,BA$4,Formulas!$B$2:$B$1501,$A189))</f>
        <v>0</v>
      </c>
      <c r="BB189" s="21" t="n">
        <f aca="false">IF(OR($A189="",BB$4=""),0,COUNTIFS(Formulas!$A$2:$A$1501,BB$4,Formulas!$B$2:$B$1501,$A189))</f>
        <v>0</v>
      </c>
      <c r="BC189" s="21" t="n">
        <f aca="false">IF(OR($A189="",BC$4=""),0,COUNTIFS(Formulas!$A$2:$A$1501,BC$4,Formulas!$B$2:$B$1501,$A189))</f>
        <v>0</v>
      </c>
      <c r="BD189" s="21" t="n">
        <f aca="false">IF(OR($A189="",BD$4=""),0,COUNTIFS(Formulas!$A$2:$A$1501,BD$4,Formulas!$B$2:$B$1501,$A189))</f>
        <v>0</v>
      </c>
      <c r="BE189" s="21" t="n">
        <f aca="false">IF(OR($A189="",BE$4=""),0,COUNTIFS(Formulas!$A$2:$A$1501,BE$4,Formulas!$B$2:$B$1501,$A189))</f>
        <v>0</v>
      </c>
      <c r="BF189" s="21" t="n">
        <f aca="false">IF(OR($A189="",BF$4=""),0,COUNTIFS(Formulas!$A$2:$A$1501,BF$4,Formulas!$B$2:$B$1501,$A189))</f>
        <v>0</v>
      </c>
      <c r="BG189" s="21" t="n">
        <f aca="false">IF(OR($A189="",BG$4=""),0,COUNTIFS(Formulas!$A$2:$A$1501,BG$4,Formulas!$B$2:$B$1501,$A189))</f>
        <v>0</v>
      </c>
      <c r="BH189" s="21" t="n">
        <f aca="false">IF(OR($A189="",BH$4=""),0,COUNTIFS(Formulas!$A$2:$A$1501,BH$4,Formulas!$B$2:$B$1501,$A189))</f>
        <v>0</v>
      </c>
      <c r="BI189" s="21" t="n">
        <f aca="false">IF(OR($A189="",BI$4=""),0,COUNTIFS(Formulas!$A$2:$A$1501,BI$4,Formulas!$B$2:$B$1501,$A189))</f>
        <v>0</v>
      </c>
      <c r="BJ189" s="21" t="n">
        <f aca="false">IF(OR($A189="",BJ$4=""),0,COUNTIFS(Formulas!$A$2:$A$1501,BJ$4,Formulas!$B$2:$B$1501,$A189))</f>
        <v>0</v>
      </c>
    </row>
    <row r="190" customFormat="false" ht="15" hidden="false" customHeight="false" outlineLevel="0" collapsed="false">
      <c r="A190" s="13" t="str">
        <f aca="false">IF(INDEX(Materials!$A$2:$A$201,186)="","",INDEX(Materials!$A$2:$A$201,186))</f>
        <v/>
      </c>
      <c r="B190" s="19" t="str">
        <f aca="false">IF(A190="","",COUNTIF(C190:BJ190,"&gt;0"))</f>
        <v/>
      </c>
      <c r="C190" s="21" t="n">
        <f aca="false">IF(OR($A190="",C$4=""),0,COUNTIFS(Formulas!$A$2:$A$1501,C$4,Formulas!$B$2:$B$1501,$A190))</f>
        <v>0</v>
      </c>
      <c r="D190" s="21" t="n">
        <f aca="false">IF(OR($A190="",D$4=""),0,COUNTIFS(Formulas!$A$2:$A$1501,D$4,Formulas!$B$2:$B$1501,$A190))</f>
        <v>0</v>
      </c>
      <c r="E190" s="21" t="n">
        <f aca="false">IF(OR($A190="",E$4=""),0,COUNTIFS(Formulas!$A$2:$A$1501,E$4,Formulas!$B$2:$B$1501,$A190))</f>
        <v>0</v>
      </c>
      <c r="F190" s="21" t="n">
        <f aca="false">IF(OR($A190="",F$4=""),0,COUNTIFS(Formulas!$A$2:$A$1501,F$4,Formulas!$B$2:$B$1501,$A190))</f>
        <v>0</v>
      </c>
      <c r="G190" s="21" t="n">
        <f aca="false">IF(OR($A190="",G$4=""),0,COUNTIFS(Formulas!$A$2:$A$1501,G$4,Formulas!$B$2:$B$1501,$A190))</f>
        <v>0</v>
      </c>
      <c r="H190" s="21" t="n">
        <f aca="false">IF(OR($A190="",H$4=""),0,COUNTIFS(Formulas!$A$2:$A$1501,H$4,Formulas!$B$2:$B$1501,$A190))</f>
        <v>0</v>
      </c>
      <c r="I190" s="21" t="n">
        <f aca="false">IF(OR($A190="",I$4=""),0,COUNTIFS(Formulas!$A$2:$A$1501,I$4,Formulas!$B$2:$B$1501,$A190))</f>
        <v>0</v>
      </c>
      <c r="J190" s="21" t="n">
        <f aca="false">IF(OR($A190="",J$4=""),0,COUNTIFS(Formulas!$A$2:$A$1501,J$4,Formulas!$B$2:$B$1501,$A190))</f>
        <v>0</v>
      </c>
      <c r="K190" s="21" t="n">
        <f aca="false">IF(OR($A190="",K$4=""),0,COUNTIFS(Formulas!$A$2:$A$1501,K$4,Formulas!$B$2:$B$1501,$A190))</f>
        <v>0</v>
      </c>
      <c r="L190" s="21" t="n">
        <f aca="false">IF(OR($A190="",L$4=""),0,COUNTIFS(Formulas!$A$2:$A$1501,L$4,Formulas!$B$2:$B$1501,$A190))</f>
        <v>0</v>
      </c>
      <c r="M190" s="21" t="n">
        <f aca="false">IF(OR($A190="",M$4=""),0,COUNTIFS(Formulas!$A$2:$A$1501,M$4,Formulas!$B$2:$B$1501,$A190))</f>
        <v>0</v>
      </c>
      <c r="N190" s="21" t="n">
        <f aca="false">IF(OR($A190="",N$4=""),0,COUNTIFS(Formulas!$A$2:$A$1501,N$4,Formulas!$B$2:$B$1501,$A190))</f>
        <v>0</v>
      </c>
      <c r="O190" s="21" t="n">
        <f aca="false">IF(OR($A190="",O$4=""),0,COUNTIFS(Formulas!$A$2:$A$1501,O$4,Formulas!$B$2:$B$1501,$A190))</f>
        <v>0</v>
      </c>
      <c r="P190" s="21" t="n">
        <f aca="false">IF(OR($A190="",P$4=""),0,COUNTIFS(Formulas!$A$2:$A$1501,P$4,Formulas!$B$2:$B$1501,$A190))</f>
        <v>0</v>
      </c>
      <c r="Q190" s="21" t="n">
        <f aca="false">IF(OR($A190="",Q$4=""),0,COUNTIFS(Formulas!$A$2:$A$1501,Q$4,Formulas!$B$2:$B$1501,$A190))</f>
        <v>0</v>
      </c>
      <c r="R190" s="21" t="n">
        <f aca="false">IF(OR($A190="",R$4=""),0,COUNTIFS(Formulas!$A$2:$A$1501,R$4,Formulas!$B$2:$B$1501,$A190))</f>
        <v>0</v>
      </c>
      <c r="S190" s="21" t="n">
        <f aca="false">IF(OR($A190="",S$4=""),0,COUNTIFS(Formulas!$A$2:$A$1501,S$4,Formulas!$B$2:$B$1501,$A190))</f>
        <v>0</v>
      </c>
      <c r="T190" s="21" t="n">
        <f aca="false">IF(OR($A190="",T$4=""),0,COUNTIFS(Formulas!$A$2:$A$1501,T$4,Formulas!$B$2:$B$1501,$A190))</f>
        <v>0</v>
      </c>
      <c r="U190" s="21" t="n">
        <f aca="false">IF(OR($A190="",U$4=""),0,COUNTIFS(Formulas!$A$2:$A$1501,U$4,Formulas!$B$2:$B$1501,$A190))</f>
        <v>0</v>
      </c>
      <c r="V190" s="21" t="n">
        <f aca="false">IF(OR($A190="",V$4=""),0,COUNTIFS(Formulas!$A$2:$A$1501,V$4,Formulas!$B$2:$B$1501,$A190))</f>
        <v>0</v>
      </c>
      <c r="W190" s="21" t="n">
        <f aca="false">IF(OR($A190="",W$4=""),0,COUNTIFS(Formulas!$A$2:$A$1501,W$4,Formulas!$B$2:$B$1501,$A190))</f>
        <v>0</v>
      </c>
      <c r="X190" s="21" t="n">
        <f aca="false">IF(OR($A190="",X$4=""),0,COUNTIFS(Formulas!$A$2:$A$1501,X$4,Formulas!$B$2:$B$1501,$A190))</f>
        <v>0</v>
      </c>
      <c r="Y190" s="21" t="n">
        <f aca="false">IF(OR($A190="",Y$4=""),0,COUNTIFS(Formulas!$A$2:$A$1501,Y$4,Formulas!$B$2:$B$1501,$A190))</f>
        <v>0</v>
      </c>
      <c r="Z190" s="21" t="n">
        <f aca="false">IF(OR($A190="",Z$4=""),0,COUNTIFS(Formulas!$A$2:$A$1501,Z$4,Formulas!$B$2:$B$1501,$A190))</f>
        <v>0</v>
      </c>
      <c r="AA190" s="21" t="n">
        <f aca="false">IF(OR($A190="",AA$4=""),0,COUNTIFS(Formulas!$A$2:$A$1501,AA$4,Formulas!$B$2:$B$1501,$A190))</f>
        <v>0</v>
      </c>
      <c r="AB190" s="21" t="n">
        <f aca="false">IF(OR($A190="",AB$4=""),0,COUNTIFS(Formulas!$A$2:$A$1501,AB$4,Formulas!$B$2:$B$1501,$A190))</f>
        <v>0</v>
      </c>
      <c r="AC190" s="21" t="n">
        <f aca="false">IF(OR($A190="",AC$4=""),0,COUNTIFS(Formulas!$A$2:$A$1501,AC$4,Formulas!$B$2:$B$1501,$A190))</f>
        <v>0</v>
      </c>
      <c r="AD190" s="21" t="n">
        <f aca="false">IF(OR($A190="",AD$4=""),0,COUNTIFS(Formulas!$A$2:$A$1501,AD$4,Formulas!$B$2:$B$1501,$A190))</f>
        <v>0</v>
      </c>
      <c r="AE190" s="21" t="n">
        <f aca="false">IF(OR($A190="",AE$4=""),0,COUNTIFS(Formulas!$A$2:$A$1501,AE$4,Formulas!$B$2:$B$1501,$A190))</f>
        <v>0</v>
      </c>
      <c r="AF190" s="21" t="n">
        <f aca="false">IF(OR($A190="",AF$4=""),0,COUNTIFS(Formulas!$A$2:$A$1501,AF$4,Formulas!$B$2:$B$1501,$A190))</f>
        <v>0</v>
      </c>
      <c r="AG190" s="21" t="n">
        <f aca="false">IF(OR($A190="",AG$4=""),0,COUNTIFS(Formulas!$A$2:$A$1501,AG$4,Formulas!$B$2:$B$1501,$A190))</f>
        <v>0</v>
      </c>
      <c r="AH190" s="21" t="n">
        <f aca="false">IF(OR($A190="",AH$4=""),0,COUNTIFS(Formulas!$A$2:$A$1501,AH$4,Formulas!$B$2:$B$1501,$A190))</f>
        <v>0</v>
      </c>
      <c r="AI190" s="21" t="n">
        <f aca="false">IF(OR($A190="",AI$4=""),0,COUNTIFS(Formulas!$A$2:$A$1501,AI$4,Formulas!$B$2:$B$1501,$A190))</f>
        <v>0</v>
      </c>
      <c r="AJ190" s="21" t="n">
        <f aca="false">IF(OR($A190="",AJ$4=""),0,COUNTIFS(Formulas!$A$2:$A$1501,AJ$4,Formulas!$B$2:$B$1501,$A190))</f>
        <v>0</v>
      </c>
      <c r="AK190" s="21" t="n">
        <f aca="false">IF(OR($A190="",AK$4=""),0,COUNTIFS(Formulas!$A$2:$A$1501,AK$4,Formulas!$B$2:$B$1501,$A190))</f>
        <v>0</v>
      </c>
      <c r="AL190" s="21" t="n">
        <f aca="false">IF(OR($A190="",AL$4=""),0,COUNTIFS(Formulas!$A$2:$A$1501,AL$4,Formulas!$B$2:$B$1501,$A190))</f>
        <v>0</v>
      </c>
      <c r="AM190" s="21" t="n">
        <f aca="false">IF(OR($A190="",AM$4=""),0,COUNTIFS(Formulas!$A$2:$A$1501,AM$4,Formulas!$B$2:$B$1501,$A190))</f>
        <v>0</v>
      </c>
      <c r="AN190" s="21" t="n">
        <f aca="false">IF(OR($A190="",AN$4=""),0,COUNTIFS(Formulas!$A$2:$A$1501,AN$4,Formulas!$B$2:$B$1501,$A190))</f>
        <v>0</v>
      </c>
      <c r="AO190" s="21" t="n">
        <f aca="false">IF(OR($A190="",AO$4=""),0,COUNTIFS(Formulas!$A$2:$A$1501,AO$4,Formulas!$B$2:$B$1501,$A190))</f>
        <v>0</v>
      </c>
      <c r="AP190" s="21" t="n">
        <f aca="false">IF(OR($A190="",AP$4=""),0,COUNTIFS(Formulas!$A$2:$A$1501,AP$4,Formulas!$B$2:$B$1501,$A190))</f>
        <v>0</v>
      </c>
      <c r="AQ190" s="21" t="n">
        <f aca="false">IF(OR($A190="",AQ$4=""),0,COUNTIFS(Formulas!$A$2:$A$1501,AQ$4,Formulas!$B$2:$B$1501,$A190))</f>
        <v>0</v>
      </c>
      <c r="AR190" s="21" t="n">
        <f aca="false">IF(OR($A190="",AR$4=""),0,COUNTIFS(Formulas!$A$2:$A$1501,AR$4,Formulas!$B$2:$B$1501,$A190))</f>
        <v>0</v>
      </c>
      <c r="AS190" s="21" t="n">
        <f aca="false">IF(OR($A190="",AS$4=""),0,COUNTIFS(Formulas!$A$2:$A$1501,AS$4,Formulas!$B$2:$B$1501,$A190))</f>
        <v>0</v>
      </c>
      <c r="AT190" s="21" t="n">
        <f aca="false">IF(OR($A190="",AT$4=""),0,COUNTIFS(Formulas!$A$2:$A$1501,AT$4,Formulas!$B$2:$B$1501,$A190))</f>
        <v>0</v>
      </c>
      <c r="AU190" s="21" t="n">
        <f aca="false">IF(OR($A190="",AU$4=""),0,COUNTIFS(Formulas!$A$2:$A$1501,AU$4,Formulas!$B$2:$B$1501,$A190))</f>
        <v>0</v>
      </c>
      <c r="AV190" s="21" t="n">
        <f aca="false">IF(OR($A190="",AV$4=""),0,COUNTIFS(Formulas!$A$2:$A$1501,AV$4,Formulas!$B$2:$B$1501,$A190))</f>
        <v>0</v>
      </c>
      <c r="AW190" s="21" t="n">
        <f aca="false">IF(OR($A190="",AW$4=""),0,COUNTIFS(Formulas!$A$2:$A$1501,AW$4,Formulas!$B$2:$B$1501,$A190))</f>
        <v>0</v>
      </c>
      <c r="AX190" s="21" t="n">
        <f aca="false">IF(OR($A190="",AX$4=""),0,COUNTIFS(Formulas!$A$2:$A$1501,AX$4,Formulas!$B$2:$B$1501,$A190))</f>
        <v>0</v>
      </c>
      <c r="AY190" s="21" t="n">
        <f aca="false">IF(OR($A190="",AY$4=""),0,COUNTIFS(Formulas!$A$2:$A$1501,AY$4,Formulas!$B$2:$B$1501,$A190))</f>
        <v>0</v>
      </c>
      <c r="AZ190" s="21" t="n">
        <f aca="false">IF(OR($A190="",AZ$4=""),0,COUNTIFS(Formulas!$A$2:$A$1501,AZ$4,Formulas!$B$2:$B$1501,$A190))</f>
        <v>0</v>
      </c>
      <c r="BA190" s="21" t="n">
        <f aca="false">IF(OR($A190="",BA$4=""),0,COUNTIFS(Formulas!$A$2:$A$1501,BA$4,Formulas!$B$2:$B$1501,$A190))</f>
        <v>0</v>
      </c>
      <c r="BB190" s="21" t="n">
        <f aca="false">IF(OR($A190="",BB$4=""),0,COUNTIFS(Formulas!$A$2:$A$1501,BB$4,Formulas!$B$2:$B$1501,$A190))</f>
        <v>0</v>
      </c>
      <c r="BC190" s="21" t="n">
        <f aca="false">IF(OR($A190="",BC$4=""),0,COUNTIFS(Formulas!$A$2:$A$1501,BC$4,Formulas!$B$2:$B$1501,$A190))</f>
        <v>0</v>
      </c>
      <c r="BD190" s="21" t="n">
        <f aca="false">IF(OR($A190="",BD$4=""),0,COUNTIFS(Formulas!$A$2:$A$1501,BD$4,Formulas!$B$2:$B$1501,$A190))</f>
        <v>0</v>
      </c>
      <c r="BE190" s="21" t="n">
        <f aca="false">IF(OR($A190="",BE$4=""),0,COUNTIFS(Formulas!$A$2:$A$1501,BE$4,Formulas!$B$2:$B$1501,$A190))</f>
        <v>0</v>
      </c>
      <c r="BF190" s="21" t="n">
        <f aca="false">IF(OR($A190="",BF$4=""),0,COUNTIFS(Formulas!$A$2:$A$1501,BF$4,Formulas!$B$2:$B$1501,$A190))</f>
        <v>0</v>
      </c>
      <c r="BG190" s="21" t="n">
        <f aca="false">IF(OR($A190="",BG$4=""),0,COUNTIFS(Formulas!$A$2:$A$1501,BG$4,Formulas!$B$2:$B$1501,$A190))</f>
        <v>0</v>
      </c>
      <c r="BH190" s="21" t="n">
        <f aca="false">IF(OR($A190="",BH$4=""),0,COUNTIFS(Formulas!$A$2:$A$1501,BH$4,Formulas!$B$2:$B$1501,$A190))</f>
        <v>0</v>
      </c>
      <c r="BI190" s="21" t="n">
        <f aca="false">IF(OR($A190="",BI$4=""),0,COUNTIFS(Formulas!$A$2:$A$1501,BI$4,Formulas!$B$2:$B$1501,$A190))</f>
        <v>0</v>
      </c>
      <c r="BJ190" s="21" t="n">
        <f aca="false">IF(OR($A190="",BJ$4=""),0,COUNTIFS(Formulas!$A$2:$A$1501,BJ$4,Formulas!$B$2:$B$1501,$A190))</f>
        <v>0</v>
      </c>
    </row>
    <row r="191" customFormat="false" ht="15" hidden="false" customHeight="false" outlineLevel="0" collapsed="false">
      <c r="A191" s="13" t="str">
        <f aca="false">IF(INDEX(Materials!$A$2:$A$201,187)="","",INDEX(Materials!$A$2:$A$201,187))</f>
        <v/>
      </c>
      <c r="B191" s="19" t="str">
        <f aca="false">IF(A191="","",COUNTIF(C191:BJ191,"&gt;0"))</f>
        <v/>
      </c>
      <c r="C191" s="21" t="n">
        <f aca="false">IF(OR($A191="",C$4=""),0,COUNTIFS(Formulas!$A$2:$A$1501,C$4,Formulas!$B$2:$B$1501,$A191))</f>
        <v>0</v>
      </c>
      <c r="D191" s="21" t="n">
        <f aca="false">IF(OR($A191="",D$4=""),0,COUNTIFS(Formulas!$A$2:$A$1501,D$4,Formulas!$B$2:$B$1501,$A191))</f>
        <v>0</v>
      </c>
      <c r="E191" s="21" t="n">
        <f aca="false">IF(OR($A191="",E$4=""),0,COUNTIFS(Formulas!$A$2:$A$1501,E$4,Formulas!$B$2:$B$1501,$A191))</f>
        <v>0</v>
      </c>
      <c r="F191" s="21" t="n">
        <f aca="false">IF(OR($A191="",F$4=""),0,COUNTIFS(Formulas!$A$2:$A$1501,F$4,Formulas!$B$2:$B$1501,$A191))</f>
        <v>0</v>
      </c>
      <c r="G191" s="21" t="n">
        <f aca="false">IF(OR($A191="",G$4=""),0,COUNTIFS(Formulas!$A$2:$A$1501,G$4,Formulas!$B$2:$B$1501,$A191))</f>
        <v>0</v>
      </c>
      <c r="H191" s="21" t="n">
        <f aca="false">IF(OR($A191="",H$4=""),0,COUNTIFS(Formulas!$A$2:$A$1501,H$4,Formulas!$B$2:$B$1501,$A191))</f>
        <v>0</v>
      </c>
      <c r="I191" s="21" t="n">
        <f aca="false">IF(OR($A191="",I$4=""),0,COUNTIFS(Formulas!$A$2:$A$1501,I$4,Formulas!$B$2:$B$1501,$A191))</f>
        <v>0</v>
      </c>
      <c r="J191" s="21" t="n">
        <f aca="false">IF(OR($A191="",J$4=""),0,COUNTIFS(Formulas!$A$2:$A$1501,J$4,Formulas!$B$2:$B$1501,$A191))</f>
        <v>0</v>
      </c>
      <c r="K191" s="21" t="n">
        <f aca="false">IF(OR($A191="",K$4=""),0,COUNTIFS(Formulas!$A$2:$A$1501,K$4,Formulas!$B$2:$B$1501,$A191))</f>
        <v>0</v>
      </c>
      <c r="L191" s="21" t="n">
        <f aca="false">IF(OR($A191="",L$4=""),0,COUNTIFS(Formulas!$A$2:$A$1501,L$4,Formulas!$B$2:$B$1501,$A191))</f>
        <v>0</v>
      </c>
      <c r="M191" s="21" t="n">
        <f aca="false">IF(OR($A191="",M$4=""),0,COUNTIFS(Formulas!$A$2:$A$1501,M$4,Formulas!$B$2:$B$1501,$A191))</f>
        <v>0</v>
      </c>
      <c r="N191" s="21" t="n">
        <f aca="false">IF(OR($A191="",N$4=""),0,COUNTIFS(Formulas!$A$2:$A$1501,N$4,Formulas!$B$2:$B$1501,$A191))</f>
        <v>0</v>
      </c>
      <c r="O191" s="21" t="n">
        <f aca="false">IF(OR($A191="",O$4=""),0,COUNTIFS(Formulas!$A$2:$A$1501,O$4,Formulas!$B$2:$B$1501,$A191))</f>
        <v>0</v>
      </c>
      <c r="P191" s="21" t="n">
        <f aca="false">IF(OR($A191="",P$4=""),0,COUNTIFS(Formulas!$A$2:$A$1501,P$4,Formulas!$B$2:$B$1501,$A191))</f>
        <v>0</v>
      </c>
      <c r="Q191" s="21" t="n">
        <f aca="false">IF(OR($A191="",Q$4=""),0,COUNTIFS(Formulas!$A$2:$A$1501,Q$4,Formulas!$B$2:$B$1501,$A191))</f>
        <v>0</v>
      </c>
      <c r="R191" s="21" t="n">
        <f aca="false">IF(OR($A191="",R$4=""),0,COUNTIFS(Formulas!$A$2:$A$1501,R$4,Formulas!$B$2:$B$1501,$A191))</f>
        <v>0</v>
      </c>
      <c r="S191" s="21" t="n">
        <f aca="false">IF(OR($A191="",S$4=""),0,COUNTIFS(Formulas!$A$2:$A$1501,S$4,Formulas!$B$2:$B$1501,$A191))</f>
        <v>0</v>
      </c>
      <c r="T191" s="21" t="n">
        <f aca="false">IF(OR($A191="",T$4=""),0,COUNTIFS(Formulas!$A$2:$A$1501,T$4,Formulas!$B$2:$B$1501,$A191))</f>
        <v>0</v>
      </c>
      <c r="U191" s="21" t="n">
        <f aca="false">IF(OR($A191="",U$4=""),0,COUNTIFS(Formulas!$A$2:$A$1501,U$4,Formulas!$B$2:$B$1501,$A191))</f>
        <v>0</v>
      </c>
      <c r="V191" s="21" t="n">
        <f aca="false">IF(OR($A191="",V$4=""),0,COUNTIFS(Formulas!$A$2:$A$1501,V$4,Formulas!$B$2:$B$1501,$A191))</f>
        <v>0</v>
      </c>
      <c r="W191" s="21" t="n">
        <f aca="false">IF(OR($A191="",W$4=""),0,COUNTIFS(Formulas!$A$2:$A$1501,W$4,Formulas!$B$2:$B$1501,$A191))</f>
        <v>0</v>
      </c>
      <c r="X191" s="21" t="n">
        <f aca="false">IF(OR($A191="",X$4=""),0,COUNTIFS(Formulas!$A$2:$A$1501,X$4,Formulas!$B$2:$B$1501,$A191))</f>
        <v>0</v>
      </c>
      <c r="Y191" s="21" t="n">
        <f aca="false">IF(OR($A191="",Y$4=""),0,COUNTIFS(Formulas!$A$2:$A$1501,Y$4,Formulas!$B$2:$B$1501,$A191))</f>
        <v>0</v>
      </c>
      <c r="Z191" s="21" t="n">
        <f aca="false">IF(OR($A191="",Z$4=""),0,COUNTIFS(Formulas!$A$2:$A$1501,Z$4,Formulas!$B$2:$B$1501,$A191))</f>
        <v>0</v>
      </c>
      <c r="AA191" s="21" t="n">
        <f aca="false">IF(OR($A191="",AA$4=""),0,COUNTIFS(Formulas!$A$2:$A$1501,AA$4,Formulas!$B$2:$B$1501,$A191))</f>
        <v>0</v>
      </c>
      <c r="AB191" s="21" t="n">
        <f aca="false">IF(OR($A191="",AB$4=""),0,COUNTIFS(Formulas!$A$2:$A$1501,AB$4,Formulas!$B$2:$B$1501,$A191))</f>
        <v>0</v>
      </c>
      <c r="AC191" s="21" t="n">
        <f aca="false">IF(OR($A191="",AC$4=""),0,COUNTIFS(Formulas!$A$2:$A$1501,AC$4,Formulas!$B$2:$B$1501,$A191))</f>
        <v>0</v>
      </c>
      <c r="AD191" s="21" t="n">
        <f aca="false">IF(OR($A191="",AD$4=""),0,COUNTIFS(Formulas!$A$2:$A$1501,AD$4,Formulas!$B$2:$B$1501,$A191))</f>
        <v>0</v>
      </c>
      <c r="AE191" s="21" t="n">
        <f aca="false">IF(OR($A191="",AE$4=""),0,COUNTIFS(Formulas!$A$2:$A$1501,AE$4,Formulas!$B$2:$B$1501,$A191))</f>
        <v>0</v>
      </c>
      <c r="AF191" s="21" t="n">
        <f aca="false">IF(OR($A191="",AF$4=""),0,COUNTIFS(Formulas!$A$2:$A$1501,AF$4,Formulas!$B$2:$B$1501,$A191))</f>
        <v>0</v>
      </c>
      <c r="AG191" s="21" t="n">
        <f aca="false">IF(OR($A191="",AG$4=""),0,COUNTIFS(Formulas!$A$2:$A$1501,AG$4,Formulas!$B$2:$B$1501,$A191))</f>
        <v>0</v>
      </c>
      <c r="AH191" s="21" t="n">
        <f aca="false">IF(OR($A191="",AH$4=""),0,COUNTIFS(Formulas!$A$2:$A$1501,AH$4,Formulas!$B$2:$B$1501,$A191))</f>
        <v>0</v>
      </c>
      <c r="AI191" s="21" t="n">
        <f aca="false">IF(OR($A191="",AI$4=""),0,COUNTIFS(Formulas!$A$2:$A$1501,AI$4,Formulas!$B$2:$B$1501,$A191))</f>
        <v>0</v>
      </c>
      <c r="AJ191" s="21" t="n">
        <f aca="false">IF(OR($A191="",AJ$4=""),0,COUNTIFS(Formulas!$A$2:$A$1501,AJ$4,Formulas!$B$2:$B$1501,$A191))</f>
        <v>0</v>
      </c>
      <c r="AK191" s="21" t="n">
        <f aca="false">IF(OR($A191="",AK$4=""),0,COUNTIFS(Formulas!$A$2:$A$1501,AK$4,Formulas!$B$2:$B$1501,$A191))</f>
        <v>0</v>
      </c>
      <c r="AL191" s="21" t="n">
        <f aca="false">IF(OR($A191="",AL$4=""),0,COUNTIFS(Formulas!$A$2:$A$1501,AL$4,Formulas!$B$2:$B$1501,$A191))</f>
        <v>0</v>
      </c>
      <c r="AM191" s="21" t="n">
        <f aca="false">IF(OR($A191="",AM$4=""),0,COUNTIFS(Formulas!$A$2:$A$1501,AM$4,Formulas!$B$2:$B$1501,$A191))</f>
        <v>0</v>
      </c>
      <c r="AN191" s="21" t="n">
        <f aca="false">IF(OR($A191="",AN$4=""),0,COUNTIFS(Formulas!$A$2:$A$1501,AN$4,Formulas!$B$2:$B$1501,$A191))</f>
        <v>0</v>
      </c>
      <c r="AO191" s="21" t="n">
        <f aca="false">IF(OR($A191="",AO$4=""),0,COUNTIFS(Formulas!$A$2:$A$1501,AO$4,Formulas!$B$2:$B$1501,$A191))</f>
        <v>0</v>
      </c>
      <c r="AP191" s="21" t="n">
        <f aca="false">IF(OR($A191="",AP$4=""),0,COUNTIFS(Formulas!$A$2:$A$1501,AP$4,Formulas!$B$2:$B$1501,$A191))</f>
        <v>0</v>
      </c>
      <c r="AQ191" s="21" t="n">
        <f aca="false">IF(OR($A191="",AQ$4=""),0,COUNTIFS(Formulas!$A$2:$A$1501,AQ$4,Formulas!$B$2:$B$1501,$A191))</f>
        <v>0</v>
      </c>
      <c r="AR191" s="21" t="n">
        <f aca="false">IF(OR($A191="",AR$4=""),0,COUNTIFS(Formulas!$A$2:$A$1501,AR$4,Formulas!$B$2:$B$1501,$A191))</f>
        <v>0</v>
      </c>
      <c r="AS191" s="21" t="n">
        <f aca="false">IF(OR($A191="",AS$4=""),0,COUNTIFS(Formulas!$A$2:$A$1501,AS$4,Formulas!$B$2:$B$1501,$A191))</f>
        <v>0</v>
      </c>
      <c r="AT191" s="21" t="n">
        <f aca="false">IF(OR($A191="",AT$4=""),0,COUNTIFS(Formulas!$A$2:$A$1501,AT$4,Formulas!$B$2:$B$1501,$A191))</f>
        <v>0</v>
      </c>
      <c r="AU191" s="21" t="n">
        <f aca="false">IF(OR($A191="",AU$4=""),0,COUNTIFS(Formulas!$A$2:$A$1501,AU$4,Formulas!$B$2:$B$1501,$A191))</f>
        <v>0</v>
      </c>
      <c r="AV191" s="21" t="n">
        <f aca="false">IF(OR($A191="",AV$4=""),0,COUNTIFS(Formulas!$A$2:$A$1501,AV$4,Formulas!$B$2:$B$1501,$A191))</f>
        <v>0</v>
      </c>
      <c r="AW191" s="21" t="n">
        <f aca="false">IF(OR($A191="",AW$4=""),0,COUNTIFS(Formulas!$A$2:$A$1501,AW$4,Formulas!$B$2:$B$1501,$A191))</f>
        <v>0</v>
      </c>
      <c r="AX191" s="21" t="n">
        <f aca="false">IF(OR($A191="",AX$4=""),0,COUNTIFS(Formulas!$A$2:$A$1501,AX$4,Formulas!$B$2:$B$1501,$A191))</f>
        <v>0</v>
      </c>
      <c r="AY191" s="21" t="n">
        <f aca="false">IF(OR($A191="",AY$4=""),0,COUNTIFS(Formulas!$A$2:$A$1501,AY$4,Formulas!$B$2:$B$1501,$A191))</f>
        <v>0</v>
      </c>
      <c r="AZ191" s="21" t="n">
        <f aca="false">IF(OR($A191="",AZ$4=""),0,COUNTIFS(Formulas!$A$2:$A$1501,AZ$4,Formulas!$B$2:$B$1501,$A191))</f>
        <v>0</v>
      </c>
      <c r="BA191" s="21" t="n">
        <f aca="false">IF(OR($A191="",BA$4=""),0,COUNTIFS(Formulas!$A$2:$A$1501,BA$4,Formulas!$B$2:$B$1501,$A191))</f>
        <v>0</v>
      </c>
      <c r="BB191" s="21" t="n">
        <f aca="false">IF(OR($A191="",BB$4=""),0,COUNTIFS(Formulas!$A$2:$A$1501,BB$4,Formulas!$B$2:$B$1501,$A191))</f>
        <v>0</v>
      </c>
      <c r="BC191" s="21" t="n">
        <f aca="false">IF(OR($A191="",BC$4=""),0,COUNTIFS(Formulas!$A$2:$A$1501,BC$4,Formulas!$B$2:$B$1501,$A191))</f>
        <v>0</v>
      </c>
      <c r="BD191" s="21" t="n">
        <f aca="false">IF(OR($A191="",BD$4=""),0,COUNTIFS(Formulas!$A$2:$A$1501,BD$4,Formulas!$B$2:$B$1501,$A191))</f>
        <v>0</v>
      </c>
      <c r="BE191" s="21" t="n">
        <f aca="false">IF(OR($A191="",BE$4=""),0,COUNTIFS(Formulas!$A$2:$A$1501,BE$4,Formulas!$B$2:$B$1501,$A191))</f>
        <v>0</v>
      </c>
      <c r="BF191" s="21" t="n">
        <f aca="false">IF(OR($A191="",BF$4=""),0,COUNTIFS(Formulas!$A$2:$A$1501,BF$4,Formulas!$B$2:$B$1501,$A191))</f>
        <v>0</v>
      </c>
      <c r="BG191" s="21" t="n">
        <f aca="false">IF(OR($A191="",BG$4=""),0,COUNTIFS(Formulas!$A$2:$A$1501,BG$4,Formulas!$B$2:$B$1501,$A191))</f>
        <v>0</v>
      </c>
      <c r="BH191" s="21" t="n">
        <f aca="false">IF(OR($A191="",BH$4=""),0,COUNTIFS(Formulas!$A$2:$A$1501,BH$4,Formulas!$B$2:$B$1501,$A191))</f>
        <v>0</v>
      </c>
      <c r="BI191" s="21" t="n">
        <f aca="false">IF(OR($A191="",BI$4=""),0,COUNTIFS(Formulas!$A$2:$A$1501,BI$4,Formulas!$B$2:$B$1501,$A191))</f>
        <v>0</v>
      </c>
      <c r="BJ191" s="21" t="n">
        <f aca="false">IF(OR($A191="",BJ$4=""),0,COUNTIFS(Formulas!$A$2:$A$1501,BJ$4,Formulas!$B$2:$B$1501,$A191))</f>
        <v>0</v>
      </c>
    </row>
    <row r="192" customFormat="false" ht="15" hidden="false" customHeight="false" outlineLevel="0" collapsed="false">
      <c r="A192" s="13" t="str">
        <f aca="false">IF(INDEX(Materials!$A$2:$A$201,188)="","",INDEX(Materials!$A$2:$A$201,188))</f>
        <v/>
      </c>
      <c r="B192" s="19" t="str">
        <f aca="false">IF(A192="","",COUNTIF(C192:BJ192,"&gt;0"))</f>
        <v/>
      </c>
      <c r="C192" s="21" t="n">
        <f aca="false">IF(OR($A192="",C$4=""),0,COUNTIFS(Formulas!$A$2:$A$1501,C$4,Formulas!$B$2:$B$1501,$A192))</f>
        <v>0</v>
      </c>
      <c r="D192" s="21" t="n">
        <f aca="false">IF(OR($A192="",D$4=""),0,COUNTIFS(Formulas!$A$2:$A$1501,D$4,Formulas!$B$2:$B$1501,$A192))</f>
        <v>0</v>
      </c>
      <c r="E192" s="21" t="n">
        <f aca="false">IF(OR($A192="",E$4=""),0,COUNTIFS(Formulas!$A$2:$A$1501,E$4,Formulas!$B$2:$B$1501,$A192))</f>
        <v>0</v>
      </c>
      <c r="F192" s="21" t="n">
        <f aca="false">IF(OR($A192="",F$4=""),0,COUNTIFS(Formulas!$A$2:$A$1501,F$4,Formulas!$B$2:$B$1501,$A192))</f>
        <v>0</v>
      </c>
      <c r="G192" s="21" t="n">
        <f aca="false">IF(OR($A192="",G$4=""),0,COUNTIFS(Formulas!$A$2:$A$1501,G$4,Formulas!$B$2:$B$1501,$A192))</f>
        <v>0</v>
      </c>
      <c r="H192" s="21" t="n">
        <f aca="false">IF(OR($A192="",H$4=""),0,COUNTIFS(Formulas!$A$2:$A$1501,H$4,Formulas!$B$2:$B$1501,$A192))</f>
        <v>0</v>
      </c>
      <c r="I192" s="21" t="n">
        <f aca="false">IF(OR($A192="",I$4=""),0,COUNTIFS(Formulas!$A$2:$A$1501,I$4,Formulas!$B$2:$B$1501,$A192))</f>
        <v>0</v>
      </c>
      <c r="J192" s="21" t="n">
        <f aca="false">IF(OR($A192="",J$4=""),0,COUNTIFS(Formulas!$A$2:$A$1501,J$4,Formulas!$B$2:$B$1501,$A192))</f>
        <v>0</v>
      </c>
      <c r="K192" s="21" t="n">
        <f aca="false">IF(OR($A192="",K$4=""),0,COUNTIFS(Formulas!$A$2:$A$1501,K$4,Formulas!$B$2:$B$1501,$A192))</f>
        <v>0</v>
      </c>
      <c r="L192" s="21" t="n">
        <f aca="false">IF(OR($A192="",L$4=""),0,COUNTIFS(Formulas!$A$2:$A$1501,L$4,Formulas!$B$2:$B$1501,$A192))</f>
        <v>0</v>
      </c>
      <c r="M192" s="21" t="n">
        <f aca="false">IF(OR($A192="",M$4=""),0,COUNTIFS(Formulas!$A$2:$A$1501,M$4,Formulas!$B$2:$B$1501,$A192))</f>
        <v>0</v>
      </c>
      <c r="N192" s="21" t="n">
        <f aca="false">IF(OR($A192="",N$4=""),0,COUNTIFS(Formulas!$A$2:$A$1501,N$4,Formulas!$B$2:$B$1501,$A192))</f>
        <v>0</v>
      </c>
      <c r="O192" s="21" t="n">
        <f aca="false">IF(OR($A192="",O$4=""),0,COUNTIFS(Formulas!$A$2:$A$1501,O$4,Formulas!$B$2:$B$1501,$A192))</f>
        <v>0</v>
      </c>
      <c r="P192" s="21" t="n">
        <f aca="false">IF(OR($A192="",P$4=""),0,COUNTIFS(Formulas!$A$2:$A$1501,P$4,Formulas!$B$2:$B$1501,$A192))</f>
        <v>0</v>
      </c>
      <c r="Q192" s="21" t="n">
        <f aca="false">IF(OR($A192="",Q$4=""),0,COUNTIFS(Formulas!$A$2:$A$1501,Q$4,Formulas!$B$2:$B$1501,$A192))</f>
        <v>0</v>
      </c>
      <c r="R192" s="21" t="n">
        <f aca="false">IF(OR($A192="",R$4=""),0,COUNTIFS(Formulas!$A$2:$A$1501,R$4,Formulas!$B$2:$B$1501,$A192))</f>
        <v>0</v>
      </c>
      <c r="S192" s="21" t="n">
        <f aca="false">IF(OR($A192="",S$4=""),0,COUNTIFS(Formulas!$A$2:$A$1501,S$4,Formulas!$B$2:$B$1501,$A192))</f>
        <v>0</v>
      </c>
      <c r="T192" s="21" t="n">
        <f aca="false">IF(OR($A192="",T$4=""),0,COUNTIFS(Formulas!$A$2:$A$1501,T$4,Formulas!$B$2:$B$1501,$A192))</f>
        <v>0</v>
      </c>
      <c r="U192" s="21" t="n">
        <f aca="false">IF(OR($A192="",U$4=""),0,COUNTIFS(Formulas!$A$2:$A$1501,U$4,Formulas!$B$2:$B$1501,$A192))</f>
        <v>0</v>
      </c>
      <c r="V192" s="21" t="n">
        <f aca="false">IF(OR($A192="",V$4=""),0,COUNTIFS(Formulas!$A$2:$A$1501,V$4,Formulas!$B$2:$B$1501,$A192))</f>
        <v>0</v>
      </c>
      <c r="W192" s="21" t="n">
        <f aca="false">IF(OR($A192="",W$4=""),0,COUNTIFS(Formulas!$A$2:$A$1501,W$4,Formulas!$B$2:$B$1501,$A192))</f>
        <v>0</v>
      </c>
      <c r="X192" s="21" t="n">
        <f aca="false">IF(OR($A192="",X$4=""),0,COUNTIFS(Formulas!$A$2:$A$1501,X$4,Formulas!$B$2:$B$1501,$A192))</f>
        <v>0</v>
      </c>
      <c r="Y192" s="21" t="n">
        <f aca="false">IF(OR($A192="",Y$4=""),0,COUNTIFS(Formulas!$A$2:$A$1501,Y$4,Formulas!$B$2:$B$1501,$A192))</f>
        <v>0</v>
      </c>
      <c r="Z192" s="21" t="n">
        <f aca="false">IF(OR($A192="",Z$4=""),0,COUNTIFS(Formulas!$A$2:$A$1501,Z$4,Formulas!$B$2:$B$1501,$A192))</f>
        <v>0</v>
      </c>
      <c r="AA192" s="21" t="n">
        <f aca="false">IF(OR($A192="",AA$4=""),0,COUNTIFS(Formulas!$A$2:$A$1501,AA$4,Formulas!$B$2:$B$1501,$A192))</f>
        <v>0</v>
      </c>
      <c r="AB192" s="21" t="n">
        <f aca="false">IF(OR($A192="",AB$4=""),0,COUNTIFS(Formulas!$A$2:$A$1501,AB$4,Formulas!$B$2:$B$1501,$A192))</f>
        <v>0</v>
      </c>
      <c r="AC192" s="21" t="n">
        <f aca="false">IF(OR($A192="",AC$4=""),0,COUNTIFS(Formulas!$A$2:$A$1501,AC$4,Formulas!$B$2:$B$1501,$A192))</f>
        <v>0</v>
      </c>
      <c r="AD192" s="21" t="n">
        <f aca="false">IF(OR($A192="",AD$4=""),0,COUNTIFS(Formulas!$A$2:$A$1501,AD$4,Formulas!$B$2:$B$1501,$A192))</f>
        <v>0</v>
      </c>
      <c r="AE192" s="21" t="n">
        <f aca="false">IF(OR($A192="",AE$4=""),0,COUNTIFS(Formulas!$A$2:$A$1501,AE$4,Formulas!$B$2:$B$1501,$A192))</f>
        <v>0</v>
      </c>
      <c r="AF192" s="21" t="n">
        <f aca="false">IF(OR($A192="",AF$4=""),0,COUNTIFS(Formulas!$A$2:$A$1501,AF$4,Formulas!$B$2:$B$1501,$A192))</f>
        <v>0</v>
      </c>
      <c r="AG192" s="21" t="n">
        <f aca="false">IF(OR($A192="",AG$4=""),0,COUNTIFS(Formulas!$A$2:$A$1501,AG$4,Formulas!$B$2:$B$1501,$A192))</f>
        <v>0</v>
      </c>
      <c r="AH192" s="21" t="n">
        <f aca="false">IF(OR($A192="",AH$4=""),0,COUNTIFS(Formulas!$A$2:$A$1501,AH$4,Formulas!$B$2:$B$1501,$A192))</f>
        <v>0</v>
      </c>
      <c r="AI192" s="21" t="n">
        <f aca="false">IF(OR($A192="",AI$4=""),0,COUNTIFS(Formulas!$A$2:$A$1501,AI$4,Formulas!$B$2:$B$1501,$A192))</f>
        <v>0</v>
      </c>
      <c r="AJ192" s="21" t="n">
        <f aca="false">IF(OR($A192="",AJ$4=""),0,COUNTIFS(Formulas!$A$2:$A$1501,AJ$4,Formulas!$B$2:$B$1501,$A192))</f>
        <v>0</v>
      </c>
      <c r="AK192" s="21" t="n">
        <f aca="false">IF(OR($A192="",AK$4=""),0,COUNTIFS(Formulas!$A$2:$A$1501,AK$4,Formulas!$B$2:$B$1501,$A192))</f>
        <v>0</v>
      </c>
      <c r="AL192" s="21" t="n">
        <f aca="false">IF(OR($A192="",AL$4=""),0,COUNTIFS(Formulas!$A$2:$A$1501,AL$4,Formulas!$B$2:$B$1501,$A192))</f>
        <v>0</v>
      </c>
      <c r="AM192" s="21" t="n">
        <f aca="false">IF(OR($A192="",AM$4=""),0,COUNTIFS(Formulas!$A$2:$A$1501,AM$4,Formulas!$B$2:$B$1501,$A192))</f>
        <v>0</v>
      </c>
      <c r="AN192" s="21" t="n">
        <f aca="false">IF(OR($A192="",AN$4=""),0,COUNTIFS(Formulas!$A$2:$A$1501,AN$4,Formulas!$B$2:$B$1501,$A192))</f>
        <v>0</v>
      </c>
      <c r="AO192" s="21" t="n">
        <f aca="false">IF(OR($A192="",AO$4=""),0,COUNTIFS(Formulas!$A$2:$A$1501,AO$4,Formulas!$B$2:$B$1501,$A192))</f>
        <v>0</v>
      </c>
      <c r="AP192" s="21" t="n">
        <f aca="false">IF(OR($A192="",AP$4=""),0,COUNTIFS(Formulas!$A$2:$A$1501,AP$4,Formulas!$B$2:$B$1501,$A192))</f>
        <v>0</v>
      </c>
      <c r="AQ192" s="21" t="n">
        <f aca="false">IF(OR($A192="",AQ$4=""),0,COUNTIFS(Formulas!$A$2:$A$1501,AQ$4,Formulas!$B$2:$B$1501,$A192))</f>
        <v>0</v>
      </c>
      <c r="AR192" s="21" t="n">
        <f aca="false">IF(OR($A192="",AR$4=""),0,COUNTIFS(Formulas!$A$2:$A$1501,AR$4,Formulas!$B$2:$B$1501,$A192))</f>
        <v>0</v>
      </c>
      <c r="AS192" s="21" t="n">
        <f aca="false">IF(OR($A192="",AS$4=""),0,COUNTIFS(Formulas!$A$2:$A$1501,AS$4,Formulas!$B$2:$B$1501,$A192))</f>
        <v>0</v>
      </c>
      <c r="AT192" s="21" t="n">
        <f aca="false">IF(OR($A192="",AT$4=""),0,COUNTIFS(Formulas!$A$2:$A$1501,AT$4,Formulas!$B$2:$B$1501,$A192))</f>
        <v>0</v>
      </c>
      <c r="AU192" s="21" t="n">
        <f aca="false">IF(OR($A192="",AU$4=""),0,COUNTIFS(Formulas!$A$2:$A$1501,AU$4,Formulas!$B$2:$B$1501,$A192))</f>
        <v>0</v>
      </c>
      <c r="AV192" s="21" t="n">
        <f aca="false">IF(OR($A192="",AV$4=""),0,COUNTIFS(Formulas!$A$2:$A$1501,AV$4,Formulas!$B$2:$B$1501,$A192))</f>
        <v>0</v>
      </c>
      <c r="AW192" s="21" t="n">
        <f aca="false">IF(OR($A192="",AW$4=""),0,COUNTIFS(Formulas!$A$2:$A$1501,AW$4,Formulas!$B$2:$B$1501,$A192))</f>
        <v>0</v>
      </c>
      <c r="AX192" s="21" t="n">
        <f aca="false">IF(OR($A192="",AX$4=""),0,COUNTIFS(Formulas!$A$2:$A$1501,AX$4,Formulas!$B$2:$B$1501,$A192))</f>
        <v>0</v>
      </c>
      <c r="AY192" s="21" t="n">
        <f aca="false">IF(OR($A192="",AY$4=""),0,COUNTIFS(Formulas!$A$2:$A$1501,AY$4,Formulas!$B$2:$B$1501,$A192))</f>
        <v>0</v>
      </c>
      <c r="AZ192" s="21" t="n">
        <f aca="false">IF(OR($A192="",AZ$4=""),0,COUNTIFS(Formulas!$A$2:$A$1501,AZ$4,Formulas!$B$2:$B$1501,$A192))</f>
        <v>0</v>
      </c>
      <c r="BA192" s="21" t="n">
        <f aca="false">IF(OR($A192="",BA$4=""),0,COUNTIFS(Formulas!$A$2:$A$1501,BA$4,Formulas!$B$2:$B$1501,$A192))</f>
        <v>0</v>
      </c>
      <c r="BB192" s="21" t="n">
        <f aca="false">IF(OR($A192="",BB$4=""),0,COUNTIFS(Formulas!$A$2:$A$1501,BB$4,Formulas!$B$2:$B$1501,$A192))</f>
        <v>0</v>
      </c>
      <c r="BC192" s="21" t="n">
        <f aca="false">IF(OR($A192="",BC$4=""),0,COUNTIFS(Formulas!$A$2:$A$1501,BC$4,Formulas!$B$2:$B$1501,$A192))</f>
        <v>0</v>
      </c>
      <c r="BD192" s="21" t="n">
        <f aca="false">IF(OR($A192="",BD$4=""),0,COUNTIFS(Formulas!$A$2:$A$1501,BD$4,Formulas!$B$2:$B$1501,$A192))</f>
        <v>0</v>
      </c>
      <c r="BE192" s="21" t="n">
        <f aca="false">IF(OR($A192="",BE$4=""),0,COUNTIFS(Formulas!$A$2:$A$1501,BE$4,Formulas!$B$2:$B$1501,$A192))</f>
        <v>0</v>
      </c>
      <c r="BF192" s="21" t="n">
        <f aca="false">IF(OR($A192="",BF$4=""),0,COUNTIFS(Formulas!$A$2:$A$1501,BF$4,Formulas!$B$2:$B$1501,$A192))</f>
        <v>0</v>
      </c>
      <c r="BG192" s="21" t="n">
        <f aca="false">IF(OR($A192="",BG$4=""),0,COUNTIFS(Formulas!$A$2:$A$1501,BG$4,Formulas!$B$2:$B$1501,$A192))</f>
        <v>0</v>
      </c>
      <c r="BH192" s="21" t="n">
        <f aca="false">IF(OR($A192="",BH$4=""),0,COUNTIFS(Formulas!$A$2:$A$1501,BH$4,Formulas!$B$2:$B$1501,$A192))</f>
        <v>0</v>
      </c>
      <c r="BI192" s="21" t="n">
        <f aca="false">IF(OR($A192="",BI$4=""),0,COUNTIFS(Formulas!$A$2:$A$1501,BI$4,Formulas!$B$2:$B$1501,$A192))</f>
        <v>0</v>
      </c>
      <c r="BJ192" s="21" t="n">
        <f aca="false">IF(OR($A192="",BJ$4=""),0,COUNTIFS(Formulas!$A$2:$A$1501,BJ$4,Formulas!$B$2:$B$1501,$A192))</f>
        <v>0</v>
      </c>
    </row>
    <row r="193" customFormat="false" ht="15" hidden="false" customHeight="false" outlineLevel="0" collapsed="false">
      <c r="A193" s="13" t="str">
        <f aca="false">IF(INDEX(Materials!$A$2:$A$201,189)="","",INDEX(Materials!$A$2:$A$201,189))</f>
        <v/>
      </c>
      <c r="B193" s="19" t="str">
        <f aca="false">IF(A193="","",COUNTIF(C193:BJ193,"&gt;0"))</f>
        <v/>
      </c>
      <c r="C193" s="21" t="n">
        <f aca="false">IF(OR($A193="",C$4=""),0,COUNTIFS(Formulas!$A$2:$A$1501,C$4,Formulas!$B$2:$B$1501,$A193))</f>
        <v>0</v>
      </c>
      <c r="D193" s="21" t="n">
        <f aca="false">IF(OR($A193="",D$4=""),0,COUNTIFS(Formulas!$A$2:$A$1501,D$4,Formulas!$B$2:$B$1501,$A193))</f>
        <v>0</v>
      </c>
      <c r="E193" s="21" t="n">
        <f aca="false">IF(OR($A193="",E$4=""),0,COUNTIFS(Formulas!$A$2:$A$1501,E$4,Formulas!$B$2:$B$1501,$A193))</f>
        <v>0</v>
      </c>
      <c r="F193" s="21" t="n">
        <f aca="false">IF(OR($A193="",F$4=""),0,COUNTIFS(Formulas!$A$2:$A$1501,F$4,Formulas!$B$2:$B$1501,$A193))</f>
        <v>0</v>
      </c>
      <c r="G193" s="21" t="n">
        <f aca="false">IF(OR($A193="",G$4=""),0,COUNTIFS(Formulas!$A$2:$A$1501,G$4,Formulas!$B$2:$B$1501,$A193))</f>
        <v>0</v>
      </c>
      <c r="H193" s="21" t="n">
        <f aca="false">IF(OR($A193="",H$4=""),0,COUNTIFS(Formulas!$A$2:$A$1501,H$4,Formulas!$B$2:$B$1501,$A193))</f>
        <v>0</v>
      </c>
      <c r="I193" s="21" t="n">
        <f aca="false">IF(OR($A193="",I$4=""),0,COUNTIFS(Formulas!$A$2:$A$1501,I$4,Formulas!$B$2:$B$1501,$A193))</f>
        <v>0</v>
      </c>
      <c r="J193" s="21" t="n">
        <f aca="false">IF(OR($A193="",J$4=""),0,COUNTIFS(Formulas!$A$2:$A$1501,J$4,Formulas!$B$2:$B$1501,$A193))</f>
        <v>0</v>
      </c>
      <c r="K193" s="21" t="n">
        <f aca="false">IF(OR($A193="",K$4=""),0,COUNTIFS(Formulas!$A$2:$A$1501,K$4,Formulas!$B$2:$B$1501,$A193))</f>
        <v>0</v>
      </c>
      <c r="L193" s="21" t="n">
        <f aca="false">IF(OR($A193="",L$4=""),0,COUNTIFS(Formulas!$A$2:$A$1501,L$4,Formulas!$B$2:$B$1501,$A193))</f>
        <v>0</v>
      </c>
      <c r="M193" s="21" t="n">
        <f aca="false">IF(OR($A193="",M$4=""),0,COUNTIFS(Formulas!$A$2:$A$1501,M$4,Formulas!$B$2:$B$1501,$A193))</f>
        <v>0</v>
      </c>
      <c r="N193" s="21" t="n">
        <f aca="false">IF(OR($A193="",N$4=""),0,COUNTIFS(Formulas!$A$2:$A$1501,N$4,Formulas!$B$2:$B$1501,$A193))</f>
        <v>0</v>
      </c>
      <c r="O193" s="21" t="n">
        <f aca="false">IF(OR($A193="",O$4=""),0,COUNTIFS(Formulas!$A$2:$A$1501,O$4,Formulas!$B$2:$B$1501,$A193))</f>
        <v>0</v>
      </c>
      <c r="P193" s="21" t="n">
        <f aca="false">IF(OR($A193="",P$4=""),0,COUNTIFS(Formulas!$A$2:$A$1501,P$4,Formulas!$B$2:$B$1501,$A193))</f>
        <v>0</v>
      </c>
      <c r="Q193" s="21" t="n">
        <f aca="false">IF(OR($A193="",Q$4=""),0,COUNTIFS(Formulas!$A$2:$A$1501,Q$4,Formulas!$B$2:$B$1501,$A193))</f>
        <v>0</v>
      </c>
      <c r="R193" s="21" t="n">
        <f aca="false">IF(OR($A193="",R$4=""),0,COUNTIFS(Formulas!$A$2:$A$1501,R$4,Formulas!$B$2:$B$1501,$A193))</f>
        <v>0</v>
      </c>
      <c r="S193" s="21" t="n">
        <f aca="false">IF(OR($A193="",S$4=""),0,COUNTIFS(Formulas!$A$2:$A$1501,S$4,Formulas!$B$2:$B$1501,$A193))</f>
        <v>0</v>
      </c>
      <c r="T193" s="21" t="n">
        <f aca="false">IF(OR($A193="",T$4=""),0,COUNTIFS(Formulas!$A$2:$A$1501,T$4,Formulas!$B$2:$B$1501,$A193))</f>
        <v>0</v>
      </c>
      <c r="U193" s="21" t="n">
        <f aca="false">IF(OR($A193="",U$4=""),0,COUNTIFS(Formulas!$A$2:$A$1501,U$4,Formulas!$B$2:$B$1501,$A193))</f>
        <v>0</v>
      </c>
      <c r="V193" s="21" t="n">
        <f aca="false">IF(OR($A193="",V$4=""),0,COUNTIFS(Formulas!$A$2:$A$1501,V$4,Formulas!$B$2:$B$1501,$A193))</f>
        <v>0</v>
      </c>
      <c r="W193" s="21" t="n">
        <f aca="false">IF(OR($A193="",W$4=""),0,COUNTIFS(Formulas!$A$2:$A$1501,W$4,Formulas!$B$2:$B$1501,$A193))</f>
        <v>0</v>
      </c>
      <c r="X193" s="21" t="n">
        <f aca="false">IF(OR($A193="",X$4=""),0,COUNTIFS(Formulas!$A$2:$A$1501,X$4,Formulas!$B$2:$B$1501,$A193))</f>
        <v>0</v>
      </c>
      <c r="Y193" s="21" t="n">
        <f aca="false">IF(OR($A193="",Y$4=""),0,COUNTIFS(Formulas!$A$2:$A$1501,Y$4,Formulas!$B$2:$B$1501,$A193))</f>
        <v>0</v>
      </c>
      <c r="Z193" s="21" t="n">
        <f aca="false">IF(OR($A193="",Z$4=""),0,COUNTIFS(Formulas!$A$2:$A$1501,Z$4,Formulas!$B$2:$B$1501,$A193))</f>
        <v>0</v>
      </c>
      <c r="AA193" s="21" t="n">
        <f aca="false">IF(OR($A193="",AA$4=""),0,COUNTIFS(Formulas!$A$2:$A$1501,AA$4,Formulas!$B$2:$B$1501,$A193))</f>
        <v>0</v>
      </c>
      <c r="AB193" s="21" t="n">
        <f aca="false">IF(OR($A193="",AB$4=""),0,COUNTIFS(Formulas!$A$2:$A$1501,AB$4,Formulas!$B$2:$B$1501,$A193))</f>
        <v>0</v>
      </c>
      <c r="AC193" s="21" t="n">
        <f aca="false">IF(OR($A193="",AC$4=""),0,COUNTIFS(Formulas!$A$2:$A$1501,AC$4,Formulas!$B$2:$B$1501,$A193))</f>
        <v>0</v>
      </c>
      <c r="AD193" s="21" t="n">
        <f aca="false">IF(OR($A193="",AD$4=""),0,COUNTIFS(Formulas!$A$2:$A$1501,AD$4,Formulas!$B$2:$B$1501,$A193))</f>
        <v>0</v>
      </c>
      <c r="AE193" s="21" t="n">
        <f aca="false">IF(OR($A193="",AE$4=""),0,COUNTIFS(Formulas!$A$2:$A$1501,AE$4,Formulas!$B$2:$B$1501,$A193))</f>
        <v>0</v>
      </c>
      <c r="AF193" s="21" t="n">
        <f aca="false">IF(OR($A193="",AF$4=""),0,COUNTIFS(Formulas!$A$2:$A$1501,AF$4,Formulas!$B$2:$B$1501,$A193))</f>
        <v>0</v>
      </c>
      <c r="AG193" s="21" t="n">
        <f aca="false">IF(OR($A193="",AG$4=""),0,COUNTIFS(Formulas!$A$2:$A$1501,AG$4,Formulas!$B$2:$B$1501,$A193))</f>
        <v>0</v>
      </c>
      <c r="AH193" s="21" t="n">
        <f aca="false">IF(OR($A193="",AH$4=""),0,COUNTIFS(Formulas!$A$2:$A$1501,AH$4,Formulas!$B$2:$B$1501,$A193))</f>
        <v>0</v>
      </c>
      <c r="AI193" s="21" t="n">
        <f aca="false">IF(OR($A193="",AI$4=""),0,COUNTIFS(Formulas!$A$2:$A$1501,AI$4,Formulas!$B$2:$B$1501,$A193))</f>
        <v>0</v>
      </c>
      <c r="AJ193" s="21" t="n">
        <f aca="false">IF(OR($A193="",AJ$4=""),0,COUNTIFS(Formulas!$A$2:$A$1501,AJ$4,Formulas!$B$2:$B$1501,$A193))</f>
        <v>0</v>
      </c>
      <c r="AK193" s="21" t="n">
        <f aca="false">IF(OR($A193="",AK$4=""),0,COUNTIFS(Formulas!$A$2:$A$1501,AK$4,Formulas!$B$2:$B$1501,$A193))</f>
        <v>0</v>
      </c>
      <c r="AL193" s="21" t="n">
        <f aca="false">IF(OR($A193="",AL$4=""),0,COUNTIFS(Formulas!$A$2:$A$1501,AL$4,Formulas!$B$2:$B$1501,$A193))</f>
        <v>0</v>
      </c>
      <c r="AM193" s="21" t="n">
        <f aca="false">IF(OR($A193="",AM$4=""),0,COUNTIFS(Formulas!$A$2:$A$1501,AM$4,Formulas!$B$2:$B$1501,$A193))</f>
        <v>0</v>
      </c>
      <c r="AN193" s="21" t="n">
        <f aca="false">IF(OR($A193="",AN$4=""),0,COUNTIFS(Formulas!$A$2:$A$1501,AN$4,Formulas!$B$2:$B$1501,$A193))</f>
        <v>0</v>
      </c>
      <c r="AO193" s="21" t="n">
        <f aca="false">IF(OR($A193="",AO$4=""),0,COUNTIFS(Formulas!$A$2:$A$1501,AO$4,Formulas!$B$2:$B$1501,$A193))</f>
        <v>0</v>
      </c>
      <c r="AP193" s="21" t="n">
        <f aca="false">IF(OR($A193="",AP$4=""),0,COUNTIFS(Formulas!$A$2:$A$1501,AP$4,Formulas!$B$2:$B$1501,$A193))</f>
        <v>0</v>
      </c>
      <c r="AQ193" s="21" t="n">
        <f aca="false">IF(OR($A193="",AQ$4=""),0,COUNTIFS(Formulas!$A$2:$A$1501,AQ$4,Formulas!$B$2:$B$1501,$A193))</f>
        <v>0</v>
      </c>
      <c r="AR193" s="21" t="n">
        <f aca="false">IF(OR($A193="",AR$4=""),0,COUNTIFS(Formulas!$A$2:$A$1501,AR$4,Formulas!$B$2:$B$1501,$A193))</f>
        <v>0</v>
      </c>
      <c r="AS193" s="21" t="n">
        <f aca="false">IF(OR($A193="",AS$4=""),0,COUNTIFS(Formulas!$A$2:$A$1501,AS$4,Formulas!$B$2:$B$1501,$A193))</f>
        <v>0</v>
      </c>
      <c r="AT193" s="21" t="n">
        <f aca="false">IF(OR($A193="",AT$4=""),0,COUNTIFS(Formulas!$A$2:$A$1501,AT$4,Formulas!$B$2:$B$1501,$A193))</f>
        <v>0</v>
      </c>
      <c r="AU193" s="21" t="n">
        <f aca="false">IF(OR($A193="",AU$4=""),0,COUNTIFS(Formulas!$A$2:$A$1501,AU$4,Formulas!$B$2:$B$1501,$A193))</f>
        <v>0</v>
      </c>
      <c r="AV193" s="21" t="n">
        <f aca="false">IF(OR($A193="",AV$4=""),0,COUNTIFS(Formulas!$A$2:$A$1501,AV$4,Formulas!$B$2:$B$1501,$A193))</f>
        <v>0</v>
      </c>
      <c r="AW193" s="21" t="n">
        <f aca="false">IF(OR($A193="",AW$4=""),0,COUNTIFS(Formulas!$A$2:$A$1501,AW$4,Formulas!$B$2:$B$1501,$A193))</f>
        <v>0</v>
      </c>
      <c r="AX193" s="21" t="n">
        <f aca="false">IF(OR($A193="",AX$4=""),0,COUNTIFS(Formulas!$A$2:$A$1501,AX$4,Formulas!$B$2:$B$1501,$A193))</f>
        <v>0</v>
      </c>
      <c r="AY193" s="21" t="n">
        <f aca="false">IF(OR($A193="",AY$4=""),0,COUNTIFS(Formulas!$A$2:$A$1501,AY$4,Formulas!$B$2:$B$1501,$A193))</f>
        <v>0</v>
      </c>
      <c r="AZ193" s="21" t="n">
        <f aca="false">IF(OR($A193="",AZ$4=""),0,COUNTIFS(Formulas!$A$2:$A$1501,AZ$4,Formulas!$B$2:$B$1501,$A193))</f>
        <v>0</v>
      </c>
      <c r="BA193" s="21" t="n">
        <f aca="false">IF(OR($A193="",BA$4=""),0,COUNTIFS(Formulas!$A$2:$A$1501,BA$4,Formulas!$B$2:$B$1501,$A193))</f>
        <v>0</v>
      </c>
      <c r="BB193" s="21" t="n">
        <f aca="false">IF(OR($A193="",BB$4=""),0,COUNTIFS(Formulas!$A$2:$A$1501,BB$4,Formulas!$B$2:$B$1501,$A193))</f>
        <v>0</v>
      </c>
      <c r="BC193" s="21" t="n">
        <f aca="false">IF(OR($A193="",BC$4=""),0,COUNTIFS(Formulas!$A$2:$A$1501,BC$4,Formulas!$B$2:$B$1501,$A193))</f>
        <v>0</v>
      </c>
      <c r="BD193" s="21" t="n">
        <f aca="false">IF(OR($A193="",BD$4=""),0,COUNTIFS(Formulas!$A$2:$A$1501,BD$4,Formulas!$B$2:$B$1501,$A193))</f>
        <v>0</v>
      </c>
      <c r="BE193" s="21" t="n">
        <f aca="false">IF(OR($A193="",BE$4=""),0,COUNTIFS(Formulas!$A$2:$A$1501,BE$4,Formulas!$B$2:$B$1501,$A193))</f>
        <v>0</v>
      </c>
      <c r="BF193" s="21" t="n">
        <f aca="false">IF(OR($A193="",BF$4=""),0,COUNTIFS(Formulas!$A$2:$A$1501,BF$4,Formulas!$B$2:$B$1501,$A193))</f>
        <v>0</v>
      </c>
      <c r="BG193" s="21" t="n">
        <f aca="false">IF(OR($A193="",BG$4=""),0,COUNTIFS(Formulas!$A$2:$A$1501,BG$4,Formulas!$B$2:$B$1501,$A193))</f>
        <v>0</v>
      </c>
      <c r="BH193" s="21" t="n">
        <f aca="false">IF(OR($A193="",BH$4=""),0,COUNTIFS(Formulas!$A$2:$A$1501,BH$4,Formulas!$B$2:$B$1501,$A193))</f>
        <v>0</v>
      </c>
      <c r="BI193" s="21" t="n">
        <f aca="false">IF(OR($A193="",BI$4=""),0,COUNTIFS(Formulas!$A$2:$A$1501,BI$4,Formulas!$B$2:$B$1501,$A193))</f>
        <v>0</v>
      </c>
      <c r="BJ193" s="21" t="n">
        <f aca="false">IF(OR($A193="",BJ$4=""),0,COUNTIFS(Formulas!$A$2:$A$1501,BJ$4,Formulas!$B$2:$B$1501,$A193))</f>
        <v>0</v>
      </c>
    </row>
    <row r="194" customFormat="false" ht="15" hidden="false" customHeight="false" outlineLevel="0" collapsed="false">
      <c r="A194" s="13" t="str">
        <f aca="false">IF(INDEX(Materials!$A$2:$A$201,190)="","",INDEX(Materials!$A$2:$A$201,190))</f>
        <v/>
      </c>
      <c r="B194" s="19" t="str">
        <f aca="false">IF(A194="","",COUNTIF(C194:BJ194,"&gt;0"))</f>
        <v/>
      </c>
      <c r="C194" s="21" t="n">
        <f aca="false">IF(OR($A194="",C$4=""),0,COUNTIFS(Formulas!$A$2:$A$1501,C$4,Formulas!$B$2:$B$1501,$A194))</f>
        <v>0</v>
      </c>
      <c r="D194" s="21" t="n">
        <f aca="false">IF(OR($A194="",D$4=""),0,COUNTIFS(Formulas!$A$2:$A$1501,D$4,Formulas!$B$2:$B$1501,$A194))</f>
        <v>0</v>
      </c>
      <c r="E194" s="21" t="n">
        <f aca="false">IF(OR($A194="",E$4=""),0,COUNTIFS(Formulas!$A$2:$A$1501,E$4,Formulas!$B$2:$B$1501,$A194))</f>
        <v>0</v>
      </c>
      <c r="F194" s="21" t="n">
        <f aca="false">IF(OR($A194="",F$4=""),0,COUNTIFS(Formulas!$A$2:$A$1501,F$4,Formulas!$B$2:$B$1501,$A194))</f>
        <v>0</v>
      </c>
      <c r="G194" s="21" t="n">
        <f aca="false">IF(OR($A194="",G$4=""),0,COUNTIFS(Formulas!$A$2:$A$1501,G$4,Formulas!$B$2:$B$1501,$A194))</f>
        <v>0</v>
      </c>
      <c r="H194" s="21" t="n">
        <f aca="false">IF(OR($A194="",H$4=""),0,COUNTIFS(Formulas!$A$2:$A$1501,H$4,Formulas!$B$2:$B$1501,$A194))</f>
        <v>0</v>
      </c>
      <c r="I194" s="21" t="n">
        <f aca="false">IF(OR($A194="",I$4=""),0,COUNTIFS(Formulas!$A$2:$A$1501,I$4,Formulas!$B$2:$B$1501,$A194))</f>
        <v>0</v>
      </c>
      <c r="J194" s="21" t="n">
        <f aca="false">IF(OR($A194="",J$4=""),0,COUNTIFS(Formulas!$A$2:$A$1501,J$4,Formulas!$B$2:$B$1501,$A194))</f>
        <v>0</v>
      </c>
      <c r="K194" s="21" t="n">
        <f aca="false">IF(OR($A194="",K$4=""),0,COUNTIFS(Formulas!$A$2:$A$1501,K$4,Formulas!$B$2:$B$1501,$A194))</f>
        <v>0</v>
      </c>
      <c r="L194" s="21" t="n">
        <f aca="false">IF(OR($A194="",L$4=""),0,COUNTIFS(Formulas!$A$2:$A$1501,L$4,Formulas!$B$2:$B$1501,$A194))</f>
        <v>0</v>
      </c>
      <c r="M194" s="21" t="n">
        <f aca="false">IF(OR($A194="",M$4=""),0,COUNTIFS(Formulas!$A$2:$A$1501,M$4,Formulas!$B$2:$B$1501,$A194))</f>
        <v>0</v>
      </c>
      <c r="N194" s="21" t="n">
        <f aca="false">IF(OR($A194="",N$4=""),0,COUNTIFS(Formulas!$A$2:$A$1501,N$4,Formulas!$B$2:$B$1501,$A194))</f>
        <v>0</v>
      </c>
      <c r="O194" s="21" t="n">
        <f aca="false">IF(OR($A194="",O$4=""),0,COUNTIFS(Formulas!$A$2:$A$1501,O$4,Formulas!$B$2:$B$1501,$A194))</f>
        <v>0</v>
      </c>
      <c r="P194" s="21" t="n">
        <f aca="false">IF(OR($A194="",P$4=""),0,COUNTIFS(Formulas!$A$2:$A$1501,P$4,Formulas!$B$2:$B$1501,$A194))</f>
        <v>0</v>
      </c>
      <c r="Q194" s="21" t="n">
        <f aca="false">IF(OR($A194="",Q$4=""),0,COUNTIFS(Formulas!$A$2:$A$1501,Q$4,Formulas!$B$2:$B$1501,$A194))</f>
        <v>0</v>
      </c>
      <c r="R194" s="21" t="n">
        <f aca="false">IF(OR($A194="",R$4=""),0,COUNTIFS(Formulas!$A$2:$A$1501,R$4,Formulas!$B$2:$B$1501,$A194))</f>
        <v>0</v>
      </c>
      <c r="S194" s="21" t="n">
        <f aca="false">IF(OR($A194="",S$4=""),0,COUNTIFS(Formulas!$A$2:$A$1501,S$4,Formulas!$B$2:$B$1501,$A194))</f>
        <v>0</v>
      </c>
      <c r="T194" s="21" t="n">
        <f aca="false">IF(OR($A194="",T$4=""),0,COUNTIFS(Formulas!$A$2:$A$1501,T$4,Formulas!$B$2:$B$1501,$A194))</f>
        <v>0</v>
      </c>
      <c r="U194" s="21" t="n">
        <f aca="false">IF(OR($A194="",U$4=""),0,COUNTIFS(Formulas!$A$2:$A$1501,U$4,Formulas!$B$2:$B$1501,$A194))</f>
        <v>0</v>
      </c>
      <c r="V194" s="21" t="n">
        <f aca="false">IF(OR($A194="",V$4=""),0,COUNTIFS(Formulas!$A$2:$A$1501,V$4,Formulas!$B$2:$B$1501,$A194))</f>
        <v>0</v>
      </c>
      <c r="W194" s="21" t="n">
        <f aca="false">IF(OR($A194="",W$4=""),0,COUNTIFS(Formulas!$A$2:$A$1501,W$4,Formulas!$B$2:$B$1501,$A194))</f>
        <v>0</v>
      </c>
      <c r="X194" s="21" t="n">
        <f aca="false">IF(OR($A194="",X$4=""),0,COUNTIFS(Formulas!$A$2:$A$1501,X$4,Formulas!$B$2:$B$1501,$A194))</f>
        <v>0</v>
      </c>
      <c r="Y194" s="21" t="n">
        <f aca="false">IF(OR($A194="",Y$4=""),0,COUNTIFS(Formulas!$A$2:$A$1501,Y$4,Formulas!$B$2:$B$1501,$A194))</f>
        <v>0</v>
      </c>
      <c r="Z194" s="21" t="n">
        <f aca="false">IF(OR($A194="",Z$4=""),0,COUNTIFS(Formulas!$A$2:$A$1501,Z$4,Formulas!$B$2:$B$1501,$A194))</f>
        <v>0</v>
      </c>
      <c r="AA194" s="21" t="n">
        <f aca="false">IF(OR($A194="",AA$4=""),0,COUNTIFS(Formulas!$A$2:$A$1501,AA$4,Formulas!$B$2:$B$1501,$A194))</f>
        <v>0</v>
      </c>
      <c r="AB194" s="21" t="n">
        <f aca="false">IF(OR($A194="",AB$4=""),0,COUNTIFS(Formulas!$A$2:$A$1501,AB$4,Formulas!$B$2:$B$1501,$A194))</f>
        <v>0</v>
      </c>
      <c r="AC194" s="21" t="n">
        <f aca="false">IF(OR($A194="",AC$4=""),0,COUNTIFS(Formulas!$A$2:$A$1501,AC$4,Formulas!$B$2:$B$1501,$A194))</f>
        <v>0</v>
      </c>
      <c r="AD194" s="21" t="n">
        <f aca="false">IF(OR($A194="",AD$4=""),0,COUNTIFS(Formulas!$A$2:$A$1501,AD$4,Formulas!$B$2:$B$1501,$A194))</f>
        <v>0</v>
      </c>
      <c r="AE194" s="21" t="n">
        <f aca="false">IF(OR($A194="",AE$4=""),0,COUNTIFS(Formulas!$A$2:$A$1501,AE$4,Formulas!$B$2:$B$1501,$A194))</f>
        <v>0</v>
      </c>
      <c r="AF194" s="21" t="n">
        <f aca="false">IF(OR($A194="",AF$4=""),0,COUNTIFS(Formulas!$A$2:$A$1501,AF$4,Formulas!$B$2:$B$1501,$A194))</f>
        <v>0</v>
      </c>
      <c r="AG194" s="21" t="n">
        <f aca="false">IF(OR($A194="",AG$4=""),0,COUNTIFS(Formulas!$A$2:$A$1501,AG$4,Formulas!$B$2:$B$1501,$A194))</f>
        <v>0</v>
      </c>
      <c r="AH194" s="21" t="n">
        <f aca="false">IF(OR($A194="",AH$4=""),0,COUNTIFS(Formulas!$A$2:$A$1501,AH$4,Formulas!$B$2:$B$1501,$A194))</f>
        <v>0</v>
      </c>
      <c r="AI194" s="21" t="n">
        <f aca="false">IF(OR($A194="",AI$4=""),0,COUNTIFS(Formulas!$A$2:$A$1501,AI$4,Formulas!$B$2:$B$1501,$A194))</f>
        <v>0</v>
      </c>
      <c r="AJ194" s="21" t="n">
        <f aca="false">IF(OR($A194="",AJ$4=""),0,COUNTIFS(Formulas!$A$2:$A$1501,AJ$4,Formulas!$B$2:$B$1501,$A194))</f>
        <v>0</v>
      </c>
      <c r="AK194" s="21" t="n">
        <f aca="false">IF(OR($A194="",AK$4=""),0,COUNTIFS(Formulas!$A$2:$A$1501,AK$4,Formulas!$B$2:$B$1501,$A194))</f>
        <v>0</v>
      </c>
      <c r="AL194" s="21" t="n">
        <f aca="false">IF(OR($A194="",AL$4=""),0,COUNTIFS(Formulas!$A$2:$A$1501,AL$4,Formulas!$B$2:$B$1501,$A194))</f>
        <v>0</v>
      </c>
      <c r="AM194" s="21" t="n">
        <f aca="false">IF(OR($A194="",AM$4=""),0,COUNTIFS(Formulas!$A$2:$A$1501,AM$4,Formulas!$B$2:$B$1501,$A194))</f>
        <v>0</v>
      </c>
      <c r="AN194" s="21" t="n">
        <f aca="false">IF(OR($A194="",AN$4=""),0,COUNTIFS(Formulas!$A$2:$A$1501,AN$4,Formulas!$B$2:$B$1501,$A194))</f>
        <v>0</v>
      </c>
      <c r="AO194" s="21" t="n">
        <f aca="false">IF(OR($A194="",AO$4=""),0,COUNTIFS(Formulas!$A$2:$A$1501,AO$4,Formulas!$B$2:$B$1501,$A194))</f>
        <v>0</v>
      </c>
      <c r="AP194" s="21" t="n">
        <f aca="false">IF(OR($A194="",AP$4=""),0,COUNTIFS(Formulas!$A$2:$A$1501,AP$4,Formulas!$B$2:$B$1501,$A194))</f>
        <v>0</v>
      </c>
      <c r="AQ194" s="21" t="n">
        <f aca="false">IF(OR($A194="",AQ$4=""),0,COUNTIFS(Formulas!$A$2:$A$1501,AQ$4,Formulas!$B$2:$B$1501,$A194))</f>
        <v>0</v>
      </c>
      <c r="AR194" s="21" t="n">
        <f aca="false">IF(OR($A194="",AR$4=""),0,COUNTIFS(Formulas!$A$2:$A$1501,AR$4,Formulas!$B$2:$B$1501,$A194))</f>
        <v>0</v>
      </c>
      <c r="AS194" s="21" t="n">
        <f aca="false">IF(OR($A194="",AS$4=""),0,COUNTIFS(Formulas!$A$2:$A$1501,AS$4,Formulas!$B$2:$B$1501,$A194))</f>
        <v>0</v>
      </c>
      <c r="AT194" s="21" t="n">
        <f aca="false">IF(OR($A194="",AT$4=""),0,COUNTIFS(Formulas!$A$2:$A$1501,AT$4,Formulas!$B$2:$B$1501,$A194))</f>
        <v>0</v>
      </c>
      <c r="AU194" s="21" t="n">
        <f aca="false">IF(OR($A194="",AU$4=""),0,COUNTIFS(Formulas!$A$2:$A$1501,AU$4,Formulas!$B$2:$B$1501,$A194))</f>
        <v>0</v>
      </c>
      <c r="AV194" s="21" t="n">
        <f aca="false">IF(OR($A194="",AV$4=""),0,COUNTIFS(Formulas!$A$2:$A$1501,AV$4,Formulas!$B$2:$B$1501,$A194))</f>
        <v>0</v>
      </c>
      <c r="AW194" s="21" t="n">
        <f aca="false">IF(OR($A194="",AW$4=""),0,COUNTIFS(Formulas!$A$2:$A$1501,AW$4,Formulas!$B$2:$B$1501,$A194))</f>
        <v>0</v>
      </c>
      <c r="AX194" s="21" t="n">
        <f aca="false">IF(OR($A194="",AX$4=""),0,COUNTIFS(Formulas!$A$2:$A$1501,AX$4,Formulas!$B$2:$B$1501,$A194))</f>
        <v>0</v>
      </c>
      <c r="AY194" s="21" t="n">
        <f aca="false">IF(OR($A194="",AY$4=""),0,COUNTIFS(Formulas!$A$2:$A$1501,AY$4,Formulas!$B$2:$B$1501,$A194))</f>
        <v>0</v>
      </c>
      <c r="AZ194" s="21" t="n">
        <f aca="false">IF(OR($A194="",AZ$4=""),0,COUNTIFS(Formulas!$A$2:$A$1501,AZ$4,Formulas!$B$2:$B$1501,$A194))</f>
        <v>0</v>
      </c>
      <c r="BA194" s="21" t="n">
        <f aca="false">IF(OR($A194="",BA$4=""),0,COUNTIFS(Formulas!$A$2:$A$1501,BA$4,Formulas!$B$2:$B$1501,$A194))</f>
        <v>0</v>
      </c>
      <c r="BB194" s="21" t="n">
        <f aca="false">IF(OR($A194="",BB$4=""),0,COUNTIFS(Formulas!$A$2:$A$1501,BB$4,Formulas!$B$2:$B$1501,$A194))</f>
        <v>0</v>
      </c>
      <c r="BC194" s="21" t="n">
        <f aca="false">IF(OR($A194="",BC$4=""),0,COUNTIFS(Formulas!$A$2:$A$1501,BC$4,Formulas!$B$2:$B$1501,$A194))</f>
        <v>0</v>
      </c>
      <c r="BD194" s="21" t="n">
        <f aca="false">IF(OR($A194="",BD$4=""),0,COUNTIFS(Formulas!$A$2:$A$1501,BD$4,Formulas!$B$2:$B$1501,$A194))</f>
        <v>0</v>
      </c>
      <c r="BE194" s="21" t="n">
        <f aca="false">IF(OR($A194="",BE$4=""),0,COUNTIFS(Formulas!$A$2:$A$1501,BE$4,Formulas!$B$2:$B$1501,$A194))</f>
        <v>0</v>
      </c>
      <c r="BF194" s="21" t="n">
        <f aca="false">IF(OR($A194="",BF$4=""),0,COUNTIFS(Formulas!$A$2:$A$1501,BF$4,Formulas!$B$2:$B$1501,$A194))</f>
        <v>0</v>
      </c>
      <c r="BG194" s="21" t="n">
        <f aca="false">IF(OR($A194="",BG$4=""),0,COUNTIFS(Formulas!$A$2:$A$1501,BG$4,Formulas!$B$2:$B$1501,$A194))</f>
        <v>0</v>
      </c>
      <c r="BH194" s="21" t="n">
        <f aca="false">IF(OR($A194="",BH$4=""),0,COUNTIFS(Formulas!$A$2:$A$1501,BH$4,Formulas!$B$2:$B$1501,$A194))</f>
        <v>0</v>
      </c>
      <c r="BI194" s="21" t="n">
        <f aca="false">IF(OR($A194="",BI$4=""),0,COUNTIFS(Formulas!$A$2:$A$1501,BI$4,Formulas!$B$2:$B$1501,$A194))</f>
        <v>0</v>
      </c>
      <c r="BJ194" s="21" t="n">
        <f aca="false">IF(OR($A194="",BJ$4=""),0,COUNTIFS(Formulas!$A$2:$A$1501,BJ$4,Formulas!$B$2:$B$1501,$A194))</f>
        <v>0</v>
      </c>
    </row>
    <row r="195" customFormat="false" ht="15" hidden="false" customHeight="false" outlineLevel="0" collapsed="false">
      <c r="A195" s="13" t="str">
        <f aca="false">IF(INDEX(Materials!$A$2:$A$201,191)="","",INDEX(Materials!$A$2:$A$201,191))</f>
        <v/>
      </c>
      <c r="B195" s="19" t="str">
        <f aca="false">IF(A195="","",COUNTIF(C195:BJ195,"&gt;0"))</f>
        <v/>
      </c>
      <c r="C195" s="21" t="n">
        <f aca="false">IF(OR($A195="",C$4=""),0,COUNTIFS(Formulas!$A$2:$A$1501,C$4,Formulas!$B$2:$B$1501,$A195))</f>
        <v>0</v>
      </c>
      <c r="D195" s="21" t="n">
        <f aca="false">IF(OR($A195="",D$4=""),0,COUNTIFS(Formulas!$A$2:$A$1501,D$4,Formulas!$B$2:$B$1501,$A195))</f>
        <v>0</v>
      </c>
      <c r="E195" s="21" t="n">
        <f aca="false">IF(OR($A195="",E$4=""),0,COUNTIFS(Formulas!$A$2:$A$1501,E$4,Formulas!$B$2:$B$1501,$A195))</f>
        <v>0</v>
      </c>
      <c r="F195" s="21" t="n">
        <f aca="false">IF(OR($A195="",F$4=""),0,COUNTIFS(Formulas!$A$2:$A$1501,F$4,Formulas!$B$2:$B$1501,$A195))</f>
        <v>0</v>
      </c>
      <c r="G195" s="21" t="n">
        <f aca="false">IF(OR($A195="",G$4=""),0,COUNTIFS(Formulas!$A$2:$A$1501,G$4,Formulas!$B$2:$B$1501,$A195))</f>
        <v>0</v>
      </c>
      <c r="H195" s="21" t="n">
        <f aca="false">IF(OR($A195="",H$4=""),0,COUNTIFS(Formulas!$A$2:$A$1501,H$4,Formulas!$B$2:$B$1501,$A195))</f>
        <v>0</v>
      </c>
      <c r="I195" s="21" t="n">
        <f aca="false">IF(OR($A195="",I$4=""),0,COUNTIFS(Formulas!$A$2:$A$1501,I$4,Formulas!$B$2:$B$1501,$A195))</f>
        <v>0</v>
      </c>
      <c r="J195" s="21" t="n">
        <f aca="false">IF(OR($A195="",J$4=""),0,COUNTIFS(Formulas!$A$2:$A$1501,J$4,Formulas!$B$2:$B$1501,$A195))</f>
        <v>0</v>
      </c>
      <c r="K195" s="21" t="n">
        <f aca="false">IF(OR($A195="",K$4=""),0,COUNTIFS(Formulas!$A$2:$A$1501,K$4,Formulas!$B$2:$B$1501,$A195))</f>
        <v>0</v>
      </c>
      <c r="L195" s="21" t="n">
        <f aca="false">IF(OR($A195="",L$4=""),0,COUNTIFS(Formulas!$A$2:$A$1501,L$4,Formulas!$B$2:$B$1501,$A195))</f>
        <v>0</v>
      </c>
      <c r="M195" s="21" t="n">
        <f aca="false">IF(OR($A195="",M$4=""),0,COUNTIFS(Formulas!$A$2:$A$1501,M$4,Formulas!$B$2:$B$1501,$A195))</f>
        <v>0</v>
      </c>
      <c r="N195" s="21" t="n">
        <f aca="false">IF(OR($A195="",N$4=""),0,COUNTIFS(Formulas!$A$2:$A$1501,N$4,Formulas!$B$2:$B$1501,$A195))</f>
        <v>0</v>
      </c>
      <c r="O195" s="21" t="n">
        <f aca="false">IF(OR($A195="",O$4=""),0,COUNTIFS(Formulas!$A$2:$A$1501,O$4,Formulas!$B$2:$B$1501,$A195))</f>
        <v>0</v>
      </c>
      <c r="P195" s="21" t="n">
        <f aca="false">IF(OR($A195="",P$4=""),0,COUNTIFS(Formulas!$A$2:$A$1501,P$4,Formulas!$B$2:$B$1501,$A195))</f>
        <v>0</v>
      </c>
      <c r="Q195" s="21" t="n">
        <f aca="false">IF(OR($A195="",Q$4=""),0,COUNTIFS(Formulas!$A$2:$A$1501,Q$4,Formulas!$B$2:$B$1501,$A195))</f>
        <v>0</v>
      </c>
      <c r="R195" s="21" t="n">
        <f aca="false">IF(OR($A195="",R$4=""),0,COUNTIFS(Formulas!$A$2:$A$1501,R$4,Formulas!$B$2:$B$1501,$A195))</f>
        <v>0</v>
      </c>
      <c r="S195" s="21" t="n">
        <f aca="false">IF(OR($A195="",S$4=""),0,COUNTIFS(Formulas!$A$2:$A$1501,S$4,Formulas!$B$2:$B$1501,$A195))</f>
        <v>0</v>
      </c>
      <c r="T195" s="21" t="n">
        <f aca="false">IF(OR($A195="",T$4=""),0,COUNTIFS(Formulas!$A$2:$A$1501,T$4,Formulas!$B$2:$B$1501,$A195))</f>
        <v>0</v>
      </c>
      <c r="U195" s="21" t="n">
        <f aca="false">IF(OR($A195="",U$4=""),0,COUNTIFS(Formulas!$A$2:$A$1501,U$4,Formulas!$B$2:$B$1501,$A195))</f>
        <v>0</v>
      </c>
      <c r="V195" s="21" t="n">
        <f aca="false">IF(OR($A195="",V$4=""),0,COUNTIFS(Formulas!$A$2:$A$1501,V$4,Formulas!$B$2:$B$1501,$A195))</f>
        <v>0</v>
      </c>
      <c r="W195" s="21" t="n">
        <f aca="false">IF(OR($A195="",W$4=""),0,COUNTIFS(Formulas!$A$2:$A$1501,W$4,Formulas!$B$2:$B$1501,$A195))</f>
        <v>0</v>
      </c>
      <c r="X195" s="21" t="n">
        <f aca="false">IF(OR($A195="",X$4=""),0,COUNTIFS(Formulas!$A$2:$A$1501,X$4,Formulas!$B$2:$B$1501,$A195))</f>
        <v>0</v>
      </c>
      <c r="Y195" s="21" t="n">
        <f aca="false">IF(OR($A195="",Y$4=""),0,COUNTIFS(Formulas!$A$2:$A$1501,Y$4,Formulas!$B$2:$B$1501,$A195))</f>
        <v>0</v>
      </c>
      <c r="Z195" s="21" t="n">
        <f aca="false">IF(OR($A195="",Z$4=""),0,COUNTIFS(Formulas!$A$2:$A$1501,Z$4,Formulas!$B$2:$B$1501,$A195))</f>
        <v>0</v>
      </c>
      <c r="AA195" s="21" t="n">
        <f aca="false">IF(OR($A195="",AA$4=""),0,COUNTIFS(Formulas!$A$2:$A$1501,AA$4,Formulas!$B$2:$B$1501,$A195))</f>
        <v>0</v>
      </c>
      <c r="AB195" s="21" t="n">
        <f aca="false">IF(OR($A195="",AB$4=""),0,COUNTIFS(Formulas!$A$2:$A$1501,AB$4,Formulas!$B$2:$B$1501,$A195))</f>
        <v>0</v>
      </c>
      <c r="AC195" s="21" t="n">
        <f aca="false">IF(OR($A195="",AC$4=""),0,COUNTIFS(Formulas!$A$2:$A$1501,AC$4,Formulas!$B$2:$B$1501,$A195))</f>
        <v>0</v>
      </c>
      <c r="AD195" s="21" t="n">
        <f aca="false">IF(OR($A195="",AD$4=""),0,COUNTIFS(Formulas!$A$2:$A$1501,AD$4,Formulas!$B$2:$B$1501,$A195))</f>
        <v>0</v>
      </c>
      <c r="AE195" s="21" t="n">
        <f aca="false">IF(OR($A195="",AE$4=""),0,COUNTIFS(Formulas!$A$2:$A$1501,AE$4,Formulas!$B$2:$B$1501,$A195))</f>
        <v>0</v>
      </c>
      <c r="AF195" s="21" t="n">
        <f aca="false">IF(OR($A195="",AF$4=""),0,COUNTIFS(Formulas!$A$2:$A$1501,AF$4,Formulas!$B$2:$B$1501,$A195))</f>
        <v>0</v>
      </c>
      <c r="AG195" s="21" t="n">
        <f aca="false">IF(OR($A195="",AG$4=""),0,COUNTIFS(Formulas!$A$2:$A$1501,AG$4,Formulas!$B$2:$B$1501,$A195))</f>
        <v>0</v>
      </c>
      <c r="AH195" s="21" t="n">
        <f aca="false">IF(OR($A195="",AH$4=""),0,COUNTIFS(Formulas!$A$2:$A$1501,AH$4,Formulas!$B$2:$B$1501,$A195))</f>
        <v>0</v>
      </c>
      <c r="AI195" s="21" t="n">
        <f aca="false">IF(OR($A195="",AI$4=""),0,COUNTIFS(Formulas!$A$2:$A$1501,AI$4,Formulas!$B$2:$B$1501,$A195))</f>
        <v>0</v>
      </c>
      <c r="AJ195" s="21" t="n">
        <f aca="false">IF(OR($A195="",AJ$4=""),0,COUNTIFS(Formulas!$A$2:$A$1501,AJ$4,Formulas!$B$2:$B$1501,$A195))</f>
        <v>0</v>
      </c>
      <c r="AK195" s="21" t="n">
        <f aca="false">IF(OR($A195="",AK$4=""),0,COUNTIFS(Formulas!$A$2:$A$1501,AK$4,Formulas!$B$2:$B$1501,$A195))</f>
        <v>0</v>
      </c>
      <c r="AL195" s="21" t="n">
        <f aca="false">IF(OR($A195="",AL$4=""),0,COUNTIFS(Formulas!$A$2:$A$1501,AL$4,Formulas!$B$2:$B$1501,$A195))</f>
        <v>0</v>
      </c>
      <c r="AM195" s="21" t="n">
        <f aca="false">IF(OR($A195="",AM$4=""),0,COUNTIFS(Formulas!$A$2:$A$1501,AM$4,Formulas!$B$2:$B$1501,$A195))</f>
        <v>0</v>
      </c>
      <c r="AN195" s="21" t="n">
        <f aca="false">IF(OR($A195="",AN$4=""),0,COUNTIFS(Formulas!$A$2:$A$1501,AN$4,Formulas!$B$2:$B$1501,$A195))</f>
        <v>0</v>
      </c>
      <c r="AO195" s="21" t="n">
        <f aca="false">IF(OR($A195="",AO$4=""),0,COUNTIFS(Formulas!$A$2:$A$1501,AO$4,Formulas!$B$2:$B$1501,$A195))</f>
        <v>0</v>
      </c>
      <c r="AP195" s="21" t="n">
        <f aca="false">IF(OR($A195="",AP$4=""),0,COUNTIFS(Formulas!$A$2:$A$1501,AP$4,Formulas!$B$2:$B$1501,$A195))</f>
        <v>0</v>
      </c>
      <c r="AQ195" s="21" t="n">
        <f aca="false">IF(OR($A195="",AQ$4=""),0,COUNTIFS(Formulas!$A$2:$A$1501,AQ$4,Formulas!$B$2:$B$1501,$A195))</f>
        <v>0</v>
      </c>
      <c r="AR195" s="21" t="n">
        <f aca="false">IF(OR($A195="",AR$4=""),0,COUNTIFS(Formulas!$A$2:$A$1501,AR$4,Formulas!$B$2:$B$1501,$A195))</f>
        <v>0</v>
      </c>
      <c r="AS195" s="21" t="n">
        <f aca="false">IF(OR($A195="",AS$4=""),0,COUNTIFS(Formulas!$A$2:$A$1501,AS$4,Formulas!$B$2:$B$1501,$A195))</f>
        <v>0</v>
      </c>
      <c r="AT195" s="21" t="n">
        <f aca="false">IF(OR($A195="",AT$4=""),0,COUNTIFS(Formulas!$A$2:$A$1501,AT$4,Formulas!$B$2:$B$1501,$A195))</f>
        <v>0</v>
      </c>
      <c r="AU195" s="21" t="n">
        <f aca="false">IF(OR($A195="",AU$4=""),0,COUNTIFS(Formulas!$A$2:$A$1501,AU$4,Formulas!$B$2:$B$1501,$A195))</f>
        <v>0</v>
      </c>
      <c r="AV195" s="21" t="n">
        <f aca="false">IF(OR($A195="",AV$4=""),0,COUNTIFS(Formulas!$A$2:$A$1501,AV$4,Formulas!$B$2:$B$1501,$A195))</f>
        <v>0</v>
      </c>
      <c r="AW195" s="21" t="n">
        <f aca="false">IF(OR($A195="",AW$4=""),0,COUNTIFS(Formulas!$A$2:$A$1501,AW$4,Formulas!$B$2:$B$1501,$A195))</f>
        <v>0</v>
      </c>
      <c r="AX195" s="21" t="n">
        <f aca="false">IF(OR($A195="",AX$4=""),0,COUNTIFS(Formulas!$A$2:$A$1501,AX$4,Formulas!$B$2:$B$1501,$A195))</f>
        <v>0</v>
      </c>
      <c r="AY195" s="21" t="n">
        <f aca="false">IF(OR($A195="",AY$4=""),0,COUNTIFS(Formulas!$A$2:$A$1501,AY$4,Formulas!$B$2:$B$1501,$A195))</f>
        <v>0</v>
      </c>
      <c r="AZ195" s="21" t="n">
        <f aca="false">IF(OR($A195="",AZ$4=""),0,COUNTIFS(Formulas!$A$2:$A$1501,AZ$4,Formulas!$B$2:$B$1501,$A195))</f>
        <v>0</v>
      </c>
      <c r="BA195" s="21" t="n">
        <f aca="false">IF(OR($A195="",BA$4=""),0,COUNTIFS(Formulas!$A$2:$A$1501,BA$4,Formulas!$B$2:$B$1501,$A195))</f>
        <v>0</v>
      </c>
      <c r="BB195" s="21" t="n">
        <f aca="false">IF(OR($A195="",BB$4=""),0,COUNTIFS(Formulas!$A$2:$A$1501,BB$4,Formulas!$B$2:$B$1501,$A195))</f>
        <v>0</v>
      </c>
      <c r="BC195" s="21" t="n">
        <f aca="false">IF(OR($A195="",BC$4=""),0,COUNTIFS(Formulas!$A$2:$A$1501,BC$4,Formulas!$B$2:$B$1501,$A195))</f>
        <v>0</v>
      </c>
      <c r="BD195" s="21" t="n">
        <f aca="false">IF(OR($A195="",BD$4=""),0,COUNTIFS(Formulas!$A$2:$A$1501,BD$4,Formulas!$B$2:$B$1501,$A195))</f>
        <v>0</v>
      </c>
      <c r="BE195" s="21" t="n">
        <f aca="false">IF(OR($A195="",BE$4=""),0,COUNTIFS(Formulas!$A$2:$A$1501,BE$4,Formulas!$B$2:$B$1501,$A195))</f>
        <v>0</v>
      </c>
      <c r="BF195" s="21" t="n">
        <f aca="false">IF(OR($A195="",BF$4=""),0,COUNTIFS(Formulas!$A$2:$A$1501,BF$4,Formulas!$B$2:$B$1501,$A195))</f>
        <v>0</v>
      </c>
      <c r="BG195" s="21" t="n">
        <f aca="false">IF(OR($A195="",BG$4=""),0,COUNTIFS(Formulas!$A$2:$A$1501,BG$4,Formulas!$B$2:$B$1501,$A195))</f>
        <v>0</v>
      </c>
      <c r="BH195" s="21" t="n">
        <f aca="false">IF(OR($A195="",BH$4=""),0,COUNTIFS(Formulas!$A$2:$A$1501,BH$4,Formulas!$B$2:$B$1501,$A195))</f>
        <v>0</v>
      </c>
      <c r="BI195" s="21" t="n">
        <f aca="false">IF(OR($A195="",BI$4=""),0,COUNTIFS(Formulas!$A$2:$A$1501,BI$4,Formulas!$B$2:$B$1501,$A195))</f>
        <v>0</v>
      </c>
      <c r="BJ195" s="21" t="n">
        <f aca="false">IF(OR($A195="",BJ$4=""),0,COUNTIFS(Formulas!$A$2:$A$1501,BJ$4,Formulas!$B$2:$B$1501,$A195))</f>
        <v>0</v>
      </c>
    </row>
    <row r="196" customFormat="false" ht="15" hidden="false" customHeight="false" outlineLevel="0" collapsed="false">
      <c r="A196" s="13" t="str">
        <f aca="false">IF(INDEX(Materials!$A$2:$A$201,192)="","",INDEX(Materials!$A$2:$A$201,192))</f>
        <v/>
      </c>
      <c r="B196" s="19" t="str">
        <f aca="false">IF(A196="","",COUNTIF(C196:BJ196,"&gt;0"))</f>
        <v/>
      </c>
      <c r="C196" s="21" t="n">
        <f aca="false">IF(OR($A196="",C$4=""),0,COUNTIFS(Formulas!$A$2:$A$1501,C$4,Formulas!$B$2:$B$1501,$A196))</f>
        <v>0</v>
      </c>
      <c r="D196" s="21" t="n">
        <f aca="false">IF(OR($A196="",D$4=""),0,COUNTIFS(Formulas!$A$2:$A$1501,D$4,Formulas!$B$2:$B$1501,$A196))</f>
        <v>0</v>
      </c>
      <c r="E196" s="21" t="n">
        <f aca="false">IF(OR($A196="",E$4=""),0,COUNTIFS(Formulas!$A$2:$A$1501,E$4,Formulas!$B$2:$B$1501,$A196))</f>
        <v>0</v>
      </c>
      <c r="F196" s="21" t="n">
        <f aca="false">IF(OR($A196="",F$4=""),0,COUNTIFS(Formulas!$A$2:$A$1501,F$4,Formulas!$B$2:$B$1501,$A196))</f>
        <v>0</v>
      </c>
      <c r="G196" s="21" t="n">
        <f aca="false">IF(OR($A196="",G$4=""),0,COUNTIFS(Formulas!$A$2:$A$1501,G$4,Formulas!$B$2:$B$1501,$A196))</f>
        <v>0</v>
      </c>
      <c r="H196" s="21" t="n">
        <f aca="false">IF(OR($A196="",H$4=""),0,COUNTIFS(Formulas!$A$2:$A$1501,H$4,Formulas!$B$2:$B$1501,$A196))</f>
        <v>0</v>
      </c>
      <c r="I196" s="21" t="n">
        <f aca="false">IF(OR($A196="",I$4=""),0,COUNTIFS(Formulas!$A$2:$A$1501,I$4,Formulas!$B$2:$B$1501,$A196))</f>
        <v>0</v>
      </c>
      <c r="J196" s="21" t="n">
        <f aca="false">IF(OR($A196="",J$4=""),0,COUNTIFS(Formulas!$A$2:$A$1501,J$4,Formulas!$B$2:$B$1501,$A196))</f>
        <v>0</v>
      </c>
      <c r="K196" s="21" t="n">
        <f aca="false">IF(OR($A196="",K$4=""),0,COUNTIFS(Formulas!$A$2:$A$1501,K$4,Formulas!$B$2:$B$1501,$A196))</f>
        <v>0</v>
      </c>
      <c r="L196" s="21" t="n">
        <f aca="false">IF(OR($A196="",L$4=""),0,COUNTIFS(Formulas!$A$2:$A$1501,L$4,Formulas!$B$2:$B$1501,$A196))</f>
        <v>0</v>
      </c>
      <c r="M196" s="21" t="n">
        <f aca="false">IF(OR($A196="",M$4=""),0,COUNTIFS(Formulas!$A$2:$A$1501,M$4,Formulas!$B$2:$B$1501,$A196))</f>
        <v>0</v>
      </c>
      <c r="N196" s="21" t="n">
        <f aca="false">IF(OR($A196="",N$4=""),0,COUNTIFS(Formulas!$A$2:$A$1501,N$4,Formulas!$B$2:$B$1501,$A196))</f>
        <v>0</v>
      </c>
      <c r="O196" s="21" t="n">
        <f aca="false">IF(OR($A196="",O$4=""),0,COUNTIFS(Formulas!$A$2:$A$1501,O$4,Formulas!$B$2:$B$1501,$A196))</f>
        <v>0</v>
      </c>
      <c r="P196" s="21" t="n">
        <f aca="false">IF(OR($A196="",P$4=""),0,COUNTIFS(Formulas!$A$2:$A$1501,P$4,Formulas!$B$2:$B$1501,$A196))</f>
        <v>0</v>
      </c>
      <c r="Q196" s="21" t="n">
        <f aca="false">IF(OR($A196="",Q$4=""),0,COUNTIFS(Formulas!$A$2:$A$1501,Q$4,Formulas!$B$2:$B$1501,$A196))</f>
        <v>0</v>
      </c>
      <c r="R196" s="21" t="n">
        <f aca="false">IF(OR($A196="",R$4=""),0,COUNTIFS(Formulas!$A$2:$A$1501,R$4,Formulas!$B$2:$B$1501,$A196))</f>
        <v>0</v>
      </c>
      <c r="S196" s="21" t="n">
        <f aca="false">IF(OR($A196="",S$4=""),0,COUNTIFS(Formulas!$A$2:$A$1501,S$4,Formulas!$B$2:$B$1501,$A196))</f>
        <v>0</v>
      </c>
      <c r="T196" s="21" t="n">
        <f aca="false">IF(OR($A196="",T$4=""),0,COUNTIFS(Formulas!$A$2:$A$1501,T$4,Formulas!$B$2:$B$1501,$A196))</f>
        <v>0</v>
      </c>
      <c r="U196" s="21" t="n">
        <f aca="false">IF(OR($A196="",U$4=""),0,COUNTIFS(Formulas!$A$2:$A$1501,U$4,Formulas!$B$2:$B$1501,$A196))</f>
        <v>0</v>
      </c>
      <c r="V196" s="21" t="n">
        <f aca="false">IF(OR($A196="",V$4=""),0,COUNTIFS(Formulas!$A$2:$A$1501,V$4,Formulas!$B$2:$B$1501,$A196))</f>
        <v>0</v>
      </c>
      <c r="W196" s="21" t="n">
        <f aca="false">IF(OR($A196="",W$4=""),0,COUNTIFS(Formulas!$A$2:$A$1501,W$4,Formulas!$B$2:$B$1501,$A196))</f>
        <v>0</v>
      </c>
      <c r="X196" s="21" t="n">
        <f aca="false">IF(OR($A196="",X$4=""),0,COUNTIFS(Formulas!$A$2:$A$1501,X$4,Formulas!$B$2:$B$1501,$A196))</f>
        <v>0</v>
      </c>
      <c r="Y196" s="21" t="n">
        <f aca="false">IF(OR($A196="",Y$4=""),0,COUNTIFS(Formulas!$A$2:$A$1501,Y$4,Formulas!$B$2:$B$1501,$A196))</f>
        <v>0</v>
      </c>
      <c r="Z196" s="21" t="n">
        <f aca="false">IF(OR($A196="",Z$4=""),0,COUNTIFS(Formulas!$A$2:$A$1501,Z$4,Formulas!$B$2:$B$1501,$A196))</f>
        <v>0</v>
      </c>
      <c r="AA196" s="21" t="n">
        <f aca="false">IF(OR($A196="",AA$4=""),0,COUNTIFS(Formulas!$A$2:$A$1501,AA$4,Formulas!$B$2:$B$1501,$A196))</f>
        <v>0</v>
      </c>
      <c r="AB196" s="21" t="n">
        <f aca="false">IF(OR($A196="",AB$4=""),0,COUNTIFS(Formulas!$A$2:$A$1501,AB$4,Formulas!$B$2:$B$1501,$A196))</f>
        <v>0</v>
      </c>
      <c r="AC196" s="21" t="n">
        <f aca="false">IF(OR($A196="",AC$4=""),0,COUNTIFS(Formulas!$A$2:$A$1501,AC$4,Formulas!$B$2:$B$1501,$A196))</f>
        <v>0</v>
      </c>
      <c r="AD196" s="21" t="n">
        <f aca="false">IF(OR($A196="",AD$4=""),0,COUNTIFS(Formulas!$A$2:$A$1501,AD$4,Formulas!$B$2:$B$1501,$A196))</f>
        <v>0</v>
      </c>
      <c r="AE196" s="21" t="n">
        <f aca="false">IF(OR($A196="",AE$4=""),0,COUNTIFS(Formulas!$A$2:$A$1501,AE$4,Formulas!$B$2:$B$1501,$A196))</f>
        <v>0</v>
      </c>
      <c r="AF196" s="21" t="n">
        <f aca="false">IF(OR($A196="",AF$4=""),0,COUNTIFS(Formulas!$A$2:$A$1501,AF$4,Formulas!$B$2:$B$1501,$A196))</f>
        <v>0</v>
      </c>
      <c r="AG196" s="21" t="n">
        <f aca="false">IF(OR($A196="",AG$4=""),0,COUNTIFS(Formulas!$A$2:$A$1501,AG$4,Formulas!$B$2:$B$1501,$A196))</f>
        <v>0</v>
      </c>
      <c r="AH196" s="21" t="n">
        <f aca="false">IF(OR($A196="",AH$4=""),0,COUNTIFS(Formulas!$A$2:$A$1501,AH$4,Formulas!$B$2:$B$1501,$A196))</f>
        <v>0</v>
      </c>
      <c r="AI196" s="21" t="n">
        <f aca="false">IF(OR($A196="",AI$4=""),0,COUNTIFS(Formulas!$A$2:$A$1501,AI$4,Formulas!$B$2:$B$1501,$A196))</f>
        <v>0</v>
      </c>
      <c r="AJ196" s="21" t="n">
        <f aca="false">IF(OR($A196="",AJ$4=""),0,COUNTIFS(Formulas!$A$2:$A$1501,AJ$4,Formulas!$B$2:$B$1501,$A196))</f>
        <v>0</v>
      </c>
      <c r="AK196" s="21" t="n">
        <f aca="false">IF(OR($A196="",AK$4=""),0,COUNTIFS(Formulas!$A$2:$A$1501,AK$4,Formulas!$B$2:$B$1501,$A196))</f>
        <v>0</v>
      </c>
      <c r="AL196" s="21" t="n">
        <f aca="false">IF(OR($A196="",AL$4=""),0,COUNTIFS(Formulas!$A$2:$A$1501,AL$4,Formulas!$B$2:$B$1501,$A196))</f>
        <v>0</v>
      </c>
      <c r="AM196" s="21" t="n">
        <f aca="false">IF(OR($A196="",AM$4=""),0,COUNTIFS(Formulas!$A$2:$A$1501,AM$4,Formulas!$B$2:$B$1501,$A196))</f>
        <v>0</v>
      </c>
      <c r="AN196" s="21" t="n">
        <f aca="false">IF(OR($A196="",AN$4=""),0,COUNTIFS(Formulas!$A$2:$A$1501,AN$4,Formulas!$B$2:$B$1501,$A196))</f>
        <v>0</v>
      </c>
      <c r="AO196" s="21" t="n">
        <f aca="false">IF(OR($A196="",AO$4=""),0,COUNTIFS(Formulas!$A$2:$A$1501,AO$4,Formulas!$B$2:$B$1501,$A196))</f>
        <v>0</v>
      </c>
      <c r="AP196" s="21" t="n">
        <f aca="false">IF(OR($A196="",AP$4=""),0,COUNTIFS(Formulas!$A$2:$A$1501,AP$4,Formulas!$B$2:$B$1501,$A196))</f>
        <v>0</v>
      </c>
      <c r="AQ196" s="21" t="n">
        <f aca="false">IF(OR($A196="",AQ$4=""),0,COUNTIFS(Formulas!$A$2:$A$1501,AQ$4,Formulas!$B$2:$B$1501,$A196))</f>
        <v>0</v>
      </c>
      <c r="AR196" s="21" t="n">
        <f aca="false">IF(OR($A196="",AR$4=""),0,COUNTIFS(Formulas!$A$2:$A$1501,AR$4,Formulas!$B$2:$B$1501,$A196))</f>
        <v>0</v>
      </c>
      <c r="AS196" s="21" t="n">
        <f aca="false">IF(OR($A196="",AS$4=""),0,COUNTIFS(Formulas!$A$2:$A$1501,AS$4,Formulas!$B$2:$B$1501,$A196))</f>
        <v>0</v>
      </c>
      <c r="AT196" s="21" t="n">
        <f aca="false">IF(OR($A196="",AT$4=""),0,COUNTIFS(Formulas!$A$2:$A$1501,AT$4,Formulas!$B$2:$B$1501,$A196))</f>
        <v>0</v>
      </c>
      <c r="AU196" s="21" t="n">
        <f aca="false">IF(OR($A196="",AU$4=""),0,COUNTIFS(Formulas!$A$2:$A$1501,AU$4,Formulas!$B$2:$B$1501,$A196))</f>
        <v>0</v>
      </c>
      <c r="AV196" s="21" t="n">
        <f aca="false">IF(OR($A196="",AV$4=""),0,COUNTIFS(Formulas!$A$2:$A$1501,AV$4,Formulas!$B$2:$B$1501,$A196))</f>
        <v>0</v>
      </c>
      <c r="AW196" s="21" t="n">
        <f aca="false">IF(OR($A196="",AW$4=""),0,COUNTIFS(Formulas!$A$2:$A$1501,AW$4,Formulas!$B$2:$B$1501,$A196))</f>
        <v>0</v>
      </c>
      <c r="AX196" s="21" t="n">
        <f aca="false">IF(OR($A196="",AX$4=""),0,COUNTIFS(Formulas!$A$2:$A$1501,AX$4,Formulas!$B$2:$B$1501,$A196))</f>
        <v>0</v>
      </c>
      <c r="AY196" s="21" t="n">
        <f aca="false">IF(OR($A196="",AY$4=""),0,COUNTIFS(Formulas!$A$2:$A$1501,AY$4,Formulas!$B$2:$B$1501,$A196))</f>
        <v>0</v>
      </c>
      <c r="AZ196" s="21" t="n">
        <f aca="false">IF(OR($A196="",AZ$4=""),0,COUNTIFS(Formulas!$A$2:$A$1501,AZ$4,Formulas!$B$2:$B$1501,$A196))</f>
        <v>0</v>
      </c>
      <c r="BA196" s="21" t="n">
        <f aca="false">IF(OR($A196="",BA$4=""),0,COUNTIFS(Formulas!$A$2:$A$1501,BA$4,Formulas!$B$2:$B$1501,$A196))</f>
        <v>0</v>
      </c>
      <c r="BB196" s="21" t="n">
        <f aca="false">IF(OR($A196="",BB$4=""),0,COUNTIFS(Formulas!$A$2:$A$1501,BB$4,Formulas!$B$2:$B$1501,$A196))</f>
        <v>0</v>
      </c>
      <c r="BC196" s="21" t="n">
        <f aca="false">IF(OR($A196="",BC$4=""),0,COUNTIFS(Formulas!$A$2:$A$1501,BC$4,Formulas!$B$2:$B$1501,$A196))</f>
        <v>0</v>
      </c>
      <c r="BD196" s="21" t="n">
        <f aca="false">IF(OR($A196="",BD$4=""),0,COUNTIFS(Formulas!$A$2:$A$1501,BD$4,Formulas!$B$2:$B$1501,$A196))</f>
        <v>0</v>
      </c>
      <c r="BE196" s="21" t="n">
        <f aca="false">IF(OR($A196="",BE$4=""),0,COUNTIFS(Formulas!$A$2:$A$1501,BE$4,Formulas!$B$2:$B$1501,$A196))</f>
        <v>0</v>
      </c>
      <c r="BF196" s="21" t="n">
        <f aca="false">IF(OR($A196="",BF$4=""),0,COUNTIFS(Formulas!$A$2:$A$1501,BF$4,Formulas!$B$2:$B$1501,$A196))</f>
        <v>0</v>
      </c>
      <c r="BG196" s="21" t="n">
        <f aca="false">IF(OR($A196="",BG$4=""),0,COUNTIFS(Formulas!$A$2:$A$1501,BG$4,Formulas!$B$2:$B$1501,$A196))</f>
        <v>0</v>
      </c>
      <c r="BH196" s="21" t="n">
        <f aca="false">IF(OR($A196="",BH$4=""),0,COUNTIFS(Formulas!$A$2:$A$1501,BH$4,Formulas!$B$2:$B$1501,$A196))</f>
        <v>0</v>
      </c>
      <c r="BI196" s="21" t="n">
        <f aca="false">IF(OR($A196="",BI$4=""),0,COUNTIFS(Formulas!$A$2:$A$1501,BI$4,Formulas!$B$2:$B$1501,$A196))</f>
        <v>0</v>
      </c>
      <c r="BJ196" s="21" t="n">
        <f aca="false">IF(OR($A196="",BJ$4=""),0,COUNTIFS(Formulas!$A$2:$A$1501,BJ$4,Formulas!$B$2:$B$1501,$A196))</f>
        <v>0</v>
      </c>
    </row>
    <row r="197" customFormat="false" ht="15" hidden="false" customHeight="false" outlineLevel="0" collapsed="false">
      <c r="A197" s="13" t="str">
        <f aca="false">IF(INDEX(Materials!$A$2:$A$201,193)="","",INDEX(Materials!$A$2:$A$201,193))</f>
        <v/>
      </c>
      <c r="B197" s="19" t="str">
        <f aca="false">IF(A197="","",COUNTIF(C197:BJ197,"&gt;0"))</f>
        <v/>
      </c>
      <c r="C197" s="21" t="n">
        <f aca="false">IF(OR($A197="",C$4=""),0,COUNTIFS(Formulas!$A$2:$A$1501,C$4,Formulas!$B$2:$B$1501,$A197))</f>
        <v>0</v>
      </c>
      <c r="D197" s="21" t="n">
        <f aca="false">IF(OR($A197="",D$4=""),0,COUNTIFS(Formulas!$A$2:$A$1501,D$4,Formulas!$B$2:$B$1501,$A197))</f>
        <v>0</v>
      </c>
      <c r="E197" s="21" t="n">
        <f aca="false">IF(OR($A197="",E$4=""),0,COUNTIFS(Formulas!$A$2:$A$1501,E$4,Formulas!$B$2:$B$1501,$A197))</f>
        <v>0</v>
      </c>
      <c r="F197" s="21" t="n">
        <f aca="false">IF(OR($A197="",F$4=""),0,COUNTIFS(Formulas!$A$2:$A$1501,F$4,Formulas!$B$2:$B$1501,$A197))</f>
        <v>0</v>
      </c>
      <c r="G197" s="21" t="n">
        <f aca="false">IF(OR($A197="",G$4=""),0,COUNTIFS(Formulas!$A$2:$A$1501,G$4,Formulas!$B$2:$B$1501,$A197))</f>
        <v>0</v>
      </c>
      <c r="H197" s="21" t="n">
        <f aca="false">IF(OR($A197="",H$4=""),0,COUNTIFS(Formulas!$A$2:$A$1501,H$4,Formulas!$B$2:$B$1501,$A197))</f>
        <v>0</v>
      </c>
      <c r="I197" s="21" t="n">
        <f aca="false">IF(OR($A197="",I$4=""),0,COUNTIFS(Formulas!$A$2:$A$1501,I$4,Formulas!$B$2:$B$1501,$A197))</f>
        <v>0</v>
      </c>
      <c r="J197" s="21" t="n">
        <f aca="false">IF(OR($A197="",J$4=""),0,COUNTIFS(Formulas!$A$2:$A$1501,J$4,Formulas!$B$2:$B$1501,$A197))</f>
        <v>0</v>
      </c>
      <c r="K197" s="21" t="n">
        <f aca="false">IF(OR($A197="",K$4=""),0,COUNTIFS(Formulas!$A$2:$A$1501,K$4,Formulas!$B$2:$B$1501,$A197))</f>
        <v>0</v>
      </c>
      <c r="L197" s="21" t="n">
        <f aca="false">IF(OR($A197="",L$4=""),0,COUNTIFS(Formulas!$A$2:$A$1501,L$4,Formulas!$B$2:$B$1501,$A197))</f>
        <v>0</v>
      </c>
      <c r="M197" s="21" t="n">
        <f aca="false">IF(OR($A197="",M$4=""),0,COUNTIFS(Formulas!$A$2:$A$1501,M$4,Formulas!$B$2:$B$1501,$A197))</f>
        <v>0</v>
      </c>
      <c r="N197" s="21" t="n">
        <f aca="false">IF(OR($A197="",N$4=""),0,COUNTIFS(Formulas!$A$2:$A$1501,N$4,Formulas!$B$2:$B$1501,$A197))</f>
        <v>0</v>
      </c>
      <c r="O197" s="21" t="n">
        <f aca="false">IF(OR($A197="",O$4=""),0,COUNTIFS(Formulas!$A$2:$A$1501,O$4,Formulas!$B$2:$B$1501,$A197))</f>
        <v>0</v>
      </c>
      <c r="P197" s="21" t="n">
        <f aca="false">IF(OR($A197="",P$4=""),0,COUNTIFS(Formulas!$A$2:$A$1501,P$4,Formulas!$B$2:$B$1501,$A197))</f>
        <v>0</v>
      </c>
      <c r="Q197" s="21" t="n">
        <f aca="false">IF(OR($A197="",Q$4=""),0,COUNTIFS(Formulas!$A$2:$A$1501,Q$4,Formulas!$B$2:$B$1501,$A197))</f>
        <v>0</v>
      </c>
      <c r="R197" s="21" t="n">
        <f aca="false">IF(OR($A197="",R$4=""),0,COUNTIFS(Formulas!$A$2:$A$1501,R$4,Formulas!$B$2:$B$1501,$A197))</f>
        <v>0</v>
      </c>
      <c r="S197" s="21" t="n">
        <f aca="false">IF(OR($A197="",S$4=""),0,COUNTIFS(Formulas!$A$2:$A$1501,S$4,Formulas!$B$2:$B$1501,$A197))</f>
        <v>0</v>
      </c>
      <c r="T197" s="21" t="n">
        <f aca="false">IF(OR($A197="",T$4=""),0,COUNTIFS(Formulas!$A$2:$A$1501,T$4,Formulas!$B$2:$B$1501,$A197))</f>
        <v>0</v>
      </c>
      <c r="U197" s="21" t="n">
        <f aca="false">IF(OR($A197="",U$4=""),0,COUNTIFS(Formulas!$A$2:$A$1501,U$4,Formulas!$B$2:$B$1501,$A197))</f>
        <v>0</v>
      </c>
      <c r="V197" s="21" t="n">
        <f aca="false">IF(OR($A197="",V$4=""),0,COUNTIFS(Formulas!$A$2:$A$1501,V$4,Formulas!$B$2:$B$1501,$A197))</f>
        <v>0</v>
      </c>
      <c r="W197" s="21" t="n">
        <f aca="false">IF(OR($A197="",W$4=""),0,COUNTIFS(Formulas!$A$2:$A$1501,W$4,Formulas!$B$2:$B$1501,$A197))</f>
        <v>0</v>
      </c>
      <c r="X197" s="21" t="n">
        <f aca="false">IF(OR($A197="",X$4=""),0,COUNTIFS(Formulas!$A$2:$A$1501,X$4,Formulas!$B$2:$B$1501,$A197))</f>
        <v>0</v>
      </c>
      <c r="Y197" s="21" t="n">
        <f aca="false">IF(OR($A197="",Y$4=""),0,COUNTIFS(Formulas!$A$2:$A$1501,Y$4,Formulas!$B$2:$B$1501,$A197))</f>
        <v>0</v>
      </c>
      <c r="Z197" s="21" t="n">
        <f aca="false">IF(OR($A197="",Z$4=""),0,COUNTIFS(Formulas!$A$2:$A$1501,Z$4,Formulas!$B$2:$B$1501,$A197))</f>
        <v>0</v>
      </c>
      <c r="AA197" s="21" t="n">
        <f aca="false">IF(OR($A197="",AA$4=""),0,COUNTIFS(Formulas!$A$2:$A$1501,AA$4,Formulas!$B$2:$B$1501,$A197))</f>
        <v>0</v>
      </c>
      <c r="AB197" s="21" t="n">
        <f aca="false">IF(OR($A197="",AB$4=""),0,COUNTIFS(Formulas!$A$2:$A$1501,AB$4,Formulas!$B$2:$B$1501,$A197))</f>
        <v>0</v>
      </c>
      <c r="AC197" s="21" t="n">
        <f aca="false">IF(OR($A197="",AC$4=""),0,COUNTIFS(Formulas!$A$2:$A$1501,AC$4,Formulas!$B$2:$B$1501,$A197))</f>
        <v>0</v>
      </c>
      <c r="AD197" s="21" t="n">
        <f aca="false">IF(OR($A197="",AD$4=""),0,COUNTIFS(Formulas!$A$2:$A$1501,AD$4,Formulas!$B$2:$B$1501,$A197))</f>
        <v>0</v>
      </c>
      <c r="AE197" s="21" t="n">
        <f aca="false">IF(OR($A197="",AE$4=""),0,COUNTIFS(Formulas!$A$2:$A$1501,AE$4,Formulas!$B$2:$B$1501,$A197))</f>
        <v>0</v>
      </c>
      <c r="AF197" s="21" t="n">
        <f aca="false">IF(OR($A197="",AF$4=""),0,COUNTIFS(Formulas!$A$2:$A$1501,AF$4,Formulas!$B$2:$B$1501,$A197))</f>
        <v>0</v>
      </c>
      <c r="AG197" s="21" t="n">
        <f aca="false">IF(OR($A197="",AG$4=""),0,COUNTIFS(Formulas!$A$2:$A$1501,AG$4,Formulas!$B$2:$B$1501,$A197))</f>
        <v>0</v>
      </c>
      <c r="AH197" s="21" t="n">
        <f aca="false">IF(OR($A197="",AH$4=""),0,COUNTIFS(Formulas!$A$2:$A$1501,AH$4,Formulas!$B$2:$B$1501,$A197))</f>
        <v>0</v>
      </c>
      <c r="AI197" s="21" t="n">
        <f aca="false">IF(OR($A197="",AI$4=""),0,COUNTIFS(Formulas!$A$2:$A$1501,AI$4,Formulas!$B$2:$B$1501,$A197))</f>
        <v>0</v>
      </c>
      <c r="AJ197" s="21" t="n">
        <f aca="false">IF(OR($A197="",AJ$4=""),0,COUNTIFS(Formulas!$A$2:$A$1501,AJ$4,Formulas!$B$2:$B$1501,$A197))</f>
        <v>0</v>
      </c>
      <c r="AK197" s="21" t="n">
        <f aca="false">IF(OR($A197="",AK$4=""),0,COUNTIFS(Formulas!$A$2:$A$1501,AK$4,Formulas!$B$2:$B$1501,$A197))</f>
        <v>0</v>
      </c>
      <c r="AL197" s="21" t="n">
        <f aca="false">IF(OR($A197="",AL$4=""),0,COUNTIFS(Formulas!$A$2:$A$1501,AL$4,Formulas!$B$2:$B$1501,$A197))</f>
        <v>0</v>
      </c>
      <c r="AM197" s="21" t="n">
        <f aca="false">IF(OR($A197="",AM$4=""),0,COUNTIFS(Formulas!$A$2:$A$1501,AM$4,Formulas!$B$2:$B$1501,$A197))</f>
        <v>0</v>
      </c>
      <c r="AN197" s="21" t="n">
        <f aca="false">IF(OR($A197="",AN$4=""),0,COUNTIFS(Formulas!$A$2:$A$1501,AN$4,Formulas!$B$2:$B$1501,$A197))</f>
        <v>0</v>
      </c>
      <c r="AO197" s="21" t="n">
        <f aca="false">IF(OR($A197="",AO$4=""),0,COUNTIFS(Formulas!$A$2:$A$1501,AO$4,Formulas!$B$2:$B$1501,$A197))</f>
        <v>0</v>
      </c>
      <c r="AP197" s="21" t="n">
        <f aca="false">IF(OR($A197="",AP$4=""),0,COUNTIFS(Formulas!$A$2:$A$1501,AP$4,Formulas!$B$2:$B$1501,$A197))</f>
        <v>0</v>
      </c>
      <c r="AQ197" s="21" t="n">
        <f aca="false">IF(OR($A197="",AQ$4=""),0,COUNTIFS(Formulas!$A$2:$A$1501,AQ$4,Formulas!$B$2:$B$1501,$A197))</f>
        <v>0</v>
      </c>
      <c r="AR197" s="21" t="n">
        <f aca="false">IF(OR($A197="",AR$4=""),0,COUNTIFS(Formulas!$A$2:$A$1501,AR$4,Formulas!$B$2:$B$1501,$A197))</f>
        <v>0</v>
      </c>
      <c r="AS197" s="21" t="n">
        <f aca="false">IF(OR($A197="",AS$4=""),0,COUNTIFS(Formulas!$A$2:$A$1501,AS$4,Formulas!$B$2:$B$1501,$A197))</f>
        <v>0</v>
      </c>
      <c r="AT197" s="21" t="n">
        <f aca="false">IF(OR($A197="",AT$4=""),0,COUNTIFS(Formulas!$A$2:$A$1501,AT$4,Formulas!$B$2:$B$1501,$A197))</f>
        <v>0</v>
      </c>
      <c r="AU197" s="21" t="n">
        <f aca="false">IF(OR($A197="",AU$4=""),0,COUNTIFS(Formulas!$A$2:$A$1501,AU$4,Formulas!$B$2:$B$1501,$A197))</f>
        <v>0</v>
      </c>
      <c r="AV197" s="21" t="n">
        <f aca="false">IF(OR($A197="",AV$4=""),0,COUNTIFS(Formulas!$A$2:$A$1501,AV$4,Formulas!$B$2:$B$1501,$A197))</f>
        <v>0</v>
      </c>
      <c r="AW197" s="21" t="n">
        <f aca="false">IF(OR($A197="",AW$4=""),0,COUNTIFS(Formulas!$A$2:$A$1501,AW$4,Formulas!$B$2:$B$1501,$A197))</f>
        <v>0</v>
      </c>
      <c r="AX197" s="21" t="n">
        <f aca="false">IF(OR($A197="",AX$4=""),0,COUNTIFS(Formulas!$A$2:$A$1501,AX$4,Formulas!$B$2:$B$1501,$A197))</f>
        <v>0</v>
      </c>
      <c r="AY197" s="21" t="n">
        <f aca="false">IF(OR($A197="",AY$4=""),0,COUNTIFS(Formulas!$A$2:$A$1501,AY$4,Formulas!$B$2:$B$1501,$A197))</f>
        <v>0</v>
      </c>
      <c r="AZ197" s="21" t="n">
        <f aca="false">IF(OR($A197="",AZ$4=""),0,COUNTIFS(Formulas!$A$2:$A$1501,AZ$4,Formulas!$B$2:$B$1501,$A197))</f>
        <v>0</v>
      </c>
      <c r="BA197" s="21" t="n">
        <f aca="false">IF(OR($A197="",BA$4=""),0,COUNTIFS(Formulas!$A$2:$A$1501,BA$4,Formulas!$B$2:$B$1501,$A197))</f>
        <v>0</v>
      </c>
      <c r="BB197" s="21" t="n">
        <f aca="false">IF(OR($A197="",BB$4=""),0,COUNTIFS(Formulas!$A$2:$A$1501,BB$4,Formulas!$B$2:$B$1501,$A197))</f>
        <v>0</v>
      </c>
      <c r="BC197" s="21" t="n">
        <f aca="false">IF(OR($A197="",BC$4=""),0,COUNTIFS(Formulas!$A$2:$A$1501,BC$4,Formulas!$B$2:$B$1501,$A197))</f>
        <v>0</v>
      </c>
      <c r="BD197" s="21" t="n">
        <f aca="false">IF(OR($A197="",BD$4=""),0,COUNTIFS(Formulas!$A$2:$A$1501,BD$4,Formulas!$B$2:$B$1501,$A197))</f>
        <v>0</v>
      </c>
      <c r="BE197" s="21" t="n">
        <f aca="false">IF(OR($A197="",BE$4=""),0,COUNTIFS(Formulas!$A$2:$A$1501,BE$4,Formulas!$B$2:$B$1501,$A197))</f>
        <v>0</v>
      </c>
      <c r="BF197" s="21" t="n">
        <f aca="false">IF(OR($A197="",BF$4=""),0,COUNTIFS(Formulas!$A$2:$A$1501,BF$4,Formulas!$B$2:$B$1501,$A197))</f>
        <v>0</v>
      </c>
      <c r="BG197" s="21" t="n">
        <f aca="false">IF(OR($A197="",BG$4=""),0,COUNTIFS(Formulas!$A$2:$A$1501,BG$4,Formulas!$B$2:$B$1501,$A197))</f>
        <v>0</v>
      </c>
      <c r="BH197" s="21" t="n">
        <f aca="false">IF(OR($A197="",BH$4=""),0,COUNTIFS(Formulas!$A$2:$A$1501,BH$4,Formulas!$B$2:$B$1501,$A197))</f>
        <v>0</v>
      </c>
      <c r="BI197" s="21" t="n">
        <f aca="false">IF(OR($A197="",BI$4=""),0,COUNTIFS(Formulas!$A$2:$A$1501,BI$4,Formulas!$B$2:$B$1501,$A197))</f>
        <v>0</v>
      </c>
      <c r="BJ197" s="21" t="n">
        <f aca="false">IF(OR($A197="",BJ$4=""),0,COUNTIFS(Formulas!$A$2:$A$1501,BJ$4,Formulas!$B$2:$B$1501,$A197))</f>
        <v>0</v>
      </c>
    </row>
    <row r="198" customFormat="false" ht="15" hidden="false" customHeight="false" outlineLevel="0" collapsed="false">
      <c r="A198" s="13" t="str">
        <f aca="false">IF(INDEX(Materials!$A$2:$A$201,194)="","",INDEX(Materials!$A$2:$A$201,194))</f>
        <v/>
      </c>
      <c r="B198" s="19" t="str">
        <f aca="false">IF(A198="","",COUNTIF(C198:BJ198,"&gt;0"))</f>
        <v/>
      </c>
      <c r="C198" s="21" t="n">
        <f aca="false">IF(OR($A198="",C$4=""),0,COUNTIFS(Formulas!$A$2:$A$1501,C$4,Formulas!$B$2:$B$1501,$A198))</f>
        <v>0</v>
      </c>
      <c r="D198" s="21" t="n">
        <f aca="false">IF(OR($A198="",D$4=""),0,COUNTIFS(Formulas!$A$2:$A$1501,D$4,Formulas!$B$2:$B$1501,$A198))</f>
        <v>0</v>
      </c>
      <c r="E198" s="21" t="n">
        <f aca="false">IF(OR($A198="",E$4=""),0,COUNTIFS(Formulas!$A$2:$A$1501,E$4,Formulas!$B$2:$B$1501,$A198))</f>
        <v>0</v>
      </c>
      <c r="F198" s="21" t="n">
        <f aca="false">IF(OR($A198="",F$4=""),0,COUNTIFS(Formulas!$A$2:$A$1501,F$4,Formulas!$B$2:$B$1501,$A198))</f>
        <v>0</v>
      </c>
      <c r="G198" s="21" t="n">
        <f aca="false">IF(OR($A198="",G$4=""),0,COUNTIFS(Formulas!$A$2:$A$1501,G$4,Formulas!$B$2:$B$1501,$A198))</f>
        <v>0</v>
      </c>
      <c r="H198" s="21" t="n">
        <f aca="false">IF(OR($A198="",H$4=""),0,COUNTIFS(Formulas!$A$2:$A$1501,H$4,Formulas!$B$2:$B$1501,$A198))</f>
        <v>0</v>
      </c>
      <c r="I198" s="21" t="n">
        <f aca="false">IF(OR($A198="",I$4=""),0,COUNTIFS(Formulas!$A$2:$A$1501,I$4,Formulas!$B$2:$B$1501,$A198))</f>
        <v>0</v>
      </c>
      <c r="J198" s="21" t="n">
        <f aca="false">IF(OR($A198="",J$4=""),0,COUNTIFS(Formulas!$A$2:$A$1501,J$4,Formulas!$B$2:$B$1501,$A198))</f>
        <v>0</v>
      </c>
      <c r="K198" s="21" t="n">
        <f aca="false">IF(OR($A198="",K$4=""),0,COUNTIFS(Formulas!$A$2:$A$1501,K$4,Formulas!$B$2:$B$1501,$A198))</f>
        <v>0</v>
      </c>
      <c r="L198" s="21" t="n">
        <f aca="false">IF(OR($A198="",L$4=""),0,COUNTIFS(Formulas!$A$2:$A$1501,L$4,Formulas!$B$2:$B$1501,$A198))</f>
        <v>0</v>
      </c>
      <c r="M198" s="21" t="n">
        <f aca="false">IF(OR($A198="",M$4=""),0,COUNTIFS(Formulas!$A$2:$A$1501,M$4,Formulas!$B$2:$B$1501,$A198))</f>
        <v>0</v>
      </c>
      <c r="N198" s="21" t="n">
        <f aca="false">IF(OR($A198="",N$4=""),0,COUNTIFS(Formulas!$A$2:$A$1501,N$4,Formulas!$B$2:$B$1501,$A198))</f>
        <v>0</v>
      </c>
      <c r="O198" s="21" t="n">
        <f aca="false">IF(OR($A198="",O$4=""),0,COUNTIFS(Formulas!$A$2:$A$1501,O$4,Formulas!$B$2:$B$1501,$A198))</f>
        <v>0</v>
      </c>
      <c r="P198" s="21" t="n">
        <f aca="false">IF(OR($A198="",P$4=""),0,COUNTIFS(Formulas!$A$2:$A$1501,P$4,Formulas!$B$2:$B$1501,$A198))</f>
        <v>0</v>
      </c>
      <c r="Q198" s="21" t="n">
        <f aca="false">IF(OR($A198="",Q$4=""),0,COUNTIFS(Formulas!$A$2:$A$1501,Q$4,Formulas!$B$2:$B$1501,$A198))</f>
        <v>0</v>
      </c>
      <c r="R198" s="21" t="n">
        <f aca="false">IF(OR($A198="",R$4=""),0,COUNTIFS(Formulas!$A$2:$A$1501,R$4,Formulas!$B$2:$B$1501,$A198))</f>
        <v>0</v>
      </c>
      <c r="S198" s="21" t="n">
        <f aca="false">IF(OR($A198="",S$4=""),0,COUNTIFS(Formulas!$A$2:$A$1501,S$4,Formulas!$B$2:$B$1501,$A198))</f>
        <v>0</v>
      </c>
      <c r="T198" s="21" t="n">
        <f aca="false">IF(OR($A198="",T$4=""),0,COUNTIFS(Formulas!$A$2:$A$1501,T$4,Formulas!$B$2:$B$1501,$A198))</f>
        <v>0</v>
      </c>
      <c r="U198" s="21" t="n">
        <f aca="false">IF(OR($A198="",U$4=""),0,COUNTIFS(Formulas!$A$2:$A$1501,U$4,Formulas!$B$2:$B$1501,$A198))</f>
        <v>0</v>
      </c>
      <c r="V198" s="21" t="n">
        <f aca="false">IF(OR($A198="",V$4=""),0,COUNTIFS(Formulas!$A$2:$A$1501,V$4,Formulas!$B$2:$B$1501,$A198))</f>
        <v>0</v>
      </c>
      <c r="W198" s="21" t="n">
        <f aca="false">IF(OR($A198="",W$4=""),0,COUNTIFS(Formulas!$A$2:$A$1501,W$4,Formulas!$B$2:$B$1501,$A198))</f>
        <v>0</v>
      </c>
      <c r="X198" s="21" t="n">
        <f aca="false">IF(OR($A198="",X$4=""),0,COUNTIFS(Formulas!$A$2:$A$1501,X$4,Formulas!$B$2:$B$1501,$A198))</f>
        <v>0</v>
      </c>
      <c r="Y198" s="21" t="n">
        <f aca="false">IF(OR($A198="",Y$4=""),0,COUNTIFS(Formulas!$A$2:$A$1501,Y$4,Formulas!$B$2:$B$1501,$A198))</f>
        <v>0</v>
      </c>
      <c r="Z198" s="21" t="n">
        <f aca="false">IF(OR($A198="",Z$4=""),0,COUNTIFS(Formulas!$A$2:$A$1501,Z$4,Formulas!$B$2:$B$1501,$A198))</f>
        <v>0</v>
      </c>
      <c r="AA198" s="21" t="n">
        <f aca="false">IF(OR($A198="",AA$4=""),0,COUNTIFS(Formulas!$A$2:$A$1501,AA$4,Formulas!$B$2:$B$1501,$A198))</f>
        <v>0</v>
      </c>
      <c r="AB198" s="21" t="n">
        <f aca="false">IF(OR($A198="",AB$4=""),0,COUNTIFS(Formulas!$A$2:$A$1501,AB$4,Formulas!$B$2:$B$1501,$A198))</f>
        <v>0</v>
      </c>
      <c r="AC198" s="21" t="n">
        <f aca="false">IF(OR($A198="",AC$4=""),0,COUNTIFS(Formulas!$A$2:$A$1501,AC$4,Formulas!$B$2:$B$1501,$A198))</f>
        <v>0</v>
      </c>
      <c r="AD198" s="21" t="n">
        <f aca="false">IF(OR($A198="",AD$4=""),0,COUNTIFS(Formulas!$A$2:$A$1501,AD$4,Formulas!$B$2:$B$1501,$A198))</f>
        <v>0</v>
      </c>
      <c r="AE198" s="21" t="n">
        <f aca="false">IF(OR($A198="",AE$4=""),0,COUNTIFS(Formulas!$A$2:$A$1501,AE$4,Formulas!$B$2:$B$1501,$A198))</f>
        <v>0</v>
      </c>
      <c r="AF198" s="21" t="n">
        <f aca="false">IF(OR($A198="",AF$4=""),0,COUNTIFS(Formulas!$A$2:$A$1501,AF$4,Formulas!$B$2:$B$1501,$A198))</f>
        <v>0</v>
      </c>
      <c r="AG198" s="21" t="n">
        <f aca="false">IF(OR($A198="",AG$4=""),0,COUNTIFS(Formulas!$A$2:$A$1501,AG$4,Formulas!$B$2:$B$1501,$A198))</f>
        <v>0</v>
      </c>
      <c r="AH198" s="21" t="n">
        <f aca="false">IF(OR($A198="",AH$4=""),0,COUNTIFS(Formulas!$A$2:$A$1501,AH$4,Formulas!$B$2:$B$1501,$A198))</f>
        <v>0</v>
      </c>
      <c r="AI198" s="21" t="n">
        <f aca="false">IF(OR($A198="",AI$4=""),0,COUNTIFS(Formulas!$A$2:$A$1501,AI$4,Formulas!$B$2:$B$1501,$A198))</f>
        <v>0</v>
      </c>
      <c r="AJ198" s="21" t="n">
        <f aca="false">IF(OR($A198="",AJ$4=""),0,COUNTIFS(Formulas!$A$2:$A$1501,AJ$4,Formulas!$B$2:$B$1501,$A198))</f>
        <v>0</v>
      </c>
      <c r="AK198" s="21" t="n">
        <f aca="false">IF(OR($A198="",AK$4=""),0,COUNTIFS(Formulas!$A$2:$A$1501,AK$4,Formulas!$B$2:$B$1501,$A198))</f>
        <v>0</v>
      </c>
      <c r="AL198" s="21" t="n">
        <f aca="false">IF(OR($A198="",AL$4=""),0,COUNTIFS(Formulas!$A$2:$A$1501,AL$4,Formulas!$B$2:$B$1501,$A198))</f>
        <v>0</v>
      </c>
      <c r="AM198" s="21" t="n">
        <f aca="false">IF(OR($A198="",AM$4=""),0,COUNTIFS(Formulas!$A$2:$A$1501,AM$4,Formulas!$B$2:$B$1501,$A198))</f>
        <v>0</v>
      </c>
      <c r="AN198" s="21" t="n">
        <f aca="false">IF(OR($A198="",AN$4=""),0,COUNTIFS(Formulas!$A$2:$A$1501,AN$4,Formulas!$B$2:$B$1501,$A198))</f>
        <v>0</v>
      </c>
      <c r="AO198" s="21" t="n">
        <f aca="false">IF(OR($A198="",AO$4=""),0,COUNTIFS(Formulas!$A$2:$A$1501,AO$4,Formulas!$B$2:$B$1501,$A198))</f>
        <v>0</v>
      </c>
      <c r="AP198" s="21" t="n">
        <f aca="false">IF(OR($A198="",AP$4=""),0,COUNTIFS(Formulas!$A$2:$A$1501,AP$4,Formulas!$B$2:$B$1501,$A198))</f>
        <v>0</v>
      </c>
      <c r="AQ198" s="21" t="n">
        <f aca="false">IF(OR($A198="",AQ$4=""),0,COUNTIFS(Formulas!$A$2:$A$1501,AQ$4,Formulas!$B$2:$B$1501,$A198))</f>
        <v>0</v>
      </c>
      <c r="AR198" s="21" t="n">
        <f aca="false">IF(OR($A198="",AR$4=""),0,COUNTIFS(Formulas!$A$2:$A$1501,AR$4,Formulas!$B$2:$B$1501,$A198))</f>
        <v>0</v>
      </c>
      <c r="AS198" s="21" t="n">
        <f aca="false">IF(OR($A198="",AS$4=""),0,COUNTIFS(Formulas!$A$2:$A$1501,AS$4,Formulas!$B$2:$B$1501,$A198))</f>
        <v>0</v>
      </c>
      <c r="AT198" s="21" t="n">
        <f aca="false">IF(OR($A198="",AT$4=""),0,COUNTIFS(Formulas!$A$2:$A$1501,AT$4,Formulas!$B$2:$B$1501,$A198))</f>
        <v>0</v>
      </c>
      <c r="AU198" s="21" t="n">
        <f aca="false">IF(OR($A198="",AU$4=""),0,COUNTIFS(Formulas!$A$2:$A$1501,AU$4,Formulas!$B$2:$B$1501,$A198))</f>
        <v>0</v>
      </c>
      <c r="AV198" s="21" t="n">
        <f aca="false">IF(OR($A198="",AV$4=""),0,COUNTIFS(Formulas!$A$2:$A$1501,AV$4,Formulas!$B$2:$B$1501,$A198))</f>
        <v>0</v>
      </c>
      <c r="AW198" s="21" t="n">
        <f aca="false">IF(OR($A198="",AW$4=""),0,COUNTIFS(Formulas!$A$2:$A$1501,AW$4,Formulas!$B$2:$B$1501,$A198))</f>
        <v>0</v>
      </c>
      <c r="AX198" s="21" t="n">
        <f aca="false">IF(OR($A198="",AX$4=""),0,COUNTIFS(Formulas!$A$2:$A$1501,AX$4,Formulas!$B$2:$B$1501,$A198))</f>
        <v>0</v>
      </c>
      <c r="AY198" s="21" t="n">
        <f aca="false">IF(OR($A198="",AY$4=""),0,COUNTIFS(Formulas!$A$2:$A$1501,AY$4,Formulas!$B$2:$B$1501,$A198))</f>
        <v>0</v>
      </c>
      <c r="AZ198" s="21" t="n">
        <f aca="false">IF(OR($A198="",AZ$4=""),0,COUNTIFS(Formulas!$A$2:$A$1501,AZ$4,Formulas!$B$2:$B$1501,$A198))</f>
        <v>0</v>
      </c>
      <c r="BA198" s="21" t="n">
        <f aca="false">IF(OR($A198="",BA$4=""),0,COUNTIFS(Formulas!$A$2:$A$1501,BA$4,Formulas!$B$2:$B$1501,$A198))</f>
        <v>0</v>
      </c>
      <c r="BB198" s="21" t="n">
        <f aca="false">IF(OR($A198="",BB$4=""),0,COUNTIFS(Formulas!$A$2:$A$1501,BB$4,Formulas!$B$2:$B$1501,$A198))</f>
        <v>0</v>
      </c>
      <c r="BC198" s="21" t="n">
        <f aca="false">IF(OR($A198="",BC$4=""),0,COUNTIFS(Formulas!$A$2:$A$1501,BC$4,Formulas!$B$2:$B$1501,$A198))</f>
        <v>0</v>
      </c>
      <c r="BD198" s="21" t="n">
        <f aca="false">IF(OR($A198="",BD$4=""),0,COUNTIFS(Formulas!$A$2:$A$1501,BD$4,Formulas!$B$2:$B$1501,$A198))</f>
        <v>0</v>
      </c>
      <c r="BE198" s="21" t="n">
        <f aca="false">IF(OR($A198="",BE$4=""),0,COUNTIFS(Formulas!$A$2:$A$1501,BE$4,Formulas!$B$2:$B$1501,$A198))</f>
        <v>0</v>
      </c>
      <c r="BF198" s="21" t="n">
        <f aca="false">IF(OR($A198="",BF$4=""),0,COUNTIFS(Formulas!$A$2:$A$1501,BF$4,Formulas!$B$2:$B$1501,$A198))</f>
        <v>0</v>
      </c>
      <c r="BG198" s="21" t="n">
        <f aca="false">IF(OR($A198="",BG$4=""),0,COUNTIFS(Formulas!$A$2:$A$1501,BG$4,Formulas!$B$2:$B$1501,$A198))</f>
        <v>0</v>
      </c>
      <c r="BH198" s="21" t="n">
        <f aca="false">IF(OR($A198="",BH$4=""),0,COUNTIFS(Formulas!$A$2:$A$1501,BH$4,Formulas!$B$2:$B$1501,$A198))</f>
        <v>0</v>
      </c>
      <c r="BI198" s="21" t="n">
        <f aca="false">IF(OR($A198="",BI$4=""),0,COUNTIFS(Formulas!$A$2:$A$1501,BI$4,Formulas!$B$2:$B$1501,$A198))</f>
        <v>0</v>
      </c>
      <c r="BJ198" s="21" t="n">
        <f aca="false">IF(OR($A198="",BJ$4=""),0,COUNTIFS(Formulas!$A$2:$A$1501,BJ$4,Formulas!$B$2:$B$1501,$A198))</f>
        <v>0</v>
      </c>
    </row>
    <row r="199" customFormat="false" ht="15" hidden="false" customHeight="false" outlineLevel="0" collapsed="false">
      <c r="A199" s="13" t="str">
        <f aca="false">IF(INDEX(Materials!$A$2:$A$201,195)="","",INDEX(Materials!$A$2:$A$201,195))</f>
        <v/>
      </c>
      <c r="B199" s="19" t="str">
        <f aca="false">IF(A199="","",COUNTIF(C199:BJ199,"&gt;0"))</f>
        <v/>
      </c>
      <c r="C199" s="21" t="n">
        <f aca="false">IF(OR($A199="",C$4=""),0,COUNTIFS(Formulas!$A$2:$A$1501,C$4,Formulas!$B$2:$B$1501,$A199))</f>
        <v>0</v>
      </c>
      <c r="D199" s="21" t="n">
        <f aca="false">IF(OR($A199="",D$4=""),0,COUNTIFS(Formulas!$A$2:$A$1501,D$4,Formulas!$B$2:$B$1501,$A199))</f>
        <v>0</v>
      </c>
      <c r="E199" s="21" t="n">
        <f aca="false">IF(OR($A199="",E$4=""),0,COUNTIFS(Formulas!$A$2:$A$1501,E$4,Formulas!$B$2:$B$1501,$A199))</f>
        <v>0</v>
      </c>
      <c r="F199" s="21" t="n">
        <f aca="false">IF(OR($A199="",F$4=""),0,COUNTIFS(Formulas!$A$2:$A$1501,F$4,Formulas!$B$2:$B$1501,$A199))</f>
        <v>0</v>
      </c>
      <c r="G199" s="21" t="n">
        <f aca="false">IF(OR($A199="",G$4=""),0,COUNTIFS(Formulas!$A$2:$A$1501,G$4,Formulas!$B$2:$B$1501,$A199))</f>
        <v>0</v>
      </c>
      <c r="H199" s="21" t="n">
        <f aca="false">IF(OR($A199="",H$4=""),0,COUNTIFS(Formulas!$A$2:$A$1501,H$4,Formulas!$B$2:$B$1501,$A199))</f>
        <v>0</v>
      </c>
      <c r="I199" s="21" t="n">
        <f aca="false">IF(OR($A199="",I$4=""),0,COUNTIFS(Formulas!$A$2:$A$1501,I$4,Formulas!$B$2:$B$1501,$A199))</f>
        <v>0</v>
      </c>
      <c r="J199" s="21" t="n">
        <f aca="false">IF(OR($A199="",J$4=""),0,COUNTIFS(Formulas!$A$2:$A$1501,J$4,Formulas!$B$2:$B$1501,$A199))</f>
        <v>0</v>
      </c>
      <c r="K199" s="21" t="n">
        <f aca="false">IF(OR($A199="",K$4=""),0,COUNTIFS(Formulas!$A$2:$A$1501,K$4,Formulas!$B$2:$B$1501,$A199))</f>
        <v>0</v>
      </c>
      <c r="L199" s="21" t="n">
        <f aca="false">IF(OR($A199="",L$4=""),0,COUNTIFS(Formulas!$A$2:$A$1501,L$4,Formulas!$B$2:$B$1501,$A199))</f>
        <v>0</v>
      </c>
      <c r="M199" s="21" t="n">
        <f aca="false">IF(OR($A199="",M$4=""),0,COUNTIFS(Formulas!$A$2:$A$1501,M$4,Formulas!$B$2:$B$1501,$A199))</f>
        <v>0</v>
      </c>
      <c r="N199" s="21" t="n">
        <f aca="false">IF(OR($A199="",N$4=""),0,COUNTIFS(Formulas!$A$2:$A$1501,N$4,Formulas!$B$2:$B$1501,$A199))</f>
        <v>0</v>
      </c>
      <c r="O199" s="21" t="n">
        <f aca="false">IF(OR($A199="",O$4=""),0,COUNTIFS(Formulas!$A$2:$A$1501,O$4,Formulas!$B$2:$B$1501,$A199))</f>
        <v>0</v>
      </c>
      <c r="P199" s="21" t="n">
        <f aca="false">IF(OR($A199="",P$4=""),0,COUNTIFS(Formulas!$A$2:$A$1501,P$4,Formulas!$B$2:$B$1501,$A199))</f>
        <v>0</v>
      </c>
      <c r="Q199" s="21" t="n">
        <f aca="false">IF(OR($A199="",Q$4=""),0,COUNTIFS(Formulas!$A$2:$A$1501,Q$4,Formulas!$B$2:$B$1501,$A199))</f>
        <v>0</v>
      </c>
      <c r="R199" s="21" t="n">
        <f aca="false">IF(OR($A199="",R$4=""),0,COUNTIFS(Formulas!$A$2:$A$1501,R$4,Formulas!$B$2:$B$1501,$A199))</f>
        <v>0</v>
      </c>
      <c r="S199" s="21" t="n">
        <f aca="false">IF(OR($A199="",S$4=""),0,COUNTIFS(Formulas!$A$2:$A$1501,S$4,Formulas!$B$2:$B$1501,$A199))</f>
        <v>0</v>
      </c>
      <c r="T199" s="21" t="n">
        <f aca="false">IF(OR($A199="",T$4=""),0,COUNTIFS(Formulas!$A$2:$A$1501,T$4,Formulas!$B$2:$B$1501,$A199))</f>
        <v>0</v>
      </c>
      <c r="U199" s="21" t="n">
        <f aca="false">IF(OR($A199="",U$4=""),0,COUNTIFS(Formulas!$A$2:$A$1501,U$4,Formulas!$B$2:$B$1501,$A199))</f>
        <v>0</v>
      </c>
      <c r="V199" s="21" t="n">
        <f aca="false">IF(OR($A199="",V$4=""),0,COUNTIFS(Formulas!$A$2:$A$1501,V$4,Formulas!$B$2:$B$1501,$A199))</f>
        <v>0</v>
      </c>
      <c r="W199" s="21" t="n">
        <f aca="false">IF(OR($A199="",W$4=""),0,COUNTIFS(Formulas!$A$2:$A$1501,W$4,Formulas!$B$2:$B$1501,$A199))</f>
        <v>0</v>
      </c>
      <c r="X199" s="21" t="n">
        <f aca="false">IF(OR($A199="",X$4=""),0,COUNTIFS(Formulas!$A$2:$A$1501,X$4,Formulas!$B$2:$B$1501,$A199))</f>
        <v>0</v>
      </c>
      <c r="Y199" s="21" t="n">
        <f aca="false">IF(OR($A199="",Y$4=""),0,COUNTIFS(Formulas!$A$2:$A$1501,Y$4,Formulas!$B$2:$B$1501,$A199))</f>
        <v>0</v>
      </c>
      <c r="Z199" s="21" t="n">
        <f aca="false">IF(OR($A199="",Z$4=""),0,COUNTIFS(Formulas!$A$2:$A$1501,Z$4,Formulas!$B$2:$B$1501,$A199))</f>
        <v>0</v>
      </c>
      <c r="AA199" s="21" t="n">
        <f aca="false">IF(OR($A199="",AA$4=""),0,COUNTIFS(Formulas!$A$2:$A$1501,AA$4,Formulas!$B$2:$B$1501,$A199))</f>
        <v>0</v>
      </c>
      <c r="AB199" s="21" t="n">
        <f aca="false">IF(OR($A199="",AB$4=""),0,COUNTIFS(Formulas!$A$2:$A$1501,AB$4,Formulas!$B$2:$B$1501,$A199))</f>
        <v>0</v>
      </c>
      <c r="AC199" s="21" t="n">
        <f aca="false">IF(OR($A199="",AC$4=""),0,COUNTIFS(Formulas!$A$2:$A$1501,AC$4,Formulas!$B$2:$B$1501,$A199))</f>
        <v>0</v>
      </c>
      <c r="AD199" s="21" t="n">
        <f aca="false">IF(OR($A199="",AD$4=""),0,COUNTIFS(Formulas!$A$2:$A$1501,AD$4,Formulas!$B$2:$B$1501,$A199))</f>
        <v>0</v>
      </c>
      <c r="AE199" s="21" t="n">
        <f aca="false">IF(OR($A199="",AE$4=""),0,COUNTIFS(Formulas!$A$2:$A$1501,AE$4,Formulas!$B$2:$B$1501,$A199))</f>
        <v>0</v>
      </c>
      <c r="AF199" s="21" t="n">
        <f aca="false">IF(OR($A199="",AF$4=""),0,COUNTIFS(Formulas!$A$2:$A$1501,AF$4,Formulas!$B$2:$B$1501,$A199))</f>
        <v>0</v>
      </c>
      <c r="AG199" s="21" t="n">
        <f aca="false">IF(OR($A199="",AG$4=""),0,COUNTIFS(Formulas!$A$2:$A$1501,AG$4,Formulas!$B$2:$B$1501,$A199))</f>
        <v>0</v>
      </c>
      <c r="AH199" s="21" t="n">
        <f aca="false">IF(OR($A199="",AH$4=""),0,COUNTIFS(Formulas!$A$2:$A$1501,AH$4,Formulas!$B$2:$B$1501,$A199))</f>
        <v>0</v>
      </c>
      <c r="AI199" s="21" t="n">
        <f aca="false">IF(OR($A199="",AI$4=""),0,COUNTIFS(Formulas!$A$2:$A$1501,AI$4,Formulas!$B$2:$B$1501,$A199))</f>
        <v>0</v>
      </c>
      <c r="AJ199" s="21" t="n">
        <f aca="false">IF(OR($A199="",AJ$4=""),0,COUNTIFS(Formulas!$A$2:$A$1501,AJ$4,Formulas!$B$2:$B$1501,$A199))</f>
        <v>0</v>
      </c>
      <c r="AK199" s="21" t="n">
        <f aca="false">IF(OR($A199="",AK$4=""),0,COUNTIFS(Formulas!$A$2:$A$1501,AK$4,Formulas!$B$2:$B$1501,$A199))</f>
        <v>0</v>
      </c>
      <c r="AL199" s="21" t="n">
        <f aca="false">IF(OR($A199="",AL$4=""),0,COUNTIFS(Formulas!$A$2:$A$1501,AL$4,Formulas!$B$2:$B$1501,$A199))</f>
        <v>0</v>
      </c>
      <c r="AM199" s="21" t="n">
        <f aca="false">IF(OR($A199="",AM$4=""),0,COUNTIFS(Formulas!$A$2:$A$1501,AM$4,Formulas!$B$2:$B$1501,$A199))</f>
        <v>0</v>
      </c>
      <c r="AN199" s="21" t="n">
        <f aca="false">IF(OR($A199="",AN$4=""),0,COUNTIFS(Formulas!$A$2:$A$1501,AN$4,Formulas!$B$2:$B$1501,$A199))</f>
        <v>0</v>
      </c>
      <c r="AO199" s="21" t="n">
        <f aca="false">IF(OR($A199="",AO$4=""),0,COUNTIFS(Formulas!$A$2:$A$1501,AO$4,Formulas!$B$2:$B$1501,$A199))</f>
        <v>0</v>
      </c>
      <c r="AP199" s="21" t="n">
        <f aca="false">IF(OR($A199="",AP$4=""),0,COUNTIFS(Formulas!$A$2:$A$1501,AP$4,Formulas!$B$2:$B$1501,$A199))</f>
        <v>0</v>
      </c>
      <c r="AQ199" s="21" t="n">
        <f aca="false">IF(OR($A199="",AQ$4=""),0,COUNTIFS(Formulas!$A$2:$A$1501,AQ$4,Formulas!$B$2:$B$1501,$A199))</f>
        <v>0</v>
      </c>
      <c r="AR199" s="21" t="n">
        <f aca="false">IF(OR($A199="",AR$4=""),0,COUNTIFS(Formulas!$A$2:$A$1501,AR$4,Formulas!$B$2:$B$1501,$A199))</f>
        <v>0</v>
      </c>
      <c r="AS199" s="21" t="n">
        <f aca="false">IF(OR($A199="",AS$4=""),0,COUNTIFS(Formulas!$A$2:$A$1501,AS$4,Formulas!$B$2:$B$1501,$A199))</f>
        <v>0</v>
      </c>
      <c r="AT199" s="21" t="n">
        <f aca="false">IF(OR($A199="",AT$4=""),0,COUNTIFS(Formulas!$A$2:$A$1501,AT$4,Formulas!$B$2:$B$1501,$A199))</f>
        <v>0</v>
      </c>
      <c r="AU199" s="21" t="n">
        <f aca="false">IF(OR($A199="",AU$4=""),0,COUNTIFS(Formulas!$A$2:$A$1501,AU$4,Formulas!$B$2:$B$1501,$A199))</f>
        <v>0</v>
      </c>
      <c r="AV199" s="21" t="n">
        <f aca="false">IF(OR($A199="",AV$4=""),0,COUNTIFS(Formulas!$A$2:$A$1501,AV$4,Formulas!$B$2:$B$1501,$A199))</f>
        <v>0</v>
      </c>
      <c r="AW199" s="21" t="n">
        <f aca="false">IF(OR($A199="",AW$4=""),0,COUNTIFS(Formulas!$A$2:$A$1501,AW$4,Formulas!$B$2:$B$1501,$A199))</f>
        <v>0</v>
      </c>
      <c r="AX199" s="21" t="n">
        <f aca="false">IF(OR($A199="",AX$4=""),0,COUNTIFS(Formulas!$A$2:$A$1501,AX$4,Formulas!$B$2:$B$1501,$A199))</f>
        <v>0</v>
      </c>
      <c r="AY199" s="21" t="n">
        <f aca="false">IF(OR($A199="",AY$4=""),0,COUNTIFS(Formulas!$A$2:$A$1501,AY$4,Formulas!$B$2:$B$1501,$A199))</f>
        <v>0</v>
      </c>
      <c r="AZ199" s="21" t="n">
        <f aca="false">IF(OR($A199="",AZ$4=""),0,COUNTIFS(Formulas!$A$2:$A$1501,AZ$4,Formulas!$B$2:$B$1501,$A199))</f>
        <v>0</v>
      </c>
      <c r="BA199" s="21" t="n">
        <f aca="false">IF(OR($A199="",BA$4=""),0,COUNTIFS(Formulas!$A$2:$A$1501,BA$4,Formulas!$B$2:$B$1501,$A199))</f>
        <v>0</v>
      </c>
      <c r="BB199" s="21" t="n">
        <f aca="false">IF(OR($A199="",BB$4=""),0,COUNTIFS(Formulas!$A$2:$A$1501,BB$4,Formulas!$B$2:$B$1501,$A199))</f>
        <v>0</v>
      </c>
      <c r="BC199" s="21" t="n">
        <f aca="false">IF(OR($A199="",BC$4=""),0,COUNTIFS(Formulas!$A$2:$A$1501,BC$4,Formulas!$B$2:$B$1501,$A199))</f>
        <v>0</v>
      </c>
      <c r="BD199" s="21" t="n">
        <f aca="false">IF(OR($A199="",BD$4=""),0,COUNTIFS(Formulas!$A$2:$A$1501,BD$4,Formulas!$B$2:$B$1501,$A199))</f>
        <v>0</v>
      </c>
      <c r="BE199" s="21" t="n">
        <f aca="false">IF(OR($A199="",BE$4=""),0,COUNTIFS(Formulas!$A$2:$A$1501,BE$4,Formulas!$B$2:$B$1501,$A199))</f>
        <v>0</v>
      </c>
      <c r="BF199" s="21" t="n">
        <f aca="false">IF(OR($A199="",BF$4=""),0,COUNTIFS(Formulas!$A$2:$A$1501,BF$4,Formulas!$B$2:$B$1501,$A199))</f>
        <v>0</v>
      </c>
      <c r="BG199" s="21" t="n">
        <f aca="false">IF(OR($A199="",BG$4=""),0,COUNTIFS(Formulas!$A$2:$A$1501,BG$4,Formulas!$B$2:$B$1501,$A199))</f>
        <v>0</v>
      </c>
      <c r="BH199" s="21" t="n">
        <f aca="false">IF(OR($A199="",BH$4=""),0,COUNTIFS(Formulas!$A$2:$A$1501,BH$4,Formulas!$B$2:$B$1501,$A199))</f>
        <v>0</v>
      </c>
      <c r="BI199" s="21" t="n">
        <f aca="false">IF(OR($A199="",BI$4=""),0,COUNTIFS(Formulas!$A$2:$A$1501,BI$4,Formulas!$B$2:$B$1501,$A199))</f>
        <v>0</v>
      </c>
      <c r="BJ199" s="21" t="n">
        <f aca="false">IF(OR($A199="",BJ$4=""),0,COUNTIFS(Formulas!$A$2:$A$1501,BJ$4,Formulas!$B$2:$B$1501,$A199))</f>
        <v>0</v>
      </c>
    </row>
    <row r="200" customFormat="false" ht="15" hidden="false" customHeight="false" outlineLevel="0" collapsed="false">
      <c r="A200" s="13" t="str">
        <f aca="false">IF(INDEX(Materials!$A$2:$A$201,196)="","",INDEX(Materials!$A$2:$A$201,196))</f>
        <v/>
      </c>
      <c r="B200" s="19" t="str">
        <f aca="false">IF(A200="","",COUNTIF(C200:BJ200,"&gt;0"))</f>
        <v/>
      </c>
      <c r="C200" s="21" t="n">
        <f aca="false">IF(OR($A200="",C$4=""),0,COUNTIFS(Formulas!$A$2:$A$1501,C$4,Formulas!$B$2:$B$1501,$A200))</f>
        <v>0</v>
      </c>
      <c r="D200" s="21" t="n">
        <f aca="false">IF(OR($A200="",D$4=""),0,COUNTIFS(Formulas!$A$2:$A$1501,D$4,Formulas!$B$2:$B$1501,$A200))</f>
        <v>0</v>
      </c>
      <c r="E200" s="21" t="n">
        <f aca="false">IF(OR($A200="",E$4=""),0,COUNTIFS(Formulas!$A$2:$A$1501,E$4,Formulas!$B$2:$B$1501,$A200))</f>
        <v>0</v>
      </c>
      <c r="F200" s="21" t="n">
        <f aca="false">IF(OR($A200="",F$4=""),0,COUNTIFS(Formulas!$A$2:$A$1501,F$4,Formulas!$B$2:$B$1501,$A200))</f>
        <v>0</v>
      </c>
      <c r="G200" s="21" t="n">
        <f aca="false">IF(OR($A200="",G$4=""),0,COUNTIFS(Formulas!$A$2:$A$1501,G$4,Formulas!$B$2:$B$1501,$A200))</f>
        <v>0</v>
      </c>
      <c r="H200" s="21" t="n">
        <f aca="false">IF(OR($A200="",H$4=""),0,COUNTIFS(Formulas!$A$2:$A$1501,H$4,Formulas!$B$2:$B$1501,$A200))</f>
        <v>0</v>
      </c>
      <c r="I200" s="21" t="n">
        <f aca="false">IF(OR($A200="",I$4=""),0,COUNTIFS(Formulas!$A$2:$A$1501,I$4,Formulas!$B$2:$B$1501,$A200))</f>
        <v>0</v>
      </c>
      <c r="J200" s="21" t="n">
        <f aca="false">IF(OR($A200="",J$4=""),0,COUNTIFS(Formulas!$A$2:$A$1501,J$4,Formulas!$B$2:$B$1501,$A200))</f>
        <v>0</v>
      </c>
      <c r="K200" s="21" t="n">
        <f aca="false">IF(OR($A200="",K$4=""),0,COUNTIFS(Formulas!$A$2:$A$1501,K$4,Formulas!$B$2:$B$1501,$A200))</f>
        <v>0</v>
      </c>
      <c r="L200" s="21" t="n">
        <f aca="false">IF(OR($A200="",L$4=""),0,COUNTIFS(Formulas!$A$2:$A$1501,L$4,Formulas!$B$2:$B$1501,$A200))</f>
        <v>0</v>
      </c>
      <c r="M200" s="21" t="n">
        <f aca="false">IF(OR($A200="",M$4=""),0,COUNTIFS(Formulas!$A$2:$A$1501,M$4,Formulas!$B$2:$B$1501,$A200))</f>
        <v>0</v>
      </c>
      <c r="N200" s="21" t="n">
        <f aca="false">IF(OR($A200="",N$4=""),0,COUNTIFS(Formulas!$A$2:$A$1501,N$4,Formulas!$B$2:$B$1501,$A200))</f>
        <v>0</v>
      </c>
      <c r="O200" s="21" t="n">
        <f aca="false">IF(OR($A200="",O$4=""),0,COUNTIFS(Formulas!$A$2:$A$1501,O$4,Formulas!$B$2:$B$1501,$A200))</f>
        <v>0</v>
      </c>
      <c r="P200" s="21" t="n">
        <f aca="false">IF(OR($A200="",P$4=""),0,COUNTIFS(Formulas!$A$2:$A$1501,P$4,Formulas!$B$2:$B$1501,$A200))</f>
        <v>0</v>
      </c>
      <c r="Q200" s="21" t="n">
        <f aca="false">IF(OR($A200="",Q$4=""),0,COUNTIFS(Formulas!$A$2:$A$1501,Q$4,Formulas!$B$2:$B$1501,$A200))</f>
        <v>0</v>
      </c>
      <c r="R200" s="21" t="n">
        <f aca="false">IF(OR($A200="",R$4=""),0,COUNTIFS(Formulas!$A$2:$A$1501,R$4,Formulas!$B$2:$B$1501,$A200))</f>
        <v>0</v>
      </c>
      <c r="S200" s="21" t="n">
        <f aca="false">IF(OR($A200="",S$4=""),0,COUNTIFS(Formulas!$A$2:$A$1501,S$4,Formulas!$B$2:$B$1501,$A200))</f>
        <v>0</v>
      </c>
      <c r="T200" s="21" t="n">
        <f aca="false">IF(OR($A200="",T$4=""),0,COUNTIFS(Formulas!$A$2:$A$1501,T$4,Formulas!$B$2:$B$1501,$A200))</f>
        <v>0</v>
      </c>
      <c r="U200" s="21" t="n">
        <f aca="false">IF(OR($A200="",U$4=""),0,COUNTIFS(Formulas!$A$2:$A$1501,U$4,Formulas!$B$2:$B$1501,$A200))</f>
        <v>0</v>
      </c>
      <c r="V200" s="21" t="n">
        <f aca="false">IF(OR($A200="",V$4=""),0,COUNTIFS(Formulas!$A$2:$A$1501,V$4,Formulas!$B$2:$B$1501,$A200))</f>
        <v>0</v>
      </c>
      <c r="W200" s="21" t="n">
        <f aca="false">IF(OR($A200="",W$4=""),0,COUNTIFS(Formulas!$A$2:$A$1501,W$4,Formulas!$B$2:$B$1501,$A200))</f>
        <v>0</v>
      </c>
      <c r="X200" s="21" t="n">
        <f aca="false">IF(OR($A200="",X$4=""),0,COUNTIFS(Formulas!$A$2:$A$1501,X$4,Formulas!$B$2:$B$1501,$A200))</f>
        <v>0</v>
      </c>
      <c r="Y200" s="21" t="n">
        <f aca="false">IF(OR($A200="",Y$4=""),0,COUNTIFS(Formulas!$A$2:$A$1501,Y$4,Formulas!$B$2:$B$1501,$A200))</f>
        <v>0</v>
      </c>
      <c r="Z200" s="21" t="n">
        <f aca="false">IF(OR($A200="",Z$4=""),0,COUNTIFS(Formulas!$A$2:$A$1501,Z$4,Formulas!$B$2:$B$1501,$A200))</f>
        <v>0</v>
      </c>
      <c r="AA200" s="21" t="n">
        <f aca="false">IF(OR($A200="",AA$4=""),0,COUNTIFS(Formulas!$A$2:$A$1501,AA$4,Formulas!$B$2:$B$1501,$A200))</f>
        <v>0</v>
      </c>
      <c r="AB200" s="21" t="n">
        <f aca="false">IF(OR($A200="",AB$4=""),0,COUNTIFS(Formulas!$A$2:$A$1501,AB$4,Formulas!$B$2:$B$1501,$A200))</f>
        <v>0</v>
      </c>
      <c r="AC200" s="21" t="n">
        <f aca="false">IF(OR($A200="",AC$4=""),0,COUNTIFS(Formulas!$A$2:$A$1501,AC$4,Formulas!$B$2:$B$1501,$A200))</f>
        <v>0</v>
      </c>
      <c r="AD200" s="21" t="n">
        <f aca="false">IF(OR($A200="",AD$4=""),0,COUNTIFS(Formulas!$A$2:$A$1501,AD$4,Formulas!$B$2:$B$1501,$A200))</f>
        <v>0</v>
      </c>
      <c r="AE200" s="21" t="n">
        <f aca="false">IF(OR($A200="",AE$4=""),0,COUNTIFS(Formulas!$A$2:$A$1501,AE$4,Formulas!$B$2:$B$1501,$A200))</f>
        <v>0</v>
      </c>
      <c r="AF200" s="21" t="n">
        <f aca="false">IF(OR($A200="",AF$4=""),0,COUNTIFS(Formulas!$A$2:$A$1501,AF$4,Formulas!$B$2:$B$1501,$A200))</f>
        <v>0</v>
      </c>
      <c r="AG200" s="21" t="n">
        <f aca="false">IF(OR($A200="",AG$4=""),0,COUNTIFS(Formulas!$A$2:$A$1501,AG$4,Formulas!$B$2:$B$1501,$A200))</f>
        <v>0</v>
      </c>
      <c r="AH200" s="21" t="n">
        <f aca="false">IF(OR($A200="",AH$4=""),0,COUNTIFS(Formulas!$A$2:$A$1501,AH$4,Formulas!$B$2:$B$1501,$A200))</f>
        <v>0</v>
      </c>
      <c r="AI200" s="21" t="n">
        <f aca="false">IF(OR($A200="",AI$4=""),0,COUNTIFS(Formulas!$A$2:$A$1501,AI$4,Formulas!$B$2:$B$1501,$A200))</f>
        <v>0</v>
      </c>
      <c r="AJ200" s="21" t="n">
        <f aca="false">IF(OR($A200="",AJ$4=""),0,COUNTIFS(Formulas!$A$2:$A$1501,AJ$4,Formulas!$B$2:$B$1501,$A200))</f>
        <v>0</v>
      </c>
      <c r="AK200" s="21" t="n">
        <f aca="false">IF(OR($A200="",AK$4=""),0,COUNTIFS(Formulas!$A$2:$A$1501,AK$4,Formulas!$B$2:$B$1501,$A200))</f>
        <v>0</v>
      </c>
      <c r="AL200" s="21" t="n">
        <f aca="false">IF(OR($A200="",AL$4=""),0,COUNTIFS(Formulas!$A$2:$A$1501,AL$4,Formulas!$B$2:$B$1501,$A200))</f>
        <v>0</v>
      </c>
      <c r="AM200" s="21" t="n">
        <f aca="false">IF(OR($A200="",AM$4=""),0,COUNTIFS(Formulas!$A$2:$A$1501,AM$4,Formulas!$B$2:$B$1501,$A200))</f>
        <v>0</v>
      </c>
      <c r="AN200" s="21" t="n">
        <f aca="false">IF(OR($A200="",AN$4=""),0,COUNTIFS(Formulas!$A$2:$A$1501,AN$4,Formulas!$B$2:$B$1501,$A200))</f>
        <v>0</v>
      </c>
      <c r="AO200" s="21" t="n">
        <f aca="false">IF(OR($A200="",AO$4=""),0,COUNTIFS(Formulas!$A$2:$A$1501,AO$4,Formulas!$B$2:$B$1501,$A200))</f>
        <v>0</v>
      </c>
      <c r="AP200" s="21" t="n">
        <f aca="false">IF(OR($A200="",AP$4=""),0,COUNTIFS(Formulas!$A$2:$A$1501,AP$4,Formulas!$B$2:$B$1501,$A200))</f>
        <v>0</v>
      </c>
      <c r="AQ200" s="21" t="n">
        <f aca="false">IF(OR($A200="",AQ$4=""),0,COUNTIFS(Formulas!$A$2:$A$1501,AQ$4,Formulas!$B$2:$B$1501,$A200))</f>
        <v>0</v>
      </c>
      <c r="AR200" s="21" t="n">
        <f aca="false">IF(OR($A200="",AR$4=""),0,COUNTIFS(Formulas!$A$2:$A$1501,AR$4,Formulas!$B$2:$B$1501,$A200))</f>
        <v>0</v>
      </c>
      <c r="AS200" s="21" t="n">
        <f aca="false">IF(OR($A200="",AS$4=""),0,COUNTIFS(Formulas!$A$2:$A$1501,AS$4,Formulas!$B$2:$B$1501,$A200))</f>
        <v>0</v>
      </c>
      <c r="AT200" s="21" t="n">
        <f aca="false">IF(OR($A200="",AT$4=""),0,COUNTIFS(Formulas!$A$2:$A$1501,AT$4,Formulas!$B$2:$B$1501,$A200))</f>
        <v>0</v>
      </c>
      <c r="AU200" s="21" t="n">
        <f aca="false">IF(OR($A200="",AU$4=""),0,COUNTIFS(Formulas!$A$2:$A$1501,AU$4,Formulas!$B$2:$B$1501,$A200))</f>
        <v>0</v>
      </c>
      <c r="AV200" s="21" t="n">
        <f aca="false">IF(OR($A200="",AV$4=""),0,COUNTIFS(Formulas!$A$2:$A$1501,AV$4,Formulas!$B$2:$B$1501,$A200))</f>
        <v>0</v>
      </c>
      <c r="AW200" s="21" t="n">
        <f aca="false">IF(OR($A200="",AW$4=""),0,COUNTIFS(Formulas!$A$2:$A$1501,AW$4,Formulas!$B$2:$B$1501,$A200))</f>
        <v>0</v>
      </c>
      <c r="AX200" s="21" t="n">
        <f aca="false">IF(OR($A200="",AX$4=""),0,COUNTIFS(Formulas!$A$2:$A$1501,AX$4,Formulas!$B$2:$B$1501,$A200))</f>
        <v>0</v>
      </c>
      <c r="AY200" s="21" t="n">
        <f aca="false">IF(OR($A200="",AY$4=""),0,COUNTIFS(Formulas!$A$2:$A$1501,AY$4,Formulas!$B$2:$B$1501,$A200))</f>
        <v>0</v>
      </c>
      <c r="AZ200" s="21" t="n">
        <f aca="false">IF(OR($A200="",AZ$4=""),0,COUNTIFS(Formulas!$A$2:$A$1501,AZ$4,Formulas!$B$2:$B$1501,$A200))</f>
        <v>0</v>
      </c>
      <c r="BA200" s="21" t="n">
        <f aca="false">IF(OR($A200="",BA$4=""),0,COUNTIFS(Formulas!$A$2:$A$1501,BA$4,Formulas!$B$2:$B$1501,$A200))</f>
        <v>0</v>
      </c>
      <c r="BB200" s="21" t="n">
        <f aca="false">IF(OR($A200="",BB$4=""),0,COUNTIFS(Formulas!$A$2:$A$1501,BB$4,Formulas!$B$2:$B$1501,$A200))</f>
        <v>0</v>
      </c>
      <c r="BC200" s="21" t="n">
        <f aca="false">IF(OR($A200="",BC$4=""),0,COUNTIFS(Formulas!$A$2:$A$1501,BC$4,Formulas!$B$2:$B$1501,$A200))</f>
        <v>0</v>
      </c>
      <c r="BD200" s="21" t="n">
        <f aca="false">IF(OR($A200="",BD$4=""),0,COUNTIFS(Formulas!$A$2:$A$1501,BD$4,Formulas!$B$2:$B$1501,$A200))</f>
        <v>0</v>
      </c>
      <c r="BE200" s="21" t="n">
        <f aca="false">IF(OR($A200="",BE$4=""),0,COUNTIFS(Formulas!$A$2:$A$1501,BE$4,Formulas!$B$2:$B$1501,$A200))</f>
        <v>0</v>
      </c>
      <c r="BF200" s="21" t="n">
        <f aca="false">IF(OR($A200="",BF$4=""),0,COUNTIFS(Formulas!$A$2:$A$1501,BF$4,Formulas!$B$2:$B$1501,$A200))</f>
        <v>0</v>
      </c>
      <c r="BG200" s="21" t="n">
        <f aca="false">IF(OR($A200="",BG$4=""),0,COUNTIFS(Formulas!$A$2:$A$1501,BG$4,Formulas!$B$2:$B$1501,$A200))</f>
        <v>0</v>
      </c>
      <c r="BH200" s="21" t="n">
        <f aca="false">IF(OR($A200="",BH$4=""),0,COUNTIFS(Formulas!$A$2:$A$1501,BH$4,Formulas!$B$2:$B$1501,$A200))</f>
        <v>0</v>
      </c>
      <c r="BI200" s="21" t="n">
        <f aca="false">IF(OR($A200="",BI$4=""),0,COUNTIFS(Formulas!$A$2:$A$1501,BI$4,Formulas!$B$2:$B$1501,$A200))</f>
        <v>0</v>
      </c>
      <c r="BJ200" s="21" t="n">
        <f aca="false">IF(OR($A200="",BJ$4=""),0,COUNTIFS(Formulas!$A$2:$A$1501,BJ$4,Formulas!$B$2:$B$1501,$A200))</f>
        <v>0</v>
      </c>
    </row>
    <row r="201" customFormat="false" ht="15" hidden="false" customHeight="false" outlineLevel="0" collapsed="false">
      <c r="A201" s="13" t="str">
        <f aca="false">IF(INDEX(Materials!$A$2:$A$201,197)="","",INDEX(Materials!$A$2:$A$201,197))</f>
        <v/>
      </c>
      <c r="B201" s="19" t="str">
        <f aca="false">IF(A201="","",COUNTIF(C201:BJ201,"&gt;0"))</f>
        <v/>
      </c>
      <c r="C201" s="21" t="n">
        <f aca="false">IF(OR($A201="",C$4=""),0,COUNTIFS(Formulas!$A$2:$A$1501,C$4,Formulas!$B$2:$B$1501,$A201))</f>
        <v>0</v>
      </c>
      <c r="D201" s="21" t="n">
        <f aca="false">IF(OR($A201="",D$4=""),0,COUNTIFS(Formulas!$A$2:$A$1501,D$4,Formulas!$B$2:$B$1501,$A201))</f>
        <v>0</v>
      </c>
      <c r="E201" s="21" t="n">
        <f aca="false">IF(OR($A201="",E$4=""),0,COUNTIFS(Formulas!$A$2:$A$1501,E$4,Formulas!$B$2:$B$1501,$A201))</f>
        <v>0</v>
      </c>
      <c r="F201" s="21" t="n">
        <f aca="false">IF(OR($A201="",F$4=""),0,COUNTIFS(Formulas!$A$2:$A$1501,F$4,Formulas!$B$2:$B$1501,$A201))</f>
        <v>0</v>
      </c>
      <c r="G201" s="21" t="n">
        <f aca="false">IF(OR($A201="",G$4=""),0,COUNTIFS(Formulas!$A$2:$A$1501,G$4,Formulas!$B$2:$B$1501,$A201))</f>
        <v>0</v>
      </c>
      <c r="H201" s="21" t="n">
        <f aca="false">IF(OR($A201="",H$4=""),0,COUNTIFS(Formulas!$A$2:$A$1501,H$4,Formulas!$B$2:$B$1501,$A201))</f>
        <v>0</v>
      </c>
      <c r="I201" s="21" t="n">
        <f aca="false">IF(OR($A201="",I$4=""),0,COUNTIFS(Formulas!$A$2:$A$1501,I$4,Formulas!$B$2:$B$1501,$A201))</f>
        <v>0</v>
      </c>
      <c r="J201" s="21" t="n">
        <f aca="false">IF(OR($A201="",J$4=""),0,COUNTIFS(Formulas!$A$2:$A$1501,J$4,Formulas!$B$2:$B$1501,$A201))</f>
        <v>0</v>
      </c>
      <c r="K201" s="21" t="n">
        <f aca="false">IF(OR($A201="",K$4=""),0,COUNTIFS(Formulas!$A$2:$A$1501,K$4,Formulas!$B$2:$B$1501,$A201))</f>
        <v>0</v>
      </c>
      <c r="L201" s="21" t="n">
        <f aca="false">IF(OR($A201="",L$4=""),0,COUNTIFS(Formulas!$A$2:$A$1501,L$4,Formulas!$B$2:$B$1501,$A201))</f>
        <v>0</v>
      </c>
      <c r="M201" s="21" t="n">
        <f aca="false">IF(OR($A201="",M$4=""),0,COUNTIFS(Formulas!$A$2:$A$1501,M$4,Formulas!$B$2:$B$1501,$A201))</f>
        <v>0</v>
      </c>
      <c r="N201" s="21" t="n">
        <f aca="false">IF(OR($A201="",N$4=""),0,COUNTIFS(Formulas!$A$2:$A$1501,N$4,Formulas!$B$2:$B$1501,$A201))</f>
        <v>0</v>
      </c>
      <c r="O201" s="21" t="n">
        <f aca="false">IF(OR($A201="",O$4=""),0,COUNTIFS(Formulas!$A$2:$A$1501,O$4,Formulas!$B$2:$B$1501,$A201))</f>
        <v>0</v>
      </c>
      <c r="P201" s="21" t="n">
        <f aca="false">IF(OR($A201="",P$4=""),0,COUNTIFS(Formulas!$A$2:$A$1501,P$4,Formulas!$B$2:$B$1501,$A201))</f>
        <v>0</v>
      </c>
      <c r="Q201" s="21" t="n">
        <f aca="false">IF(OR($A201="",Q$4=""),0,COUNTIFS(Formulas!$A$2:$A$1501,Q$4,Formulas!$B$2:$B$1501,$A201))</f>
        <v>0</v>
      </c>
      <c r="R201" s="21" t="n">
        <f aca="false">IF(OR($A201="",R$4=""),0,COUNTIFS(Formulas!$A$2:$A$1501,R$4,Formulas!$B$2:$B$1501,$A201))</f>
        <v>0</v>
      </c>
      <c r="S201" s="21" t="n">
        <f aca="false">IF(OR($A201="",S$4=""),0,COUNTIFS(Formulas!$A$2:$A$1501,S$4,Formulas!$B$2:$B$1501,$A201))</f>
        <v>0</v>
      </c>
      <c r="T201" s="21" t="n">
        <f aca="false">IF(OR($A201="",T$4=""),0,COUNTIFS(Formulas!$A$2:$A$1501,T$4,Formulas!$B$2:$B$1501,$A201))</f>
        <v>0</v>
      </c>
      <c r="U201" s="21" t="n">
        <f aca="false">IF(OR($A201="",U$4=""),0,COUNTIFS(Formulas!$A$2:$A$1501,U$4,Formulas!$B$2:$B$1501,$A201))</f>
        <v>0</v>
      </c>
      <c r="V201" s="21" t="n">
        <f aca="false">IF(OR($A201="",V$4=""),0,COUNTIFS(Formulas!$A$2:$A$1501,V$4,Formulas!$B$2:$B$1501,$A201))</f>
        <v>0</v>
      </c>
      <c r="W201" s="21" t="n">
        <f aca="false">IF(OR($A201="",W$4=""),0,COUNTIFS(Formulas!$A$2:$A$1501,W$4,Formulas!$B$2:$B$1501,$A201))</f>
        <v>0</v>
      </c>
      <c r="X201" s="21" t="n">
        <f aca="false">IF(OR($A201="",X$4=""),0,COUNTIFS(Formulas!$A$2:$A$1501,X$4,Formulas!$B$2:$B$1501,$A201))</f>
        <v>0</v>
      </c>
      <c r="Y201" s="21" t="n">
        <f aca="false">IF(OR($A201="",Y$4=""),0,COUNTIFS(Formulas!$A$2:$A$1501,Y$4,Formulas!$B$2:$B$1501,$A201))</f>
        <v>0</v>
      </c>
      <c r="Z201" s="21" t="n">
        <f aca="false">IF(OR($A201="",Z$4=""),0,COUNTIFS(Formulas!$A$2:$A$1501,Z$4,Formulas!$B$2:$B$1501,$A201))</f>
        <v>0</v>
      </c>
      <c r="AA201" s="21" t="n">
        <f aca="false">IF(OR($A201="",AA$4=""),0,COUNTIFS(Formulas!$A$2:$A$1501,AA$4,Formulas!$B$2:$B$1501,$A201))</f>
        <v>0</v>
      </c>
      <c r="AB201" s="21" t="n">
        <f aca="false">IF(OR($A201="",AB$4=""),0,COUNTIFS(Formulas!$A$2:$A$1501,AB$4,Formulas!$B$2:$B$1501,$A201))</f>
        <v>0</v>
      </c>
      <c r="AC201" s="21" t="n">
        <f aca="false">IF(OR($A201="",AC$4=""),0,COUNTIFS(Formulas!$A$2:$A$1501,AC$4,Formulas!$B$2:$B$1501,$A201))</f>
        <v>0</v>
      </c>
      <c r="AD201" s="21" t="n">
        <f aca="false">IF(OR($A201="",AD$4=""),0,COUNTIFS(Formulas!$A$2:$A$1501,AD$4,Formulas!$B$2:$B$1501,$A201))</f>
        <v>0</v>
      </c>
      <c r="AE201" s="21" t="n">
        <f aca="false">IF(OR($A201="",AE$4=""),0,COUNTIFS(Formulas!$A$2:$A$1501,AE$4,Formulas!$B$2:$B$1501,$A201))</f>
        <v>0</v>
      </c>
      <c r="AF201" s="21" t="n">
        <f aca="false">IF(OR($A201="",AF$4=""),0,COUNTIFS(Formulas!$A$2:$A$1501,AF$4,Formulas!$B$2:$B$1501,$A201))</f>
        <v>0</v>
      </c>
      <c r="AG201" s="21" t="n">
        <f aca="false">IF(OR($A201="",AG$4=""),0,COUNTIFS(Formulas!$A$2:$A$1501,AG$4,Formulas!$B$2:$B$1501,$A201))</f>
        <v>0</v>
      </c>
      <c r="AH201" s="21" t="n">
        <f aca="false">IF(OR($A201="",AH$4=""),0,COUNTIFS(Formulas!$A$2:$A$1501,AH$4,Formulas!$B$2:$B$1501,$A201))</f>
        <v>0</v>
      </c>
      <c r="AI201" s="21" t="n">
        <f aca="false">IF(OR($A201="",AI$4=""),0,COUNTIFS(Formulas!$A$2:$A$1501,AI$4,Formulas!$B$2:$B$1501,$A201))</f>
        <v>0</v>
      </c>
      <c r="AJ201" s="21" t="n">
        <f aca="false">IF(OR($A201="",AJ$4=""),0,COUNTIFS(Formulas!$A$2:$A$1501,AJ$4,Formulas!$B$2:$B$1501,$A201))</f>
        <v>0</v>
      </c>
      <c r="AK201" s="21" t="n">
        <f aca="false">IF(OR($A201="",AK$4=""),0,COUNTIFS(Formulas!$A$2:$A$1501,AK$4,Formulas!$B$2:$B$1501,$A201))</f>
        <v>0</v>
      </c>
      <c r="AL201" s="21" t="n">
        <f aca="false">IF(OR($A201="",AL$4=""),0,COUNTIFS(Formulas!$A$2:$A$1501,AL$4,Formulas!$B$2:$B$1501,$A201))</f>
        <v>0</v>
      </c>
      <c r="AM201" s="21" t="n">
        <f aca="false">IF(OR($A201="",AM$4=""),0,COUNTIFS(Formulas!$A$2:$A$1501,AM$4,Formulas!$B$2:$B$1501,$A201))</f>
        <v>0</v>
      </c>
      <c r="AN201" s="21" t="n">
        <f aca="false">IF(OR($A201="",AN$4=""),0,COUNTIFS(Formulas!$A$2:$A$1501,AN$4,Formulas!$B$2:$B$1501,$A201))</f>
        <v>0</v>
      </c>
      <c r="AO201" s="21" t="n">
        <f aca="false">IF(OR($A201="",AO$4=""),0,COUNTIFS(Formulas!$A$2:$A$1501,AO$4,Formulas!$B$2:$B$1501,$A201))</f>
        <v>0</v>
      </c>
      <c r="AP201" s="21" t="n">
        <f aca="false">IF(OR($A201="",AP$4=""),0,COUNTIFS(Formulas!$A$2:$A$1501,AP$4,Formulas!$B$2:$B$1501,$A201))</f>
        <v>0</v>
      </c>
      <c r="AQ201" s="21" t="n">
        <f aca="false">IF(OR($A201="",AQ$4=""),0,COUNTIFS(Formulas!$A$2:$A$1501,AQ$4,Formulas!$B$2:$B$1501,$A201))</f>
        <v>0</v>
      </c>
      <c r="AR201" s="21" t="n">
        <f aca="false">IF(OR($A201="",AR$4=""),0,COUNTIFS(Formulas!$A$2:$A$1501,AR$4,Formulas!$B$2:$B$1501,$A201))</f>
        <v>0</v>
      </c>
      <c r="AS201" s="21" t="n">
        <f aca="false">IF(OR($A201="",AS$4=""),0,COUNTIFS(Formulas!$A$2:$A$1501,AS$4,Formulas!$B$2:$B$1501,$A201))</f>
        <v>0</v>
      </c>
      <c r="AT201" s="21" t="n">
        <f aca="false">IF(OR($A201="",AT$4=""),0,COUNTIFS(Formulas!$A$2:$A$1501,AT$4,Formulas!$B$2:$B$1501,$A201))</f>
        <v>0</v>
      </c>
      <c r="AU201" s="21" t="n">
        <f aca="false">IF(OR($A201="",AU$4=""),0,COUNTIFS(Formulas!$A$2:$A$1501,AU$4,Formulas!$B$2:$B$1501,$A201))</f>
        <v>0</v>
      </c>
      <c r="AV201" s="21" t="n">
        <f aca="false">IF(OR($A201="",AV$4=""),0,COUNTIFS(Formulas!$A$2:$A$1501,AV$4,Formulas!$B$2:$B$1501,$A201))</f>
        <v>0</v>
      </c>
      <c r="AW201" s="21" t="n">
        <f aca="false">IF(OR($A201="",AW$4=""),0,COUNTIFS(Formulas!$A$2:$A$1501,AW$4,Formulas!$B$2:$B$1501,$A201))</f>
        <v>0</v>
      </c>
      <c r="AX201" s="21" t="n">
        <f aca="false">IF(OR($A201="",AX$4=""),0,COUNTIFS(Formulas!$A$2:$A$1501,AX$4,Formulas!$B$2:$B$1501,$A201))</f>
        <v>0</v>
      </c>
      <c r="AY201" s="21" t="n">
        <f aca="false">IF(OR($A201="",AY$4=""),0,COUNTIFS(Formulas!$A$2:$A$1501,AY$4,Formulas!$B$2:$B$1501,$A201))</f>
        <v>0</v>
      </c>
      <c r="AZ201" s="21" t="n">
        <f aca="false">IF(OR($A201="",AZ$4=""),0,COUNTIFS(Formulas!$A$2:$A$1501,AZ$4,Formulas!$B$2:$B$1501,$A201))</f>
        <v>0</v>
      </c>
      <c r="BA201" s="21" t="n">
        <f aca="false">IF(OR($A201="",BA$4=""),0,COUNTIFS(Formulas!$A$2:$A$1501,BA$4,Formulas!$B$2:$B$1501,$A201))</f>
        <v>0</v>
      </c>
      <c r="BB201" s="21" t="n">
        <f aca="false">IF(OR($A201="",BB$4=""),0,COUNTIFS(Formulas!$A$2:$A$1501,BB$4,Formulas!$B$2:$B$1501,$A201))</f>
        <v>0</v>
      </c>
      <c r="BC201" s="21" t="n">
        <f aca="false">IF(OR($A201="",BC$4=""),0,COUNTIFS(Formulas!$A$2:$A$1501,BC$4,Formulas!$B$2:$B$1501,$A201))</f>
        <v>0</v>
      </c>
      <c r="BD201" s="21" t="n">
        <f aca="false">IF(OR($A201="",BD$4=""),0,COUNTIFS(Formulas!$A$2:$A$1501,BD$4,Formulas!$B$2:$B$1501,$A201))</f>
        <v>0</v>
      </c>
      <c r="BE201" s="21" t="n">
        <f aca="false">IF(OR($A201="",BE$4=""),0,COUNTIFS(Formulas!$A$2:$A$1501,BE$4,Formulas!$B$2:$B$1501,$A201))</f>
        <v>0</v>
      </c>
      <c r="BF201" s="21" t="n">
        <f aca="false">IF(OR($A201="",BF$4=""),0,COUNTIFS(Formulas!$A$2:$A$1501,BF$4,Formulas!$B$2:$B$1501,$A201))</f>
        <v>0</v>
      </c>
      <c r="BG201" s="21" t="n">
        <f aca="false">IF(OR($A201="",BG$4=""),0,COUNTIFS(Formulas!$A$2:$A$1501,BG$4,Formulas!$B$2:$B$1501,$A201))</f>
        <v>0</v>
      </c>
      <c r="BH201" s="21" t="n">
        <f aca="false">IF(OR($A201="",BH$4=""),0,COUNTIFS(Formulas!$A$2:$A$1501,BH$4,Formulas!$B$2:$B$1501,$A201))</f>
        <v>0</v>
      </c>
      <c r="BI201" s="21" t="n">
        <f aca="false">IF(OR($A201="",BI$4=""),0,COUNTIFS(Formulas!$A$2:$A$1501,BI$4,Formulas!$B$2:$B$1501,$A201))</f>
        <v>0</v>
      </c>
      <c r="BJ201" s="21" t="n">
        <f aca="false">IF(OR($A201="",BJ$4=""),0,COUNTIFS(Formulas!$A$2:$A$1501,BJ$4,Formulas!$B$2:$B$1501,$A201))</f>
        <v>0</v>
      </c>
    </row>
    <row r="202" customFormat="false" ht="15" hidden="false" customHeight="false" outlineLevel="0" collapsed="false">
      <c r="A202" s="13" t="str">
        <f aca="false">IF(INDEX(Materials!$A$2:$A$201,198)="","",INDEX(Materials!$A$2:$A$201,198))</f>
        <v/>
      </c>
      <c r="B202" s="19" t="str">
        <f aca="false">IF(A202="","",COUNTIF(C202:BJ202,"&gt;0"))</f>
        <v/>
      </c>
      <c r="C202" s="21" t="n">
        <f aca="false">IF(OR($A202="",C$4=""),0,COUNTIFS(Formulas!$A$2:$A$1501,C$4,Formulas!$B$2:$B$1501,$A202))</f>
        <v>0</v>
      </c>
      <c r="D202" s="21" t="n">
        <f aca="false">IF(OR($A202="",D$4=""),0,COUNTIFS(Formulas!$A$2:$A$1501,D$4,Formulas!$B$2:$B$1501,$A202))</f>
        <v>0</v>
      </c>
      <c r="E202" s="21" t="n">
        <f aca="false">IF(OR($A202="",E$4=""),0,COUNTIFS(Formulas!$A$2:$A$1501,E$4,Formulas!$B$2:$B$1501,$A202))</f>
        <v>0</v>
      </c>
      <c r="F202" s="21" t="n">
        <f aca="false">IF(OR($A202="",F$4=""),0,COUNTIFS(Formulas!$A$2:$A$1501,F$4,Formulas!$B$2:$B$1501,$A202))</f>
        <v>0</v>
      </c>
      <c r="G202" s="21" t="n">
        <f aca="false">IF(OR($A202="",G$4=""),0,COUNTIFS(Formulas!$A$2:$A$1501,G$4,Formulas!$B$2:$B$1501,$A202))</f>
        <v>0</v>
      </c>
      <c r="H202" s="21" t="n">
        <f aca="false">IF(OR($A202="",H$4=""),0,COUNTIFS(Formulas!$A$2:$A$1501,H$4,Formulas!$B$2:$B$1501,$A202))</f>
        <v>0</v>
      </c>
      <c r="I202" s="21" t="n">
        <f aca="false">IF(OR($A202="",I$4=""),0,COUNTIFS(Formulas!$A$2:$A$1501,I$4,Formulas!$B$2:$B$1501,$A202))</f>
        <v>0</v>
      </c>
      <c r="J202" s="21" t="n">
        <f aca="false">IF(OR($A202="",J$4=""),0,COUNTIFS(Formulas!$A$2:$A$1501,J$4,Formulas!$B$2:$B$1501,$A202))</f>
        <v>0</v>
      </c>
      <c r="K202" s="21" t="n">
        <f aca="false">IF(OR($A202="",K$4=""),0,COUNTIFS(Formulas!$A$2:$A$1501,K$4,Formulas!$B$2:$B$1501,$A202))</f>
        <v>0</v>
      </c>
      <c r="L202" s="21" t="n">
        <f aca="false">IF(OR($A202="",L$4=""),0,COUNTIFS(Formulas!$A$2:$A$1501,L$4,Formulas!$B$2:$B$1501,$A202))</f>
        <v>0</v>
      </c>
      <c r="M202" s="21" t="n">
        <f aca="false">IF(OR($A202="",M$4=""),0,COUNTIFS(Formulas!$A$2:$A$1501,M$4,Formulas!$B$2:$B$1501,$A202))</f>
        <v>0</v>
      </c>
      <c r="N202" s="21" t="n">
        <f aca="false">IF(OR($A202="",N$4=""),0,COUNTIFS(Formulas!$A$2:$A$1501,N$4,Formulas!$B$2:$B$1501,$A202))</f>
        <v>0</v>
      </c>
      <c r="O202" s="21" t="n">
        <f aca="false">IF(OR($A202="",O$4=""),0,COUNTIFS(Formulas!$A$2:$A$1501,O$4,Formulas!$B$2:$B$1501,$A202))</f>
        <v>0</v>
      </c>
      <c r="P202" s="21" t="n">
        <f aca="false">IF(OR($A202="",P$4=""),0,COUNTIFS(Formulas!$A$2:$A$1501,P$4,Formulas!$B$2:$B$1501,$A202))</f>
        <v>0</v>
      </c>
      <c r="Q202" s="21" t="n">
        <f aca="false">IF(OR($A202="",Q$4=""),0,COUNTIFS(Formulas!$A$2:$A$1501,Q$4,Formulas!$B$2:$B$1501,$A202))</f>
        <v>0</v>
      </c>
      <c r="R202" s="21" t="n">
        <f aca="false">IF(OR($A202="",R$4=""),0,COUNTIFS(Formulas!$A$2:$A$1501,R$4,Formulas!$B$2:$B$1501,$A202))</f>
        <v>0</v>
      </c>
      <c r="S202" s="21" t="n">
        <f aca="false">IF(OR($A202="",S$4=""),0,COUNTIFS(Formulas!$A$2:$A$1501,S$4,Formulas!$B$2:$B$1501,$A202))</f>
        <v>0</v>
      </c>
      <c r="T202" s="21" t="n">
        <f aca="false">IF(OR($A202="",T$4=""),0,COUNTIFS(Formulas!$A$2:$A$1501,T$4,Formulas!$B$2:$B$1501,$A202))</f>
        <v>0</v>
      </c>
      <c r="U202" s="21" t="n">
        <f aca="false">IF(OR($A202="",U$4=""),0,COUNTIFS(Formulas!$A$2:$A$1501,U$4,Formulas!$B$2:$B$1501,$A202))</f>
        <v>0</v>
      </c>
      <c r="V202" s="21" t="n">
        <f aca="false">IF(OR($A202="",V$4=""),0,COUNTIFS(Formulas!$A$2:$A$1501,V$4,Formulas!$B$2:$B$1501,$A202))</f>
        <v>0</v>
      </c>
      <c r="W202" s="21" t="n">
        <f aca="false">IF(OR($A202="",W$4=""),0,COUNTIFS(Formulas!$A$2:$A$1501,W$4,Formulas!$B$2:$B$1501,$A202))</f>
        <v>0</v>
      </c>
      <c r="X202" s="21" t="n">
        <f aca="false">IF(OR($A202="",X$4=""),0,COUNTIFS(Formulas!$A$2:$A$1501,X$4,Formulas!$B$2:$B$1501,$A202))</f>
        <v>0</v>
      </c>
      <c r="Y202" s="21" t="n">
        <f aca="false">IF(OR($A202="",Y$4=""),0,COUNTIFS(Formulas!$A$2:$A$1501,Y$4,Formulas!$B$2:$B$1501,$A202))</f>
        <v>0</v>
      </c>
      <c r="Z202" s="21" t="n">
        <f aca="false">IF(OR($A202="",Z$4=""),0,COUNTIFS(Formulas!$A$2:$A$1501,Z$4,Formulas!$B$2:$B$1501,$A202))</f>
        <v>0</v>
      </c>
      <c r="AA202" s="21" t="n">
        <f aca="false">IF(OR($A202="",AA$4=""),0,COUNTIFS(Formulas!$A$2:$A$1501,AA$4,Formulas!$B$2:$B$1501,$A202))</f>
        <v>0</v>
      </c>
      <c r="AB202" s="21" t="n">
        <f aca="false">IF(OR($A202="",AB$4=""),0,COUNTIFS(Formulas!$A$2:$A$1501,AB$4,Formulas!$B$2:$B$1501,$A202))</f>
        <v>0</v>
      </c>
      <c r="AC202" s="21" t="n">
        <f aca="false">IF(OR($A202="",AC$4=""),0,COUNTIFS(Formulas!$A$2:$A$1501,AC$4,Formulas!$B$2:$B$1501,$A202))</f>
        <v>0</v>
      </c>
      <c r="AD202" s="21" t="n">
        <f aca="false">IF(OR($A202="",AD$4=""),0,COUNTIFS(Formulas!$A$2:$A$1501,AD$4,Formulas!$B$2:$B$1501,$A202))</f>
        <v>0</v>
      </c>
      <c r="AE202" s="21" t="n">
        <f aca="false">IF(OR($A202="",AE$4=""),0,COUNTIFS(Formulas!$A$2:$A$1501,AE$4,Formulas!$B$2:$B$1501,$A202))</f>
        <v>0</v>
      </c>
      <c r="AF202" s="21" t="n">
        <f aca="false">IF(OR($A202="",AF$4=""),0,COUNTIFS(Formulas!$A$2:$A$1501,AF$4,Formulas!$B$2:$B$1501,$A202))</f>
        <v>0</v>
      </c>
      <c r="AG202" s="21" t="n">
        <f aca="false">IF(OR($A202="",AG$4=""),0,COUNTIFS(Formulas!$A$2:$A$1501,AG$4,Formulas!$B$2:$B$1501,$A202))</f>
        <v>0</v>
      </c>
      <c r="AH202" s="21" t="n">
        <f aca="false">IF(OR($A202="",AH$4=""),0,COUNTIFS(Formulas!$A$2:$A$1501,AH$4,Formulas!$B$2:$B$1501,$A202))</f>
        <v>0</v>
      </c>
      <c r="AI202" s="21" t="n">
        <f aca="false">IF(OR($A202="",AI$4=""),0,COUNTIFS(Formulas!$A$2:$A$1501,AI$4,Formulas!$B$2:$B$1501,$A202))</f>
        <v>0</v>
      </c>
      <c r="AJ202" s="21" t="n">
        <f aca="false">IF(OR($A202="",AJ$4=""),0,COUNTIFS(Formulas!$A$2:$A$1501,AJ$4,Formulas!$B$2:$B$1501,$A202))</f>
        <v>0</v>
      </c>
      <c r="AK202" s="21" t="n">
        <f aca="false">IF(OR($A202="",AK$4=""),0,COUNTIFS(Formulas!$A$2:$A$1501,AK$4,Formulas!$B$2:$B$1501,$A202))</f>
        <v>0</v>
      </c>
      <c r="AL202" s="21" t="n">
        <f aca="false">IF(OR($A202="",AL$4=""),0,COUNTIFS(Formulas!$A$2:$A$1501,AL$4,Formulas!$B$2:$B$1501,$A202))</f>
        <v>0</v>
      </c>
      <c r="AM202" s="21" t="n">
        <f aca="false">IF(OR($A202="",AM$4=""),0,COUNTIFS(Formulas!$A$2:$A$1501,AM$4,Formulas!$B$2:$B$1501,$A202))</f>
        <v>0</v>
      </c>
      <c r="AN202" s="21" t="n">
        <f aca="false">IF(OR($A202="",AN$4=""),0,COUNTIFS(Formulas!$A$2:$A$1501,AN$4,Formulas!$B$2:$B$1501,$A202))</f>
        <v>0</v>
      </c>
      <c r="AO202" s="21" t="n">
        <f aca="false">IF(OR($A202="",AO$4=""),0,COUNTIFS(Formulas!$A$2:$A$1501,AO$4,Formulas!$B$2:$B$1501,$A202))</f>
        <v>0</v>
      </c>
      <c r="AP202" s="21" t="n">
        <f aca="false">IF(OR($A202="",AP$4=""),0,COUNTIFS(Formulas!$A$2:$A$1501,AP$4,Formulas!$B$2:$B$1501,$A202))</f>
        <v>0</v>
      </c>
      <c r="AQ202" s="21" t="n">
        <f aca="false">IF(OR($A202="",AQ$4=""),0,COUNTIFS(Formulas!$A$2:$A$1501,AQ$4,Formulas!$B$2:$B$1501,$A202))</f>
        <v>0</v>
      </c>
      <c r="AR202" s="21" t="n">
        <f aca="false">IF(OR($A202="",AR$4=""),0,COUNTIFS(Formulas!$A$2:$A$1501,AR$4,Formulas!$B$2:$B$1501,$A202))</f>
        <v>0</v>
      </c>
      <c r="AS202" s="21" t="n">
        <f aca="false">IF(OR($A202="",AS$4=""),0,COUNTIFS(Formulas!$A$2:$A$1501,AS$4,Formulas!$B$2:$B$1501,$A202))</f>
        <v>0</v>
      </c>
      <c r="AT202" s="21" t="n">
        <f aca="false">IF(OR($A202="",AT$4=""),0,COUNTIFS(Formulas!$A$2:$A$1501,AT$4,Formulas!$B$2:$B$1501,$A202))</f>
        <v>0</v>
      </c>
      <c r="AU202" s="21" t="n">
        <f aca="false">IF(OR($A202="",AU$4=""),0,COUNTIFS(Formulas!$A$2:$A$1501,AU$4,Formulas!$B$2:$B$1501,$A202))</f>
        <v>0</v>
      </c>
      <c r="AV202" s="21" t="n">
        <f aca="false">IF(OR($A202="",AV$4=""),0,COUNTIFS(Formulas!$A$2:$A$1501,AV$4,Formulas!$B$2:$B$1501,$A202))</f>
        <v>0</v>
      </c>
      <c r="AW202" s="21" t="n">
        <f aca="false">IF(OR($A202="",AW$4=""),0,COUNTIFS(Formulas!$A$2:$A$1501,AW$4,Formulas!$B$2:$B$1501,$A202))</f>
        <v>0</v>
      </c>
      <c r="AX202" s="21" t="n">
        <f aca="false">IF(OR($A202="",AX$4=""),0,COUNTIFS(Formulas!$A$2:$A$1501,AX$4,Formulas!$B$2:$B$1501,$A202))</f>
        <v>0</v>
      </c>
      <c r="AY202" s="21" t="n">
        <f aca="false">IF(OR($A202="",AY$4=""),0,COUNTIFS(Formulas!$A$2:$A$1501,AY$4,Formulas!$B$2:$B$1501,$A202))</f>
        <v>0</v>
      </c>
      <c r="AZ202" s="21" t="n">
        <f aca="false">IF(OR($A202="",AZ$4=""),0,COUNTIFS(Formulas!$A$2:$A$1501,AZ$4,Formulas!$B$2:$B$1501,$A202))</f>
        <v>0</v>
      </c>
      <c r="BA202" s="21" t="n">
        <f aca="false">IF(OR($A202="",BA$4=""),0,COUNTIFS(Formulas!$A$2:$A$1501,BA$4,Formulas!$B$2:$B$1501,$A202))</f>
        <v>0</v>
      </c>
      <c r="BB202" s="21" t="n">
        <f aca="false">IF(OR($A202="",BB$4=""),0,COUNTIFS(Formulas!$A$2:$A$1501,BB$4,Formulas!$B$2:$B$1501,$A202))</f>
        <v>0</v>
      </c>
      <c r="BC202" s="21" t="n">
        <f aca="false">IF(OR($A202="",BC$4=""),0,COUNTIFS(Formulas!$A$2:$A$1501,BC$4,Formulas!$B$2:$B$1501,$A202))</f>
        <v>0</v>
      </c>
      <c r="BD202" s="21" t="n">
        <f aca="false">IF(OR($A202="",BD$4=""),0,COUNTIFS(Formulas!$A$2:$A$1501,BD$4,Formulas!$B$2:$B$1501,$A202))</f>
        <v>0</v>
      </c>
      <c r="BE202" s="21" t="n">
        <f aca="false">IF(OR($A202="",BE$4=""),0,COUNTIFS(Formulas!$A$2:$A$1501,BE$4,Formulas!$B$2:$B$1501,$A202))</f>
        <v>0</v>
      </c>
      <c r="BF202" s="21" t="n">
        <f aca="false">IF(OR($A202="",BF$4=""),0,COUNTIFS(Formulas!$A$2:$A$1501,BF$4,Formulas!$B$2:$B$1501,$A202))</f>
        <v>0</v>
      </c>
      <c r="BG202" s="21" t="n">
        <f aca="false">IF(OR($A202="",BG$4=""),0,COUNTIFS(Formulas!$A$2:$A$1501,BG$4,Formulas!$B$2:$B$1501,$A202))</f>
        <v>0</v>
      </c>
      <c r="BH202" s="21" t="n">
        <f aca="false">IF(OR($A202="",BH$4=""),0,COUNTIFS(Formulas!$A$2:$A$1501,BH$4,Formulas!$B$2:$B$1501,$A202))</f>
        <v>0</v>
      </c>
      <c r="BI202" s="21" t="n">
        <f aca="false">IF(OR($A202="",BI$4=""),0,COUNTIFS(Formulas!$A$2:$A$1501,BI$4,Formulas!$B$2:$B$1501,$A202))</f>
        <v>0</v>
      </c>
      <c r="BJ202" s="21" t="n">
        <f aca="false">IF(OR($A202="",BJ$4=""),0,COUNTIFS(Formulas!$A$2:$A$1501,BJ$4,Formulas!$B$2:$B$1501,$A202))</f>
        <v>0</v>
      </c>
    </row>
    <row r="203" customFormat="false" ht="15" hidden="false" customHeight="false" outlineLevel="0" collapsed="false">
      <c r="A203" s="13" t="str">
        <f aca="false">IF(INDEX(Materials!$A$2:$A$201,199)="","",INDEX(Materials!$A$2:$A$201,199))</f>
        <v/>
      </c>
      <c r="B203" s="19" t="str">
        <f aca="false">IF(A203="","",COUNTIF(C203:BJ203,"&gt;0"))</f>
        <v/>
      </c>
      <c r="C203" s="21" t="n">
        <f aca="false">IF(OR($A203="",C$4=""),0,COUNTIFS(Formulas!$A$2:$A$1501,C$4,Formulas!$B$2:$B$1501,$A203))</f>
        <v>0</v>
      </c>
      <c r="D203" s="21" t="n">
        <f aca="false">IF(OR($A203="",D$4=""),0,COUNTIFS(Formulas!$A$2:$A$1501,D$4,Formulas!$B$2:$B$1501,$A203))</f>
        <v>0</v>
      </c>
      <c r="E203" s="21" t="n">
        <f aca="false">IF(OR($A203="",E$4=""),0,COUNTIFS(Formulas!$A$2:$A$1501,E$4,Formulas!$B$2:$B$1501,$A203))</f>
        <v>0</v>
      </c>
      <c r="F203" s="21" t="n">
        <f aca="false">IF(OR($A203="",F$4=""),0,COUNTIFS(Formulas!$A$2:$A$1501,F$4,Formulas!$B$2:$B$1501,$A203))</f>
        <v>0</v>
      </c>
      <c r="G203" s="21" t="n">
        <f aca="false">IF(OR($A203="",G$4=""),0,COUNTIFS(Formulas!$A$2:$A$1501,G$4,Formulas!$B$2:$B$1501,$A203))</f>
        <v>0</v>
      </c>
      <c r="H203" s="21" t="n">
        <f aca="false">IF(OR($A203="",H$4=""),0,COUNTIFS(Formulas!$A$2:$A$1501,H$4,Formulas!$B$2:$B$1501,$A203))</f>
        <v>0</v>
      </c>
      <c r="I203" s="21" t="n">
        <f aca="false">IF(OR($A203="",I$4=""),0,COUNTIFS(Formulas!$A$2:$A$1501,I$4,Formulas!$B$2:$B$1501,$A203))</f>
        <v>0</v>
      </c>
      <c r="J203" s="21" t="n">
        <f aca="false">IF(OR($A203="",J$4=""),0,COUNTIFS(Formulas!$A$2:$A$1501,J$4,Formulas!$B$2:$B$1501,$A203))</f>
        <v>0</v>
      </c>
      <c r="K203" s="21" t="n">
        <f aca="false">IF(OR($A203="",K$4=""),0,COUNTIFS(Formulas!$A$2:$A$1501,K$4,Formulas!$B$2:$B$1501,$A203))</f>
        <v>0</v>
      </c>
      <c r="L203" s="21" t="n">
        <f aca="false">IF(OR($A203="",L$4=""),0,COUNTIFS(Formulas!$A$2:$A$1501,L$4,Formulas!$B$2:$B$1501,$A203))</f>
        <v>0</v>
      </c>
      <c r="M203" s="21" t="n">
        <f aca="false">IF(OR($A203="",M$4=""),0,COUNTIFS(Formulas!$A$2:$A$1501,M$4,Formulas!$B$2:$B$1501,$A203))</f>
        <v>0</v>
      </c>
      <c r="N203" s="21" t="n">
        <f aca="false">IF(OR($A203="",N$4=""),0,COUNTIFS(Formulas!$A$2:$A$1501,N$4,Formulas!$B$2:$B$1501,$A203))</f>
        <v>0</v>
      </c>
      <c r="O203" s="21" t="n">
        <f aca="false">IF(OR($A203="",O$4=""),0,COUNTIFS(Formulas!$A$2:$A$1501,O$4,Formulas!$B$2:$B$1501,$A203))</f>
        <v>0</v>
      </c>
      <c r="P203" s="21" t="n">
        <f aca="false">IF(OR($A203="",P$4=""),0,COUNTIFS(Formulas!$A$2:$A$1501,P$4,Formulas!$B$2:$B$1501,$A203))</f>
        <v>0</v>
      </c>
      <c r="Q203" s="21" t="n">
        <f aca="false">IF(OR($A203="",Q$4=""),0,COUNTIFS(Formulas!$A$2:$A$1501,Q$4,Formulas!$B$2:$B$1501,$A203))</f>
        <v>0</v>
      </c>
      <c r="R203" s="21" t="n">
        <f aca="false">IF(OR($A203="",R$4=""),0,COUNTIFS(Formulas!$A$2:$A$1501,R$4,Formulas!$B$2:$B$1501,$A203))</f>
        <v>0</v>
      </c>
      <c r="S203" s="21" t="n">
        <f aca="false">IF(OR($A203="",S$4=""),0,COUNTIFS(Formulas!$A$2:$A$1501,S$4,Formulas!$B$2:$B$1501,$A203))</f>
        <v>0</v>
      </c>
      <c r="T203" s="21" t="n">
        <f aca="false">IF(OR($A203="",T$4=""),0,COUNTIFS(Formulas!$A$2:$A$1501,T$4,Formulas!$B$2:$B$1501,$A203))</f>
        <v>0</v>
      </c>
      <c r="U203" s="21" t="n">
        <f aca="false">IF(OR($A203="",U$4=""),0,COUNTIFS(Formulas!$A$2:$A$1501,U$4,Formulas!$B$2:$B$1501,$A203))</f>
        <v>0</v>
      </c>
      <c r="V203" s="21" t="n">
        <f aca="false">IF(OR($A203="",V$4=""),0,COUNTIFS(Formulas!$A$2:$A$1501,V$4,Formulas!$B$2:$B$1501,$A203))</f>
        <v>0</v>
      </c>
      <c r="W203" s="21" t="n">
        <f aca="false">IF(OR($A203="",W$4=""),0,COUNTIFS(Formulas!$A$2:$A$1501,W$4,Formulas!$B$2:$B$1501,$A203))</f>
        <v>0</v>
      </c>
      <c r="X203" s="21" t="n">
        <f aca="false">IF(OR($A203="",X$4=""),0,COUNTIFS(Formulas!$A$2:$A$1501,X$4,Formulas!$B$2:$B$1501,$A203))</f>
        <v>0</v>
      </c>
      <c r="Y203" s="21" t="n">
        <f aca="false">IF(OR($A203="",Y$4=""),0,COUNTIFS(Formulas!$A$2:$A$1501,Y$4,Formulas!$B$2:$B$1501,$A203))</f>
        <v>0</v>
      </c>
      <c r="Z203" s="21" t="n">
        <f aca="false">IF(OR($A203="",Z$4=""),0,COUNTIFS(Formulas!$A$2:$A$1501,Z$4,Formulas!$B$2:$B$1501,$A203))</f>
        <v>0</v>
      </c>
      <c r="AA203" s="21" t="n">
        <f aca="false">IF(OR($A203="",AA$4=""),0,COUNTIFS(Formulas!$A$2:$A$1501,AA$4,Formulas!$B$2:$B$1501,$A203))</f>
        <v>0</v>
      </c>
      <c r="AB203" s="21" t="n">
        <f aca="false">IF(OR($A203="",AB$4=""),0,COUNTIFS(Formulas!$A$2:$A$1501,AB$4,Formulas!$B$2:$B$1501,$A203))</f>
        <v>0</v>
      </c>
      <c r="AC203" s="21" t="n">
        <f aca="false">IF(OR($A203="",AC$4=""),0,COUNTIFS(Formulas!$A$2:$A$1501,AC$4,Formulas!$B$2:$B$1501,$A203))</f>
        <v>0</v>
      </c>
      <c r="AD203" s="21" t="n">
        <f aca="false">IF(OR($A203="",AD$4=""),0,COUNTIFS(Formulas!$A$2:$A$1501,AD$4,Formulas!$B$2:$B$1501,$A203))</f>
        <v>0</v>
      </c>
      <c r="AE203" s="21" t="n">
        <f aca="false">IF(OR($A203="",AE$4=""),0,COUNTIFS(Formulas!$A$2:$A$1501,AE$4,Formulas!$B$2:$B$1501,$A203))</f>
        <v>0</v>
      </c>
      <c r="AF203" s="21" t="n">
        <f aca="false">IF(OR($A203="",AF$4=""),0,COUNTIFS(Formulas!$A$2:$A$1501,AF$4,Formulas!$B$2:$B$1501,$A203))</f>
        <v>0</v>
      </c>
      <c r="AG203" s="21" t="n">
        <f aca="false">IF(OR($A203="",AG$4=""),0,COUNTIFS(Formulas!$A$2:$A$1501,AG$4,Formulas!$B$2:$B$1501,$A203))</f>
        <v>0</v>
      </c>
      <c r="AH203" s="21" t="n">
        <f aca="false">IF(OR($A203="",AH$4=""),0,COUNTIFS(Formulas!$A$2:$A$1501,AH$4,Formulas!$B$2:$B$1501,$A203))</f>
        <v>0</v>
      </c>
      <c r="AI203" s="21" t="n">
        <f aca="false">IF(OR($A203="",AI$4=""),0,COUNTIFS(Formulas!$A$2:$A$1501,AI$4,Formulas!$B$2:$B$1501,$A203))</f>
        <v>0</v>
      </c>
      <c r="AJ203" s="21" t="n">
        <f aca="false">IF(OR($A203="",AJ$4=""),0,COUNTIFS(Formulas!$A$2:$A$1501,AJ$4,Formulas!$B$2:$B$1501,$A203))</f>
        <v>0</v>
      </c>
      <c r="AK203" s="21" t="n">
        <f aca="false">IF(OR($A203="",AK$4=""),0,COUNTIFS(Formulas!$A$2:$A$1501,AK$4,Formulas!$B$2:$B$1501,$A203))</f>
        <v>0</v>
      </c>
      <c r="AL203" s="21" t="n">
        <f aca="false">IF(OR($A203="",AL$4=""),0,COUNTIFS(Formulas!$A$2:$A$1501,AL$4,Formulas!$B$2:$B$1501,$A203))</f>
        <v>0</v>
      </c>
      <c r="AM203" s="21" t="n">
        <f aca="false">IF(OR($A203="",AM$4=""),0,COUNTIFS(Formulas!$A$2:$A$1501,AM$4,Formulas!$B$2:$B$1501,$A203))</f>
        <v>0</v>
      </c>
      <c r="AN203" s="21" t="n">
        <f aca="false">IF(OR($A203="",AN$4=""),0,COUNTIFS(Formulas!$A$2:$A$1501,AN$4,Formulas!$B$2:$B$1501,$A203))</f>
        <v>0</v>
      </c>
      <c r="AO203" s="21" t="n">
        <f aca="false">IF(OR($A203="",AO$4=""),0,COUNTIFS(Formulas!$A$2:$A$1501,AO$4,Formulas!$B$2:$B$1501,$A203))</f>
        <v>0</v>
      </c>
      <c r="AP203" s="21" t="n">
        <f aca="false">IF(OR($A203="",AP$4=""),0,COUNTIFS(Formulas!$A$2:$A$1501,AP$4,Formulas!$B$2:$B$1501,$A203))</f>
        <v>0</v>
      </c>
      <c r="AQ203" s="21" t="n">
        <f aca="false">IF(OR($A203="",AQ$4=""),0,COUNTIFS(Formulas!$A$2:$A$1501,AQ$4,Formulas!$B$2:$B$1501,$A203))</f>
        <v>0</v>
      </c>
      <c r="AR203" s="21" t="n">
        <f aca="false">IF(OR($A203="",AR$4=""),0,COUNTIFS(Formulas!$A$2:$A$1501,AR$4,Formulas!$B$2:$B$1501,$A203))</f>
        <v>0</v>
      </c>
      <c r="AS203" s="21" t="n">
        <f aca="false">IF(OR($A203="",AS$4=""),0,COUNTIFS(Formulas!$A$2:$A$1501,AS$4,Formulas!$B$2:$B$1501,$A203))</f>
        <v>0</v>
      </c>
      <c r="AT203" s="21" t="n">
        <f aca="false">IF(OR($A203="",AT$4=""),0,COUNTIFS(Formulas!$A$2:$A$1501,AT$4,Formulas!$B$2:$B$1501,$A203))</f>
        <v>0</v>
      </c>
      <c r="AU203" s="21" t="n">
        <f aca="false">IF(OR($A203="",AU$4=""),0,COUNTIFS(Formulas!$A$2:$A$1501,AU$4,Formulas!$B$2:$B$1501,$A203))</f>
        <v>0</v>
      </c>
      <c r="AV203" s="21" t="n">
        <f aca="false">IF(OR($A203="",AV$4=""),0,COUNTIFS(Formulas!$A$2:$A$1501,AV$4,Formulas!$B$2:$B$1501,$A203))</f>
        <v>0</v>
      </c>
      <c r="AW203" s="21" t="n">
        <f aca="false">IF(OR($A203="",AW$4=""),0,COUNTIFS(Formulas!$A$2:$A$1501,AW$4,Formulas!$B$2:$B$1501,$A203))</f>
        <v>0</v>
      </c>
      <c r="AX203" s="21" t="n">
        <f aca="false">IF(OR($A203="",AX$4=""),0,COUNTIFS(Formulas!$A$2:$A$1501,AX$4,Formulas!$B$2:$B$1501,$A203))</f>
        <v>0</v>
      </c>
      <c r="AY203" s="21" t="n">
        <f aca="false">IF(OR($A203="",AY$4=""),0,COUNTIFS(Formulas!$A$2:$A$1501,AY$4,Formulas!$B$2:$B$1501,$A203))</f>
        <v>0</v>
      </c>
      <c r="AZ203" s="21" t="n">
        <f aca="false">IF(OR($A203="",AZ$4=""),0,COUNTIFS(Formulas!$A$2:$A$1501,AZ$4,Formulas!$B$2:$B$1501,$A203))</f>
        <v>0</v>
      </c>
      <c r="BA203" s="21" t="n">
        <f aca="false">IF(OR($A203="",BA$4=""),0,COUNTIFS(Formulas!$A$2:$A$1501,BA$4,Formulas!$B$2:$B$1501,$A203))</f>
        <v>0</v>
      </c>
      <c r="BB203" s="21" t="n">
        <f aca="false">IF(OR($A203="",BB$4=""),0,COUNTIFS(Formulas!$A$2:$A$1501,BB$4,Formulas!$B$2:$B$1501,$A203))</f>
        <v>0</v>
      </c>
      <c r="BC203" s="21" t="n">
        <f aca="false">IF(OR($A203="",BC$4=""),0,COUNTIFS(Formulas!$A$2:$A$1501,BC$4,Formulas!$B$2:$B$1501,$A203))</f>
        <v>0</v>
      </c>
      <c r="BD203" s="21" t="n">
        <f aca="false">IF(OR($A203="",BD$4=""),0,COUNTIFS(Formulas!$A$2:$A$1501,BD$4,Formulas!$B$2:$B$1501,$A203))</f>
        <v>0</v>
      </c>
      <c r="BE203" s="21" t="n">
        <f aca="false">IF(OR($A203="",BE$4=""),0,COUNTIFS(Formulas!$A$2:$A$1501,BE$4,Formulas!$B$2:$B$1501,$A203))</f>
        <v>0</v>
      </c>
      <c r="BF203" s="21" t="n">
        <f aca="false">IF(OR($A203="",BF$4=""),0,COUNTIFS(Formulas!$A$2:$A$1501,BF$4,Formulas!$B$2:$B$1501,$A203))</f>
        <v>0</v>
      </c>
      <c r="BG203" s="21" t="n">
        <f aca="false">IF(OR($A203="",BG$4=""),0,COUNTIFS(Formulas!$A$2:$A$1501,BG$4,Formulas!$B$2:$B$1501,$A203))</f>
        <v>0</v>
      </c>
      <c r="BH203" s="21" t="n">
        <f aca="false">IF(OR($A203="",BH$4=""),0,COUNTIFS(Formulas!$A$2:$A$1501,BH$4,Formulas!$B$2:$B$1501,$A203))</f>
        <v>0</v>
      </c>
      <c r="BI203" s="21" t="n">
        <f aca="false">IF(OR($A203="",BI$4=""),0,COUNTIFS(Formulas!$A$2:$A$1501,BI$4,Formulas!$B$2:$B$1501,$A203))</f>
        <v>0</v>
      </c>
      <c r="BJ203" s="21" t="n">
        <f aca="false">IF(OR($A203="",BJ$4=""),0,COUNTIFS(Formulas!$A$2:$A$1501,BJ$4,Formulas!$B$2:$B$1501,$A203))</f>
        <v>0</v>
      </c>
    </row>
    <row r="204" customFormat="false" ht="15" hidden="false" customHeight="false" outlineLevel="0" collapsed="false">
      <c r="A204" s="13" t="str">
        <f aca="false">IF(INDEX(Materials!$A$2:$A$201,200)="","",INDEX(Materials!$A$2:$A$201,200))</f>
        <v/>
      </c>
      <c r="B204" s="19" t="str">
        <f aca="false">IF(A204="","",COUNTIF(C204:BJ204,"&gt;0"))</f>
        <v/>
      </c>
      <c r="C204" s="21" t="n">
        <f aca="false">IF(OR($A204="",C$4=""),0,COUNTIFS(Formulas!$A$2:$A$1501,C$4,Formulas!$B$2:$B$1501,$A204))</f>
        <v>0</v>
      </c>
      <c r="D204" s="21" t="n">
        <f aca="false">IF(OR($A204="",D$4=""),0,COUNTIFS(Formulas!$A$2:$A$1501,D$4,Formulas!$B$2:$B$1501,$A204))</f>
        <v>0</v>
      </c>
      <c r="E204" s="21" t="n">
        <f aca="false">IF(OR($A204="",E$4=""),0,COUNTIFS(Formulas!$A$2:$A$1501,E$4,Formulas!$B$2:$B$1501,$A204))</f>
        <v>0</v>
      </c>
      <c r="F204" s="21" t="n">
        <f aca="false">IF(OR($A204="",F$4=""),0,COUNTIFS(Formulas!$A$2:$A$1501,F$4,Formulas!$B$2:$B$1501,$A204))</f>
        <v>0</v>
      </c>
      <c r="G204" s="21" t="n">
        <f aca="false">IF(OR($A204="",G$4=""),0,COUNTIFS(Formulas!$A$2:$A$1501,G$4,Formulas!$B$2:$B$1501,$A204))</f>
        <v>0</v>
      </c>
      <c r="H204" s="21" t="n">
        <f aca="false">IF(OR($A204="",H$4=""),0,COUNTIFS(Formulas!$A$2:$A$1501,H$4,Formulas!$B$2:$B$1501,$A204))</f>
        <v>0</v>
      </c>
      <c r="I204" s="21" t="n">
        <f aca="false">IF(OR($A204="",I$4=""),0,COUNTIFS(Formulas!$A$2:$A$1501,I$4,Formulas!$B$2:$B$1501,$A204))</f>
        <v>0</v>
      </c>
      <c r="J204" s="21" t="n">
        <f aca="false">IF(OR($A204="",J$4=""),0,COUNTIFS(Formulas!$A$2:$A$1501,J$4,Formulas!$B$2:$B$1501,$A204))</f>
        <v>0</v>
      </c>
      <c r="K204" s="21" t="n">
        <f aca="false">IF(OR($A204="",K$4=""),0,COUNTIFS(Formulas!$A$2:$A$1501,K$4,Formulas!$B$2:$B$1501,$A204))</f>
        <v>0</v>
      </c>
      <c r="L204" s="21" t="n">
        <f aca="false">IF(OR($A204="",L$4=""),0,COUNTIFS(Formulas!$A$2:$A$1501,L$4,Formulas!$B$2:$B$1501,$A204))</f>
        <v>0</v>
      </c>
      <c r="M204" s="21" t="n">
        <f aca="false">IF(OR($A204="",M$4=""),0,COUNTIFS(Formulas!$A$2:$A$1501,M$4,Formulas!$B$2:$B$1501,$A204))</f>
        <v>0</v>
      </c>
      <c r="N204" s="21" t="n">
        <f aca="false">IF(OR($A204="",N$4=""),0,COUNTIFS(Formulas!$A$2:$A$1501,N$4,Formulas!$B$2:$B$1501,$A204))</f>
        <v>0</v>
      </c>
      <c r="O204" s="21" t="n">
        <f aca="false">IF(OR($A204="",O$4=""),0,COUNTIFS(Formulas!$A$2:$A$1501,O$4,Formulas!$B$2:$B$1501,$A204))</f>
        <v>0</v>
      </c>
      <c r="P204" s="21" t="n">
        <f aca="false">IF(OR($A204="",P$4=""),0,COUNTIFS(Formulas!$A$2:$A$1501,P$4,Formulas!$B$2:$B$1501,$A204))</f>
        <v>0</v>
      </c>
      <c r="Q204" s="21" t="n">
        <f aca="false">IF(OR($A204="",Q$4=""),0,COUNTIFS(Formulas!$A$2:$A$1501,Q$4,Formulas!$B$2:$B$1501,$A204))</f>
        <v>0</v>
      </c>
      <c r="R204" s="21" t="n">
        <f aca="false">IF(OR($A204="",R$4=""),0,COUNTIFS(Formulas!$A$2:$A$1501,R$4,Formulas!$B$2:$B$1501,$A204))</f>
        <v>0</v>
      </c>
      <c r="S204" s="21" t="n">
        <f aca="false">IF(OR($A204="",S$4=""),0,COUNTIFS(Formulas!$A$2:$A$1501,S$4,Formulas!$B$2:$B$1501,$A204))</f>
        <v>0</v>
      </c>
      <c r="T204" s="21" t="n">
        <f aca="false">IF(OR($A204="",T$4=""),0,COUNTIFS(Formulas!$A$2:$A$1501,T$4,Formulas!$B$2:$B$1501,$A204))</f>
        <v>0</v>
      </c>
      <c r="U204" s="21" t="n">
        <f aca="false">IF(OR($A204="",U$4=""),0,COUNTIFS(Formulas!$A$2:$A$1501,U$4,Formulas!$B$2:$B$1501,$A204))</f>
        <v>0</v>
      </c>
      <c r="V204" s="21" t="n">
        <f aca="false">IF(OR($A204="",V$4=""),0,COUNTIFS(Formulas!$A$2:$A$1501,V$4,Formulas!$B$2:$B$1501,$A204))</f>
        <v>0</v>
      </c>
      <c r="W204" s="21" t="n">
        <f aca="false">IF(OR($A204="",W$4=""),0,COUNTIFS(Formulas!$A$2:$A$1501,W$4,Formulas!$B$2:$B$1501,$A204))</f>
        <v>0</v>
      </c>
      <c r="X204" s="21" t="n">
        <f aca="false">IF(OR($A204="",X$4=""),0,COUNTIFS(Formulas!$A$2:$A$1501,X$4,Formulas!$B$2:$B$1501,$A204))</f>
        <v>0</v>
      </c>
      <c r="Y204" s="21" t="n">
        <f aca="false">IF(OR($A204="",Y$4=""),0,COUNTIFS(Formulas!$A$2:$A$1501,Y$4,Formulas!$B$2:$B$1501,$A204))</f>
        <v>0</v>
      </c>
      <c r="Z204" s="21" t="n">
        <f aca="false">IF(OR($A204="",Z$4=""),0,COUNTIFS(Formulas!$A$2:$A$1501,Z$4,Formulas!$B$2:$B$1501,$A204))</f>
        <v>0</v>
      </c>
      <c r="AA204" s="21" t="n">
        <f aca="false">IF(OR($A204="",AA$4=""),0,COUNTIFS(Formulas!$A$2:$A$1501,AA$4,Formulas!$B$2:$B$1501,$A204))</f>
        <v>0</v>
      </c>
      <c r="AB204" s="21" t="n">
        <f aca="false">IF(OR($A204="",AB$4=""),0,COUNTIFS(Formulas!$A$2:$A$1501,AB$4,Formulas!$B$2:$B$1501,$A204))</f>
        <v>0</v>
      </c>
      <c r="AC204" s="21" t="n">
        <f aca="false">IF(OR($A204="",AC$4=""),0,COUNTIFS(Formulas!$A$2:$A$1501,AC$4,Formulas!$B$2:$B$1501,$A204))</f>
        <v>0</v>
      </c>
      <c r="AD204" s="21" t="n">
        <f aca="false">IF(OR($A204="",AD$4=""),0,COUNTIFS(Formulas!$A$2:$A$1501,AD$4,Formulas!$B$2:$B$1501,$A204))</f>
        <v>0</v>
      </c>
      <c r="AE204" s="21" t="n">
        <f aca="false">IF(OR($A204="",AE$4=""),0,COUNTIFS(Formulas!$A$2:$A$1501,AE$4,Formulas!$B$2:$B$1501,$A204))</f>
        <v>0</v>
      </c>
      <c r="AF204" s="21" t="n">
        <f aca="false">IF(OR($A204="",AF$4=""),0,COUNTIFS(Formulas!$A$2:$A$1501,AF$4,Formulas!$B$2:$B$1501,$A204))</f>
        <v>0</v>
      </c>
      <c r="AG204" s="21" t="n">
        <f aca="false">IF(OR($A204="",AG$4=""),0,COUNTIFS(Formulas!$A$2:$A$1501,AG$4,Formulas!$B$2:$B$1501,$A204))</f>
        <v>0</v>
      </c>
      <c r="AH204" s="21" t="n">
        <f aca="false">IF(OR($A204="",AH$4=""),0,COUNTIFS(Formulas!$A$2:$A$1501,AH$4,Formulas!$B$2:$B$1501,$A204))</f>
        <v>0</v>
      </c>
      <c r="AI204" s="21" t="n">
        <f aca="false">IF(OR($A204="",AI$4=""),0,COUNTIFS(Formulas!$A$2:$A$1501,AI$4,Formulas!$B$2:$B$1501,$A204))</f>
        <v>0</v>
      </c>
      <c r="AJ204" s="21" t="n">
        <f aca="false">IF(OR($A204="",AJ$4=""),0,COUNTIFS(Formulas!$A$2:$A$1501,AJ$4,Formulas!$B$2:$B$1501,$A204))</f>
        <v>0</v>
      </c>
      <c r="AK204" s="21" t="n">
        <f aca="false">IF(OR($A204="",AK$4=""),0,COUNTIFS(Formulas!$A$2:$A$1501,AK$4,Formulas!$B$2:$B$1501,$A204))</f>
        <v>0</v>
      </c>
      <c r="AL204" s="21" t="n">
        <f aca="false">IF(OR($A204="",AL$4=""),0,COUNTIFS(Formulas!$A$2:$A$1501,AL$4,Formulas!$B$2:$B$1501,$A204))</f>
        <v>0</v>
      </c>
      <c r="AM204" s="21" t="n">
        <f aca="false">IF(OR($A204="",AM$4=""),0,COUNTIFS(Formulas!$A$2:$A$1501,AM$4,Formulas!$B$2:$B$1501,$A204))</f>
        <v>0</v>
      </c>
      <c r="AN204" s="21" t="n">
        <f aca="false">IF(OR($A204="",AN$4=""),0,COUNTIFS(Formulas!$A$2:$A$1501,AN$4,Formulas!$B$2:$B$1501,$A204))</f>
        <v>0</v>
      </c>
      <c r="AO204" s="21" t="n">
        <f aca="false">IF(OR($A204="",AO$4=""),0,COUNTIFS(Formulas!$A$2:$A$1501,AO$4,Formulas!$B$2:$B$1501,$A204))</f>
        <v>0</v>
      </c>
      <c r="AP204" s="21" t="n">
        <f aca="false">IF(OR($A204="",AP$4=""),0,COUNTIFS(Formulas!$A$2:$A$1501,AP$4,Formulas!$B$2:$B$1501,$A204))</f>
        <v>0</v>
      </c>
      <c r="AQ204" s="21" t="n">
        <f aca="false">IF(OR($A204="",AQ$4=""),0,COUNTIFS(Formulas!$A$2:$A$1501,AQ$4,Formulas!$B$2:$B$1501,$A204))</f>
        <v>0</v>
      </c>
      <c r="AR204" s="21" t="n">
        <f aca="false">IF(OR($A204="",AR$4=""),0,COUNTIFS(Formulas!$A$2:$A$1501,AR$4,Formulas!$B$2:$B$1501,$A204))</f>
        <v>0</v>
      </c>
      <c r="AS204" s="21" t="n">
        <f aca="false">IF(OR($A204="",AS$4=""),0,COUNTIFS(Formulas!$A$2:$A$1501,AS$4,Formulas!$B$2:$B$1501,$A204))</f>
        <v>0</v>
      </c>
      <c r="AT204" s="21" t="n">
        <f aca="false">IF(OR($A204="",AT$4=""),0,COUNTIFS(Formulas!$A$2:$A$1501,AT$4,Formulas!$B$2:$B$1501,$A204))</f>
        <v>0</v>
      </c>
      <c r="AU204" s="21" t="n">
        <f aca="false">IF(OR($A204="",AU$4=""),0,COUNTIFS(Formulas!$A$2:$A$1501,AU$4,Formulas!$B$2:$B$1501,$A204))</f>
        <v>0</v>
      </c>
      <c r="AV204" s="21" t="n">
        <f aca="false">IF(OR($A204="",AV$4=""),0,COUNTIFS(Formulas!$A$2:$A$1501,AV$4,Formulas!$B$2:$B$1501,$A204))</f>
        <v>0</v>
      </c>
      <c r="AW204" s="21" t="n">
        <f aca="false">IF(OR($A204="",AW$4=""),0,COUNTIFS(Formulas!$A$2:$A$1501,AW$4,Formulas!$B$2:$B$1501,$A204))</f>
        <v>0</v>
      </c>
      <c r="AX204" s="21" t="n">
        <f aca="false">IF(OR($A204="",AX$4=""),0,COUNTIFS(Formulas!$A$2:$A$1501,AX$4,Formulas!$B$2:$B$1501,$A204))</f>
        <v>0</v>
      </c>
      <c r="AY204" s="21" t="n">
        <f aca="false">IF(OR($A204="",AY$4=""),0,COUNTIFS(Formulas!$A$2:$A$1501,AY$4,Formulas!$B$2:$B$1501,$A204))</f>
        <v>0</v>
      </c>
      <c r="AZ204" s="21" t="n">
        <f aca="false">IF(OR($A204="",AZ$4=""),0,COUNTIFS(Formulas!$A$2:$A$1501,AZ$4,Formulas!$B$2:$B$1501,$A204))</f>
        <v>0</v>
      </c>
      <c r="BA204" s="21" t="n">
        <f aca="false">IF(OR($A204="",BA$4=""),0,COUNTIFS(Formulas!$A$2:$A$1501,BA$4,Formulas!$B$2:$B$1501,$A204))</f>
        <v>0</v>
      </c>
      <c r="BB204" s="21" t="n">
        <f aca="false">IF(OR($A204="",BB$4=""),0,COUNTIFS(Formulas!$A$2:$A$1501,BB$4,Formulas!$B$2:$B$1501,$A204))</f>
        <v>0</v>
      </c>
      <c r="BC204" s="21" t="n">
        <f aca="false">IF(OR($A204="",BC$4=""),0,COUNTIFS(Formulas!$A$2:$A$1501,BC$4,Formulas!$B$2:$B$1501,$A204))</f>
        <v>0</v>
      </c>
      <c r="BD204" s="21" t="n">
        <f aca="false">IF(OR($A204="",BD$4=""),0,COUNTIFS(Formulas!$A$2:$A$1501,BD$4,Formulas!$B$2:$B$1501,$A204))</f>
        <v>0</v>
      </c>
      <c r="BE204" s="21" t="n">
        <f aca="false">IF(OR($A204="",BE$4=""),0,COUNTIFS(Formulas!$A$2:$A$1501,BE$4,Formulas!$B$2:$B$1501,$A204))</f>
        <v>0</v>
      </c>
      <c r="BF204" s="21" t="n">
        <f aca="false">IF(OR($A204="",BF$4=""),0,COUNTIFS(Formulas!$A$2:$A$1501,BF$4,Formulas!$B$2:$B$1501,$A204))</f>
        <v>0</v>
      </c>
      <c r="BG204" s="21" t="n">
        <f aca="false">IF(OR($A204="",BG$4=""),0,COUNTIFS(Formulas!$A$2:$A$1501,BG$4,Formulas!$B$2:$B$1501,$A204))</f>
        <v>0</v>
      </c>
      <c r="BH204" s="21" t="n">
        <f aca="false">IF(OR($A204="",BH$4=""),0,COUNTIFS(Formulas!$A$2:$A$1501,BH$4,Formulas!$B$2:$B$1501,$A204))</f>
        <v>0</v>
      </c>
      <c r="BI204" s="21" t="n">
        <f aca="false">IF(OR($A204="",BI$4=""),0,COUNTIFS(Formulas!$A$2:$A$1501,BI$4,Formulas!$B$2:$B$1501,$A204))</f>
        <v>0</v>
      </c>
      <c r="BJ204" s="21" t="n">
        <f aca="false">IF(OR($A204="",BJ$4=""),0,COUNTIFS(Formulas!$A$2:$A$1501,BJ$4,Formulas!$B$2:$B$1501,$A204))</f>
        <v>0</v>
      </c>
    </row>
  </sheetData>
  <conditionalFormatting sqref="C5:BJ204">
    <cfRule type="cellIs" priority="2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BJ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5"/>
    <col collapsed="false" customWidth="true" hidden="false" outlineLevel="0" max="62" min="3" style="0" width="4.5"/>
  </cols>
  <sheetData>
    <row r="1" customFormat="false" ht="17.3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13" t="s">
        <v>140</v>
      </c>
    </row>
    <row r="3" customFormat="false" ht="15" hidden="false" customHeight="false" outlineLevel="0" collapsed="false">
      <c r="C3" s="22" t="n">
        <v>1</v>
      </c>
      <c r="D3" s="22" t="n">
        <v>2</v>
      </c>
      <c r="E3" s="22" t="n">
        <v>3</v>
      </c>
      <c r="F3" s="22" t="n">
        <v>4</v>
      </c>
      <c r="G3" s="22" t="n">
        <v>5</v>
      </c>
      <c r="H3" s="22" t="n">
        <v>6</v>
      </c>
      <c r="I3" s="22" t="n">
        <v>7</v>
      </c>
      <c r="J3" s="22" t="n">
        <v>8</v>
      </c>
      <c r="K3" s="22" t="n">
        <v>9</v>
      </c>
      <c r="L3" s="22" t="n">
        <v>10</v>
      </c>
      <c r="M3" s="22" t="n">
        <v>11</v>
      </c>
      <c r="N3" s="22" t="n">
        <v>12</v>
      </c>
      <c r="O3" s="22" t="n">
        <v>13</v>
      </c>
      <c r="P3" s="22" t="n">
        <v>14</v>
      </c>
      <c r="Q3" s="22" t="n">
        <v>15</v>
      </c>
      <c r="R3" s="22" t="n">
        <v>16</v>
      </c>
      <c r="S3" s="22" t="n">
        <v>17</v>
      </c>
      <c r="T3" s="22" t="n">
        <v>18</v>
      </c>
      <c r="U3" s="22" t="n">
        <v>19</v>
      </c>
      <c r="V3" s="22" t="n">
        <v>20</v>
      </c>
      <c r="W3" s="22" t="n">
        <v>21</v>
      </c>
      <c r="X3" s="22" t="n">
        <v>22</v>
      </c>
      <c r="Y3" s="22" t="n">
        <v>23</v>
      </c>
      <c r="Z3" s="22" t="n">
        <v>24</v>
      </c>
      <c r="AA3" s="22" t="n">
        <v>25</v>
      </c>
      <c r="AB3" s="22" t="n">
        <v>26</v>
      </c>
      <c r="AC3" s="22" t="n">
        <v>27</v>
      </c>
      <c r="AD3" s="22" t="n">
        <v>28</v>
      </c>
      <c r="AE3" s="22" t="n">
        <v>29</v>
      </c>
      <c r="AF3" s="22" t="n">
        <v>30</v>
      </c>
      <c r="AG3" s="22" t="n">
        <v>31</v>
      </c>
      <c r="AH3" s="22" t="n">
        <v>32</v>
      </c>
      <c r="AI3" s="22" t="n">
        <v>33</v>
      </c>
      <c r="AJ3" s="22" t="n">
        <v>34</v>
      </c>
      <c r="AK3" s="22" t="n">
        <v>35</v>
      </c>
      <c r="AL3" s="22" t="n">
        <v>36</v>
      </c>
      <c r="AM3" s="22" t="n">
        <v>37</v>
      </c>
      <c r="AN3" s="22" t="n">
        <v>38</v>
      </c>
      <c r="AO3" s="22" t="n">
        <v>39</v>
      </c>
      <c r="AP3" s="22" t="n">
        <v>40</v>
      </c>
      <c r="AQ3" s="22" t="n">
        <v>41</v>
      </c>
      <c r="AR3" s="22" t="n">
        <v>42</v>
      </c>
      <c r="AS3" s="22" t="n">
        <v>43</v>
      </c>
      <c r="AT3" s="22" t="n">
        <v>44</v>
      </c>
      <c r="AU3" s="22" t="n">
        <v>45</v>
      </c>
      <c r="AV3" s="22" t="n">
        <v>46</v>
      </c>
      <c r="AW3" s="22" t="n">
        <v>47</v>
      </c>
      <c r="AX3" s="22" t="n">
        <v>48</v>
      </c>
      <c r="AY3" s="22" t="n">
        <v>49</v>
      </c>
      <c r="AZ3" s="22" t="n">
        <v>50</v>
      </c>
      <c r="BA3" s="22" t="n">
        <v>51</v>
      </c>
      <c r="BB3" s="22" t="n">
        <v>52</v>
      </c>
      <c r="BC3" s="22" t="n">
        <v>53</v>
      </c>
      <c r="BD3" s="22" t="n">
        <v>54</v>
      </c>
      <c r="BE3" s="22" t="n">
        <v>55</v>
      </c>
      <c r="BF3" s="22" t="n">
        <v>56</v>
      </c>
      <c r="BG3" s="22" t="n">
        <v>57</v>
      </c>
      <c r="BH3" s="22" t="n">
        <v>58</v>
      </c>
      <c r="BI3" s="22" t="n">
        <v>59</v>
      </c>
      <c r="BJ3" s="22" t="n">
        <v>60</v>
      </c>
    </row>
    <row r="4" customFormat="false" ht="79.5" hidden="false" customHeight="true" outlineLevel="0" collapsed="false">
      <c r="A4" s="11" t="s">
        <v>39</v>
      </c>
      <c r="B4" s="11" t="s">
        <v>141</v>
      </c>
      <c r="C4" s="20" t="str">
        <f aca="false">IF(INDEX(Products!$A$2:$A$61,C$3)="","",INDEX(Products!$A$2:$A$61,C$3))</f>
        <v>Product 1</v>
      </c>
      <c r="D4" s="20" t="str">
        <f aca="false">IF(INDEX(Products!$A$2:$A$61,D$3)="","",INDEX(Products!$A$2:$A$61,D$3))</f>
        <v>Product 2</v>
      </c>
      <c r="E4" s="20" t="str">
        <f aca="false">IF(INDEX(Products!$A$2:$A$61,E$3)="","",INDEX(Products!$A$2:$A$61,E$3))</f>
        <v>Product 3</v>
      </c>
      <c r="F4" s="20" t="str">
        <f aca="false">IF(INDEX(Products!$A$2:$A$61,F$3)="","",INDEX(Products!$A$2:$A$61,F$3))</f>
        <v>Product 4</v>
      </c>
      <c r="G4" s="20" t="str">
        <f aca="false">IF(INDEX(Products!$A$2:$A$61,G$3)="","",INDEX(Products!$A$2:$A$61,G$3))</f>
        <v>Product 5</v>
      </c>
      <c r="H4" s="20" t="str">
        <f aca="false">IF(INDEX(Products!$A$2:$A$61,H$3)="","",INDEX(Products!$A$2:$A$61,H$3))</f>
        <v>Product 6</v>
      </c>
      <c r="I4" s="20" t="str">
        <f aca="false">IF(INDEX(Products!$A$2:$A$61,I$3)="","",INDEX(Products!$A$2:$A$61,I$3))</f>
        <v>Product 7</v>
      </c>
      <c r="J4" s="20" t="str">
        <f aca="false">IF(INDEX(Products!$A$2:$A$61,J$3)="","",INDEX(Products!$A$2:$A$61,J$3))</f>
        <v>Product 8</v>
      </c>
      <c r="K4" s="20" t="str">
        <f aca="false">IF(INDEX(Products!$A$2:$A$61,K$3)="","",INDEX(Products!$A$2:$A$61,K$3))</f>
        <v>Product 9</v>
      </c>
      <c r="L4" s="20" t="str">
        <f aca="false">IF(INDEX(Products!$A$2:$A$61,L$3)="","",INDEX(Products!$A$2:$A$61,L$3))</f>
        <v>Product 10</v>
      </c>
      <c r="M4" s="20" t="str">
        <f aca="false">IF(INDEX(Products!$A$2:$A$61,M$3)="","",INDEX(Products!$A$2:$A$61,M$3))</f>
        <v/>
      </c>
      <c r="N4" s="20" t="str">
        <f aca="false">IF(INDEX(Products!$A$2:$A$61,N$3)="","",INDEX(Products!$A$2:$A$61,N$3))</f>
        <v/>
      </c>
      <c r="O4" s="20" t="str">
        <f aca="false">IF(INDEX(Products!$A$2:$A$61,O$3)="","",INDEX(Products!$A$2:$A$61,O$3))</f>
        <v/>
      </c>
      <c r="P4" s="20" t="str">
        <f aca="false">IF(INDEX(Products!$A$2:$A$61,P$3)="","",INDEX(Products!$A$2:$A$61,P$3))</f>
        <v/>
      </c>
      <c r="Q4" s="20" t="str">
        <f aca="false">IF(INDEX(Products!$A$2:$A$61,Q$3)="","",INDEX(Products!$A$2:$A$61,Q$3))</f>
        <v/>
      </c>
      <c r="R4" s="20" t="str">
        <f aca="false">IF(INDEX(Products!$A$2:$A$61,R$3)="","",INDEX(Products!$A$2:$A$61,R$3))</f>
        <v/>
      </c>
      <c r="S4" s="20" t="str">
        <f aca="false">IF(INDEX(Products!$A$2:$A$61,S$3)="","",INDEX(Products!$A$2:$A$61,S$3))</f>
        <v/>
      </c>
      <c r="T4" s="20" t="str">
        <f aca="false">IF(INDEX(Products!$A$2:$A$61,T$3)="","",INDEX(Products!$A$2:$A$61,T$3))</f>
        <v/>
      </c>
      <c r="U4" s="20" t="str">
        <f aca="false">IF(INDEX(Products!$A$2:$A$61,U$3)="","",INDEX(Products!$A$2:$A$61,U$3))</f>
        <v/>
      </c>
      <c r="V4" s="20" t="str">
        <f aca="false">IF(INDEX(Products!$A$2:$A$61,V$3)="","",INDEX(Products!$A$2:$A$61,V$3))</f>
        <v/>
      </c>
      <c r="W4" s="20" t="str">
        <f aca="false">IF(INDEX(Products!$A$2:$A$61,W$3)="","",INDEX(Products!$A$2:$A$61,W$3))</f>
        <v/>
      </c>
      <c r="X4" s="20" t="str">
        <f aca="false">IF(INDEX(Products!$A$2:$A$61,X$3)="","",INDEX(Products!$A$2:$A$61,X$3))</f>
        <v/>
      </c>
      <c r="Y4" s="20" t="str">
        <f aca="false">IF(INDEX(Products!$A$2:$A$61,Y$3)="","",INDEX(Products!$A$2:$A$61,Y$3))</f>
        <v/>
      </c>
      <c r="Z4" s="20" t="str">
        <f aca="false">IF(INDEX(Products!$A$2:$A$61,Z$3)="","",INDEX(Products!$A$2:$A$61,Z$3))</f>
        <v/>
      </c>
      <c r="AA4" s="20" t="str">
        <f aca="false">IF(INDEX(Products!$A$2:$A$61,AA$3)="","",INDEX(Products!$A$2:$A$61,AA$3))</f>
        <v/>
      </c>
      <c r="AB4" s="20" t="str">
        <f aca="false">IF(INDEX(Products!$A$2:$A$61,AB$3)="","",INDEX(Products!$A$2:$A$61,AB$3))</f>
        <v/>
      </c>
      <c r="AC4" s="20" t="str">
        <f aca="false">IF(INDEX(Products!$A$2:$A$61,AC$3)="","",INDEX(Products!$A$2:$A$61,AC$3))</f>
        <v/>
      </c>
      <c r="AD4" s="20" t="str">
        <f aca="false">IF(INDEX(Products!$A$2:$A$61,AD$3)="","",INDEX(Products!$A$2:$A$61,AD$3))</f>
        <v/>
      </c>
      <c r="AE4" s="20" t="str">
        <f aca="false">IF(INDEX(Products!$A$2:$A$61,AE$3)="","",INDEX(Products!$A$2:$A$61,AE$3))</f>
        <v/>
      </c>
      <c r="AF4" s="20" t="str">
        <f aca="false">IF(INDEX(Products!$A$2:$A$61,AF$3)="","",INDEX(Products!$A$2:$A$61,AF$3))</f>
        <v/>
      </c>
      <c r="AG4" s="20" t="str">
        <f aca="false">IF(INDEX(Products!$A$2:$A$61,AG$3)="","",INDEX(Products!$A$2:$A$61,AG$3))</f>
        <v/>
      </c>
      <c r="AH4" s="20" t="str">
        <f aca="false">IF(INDEX(Products!$A$2:$A$61,AH$3)="","",INDEX(Products!$A$2:$A$61,AH$3))</f>
        <v/>
      </c>
      <c r="AI4" s="20" t="str">
        <f aca="false">IF(INDEX(Products!$A$2:$A$61,AI$3)="","",INDEX(Products!$A$2:$A$61,AI$3))</f>
        <v/>
      </c>
      <c r="AJ4" s="20" t="str">
        <f aca="false">IF(INDEX(Products!$A$2:$A$61,AJ$3)="","",INDEX(Products!$A$2:$A$61,AJ$3))</f>
        <v/>
      </c>
      <c r="AK4" s="20" t="str">
        <f aca="false">IF(INDEX(Products!$A$2:$A$61,AK$3)="","",INDEX(Products!$A$2:$A$61,AK$3))</f>
        <v/>
      </c>
      <c r="AL4" s="20" t="str">
        <f aca="false">IF(INDEX(Products!$A$2:$A$61,AL$3)="","",INDEX(Products!$A$2:$A$61,AL$3))</f>
        <v/>
      </c>
      <c r="AM4" s="20" t="str">
        <f aca="false">IF(INDEX(Products!$A$2:$A$61,AM$3)="","",INDEX(Products!$A$2:$A$61,AM$3))</f>
        <v/>
      </c>
      <c r="AN4" s="20" t="str">
        <f aca="false">IF(INDEX(Products!$A$2:$A$61,AN$3)="","",INDEX(Products!$A$2:$A$61,AN$3))</f>
        <v/>
      </c>
      <c r="AO4" s="20" t="str">
        <f aca="false">IF(INDEX(Products!$A$2:$A$61,AO$3)="","",INDEX(Products!$A$2:$A$61,AO$3))</f>
        <v/>
      </c>
      <c r="AP4" s="20" t="str">
        <f aca="false">IF(INDEX(Products!$A$2:$A$61,AP$3)="","",INDEX(Products!$A$2:$A$61,AP$3))</f>
        <v/>
      </c>
      <c r="AQ4" s="20" t="str">
        <f aca="false">IF(INDEX(Products!$A$2:$A$61,AQ$3)="","",INDEX(Products!$A$2:$A$61,AQ$3))</f>
        <v/>
      </c>
      <c r="AR4" s="20" t="str">
        <f aca="false">IF(INDEX(Products!$A$2:$A$61,AR$3)="","",INDEX(Products!$A$2:$A$61,AR$3))</f>
        <v/>
      </c>
      <c r="AS4" s="20" t="str">
        <f aca="false">IF(INDEX(Products!$A$2:$A$61,AS$3)="","",INDEX(Products!$A$2:$A$61,AS$3))</f>
        <v/>
      </c>
      <c r="AT4" s="20" t="str">
        <f aca="false">IF(INDEX(Products!$A$2:$A$61,AT$3)="","",INDEX(Products!$A$2:$A$61,AT$3))</f>
        <v/>
      </c>
      <c r="AU4" s="20" t="str">
        <f aca="false">IF(INDEX(Products!$A$2:$A$61,AU$3)="","",INDEX(Products!$A$2:$A$61,AU$3))</f>
        <v/>
      </c>
      <c r="AV4" s="20" t="str">
        <f aca="false">IF(INDEX(Products!$A$2:$A$61,AV$3)="","",INDEX(Products!$A$2:$A$61,AV$3))</f>
        <v/>
      </c>
      <c r="AW4" s="20" t="str">
        <f aca="false">IF(INDEX(Products!$A$2:$A$61,AW$3)="","",INDEX(Products!$A$2:$A$61,AW$3))</f>
        <v/>
      </c>
      <c r="AX4" s="20" t="str">
        <f aca="false">IF(INDEX(Products!$A$2:$A$61,AX$3)="","",INDEX(Products!$A$2:$A$61,AX$3))</f>
        <v/>
      </c>
      <c r="AY4" s="20" t="str">
        <f aca="false">IF(INDEX(Products!$A$2:$A$61,AY$3)="","",INDEX(Products!$A$2:$A$61,AY$3))</f>
        <v/>
      </c>
      <c r="AZ4" s="20" t="str">
        <f aca="false">IF(INDEX(Products!$A$2:$A$61,AZ$3)="","",INDEX(Products!$A$2:$A$61,AZ$3))</f>
        <v/>
      </c>
      <c r="BA4" s="20" t="str">
        <f aca="false">IF(INDEX(Products!$A$2:$A$61,BA$3)="","",INDEX(Products!$A$2:$A$61,BA$3))</f>
        <v/>
      </c>
      <c r="BB4" s="20" t="str">
        <f aca="false">IF(INDEX(Products!$A$2:$A$61,BB$3)="","",INDEX(Products!$A$2:$A$61,BB$3))</f>
        <v/>
      </c>
      <c r="BC4" s="20" t="str">
        <f aca="false">IF(INDEX(Products!$A$2:$A$61,BC$3)="","",INDEX(Products!$A$2:$A$61,BC$3))</f>
        <v/>
      </c>
      <c r="BD4" s="20" t="str">
        <f aca="false">IF(INDEX(Products!$A$2:$A$61,BD$3)="","",INDEX(Products!$A$2:$A$61,BD$3))</f>
        <v/>
      </c>
      <c r="BE4" s="20" t="str">
        <f aca="false">IF(INDEX(Products!$A$2:$A$61,BE$3)="","",INDEX(Products!$A$2:$A$61,BE$3))</f>
        <v/>
      </c>
      <c r="BF4" s="20" t="str">
        <f aca="false">IF(INDEX(Products!$A$2:$A$61,BF$3)="","",INDEX(Products!$A$2:$A$61,BF$3))</f>
        <v/>
      </c>
      <c r="BG4" s="20" t="str">
        <f aca="false">IF(INDEX(Products!$A$2:$A$61,BG$3)="","",INDEX(Products!$A$2:$A$61,BG$3))</f>
        <v/>
      </c>
      <c r="BH4" s="20" t="str">
        <f aca="false">IF(INDEX(Products!$A$2:$A$61,BH$3)="","",INDEX(Products!$A$2:$A$61,BH$3))</f>
        <v/>
      </c>
      <c r="BI4" s="20" t="str">
        <f aca="false">IF(INDEX(Products!$A$2:$A$61,BI$3)="","",INDEX(Products!$A$2:$A$61,BI$3))</f>
        <v/>
      </c>
      <c r="BJ4" s="20" t="str">
        <f aca="false">IF(INDEX(Products!$A$2:$A$61,BJ$3)="","",INDEX(Products!$A$2:$A$61,BJ$3))</f>
        <v/>
      </c>
    </row>
    <row r="5" customFormat="false" ht="15" hidden="false" customHeight="false" outlineLevel="0" collapsed="false">
      <c r="A5" s="6" t="str">
        <f aca="false">IF(INDEX(Products!$A$2:$A$61,$B5)="","",INDEX(Products!$A$2:$A$61,$B5))</f>
        <v>Product 1</v>
      </c>
      <c r="B5" s="23" t="n">
        <v>1</v>
      </c>
      <c r="C5" s="12" t="n">
        <f aca="false">IF(OR($A5="",C$4=""),"",SUMPRODUCT(--(INDEX(Matrix!$C$5:$BJ$204,0,$B5)&gt;0),--(INDEX(Matrix!$C$5:$BJ$204,0,C$3)&gt;0)))</f>
        <v>16</v>
      </c>
      <c r="D5" s="12" t="n">
        <f aca="false">IF(OR($A5="",D$4=""),"",SUMPRODUCT(--(INDEX(Matrix!$C$5:$BJ$204,0,$B5)&gt;0),--(INDEX(Matrix!$C$5:$BJ$204,0,D$3)&gt;0)))</f>
        <v>16</v>
      </c>
      <c r="E5" s="12" t="n">
        <f aca="false">IF(OR($A5="",E$4=""),"",SUMPRODUCT(--(INDEX(Matrix!$C$5:$BJ$204,0,$B5)&gt;0),--(INDEX(Matrix!$C$5:$BJ$204,0,E$3)&gt;0)))</f>
        <v>15</v>
      </c>
      <c r="F5" s="12" t="n">
        <f aca="false">IF(OR($A5="",F$4=""),"",SUMPRODUCT(--(INDEX(Matrix!$C$5:$BJ$204,0,$B5)&gt;0),--(INDEX(Matrix!$C$5:$BJ$204,0,F$3)&gt;0)))</f>
        <v>11</v>
      </c>
      <c r="G5" s="12" t="n">
        <f aca="false">IF(OR($A5="",G$4=""),"",SUMPRODUCT(--(INDEX(Matrix!$C$5:$BJ$204,0,$B5)&gt;0),--(INDEX(Matrix!$C$5:$BJ$204,0,G$3)&gt;0)))</f>
        <v>11</v>
      </c>
      <c r="H5" s="12" t="n">
        <f aca="false">IF(OR($A5="",H$4=""),"",SUMPRODUCT(--(INDEX(Matrix!$C$5:$BJ$204,0,$B5)&gt;0),--(INDEX(Matrix!$C$5:$BJ$204,0,H$3)&gt;0)))</f>
        <v>11</v>
      </c>
      <c r="I5" s="12" t="n">
        <f aca="false">IF(OR($A5="",I$4=""),"",SUMPRODUCT(--(INDEX(Matrix!$C$5:$BJ$204,0,$B5)&gt;0),--(INDEX(Matrix!$C$5:$BJ$204,0,I$3)&gt;0)))</f>
        <v>9</v>
      </c>
      <c r="J5" s="12" t="n">
        <f aca="false">IF(OR($A5="",J$4=""),"",SUMPRODUCT(--(INDEX(Matrix!$C$5:$BJ$204,0,$B5)&gt;0),--(INDEX(Matrix!$C$5:$BJ$204,0,J$3)&gt;0)))</f>
        <v>9</v>
      </c>
      <c r="K5" s="12" t="n">
        <f aca="false">IF(OR($A5="",K$4=""),"",SUMPRODUCT(--(INDEX(Matrix!$C$5:$BJ$204,0,$B5)&gt;0),--(INDEX(Matrix!$C$5:$BJ$204,0,K$3)&gt;0)))</f>
        <v>6</v>
      </c>
      <c r="L5" s="12" t="n">
        <f aca="false">IF(OR($A5="",L$4=""),"",SUMPRODUCT(--(INDEX(Matrix!$C$5:$BJ$204,0,$B5)&gt;0),--(INDEX(Matrix!$C$5:$BJ$204,0,L$3)&gt;0)))</f>
        <v>6</v>
      </c>
      <c r="M5" s="12" t="str">
        <f aca="false">IF(OR($A5="",M$4=""),"",SUMPRODUCT(--(INDEX(Matrix!$C$5:$BJ$204,0,$B5)&gt;0),--(INDEX(Matrix!$C$5:$BJ$204,0,M$3)&gt;0)))</f>
        <v/>
      </c>
      <c r="N5" s="12" t="str">
        <f aca="false">IF(OR($A5="",N$4=""),"",SUMPRODUCT(--(INDEX(Matrix!$C$5:$BJ$204,0,$B5)&gt;0),--(INDEX(Matrix!$C$5:$BJ$204,0,N$3)&gt;0)))</f>
        <v/>
      </c>
      <c r="O5" s="12" t="str">
        <f aca="false">IF(OR($A5="",O$4=""),"",SUMPRODUCT(--(INDEX(Matrix!$C$5:$BJ$204,0,$B5)&gt;0),--(INDEX(Matrix!$C$5:$BJ$204,0,O$3)&gt;0)))</f>
        <v/>
      </c>
      <c r="P5" s="12" t="str">
        <f aca="false">IF(OR($A5="",P$4=""),"",SUMPRODUCT(--(INDEX(Matrix!$C$5:$BJ$204,0,$B5)&gt;0),--(INDEX(Matrix!$C$5:$BJ$204,0,P$3)&gt;0)))</f>
        <v/>
      </c>
      <c r="Q5" s="12" t="str">
        <f aca="false">IF(OR($A5="",Q$4=""),"",SUMPRODUCT(--(INDEX(Matrix!$C$5:$BJ$204,0,$B5)&gt;0),--(INDEX(Matrix!$C$5:$BJ$204,0,Q$3)&gt;0)))</f>
        <v/>
      </c>
      <c r="R5" s="12" t="str">
        <f aca="false">IF(OR($A5="",R$4=""),"",SUMPRODUCT(--(INDEX(Matrix!$C$5:$BJ$204,0,$B5)&gt;0),--(INDEX(Matrix!$C$5:$BJ$204,0,R$3)&gt;0)))</f>
        <v/>
      </c>
      <c r="S5" s="12" t="str">
        <f aca="false">IF(OR($A5="",S$4=""),"",SUMPRODUCT(--(INDEX(Matrix!$C$5:$BJ$204,0,$B5)&gt;0),--(INDEX(Matrix!$C$5:$BJ$204,0,S$3)&gt;0)))</f>
        <v/>
      </c>
      <c r="T5" s="12" t="str">
        <f aca="false">IF(OR($A5="",T$4=""),"",SUMPRODUCT(--(INDEX(Matrix!$C$5:$BJ$204,0,$B5)&gt;0),--(INDEX(Matrix!$C$5:$BJ$204,0,T$3)&gt;0)))</f>
        <v/>
      </c>
      <c r="U5" s="12" t="str">
        <f aca="false">IF(OR($A5="",U$4=""),"",SUMPRODUCT(--(INDEX(Matrix!$C$5:$BJ$204,0,$B5)&gt;0),--(INDEX(Matrix!$C$5:$BJ$204,0,U$3)&gt;0)))</f>
        <v/>
      </c>
      <c r="V5" s="12" t="str">
        <f aca="false">IF(OR($A5="",V$4=""),"",SUMPRODUCT(--(INDEX(Matrix!$C$5:$BJ$204,0,$B5)&gt;0),--(INDEX(Matrix!$C$5:$BJ$204,0,V$3)&gt;0)))</f>
        <v/>
      </c>
      <c r="W5" s="12" t="str">
        <f aca="false">IF(OR($A5="",W$4=""),"",SUMPRODUCT(--(INDEX(Matrix!$C$5:$BJ$204,0,$B5)&gt;0),--(INDEX(Matrix!$C$5:$BJ$204,0,W$3)&gt;0)))</f>
        <v/>
      </c>
      <c r="X5" s="12" t="str">
        <f aca="false">IF(OR($A5="",X$4=""),"",SUMPRODUCT(--(INDEX(Matrix!$C$5:$BJ$204,0,$B5)&gt;0),--(INDEX(Matrix!$C$5:$BJ$204,0,X$3)&gt;0)))</f>
        <v/>
      </c>
      <c r="Y5" s="12" t="str">
        <f aca="false">IF(OR($A5="",Y$4=""),"",SUMPRODUCT(--(INDEX(Matrix!$C$5:$BJ$204,0,$B5)&gt;0),--(INDEX(Matrix!$C$5:$BJ$204,0,Y$3)&gt;0)))</f>
        <v/>
      </c>
      <c r="Z5" s="12" t="str">
        <f aca="false">IF(OR($A5="",Z$4=""),"",SUMPRODUCT(--(INDEX(Matrix!$C$5:$BJ$204,0,$B5)&gt;0),--(INDEX(Matrix!$C$5:$BJ$204,0,Z$3)&gt;0)))</f>
        <v/>
      </c>
      <c r="AA5" s="12" t="str">
        <f aca="false">IF(OR($A5="",AA$4=""),"",SUMPRODUCT(--(INDEX(Matrix!$C$5:$BJ$204,0,$B5)&gt;0),--(INDEX(Matrix!$C$5:$BJ$204,0,AA$3)&gt;0)))</f>
        <v/>
      </c>
      <c r="AB5" s="12" t="str">
        <f aca="false">IF(OR($A5="",AB$4=""),"",SUMPRODUCT(--(INDEX(Matrix!$C$5:$BJ$204,0,$B5)&gt;0),--(INDEX(Matrix!$C$5:$BJ$204,0,AB$3)&gt;0)))</f>
        <v/>
      </c>
      <c r="AC5" s="12" t="str">
        <f aca="false">IF(OR($A5="",AC$4=""),"",SUMPRODUCT(--(INDEX(Matrix!$C$5:$BJ$204,0,$B5)&gt;0),--(INDEX(Matrix!$C$5:$BJ$204,0,AC$3)&gt;0)))</f>
        <v/>
      </c>
      <c r="AD5" s="12" t="str">
        <f aca="false">IF(OR($A5="",AD$4=""),"",SUMPRODUCT(--(INDEX(Matrix!$C$5:$BJ$204,0,$B5)&gt;0),--(INDEX(Matrix!$C$5:$BJ$204,0,AD$3)&gt;0)))</f>
        <v/>
      </c>
      <c r="AE5" s="12" t="str">
        <f aca="false">IF(OR($A5="",AE$4=""),"",SUMPRODUCT(--(INDEX(Matrix!$C$5:$BJ$204,0,$B5)&gt;0),--(INDEX(Matrix!$C$5:$BJ$204,0,AE$3)&gt;0)))</f>
        <v/>
      </c>
      <c r="AF5" s="12" t="str">
        <f aca="false">IF(OR($A5="",AF$4=""),"",SUMPRODUCT(--(INDEX(Matrix!$C$5:$BJ$204,0,$B5)&gt;0),--(INDEX(Matrix!$C$5:$BJ$204,0,AF$3)&gt;0)))</f>
        <v/>
      </c>
      <c r="AG5" s="12" t="str">
        <f aca="false">IF(OR($A5="",AG$4=""),"",SUMPRODUCT(--(INDEX(Matrix!$C$5:$BJ$204,0,$B5)&gt;0),--(INDEX(Matrix!$C$5:$BJ$204,0,AG$3)&gt;0)))</f>
        <v/>
      </c>
      <c r="AH5" s="12" t="str">
        <f aca="false">IF(OR($A5="",AH$4=""),"",SUMPRODUCT(--(INDEX(Matrix!$C$5:$BJ$204,0,$B5)&gt;0),--(INDEX(Matrix!$C$5:$BJ$204,0,AH$3)&gt;0)))</f>
        <v/>
      </c>
      <c r="AI5" s="12" t="str">
        <f aca="false">IF(OR($A5="",AI$4=""),"",SUMPRODUCT(--(INDEX(Matrix!$C$5:$BJ$204,0,$B5)&gt;0),--(INDEX(Matrix!$C$5:$BJ$204,0,AI$3)&gt;0)))</f>
        <v/>
      </c>
      <c r="AJ5" s="12" t="str">
        <f aca="false">IF(OR($A5="",AJ$4=""),"",SUMPRODUCT(--(INDEX(Matrix!$C$5:$BJ$204,0,$B5)&gt;0),--(INDEX(Matrix!$C$5:$BJ$204,0,AJ$3)&gt;0)))</f>
        <v/>
      </c>
      <c r="AK5" s="12" t="str">
        <f aca="false">IF(OR($A5="",AK$4=""),"",SUMPRODUCT(--(INDEX(Matrix!$C$5:$BJ$204,0,$B5)&gt;0),--(INDEX(Matrix!$C$5:$BJ$204,0,AK$3)&gt;0)))</f>
        <v/>
      </c>
      <c r="AL5" s="12" t="str">
        <f aca="false">IF(OR($A5="",AL$4=""),"",SUMPRODUCT(--(INDEX(Matrix!$C$5:$BJ$204,0,$B5)&gt;0),--(INDEX(Matrix!$C$5:$BJ$204,0,AL$3)&gt;0)))</f>
        <v/>
      </c>
      <c r="AM5" s="12" t="str">
        <f aca="false">IF(OR($A5="",AM$4=""),"",SUMPRODUCT(--(INDEX(Matrix!$C$5:$BJ$204,0,$B5)&gt;0),--(INDEX(Matrix!$C$5:$BJ$204,0,AM$3)&gt;0)))</f>
        <v/>
      </c>
      <c r="AN5" s="12" t="str">
        <f aca="false">IF(OR($A5="",AN$4=""),"",SUMPRODUCT(--(INDEX(Matrix!$C$5:$BJ$204,0,$B5)&gt;0),--(INDEX(Matrix!$C$5:$BJ$204,0,AN$3)&gt;0)))</f>
        <v/>
      </c>
      <c r="AO5" s="12" t="str">
        <f aca="false">IF(OR($A5="",AO$4=""),"",SUMPRODUCT(--(INDEX(Matrix!$C$5:$BJ$204,0,$B5)&gt;0),--(INDEX(Matrix!$C$5:$BJ$204,0,AO$3)&gt;0)))</f>
        <v/>
      </c>
      <c r="AP5" s="12" t="str">
        <f aca="false">IF(OR($A5="",AP$4=""),"",SUMPRODUCT(--(INDEX(Matrix!$C$5:$BJ$204,0,$B5)&gt;0),--(INDEX(Matrix!$C$5:$BJ$204,0,AP$3)&gt;0)))</f>
        <v/>
      </c>
      <c r="AQ5" s="12" t="str">
        <f aca="false">IF(OR($A5="",AQ$4=""),"",SUMPRODUCT(--(INDEX(Matrix!$C$5:$BJ$204,0,$B5)&gt;0),--(INDEX(Matrix!$C$5:$BJ$204,0,AQ$3)&gt;0)))</f>
        <v/>
      </c>
      <c r="AR5" s="12" t="str">
        <f aca="false">IF(OR($A5="",AR$4=""),"",SUMPRODUCT(--(INDEX(Matrix!$C$5:$BJ$204,0,$B5)&gt;0),--(INDEX(Matrix!$C$5:$BJ$204,0,AR$3)&gt;0)))</f>
        <v/>
      </c>
      <c r="AS5" s="12" t="str">
        <f aca="false">IF(OR($A5="",AS$4=""),"",SUMPRODUCT(--(INDEX(Matrix!$C$5:$BJ$204,0,$B5)&gt;0),--(INDEX(Matrix!$C$5:$BJ$204,0,AS$3)&gt;0)))</f>
        <v/>
      </c>
      <c r="AT5" s="12" t="str">
        <f aca="false">IF(OR($A5="",AT$4=""),"",SUMPRODUCT(--(INDEX(Matrix!$C$5:$BJ$204,0,$B5)&gt;0),--(INDEX(Matrix!$C$5:$BJ$204,0,AT$3)&gt;0)))</f>
        <v/>
      </c>
      <c r="AU5" s="12" t="str">
        <f aca="false">IF(OR($A5="",AU$4=""),"",SUMPRODUCT(--(INDEX(Matrix!$C$5:$BJ$204,0,$B5)&gt;0),--(INDEX(Matrix!$C$5:$BJ$204,0,AU$3)&gt;0)))</f>
        <v/>
      </c>
      <c r="AV5" s="12" t="str">
        <f aca="false">IF(OR($A5="",AV$4=""),"",SUMPRODUCT(--(INDEX(Matrix!$C$5:$BJ$204,0,$B5)&gt;0),--(INDEX(Matrix!$C$5:$BJ$204,0,AV$3)&gt;0)))</f>
        <v/>
      </c>
      <c r="AW5" s="12" t="str">
        <f aca="false">IF(OR($A5="",AW$4=""),"",SUMPRODUCT(--(INDEX(Matrix!$C$5:$BJ$204,0,$B5)&gt;0),--(INDEX(Matrix!$C$5:$BJ$204,0,AW$3)&gt;0)))</f>
        <v/>
      </c>
      <c r="AX5" s="12" t="str">
        <f aca="false">IF(OR($A5="",AX$4=""),"",SUMPRODUCT(--(INDEX(Matrix!$C$5:$BJ$204,0,$B5)&gt;0),--(INDEX(Matrix!$C$5:$BJ$204,0,AX$3)&gt;0)))</f>
        <v/>
      </c>
      <c r="AY5" s="12" t="str">
        <f aca="false">IF(OR($A5="",AY$4=""),"",SUMPRODUCT(--(INDEX(Matrix!$C$5:$BJ$204,0,$B5)&gt;0),--(INDEX(Matrix!$C$5:$BJ$204,0,AY$3)&gt;0)))</f>
        <v/>
      </c>
      <c r="AZ5" s="12" t="str">
        <f aca="false">IF(OR($A5="",AZ$4=""),"",SUMPRODUCT(--(INDEX(Matrix!$C$5:$BJ$204,0,$B5)&gt;0),--(INDEX(Matrix!$C$5:$BJ$204,0,AZ$3)&gt;0)))</f>
        <v/>
      </c>
      <c r="BA5" s="12" t="str">
        <f aca="false">IF(OR($A5="",BA$4=""),"",SUMPRODUCT(--(INDEX(Matrix!$C$5:$BJ$204,0,$B5)&gt;0),--(INDEX(Matrix!$C$5:$BJ$204,0,BA$3)&gt;0)))</f>
        <v/>
      </c>
      <c r="BB5" s="12" t="str">
        <f aca="false">IF(OR($A5="",BB$4=""),"",SUMPRODUCT(--(INDEX(Matrix!$C$5:$BJ$204,0,$B5)&gt;0),--(INDEX(Matrix!$C$5:$BJ$204,0,BB$3)&gt;0)))</f>
        <v/>
      </c>
      <c r="BC5" s="12" t="str">
        <f aca="false">IF(OR($A5="",BC$4=""),"",SUMPRODUCT(--(INDEX(Matrix!$C$5:$BJ$204,0,$B5)&gt;0),--(INDEX(Matrix!$C$5:$BJ$204,0,BC$3)&gt;0)))</f>
        <v/>
      </c>
      <c r="BD5" s="12" t="str">
        <f aca="false">IF(OR($A5="",BD$4=""),"",SUMPRODUCT(--(INDEX(Matrix!$C$5:$BJ$204,0,$B5)&gt;0),--(INDEX(Matrix!$C$5:$BJ$204,0,BD$3)&gt;0)))</f>
        <v/>
      </c>
      <c r="BE5" s="12" t="str">
        <f aca="false">IF(OR($A5="",BE$4=""),"",SUMPRODUCT(--(INDEX(Matrix!$C$5:$BJ$204,0,$B5)&gt;0),--(INDEX(Matrix!$C$5:$BJ$204,0,BE$3)&gt;0)))</f>
        <v/>
      </c>
      <c r="BF5" s="12" t="str">
        <f aca="false">IF(OR($A5="",BF$4=""),"",SUMPRODUCT(--(INDEX(Matrix!$C$5:$BJ$204,0,$B5)&gt;0),--(INDEX(Matrix!$C$5:$BJ$204,0,BF$3)&gt;0)))</f>
        <v/>
      </c>
      <c r="BG5" s="12" t="str">
        <f aca="false">IF(OR($A5="",BG$4=""),"",SUMPRODUCT(--(INDEX(Matrix!$C$5:$BJ$204,0,$B5)&gt;0),--(INDEX(Matrix!$C$5:$BJ$204,0,BG$3)&gt;0)))</f>
        <v/>
      </c>
      <c r="BH5" s="12" t="str">
        <f aca="false">IF(OR($A5="",BH$4=""),"",SUMPRODUCT(--(INDEX(Matrix!$C$5:$BJ$204,0,$B5)&gt;0),--(INDEX(Matrix!$C$5:$BJ$204,0,BH$3)&gt;0)))</f>
        <v/>
      </c>
      <c r="BI5" s="12" t="str">
        <f aca="false">IF(OR($A5="",BI$4=""),"",SUMPRODUCT(--(INDEX(Matrix!$C$5:$BJ$204,0,$B5)&gt;0),--(INDEX(Matrix!$C$5:$BJ$204,0,BI$3)&gt;0)))</f>
        <v/>
      </c>
      <c r="BJ5" s="12" t="str">
        <f aca="false">IF(OR($A5="",BJ$4=""),"",SUMPRODUCT(--(INDEX(Matrix!$C$5:$BJ$204,0,$B5)&gt;0),--(INDEX(Matrix!$C$5:$BJ$204,0,BJ$3)&gt;0)))</f>
        <v/>
      </c>
    </row>
    <row r="6" customFormat="false" ht="15" hidden="false" customHeight="false" outlineLevel="0" collapsed="false">
      <c r="A6" s="6" t="str">
        <f aca="false">IF(INDEX(Products!$A$2:$A$61,$B6)="","",INDEX(Products!$A$2:$A$61,$B6))</f>
        <v>Product 2</v>
      </c>
      <c r="B6" s="23" t="n">
        <v>2</v>
      </c>
      <c r="C6" s="12" t="n">
        <f aca="false">IF(OR($A6="",C$4=""),"",SUMPRODUCT(--(INDEX(Matrix!$C$5:$BJ$204,0,$B6)&gt;0),--(INDEX(Matrix!$C$5:$BJ$204,0,C$3)&gt;0)))</f>
        <v>16</v>
      </c>
      <c r="D6" s="12" t="n">
        <f aca="false">IF(OR($A6="",D$4=""),"",SUMPRODUCT(--(INDEX(Matrix!$C$5:$BJ$204,0,$B6)&gt;0),--(INDEX(Matrix!$C$5:$BJ$204,0,D$3)&gt;0)))</f>
        <v>17</v>
      </c>
      <c r="E6" s="12" t="n">
        <f aca="false">IF(OR($A6="",E$4=""),"",SUMPRODUCT(--(INDEX(Matrix!$C$5:$BJ$204,0,$B6)&gt;0),--(INDEX(Matrix!$C$5:$BJ$204,0,E$3)&gt;0)))</f>
        <v>16</v>
      </c>
      <c r="F6" s="12" t="n">
        <f aca="false">IF(OR($A6="",F$4=""),"",SUMPRODUCT(--(INDEX(Matrix!$C$5:$BJ$204,0,$B6)&gt;0),--(INDEX(Matrix!$C$5:$BJ$204,0,F$3)&gt;0)))</f>
        <v>11</v>
      </c>
      <c r="G6" s="12" t="n">
        <f aca="false">IF(OR($A6="",G$4=""),"",SUMPRODUCT(--(INDEX(Matrix!$C$5:$BJ$204,0,$B6)&gt;0),--(INDEX(Matrix!$C$5:$BJ$204,0,G$3)&gt;0)))</f>
        <v>11</v>
      </c>
      <c r="H6" s="12" t="n">
        <f aca="false">IF(OR($A6="",H$4=""),"",SUMPRODUCT(--(INDEX(Matrix!$C$5:$BJ$204,0,$B6)&gt;0),--(INDEX(Matrix!$C$5:$BJ$204,0,H$3)&gt;0)))</f>
        <v>11</v>
      </c>
      <c r="I6" s="12" t="n">
        <f aca="false">IF(OR($A6="",I$4=""),"",SUMPRODUCT(--(INDEX(Matrix!$C$5:$BJ$204,0,$B6)&gt;0),--(INDEX(Matrix!$C$5:$BJ$204,0,I$3)&gt;0)))</f>
        <v>9</v>
      </c>
      <c r="J6" s="12" t="n">
        <f aca="false">IF(OR($A6="",J$4=""),"",SUMPRODUCT(--(INDEX(Matrix!$C$5:$BJ$204,0,$B6)&gt;0),--(INDEX(Matrix!$C$5:$BJ$204,0,J$3)&gt;0)))</f>
        <v>9</v>
      </c>
      <c r="K6" s="12" t="n">
        <f aca="false">IF(OR($A6="",K$4=""),"",SUMPRODUCT(--(INDEX(Matrix!$C$5:$BJ$204,0,$B6)&gt;0),--(INDEX(Matrix!$C$5:$BJ$204,0,K$3)&gt;0)))</f>
        <v>6</v>
      </c>
      <c r="L6" s="12" t="n">
        <f aca="false">IF(OR($A6="",L$4=""),"",SUMPRODUCT(--(INDEX(Matrix!$C$5:$BJ$204,0,$B6)&gt;0),--(INDEX(Matrix!$C$5:$BJ$204,0,L$3)&gt;0)))</f>
        <v>6</v>
      </c>
      <c r="M6" s="12" t="str">
        <f aca="false">IF(OR($A6="",M$4=""),"",SUMPRODUCT(--(INDEX(Matrix!$C$5:$BJ$204,0,$B6)&gt;0),--(INDEX(Matrix!$C$5:$BJ$204,0,M$3)&gt;0)))</f>
        <v/>
      </c>
      <c r="N6" s="12" t="str">
        <f aca="false">IF(OR($A6="",N$4=""),"",SUMPRODUCT(--(INDEX(Matrix!$C$5:$BJ$204,0,$B6)&gt;0),--(INDEX(Matrix!$C$5:$BJ$204,0,N$3)&gt;0)))</f>
        <v/>
      </c>
      <c r="O6" s="12" t="str">
        <f aca="false">IF(OR($A6="",O$4=""),"",SUMPRODUCT(--(INDEX(Matrix!$C$5:$BJ$204,0,$B6)&gt;0),--(INDEX(Matrix!$C$5:$BJ$204,0,O$3)&gt;0)))</f>
        <v/>
      </c>
      <c r="P6" s="12" t="str">
        <f aca="false">IF(OR($A6="",P$4=""),"",SUMPRODUCT(--(INDEX(Matrix!$C$5:$BJ$204,0,$B6)&gt;0),--(INDEX(Matrix!$C$5:$BJ$204,0,P$3)&gt;0)))</f>
        <v/>
      </c>
      <c r="Q6" s="12" t="str">
        <f aca="false">IF(OR($A6="",Q$4=""),"",SUMPRODUCT(--(INDEX(Matrix!$C$5:$BJ$204,0,$B6)&gt;0),--(INDEX(Matrix!$C$5:$BJ$204,0,Q$3)&gt;0)))</f>
        <v/>
      </c>
      <c r="R6" s="12" t="str">
        <f aca="false">IF(OR($A6="",R$4=""),"",SUMPRODUCT(--(INDEX(Matrix!$C$5:$BJ$204,0,$B6)&gt;0),--(INDEX(Matrix!$C$5:$BJ$204,0,R$3)&gt;0)))</f>
        <v/>
      </c>
      <c r="S6" s="12" t="str">
        <f aca="false">IF(OR($A6="",S$4=""),"",SUMPRODUCT(--(INDEX(Matrix!$C$5:$BJ$204,0,$B6)&gt;0),--(INDEX(Matrix!$C$5:$BJ$204,0,S$3)&gt;0)))</f>
        <v/>
      </c>
      <c r="T6" s="12" t="str">
        <f aca="false">IF(OR($A6="",T$4=""),"",SUMPRODUCT(--(INDEX(Matrix!$C$5:$BJ$204,0,$B6)&gt;0),--(INDEX(Matrix!$C$5:$BJ$204,0,T$3)&gt;0)))</f>
        <v/>
      </c>
      <c r="U6" s="12" t="str">
        <f aca="false">IF(OR($A6="",U$4=""),"",SUMPRODUCT(--(INDEX(Matrix!$C$5:$BJ$204,0,$B6)&gt;0),--(INDEX(Matrix!$C$5:$BJ$204,0,U$3)&gt;0)))</f>
        <v/>
      </c>
      <c r="V6" s="12" t="str">
        <f aca="false">IF(OR($A6="",V$4=""),"",SUMPRODUCT(--(INDEX(Matrix!$C$5:$BJ$204,0,$B6)&gt;0),--(INDEX(Matrix!$C$5:$BJ$204,0,V$3)&gt;0)))</f>
        <v/>
      </c>
      <c r="W6" s="12" t="str">
        <f aca="false">IF(OR($A6="",W$4=""),"",SUMPRODUCT(--(INDEX(Matrix!$C$5:$BJ$204,0,$B6)&gt;0),--(INDEX(Matrix!$C$5:$BJ$204,0,W$3)&gt;0)))</f>
        <v/>
      </c>
      <c r="X6" s="12" t="str">
        <f aca="false">IF(OR($A6="",X$4=""),"",SUMPRODUCT(--(INDEX(Matrix!$C$5:$BJ$204,0,$B6)&gt;0),--(INDEX(Matrix!$C$5:$BJ$204,0,X$3)&gt;0)))</f>
        <v/>
      </c>
      <c r="Y6" s="12" t="str">
        <f aca="false">IF(OR($A6="",Y$4=""),"",SUMPRODUCT(--(INDEX(Matrix!$C$5:$BJ$204,0,$B6)&gt;0),--(INDEX(Matrix!$C$5:$BJ$204,0,Y$3)&gt;0)))</f>
        <v/>
      </c>
      <c r="Z6" s="12" t="str">
        <f aca="false">IF(OR($A6="",Z$4=""),"",SUMPRODUCT(--(INDEX(Matrix!$C$5:$BJ$204,0,$B6)&gt;0),--(INDEX(Matrix!$C$5:$BJ$204,0,Z$3)&gt;0)))</f>
        <v/>
      </c>
      <c r="AA6" s="12" t="str">
        <f aca="false">IF(OR($A6="",AA$4=""),"",SUMPRODUCT(--(INDEX(Matrix!$C$5:$BJ$204,0,$B6)&gt;0),--(INDEX(Matrix!$C$5:$BJ$204,0,AA$3)&gt;0)))</f>
        <v/>
      </c>
      <c r="AB6" s="12" t="str">
        <f aca="false">IF(OR($A6="",AB$4=""),"",SUMPRODUCT(--(INDEX(Matrix!$C$5:$BJ$204,0,$B6)&gt;0),--(INDEX(Matrix!$C$5:$BJ$204,0,AB$3)&gt;0)))</f>
        <v/>
      </c>
      <c r="AC6" s="12" t="str">
        <f aca="false">IF(OR($A6="",AC$4=""),"",SUMPRODUCT(--(INDEX(Matrix!$C$5:$BJ$204,0,$B6)&gt;0),--(INDEX(Matrix!$C$5:$BJ$204,0,AC$3)&gt;0)))</f>
        <v/>
      </c>
      <c r="AD6" s="12" t="str">
        <f aca="false">IF(OR($A6="",AD$4=""),"",SUMPRODUCT(--(INDEX(Matrix!$C$5:$BJ$204,0,$B6)&gt;0),--(INDEX(Matrix!$C$5:$BJ$204,0,AD$3)&gt;0)))</f>
        <v/>
      </c>
      <c r="AE6" s="12" t="str">
        <f aca="false">IF(OR($A6="",AE$4=""),"",SUMPRODUCT(--(INDEX(Matrix!$C$5:$BJ$204,0,$B6)&gt;0),--(INDEX(Matrix!$C$5:$BJ$204,0,AE$3)&gt;0)))</f>
        <v/>
      </c>
      <c r="AF6" s="12" t="str">
        <f aca="false">IF(OR($A6="",AF$4=""),"",SUMPRODUCT(--(INDEX(Matrix!$C$5:$BJ$204,0,$B6)&gt;0),--(INDEX(Matrix!$C$5:$BJ$204,0,AF$3)&gt;0)))</f>
        <v/>
      </c>
      <c r="AG6" s="12" t="str">
        <f aca="false">IF(OR($A6="",AG$4=""),"",SUMPRODUCT(--(INDEX(Matrix!$C$5:$BJ$204,0,$B6)&gt;0),--(INDEX(Matrix!$C$5:$BJ$204,0,AG$3)&gt;0)))</f>
        <v/>
      </c>
      <c r="AH6" s="12" t="str">
        <f aca="false">IF(OR($A6="",AH$4=""),"",SUMPRODUCT(--(INDEX(Matrix!$C$5:$BJ$204,0,$B6)&gt;0),--(INDEX(Matrix!$C$5:$BJ$204,0,AH$3)&gt;0)))</f>
        <v/>
      </c>
      <c r="AI6" s="12" t="str">
        <f aca="false">IF(OR($A6="",AI$4=""),"",SUMPRODUCT(--(INDEX(Matrix!$C$5:$BJ$204,0,$B6)&gt;0),--(INDEX(Matrix!$C$5:$BJ$204,0,AI$3)&gt;0)))</f>
        <v/>
      </c>
      <c r="AJ6" s="12" t="str">
        <f aca="false">IF(OR($A6="",AJ$4=""),"",SUMPRODUCT(--(INDEX(Matrix!$C$5:$BJ$204,0,$B6)&gt;0),--(INDEX(Matrix!$C$5:$BJ$204,0,AJ$3)&gt;0)))</f>
        <v/>
      </c>
      <c r="AK6" s="12" t="str">
        <f aca="false">IF(OR($A6="",AK$4=""),"",SUMPRODUCT(--(INDEX(Matrix!$C$5:$BJ$204,0,$B6)&gt;0),--(INDEX(Matrix!$C$5:$BJ$204,0,AK$3)&gt;0)))</f>
        <v/>
      </c>
      <c r="AL6" s="12" t="str">
        <f aca="false">IF(OR($A6="",AL$4=""),"",SUMPRODUCT(--(INDEX(Matrix!$C$5:$BJ$204,0,$B6)&gt;0),--(INDEX(Matrix!$C$5:$BJ$204,0,AL$3)&gt;0)))</f>
        <v/>
      </c>
      <c r="AM6" s="12" t="str">
        <f aca="false">IF(OR($A6="",AM$4=""),"",SUMPRODUCT(--(INDEX(Matrix!$C$5:$BJ$204,0,$B6)&gt;0),--(INDEX(Matrix!$C$5:$BJ$204,0,AM$3)&gt;0)))</f>
        <v/>
      </c>
      <c r="AN6" s="12" t="str">
        <f aca="false">IF(OR($A6="",AN$4=""),"",SUMPRODUCT(--(INDEX(Matrix!$C$5:$BJ$204,0,$B6)&gt;0),--(INDEX(Matrix!$C$5:$BJ$204,0,AN$3)&gt;0)))</f>
        <v/>
      </c>
      <c r="AO6" s="12" t="str">
        <f aca="false">IF(OR($A6="",AO$4=""),"",SUMPRODUCT(--(INDEX(Matrix!$C$5:$BJ$204,0,$B6)&gt;0),--(INDEX(Matrix!$C$5:$BJ$204,0,AO$3)&gt;0)))</f>
        <v/>
      </c>
      <c r="AP6" s="12" t="str">
        <f aca="false">IF(OR($A6="",AP$4=""),"",SUMPRODUCT(--(INDEX(Matrix!$C$5:$BJ$204,0,$B6)&gt;0),--(INDEX(Matrix!$C$5:$BJ$204,0,AP$3)&gt;0)))</f>
        <v/>
      </c>
      <c r="AQ6" s="12" t="str">
        <f aca="false">IF(OR($A6="",AQ$4=""),"",SUMPRODUCT(--(INDEX(Matrix!$C$5:$BJ$204,0,$B6)&gt;0),--(INDEX(Matrix!$C$5:$BJ$204,0,AQ$3)&gt;0)))</f>
        <v/>
      </c>
      <c r="AR6" s="12" t="str">
        <f aca="false">IF(OR($A6="",AR$4=""),"",SUMPRODUCT(--(INDEX(Matrix!$C$5:$BJ$204,0,$B6)&gt;0),--(INDEX(Matrix!$C$5:$BJ$204,0,AR$3)&gt;0)))</f>
        <v/>
      </c>
      <c r="AS6" s="12" t="str">
        <f aca="false">IF(OR($A6="",AS$4=""),"",SUMPRODUCT(--(INDEX(Matrix!$C$5:$BJ$204,0,$B6)&gt;0),--(INDEX(Matrix!$C$5:$BJ$204,0,AS$3)&gt;0)))</f>
        <v/>
      </c>
      <c r="AT6" s="12" t="str">
        <f aca="false">IF(OR($A6="",AT$4=""),"",SUMPRODUCT(--(INDEX(Matrix!$C$5:$BJ$204,0,$B6)&gt;0),--(INDEX(Matrix!$C$5:$BJ$204,0,AT$3)&gt;0)))</f>
        <v/>
      </c>
      <c r="AU6" s="12" t="str">
        <f aca="false">IF(OR($A6="",AU$4=""),"",SUMPRODUCT(--(INDEX(Matrix!$C$5:$BJ$204,0,$B6)&gt;0),--(INDEX(Matrix!$C$5:$BJ$204,0,AU$3)&gt;0)))</f>
        <v/>
      </c>
      <c r="AV6" s="12" t="str">
        <f aca="false">IF(OR($A6="",AV$4=""),"",SUMPRODUCT(--(INDEX(Matrix!$C$5:$BJ$204,0,$B6)&gt;0),--(INDEX(Matrix!$C$5:$BJ$204,0,AV$3)&gt;0)))</f>
        <v/>
      </c>
      <c r="AW6" s="12" t="str">
        <f aca="false">IF(OR($A6="",AW$4=""),"",SUMPRODUCT(--(INDEX(Matrix!$C$5:$BJ$204,0,$B6)&gt;0),--(INDEX(Matrix!$C$5:$BJ$204,0,AW$3)&gt;0)))</f>
        <v/>
      </c>
      <c r="AX6" s="12" t="str">
        <f aca="false">IF(OR($A6="",AX$4=""),"",SUMPRODUCT(--(INDEX(Matrix!$C$5:$BJ$204,0,$B6)&gt;0),--(INDEX(Matrix!$C$5:$BJ$204,0,AX$3)&gt;0)))</f>
        <v/>
      </c>
      <c r="AY6" s="12" t="str">
        <f aca="false">IF(OR($A6="",AY$4=""),"",SUMPRODUCT(--(INDEX(Matrix!$C$5:$BJ$204,0,$B6)&gt;0),--(INDEX(Matrix!$C$5:$BJ$204,0,AY$3)&gt;0)))</f>
        <v/>
      </c>
      <c r="AZ6" s="12" t="str">
        <f aca="false">IF(OR($A6="",AZ$4=""),"",SUMPRODUCT(--(INDEX(Matrix!$C$5:$BJ$204,0,$B6)&gt;0),--(INDEX(Matrix!$C$5:$BJ$204,0,AZ$3)&gt;0)))</f>
        <v/>
      </c>
      <c r="BA6" s="12" t="str">
        <f aca="false">IF(OR($A6="",BA$4=""),"",SUMPRODUCT(--(INDEX(Matrix!$C$5:$BJ$204,0,$B6)&gt;0),--(INDEX(Matrix!$C$5:$BJ$204,0,BA$3)&gt;0)))</f>
        <v/>
      </c>
      <c r="BB6" s="12" t="str">
        <f aca="false">IF(OR($A6="",BB$4=""),"",SUMPRODUCT(--(INDEX(Matrix!$C$5:$BJ$204,0,$B6)&gt;0),--(INDEX(Matrix!$C$5:$BJ$204,0,BB$3)&gt;0)))</f>
        <v/>
      </c>
      <c r="BC6" s="12" t="str">
        <f aca="false">IF(OR($A6="",BC$4=""),"",SUMPRODUCT(--(INDEX(Matrix!$C$5:$BJ$204,0,$B6)&gt;0),--(INDEX(Matrix!$C$5:$BJ$204,0,BC$3)&gt;0)))</f>
        <v/>
      </c>
      <c r="BD6" s="12" t="str">
        <f aca="false">IF(OR($A6="",BD$4=""),"",SUMPRODUCT(--(INDEX(Matrix!$C$5:$BJ$204,0,$B6)&gt;0),--(INDEX(Matrix!$C$5:$BJ$204,0,BD$3)&gt;0)))</f>
        <v/>
      </c>
      <c r="BE6" s="12" t="str">
        <f aca="false">IF(OR($A6="",BE$4=""),"",SUMPRODUCT(--(INDEX(Matrix!$C$5:$BJ$204,0,$B6)&gt;0),--(INDEX(Matrix!$C$5:$BJ$204,0,BE$3)&gt;0)))</f>
        <v/>
      </c>
      <c r="BF6" s="12" t="str">
        <f aca="false">IF(OR($A6="",BF$4=""),"",SUMPRODUCT(--(INDEX(Matrix!$C$5:$BJ$204,0,$B6)&gt;0),--(INDEX(Matrix!$C$5:$BJ$204,0,BF$3)&gt;0)))</f>
        <v/>
      </c>
      <c r="BG6" s="12" t="str">
        <f aca="false">IF(OR($A6="",BG$4=""),"",SUMPRODUCT(--(INDEX(Matrix!$C$5:$BJ$204,0,$B6)&gt;0),--(INDEX(Matrix!$C$5:$BJ$204,0,BG$3)&gt;0)))</f>
        <v/>
      </c>
      <c r="BH6" s="12" t="str">
        <f aca="false">IF(OR($A6="",BH$4=""),"",SUMPRODUCT(--(INDEX(Matrix!$C$5:$BJ$204,0,$B6)&gt;0),--(INDEX(Matrix!$C$5:$BJ$204,0,BH$3)&gt;0)))</f>
        <v/>
      </c>
      <c r="BI6" s="12" t="str">
        <f aca="false">IF(OR($A6="",BI$4=""),"",SUMPRODUCT(--(INDEX(Matrix!$C$5:$BJ$204,0,$B6)&gt;0),--(INDEX(Matrix!$C$5:$BJ$204,0,BI$3)&gt;0)))</f>
        <v/>
      </c>
      <c r="BJ6" s="12" t="str">
        <f aca="false">IF(OR($A6="",BJ$4=""),"",SUMPRODUCT(--(INDEX(Matrix!$C$5:$BJ$204,0,$B6)&gt;0),--(INDEX(Matrix!$C$5:$BJ$204,0,BJ$3)&gt;0)))</f>
        <v/>
      </c>
    </row>
    <row r="7" customFormat="false" ht="15" hidden="false" customHeight="false" outlineLevel="0" collapsed="false">
      <c r="A7" s="6" t="str">
        <f aca="false">IF(INDEX(Products!$A$2:$A$61,$B7)="","",INDEX(Products!$A$2:$A$61,$B7))</f>
        <v>Product 3</v>
      </c>
      <c r="B7" s="23" t="n">
        <v>3</v>
      </c>
      <c r="C7" s="12" t="n">
        <f aca="false">IF(OR($A7="",C$4=""),"",SUMPRODUCT(--(INDEX(Matrix!$C$5:$BJ$204,0,$B7)&gt;0),--(INDEX(Matrix!$C$5:$BJ$204,0,C$3)&gt;0)))</f>
        <v>15</v>
      </c>
      <c r="D7" s="12" t="n">
        <f aca="false">IF(OR($A7="",D$4=""),"",SUMPRODUCT(--(INDEX(Matrix!$C$5:$BJ$204,0,$B7)&gt;0),--(INDEX(Matrix!$C$5:$BJ$204,0,D$3)&gt;0)))</f>
        <v>16</v>
      </c>
      <c r="E7" s="12" t="n">
        <f aca="false">IF(OR($A7="",E$4=""),"",SUMPRODUCT(--(INDEX(Matrix!$C$5:$BJ$204,0,$B7)&gt;0),--(INDEX(Matrix!$C$5:$BJ$204,0,E$3)&gt;0)))</f>
        <v>16</v>
      </c>
      <c r="F7" s="12" t="n">
        <f aca="false">IF(OR($A7="",F$4=""),"",SUMPRODUCT(--(INDEX(Matrix!$C$5:$BJ$204,0,$B7)&gt;0),--(INDEX(Matrix!$C$5:$BJ$204,0,F$3)&gt;0)))</f>
        <v>11</v>
      </c>
      <c r="G7" s="12" t="n">
        <f aca="false">IF(OR($A7="",G$4=""),"",SUMPRODUCT(--(INDEX(Matrix!$C$5:$BJ$204,0,$B7)&gt;0),--(INDEX(Matrix!$C$5:$BJ$204,0,G$3)&gt;0)))</f>
        <v>11</v>
      </c>
      <c r="H7" s="12" t="n">
        <f aca="false">IF(OR($A7="",H$4=""),"",SUMPRODUCT(--(INDEX(Matrix!$C$5:$BJ$204,0,$B7)&gt;0),--(INDEX(Matrix!$C$5:$BJ$204,0,H$3)&gt;0)))</f>
        <v>11</v>
      </c>
      <c r="I7" s="12" t="n">
        <f aca="false">IF(OR($A7="",I$4=""),"",SUMPRODUCT(--(INDEX(Matrix!$C$5:$BJ$204,0,$B7)&gt;0),--(INDEX(Matrix!$C$5:$BJ$204,0,I$3)&gt;0)))</f>
        <v>8</v>
      </c>
      <c r="J7" s="12" t="n">
        <f aca="false">IF(OR($A7="",J$4=""),"",SUMPRODUCT(--(INDEX(Matrix!$C$5:$BJ$204,0,$B7)&gt;0),--(INDEX(Matrix!$C$5:$BJ$204,0,J$3)&gt;0)))</f>
        <v>8</v>
      </c>
      <c r="K7" s="12" t="n">
        <f aca="false">IF(OR($A7="",K$4=""),"",SUMPRODUCT(--(INDEX(Matrix!$C$5:$BJ$204,0,$B7)&gt;0),--(INDEX(Matrix!$C$5:$BJ$204,0,K$3)&gt;0)))</f>
        <v>6</v>
      </c>
      <c r="L7" s="12" t="n">
        <f aca="false">IF(OR($A7="",L$4=""),"",SUMPRODUCT(--(INDEX(Matrix!$C$5:$BJ$204,0,$B7)&gt;0),--(INDEX(Matrix!$C$5:$BJ$204,0,L$3)&gt;0)))</f>
        <v>6</v>
      </c>
      <c r="M7" s="12" t="str">
        <f aca="false">IF(OR($A7="",M$4=""),"",SUMPRODUCT(--(INDEX(Matrix!$C$5:$BJ$204,0,$B7)&gt;0),--(INDEX(Matrix!$C$5:$BJ$204,0,M$3)&gt;0)))</f>
        <v/>
      </c>
      <c r="N7" s="12" t="str">
        <f aca="false">IF(OR($A7="",N$4=""),"",SUMPRODUCT(--(INDEX(Matrix!$C$5:$BJ$204,0,$B7)&gt;0),--(INDEX(Matrix!$C$5:$BJ$204,0,N$3)&gt;0)))</f>
        <v/>
      </c>
      <c r="O7" s="12" t="str">
        <f aca="false">IF(OR($A7="",O$4=""),"",SUMPRODUCT(--(INDEX(Matrix!$C$5:$BJ$204,0,$B7)&gt;0),--(INDEX(Matrix!$C$5:$BJ$204,0,O$3)&gt;0)))</f>
        <v/>
      </c>
      <c r="P7" s="12" t="str">
        <f aca="false">IF(OR($A7="",P$4=""),"",SUMPRODUCT(--(INDEX(Matrix!$C$5:$BJ$204,0,$B7)&gt;0),--(INDEX(Matrix!$C$5:$BJ$204,0,P$3)&gt;0)))</f>
        <v/>
      </c>
      <c r="Q7" s="12" t="str">
        <f aca="false">IF(OR($A7="",Q$4=""),"",SUMPRODUCT(--(INDEX(Matrix!$C$5:$BJ$204,0,$B7)&gt;0),--(INDEX(Matrix!$C$5:$BJ$204,0,Q$3)&gt;0)))</f>
        <v/>
      </c>
      <c r="R7" s="12" t="str">
        <f aca="false">IF(OR($A7="",R$4=""),"",SUMPRODUCT(--(INDEX(Matrix!$C$5:$BJ$204,0,$B7)&gt;0),--(INDEX(Matrix!$C$5:$BJ$204,0,R$3)&gt;0)))</f>
        <v/>
      </c>
      <c r="S7" s="12" t="str">
        <f aca="false">IF(OR($A7="",S$4=""),"",SUMPRODUCT(--(INDEX(Matrix!$C$5:$BJ$204,0,$B7)&gt;0),--(INDEX(Matrix!$C$5:$BJ$204,0,S$3)&gt;0)))</f>
        <v/>
      </c>
      <c r="T7" s="12" t="str">
        <f aca="false">IF(OR($A7="",T$4=""),"",SUMPRODUCT(--(INDEX(Matrix!$C$5:$BJ$204,0,$B7)&gt;0),--(INDEX(Matrix!$C$5:$BJ$204,0,T$3)&gt;0)))</f>
        <v/>
      </c>
      <c r="U7" s="12" t="str">
        <f aca="false">IF(OR($A7="",U$4=""),"",SUMPRODUCT(--(INDEX(Matrix!$C$5:$BJ$204,0,$B7)&gt;0),--(INDEX(Matrix!$C$5:$BJ$204,0,U$3)&gt;0)))</f>
        <v/>
      </c>
      <c r="V7" s="12" t="str">
        <f aca="false">IF(OR($A7="",V$4=""),"",SUMPRODUCT(--(INDEX(Matrix!$C$5:$BJ$204,0,$B7)&gt;0),--(INDEX(Matrix!$C$5:$BJ$204,0,V$3)&gt;0)))</f>
        <v/>
      </c>
      <c r="W7" s="12" t="str">
        <f aca="false">IF(OR($A7="",W$4=""),"",SUMPRODUCT(--(INDEX(Matrix!$C$5:$BJ$204,0,$B7)&gt;0),--(INDEX(Matrix!$C$5:$BJ$204,0,W$3)&gt;0)))</f>
        <v/>
      </c>
      <c r="X7" s="12" t="str">
        <f aca="false">IF(OR($A7="",X$4=""),"",SUMPRODUCT(--(INDEX(Matrix!$C$5:$BJ$204,0,$B7)&gt;0),--(INDEX(Matrix!$C$5:$BJ$204,0,X$3)&gt;0)))</f>
        <v/>
      </c>
      <c r="Y7" s="12" t="str">
        <f aca="false">IF(OR($A7="",Y$4=""),"",SUMPRODUCT(--(INDEX(Matrix!$C$5:$BJ$204,0,$B7)&gt;0),--(INDEX(Matrix!$C$5:$BJ$204,0,Y$3)&gt;0)))</f>
        <v/>
      </c>
      <c r="Z7" s="12" t="str">
        <f aca="false">IF(OR($A7="",Z$4=""),"",SUMPRODUCT(--(INDEX(Matrix!$C$5:$BJ$204,0,$B7)&gt;0),--(INDEX(Matrix!$C$5:$BJ$204,0,Z$3)&gt;0)))</f>
        <v/>
      </c>
      <c r="AA7" s="12" t="str">
        <f aca="false">IF(OR($A7="",AA$4=""),"",SUMPRODUCT(--(INDEX(Matrix!$C$5:$BJ$204,0,$B7)&gt;0),--(INDEX(Matrix!$C$5:$BJ$204,0,AA$3)&gt;0)))</f>
        <v/>
      </c>
      <c r="AB7" s="12" t="str">
        <f aca="false">IF(OR($A7="",AB$4=""),"",SUMPRODUCT(--(INDEX(Matrix!$C$5:$BJ$204,0,$B7)&gt;0),--(INDEX(Matrix!$C$5:$BJ$204,0,AB$3)&gt;0)))</f>
        <v/>
      </c>
      <c r="AC7" s="12" t="str">
        <f aca="false">IF(OR($A7="",AC$4=""),"",SUMPRODUCT(--(INDEX(Matrix!$C$5:$BJ$204,0,$B7)&gt;0),--(INDEX(Matrix!$C$5:$BJ$204,0,AC$3)&gt;0)))</f>
        <v/>
      </c>
      <c r="AD7" s="12" t="str">
        <f aca="false">IF(OR($A7="",AD$4=""),"",SUMPRODUCT(--(INDEX(Matrix!$C$5:$BJ$204,0,$B7)&gt;0),--(INDEX(Matrix!$C$5:$BJ$204,0,AD$3)&gt;0)))</f>
        <v/>
      </c>
      <c r="AE7" s="12" t="str">
        <f aca="false">IF(OR($A7="",AE$4=""),"",SUMPRODUCT(--(INDEX(Matrix!$C$5:$BJ$204,0,$B7)&gt;0),--(INDEX(Matrix!$C$5:$BJ$204,0,AE$3)&gt;0)))</f>
        <v/>
      </c>
      <c r="AF7" s="12" t="str">
        <f aca="false">IF(OR($A7="",AF$4=""),"",SUMPRODUCT(--(INDEX(Matrix!$C$5:$BJ$204,0,$B7)&gt;0),--(INDEX(Matrix!$C$5:$BJ$204,0,AF$3)&gt;0)))</f>
        <v/>
      </c>
      <c r="AG7" s="12" t="str">
        <f aca="false">IF(OR($A7="",AG$4=""),"",SUMPRODUCT(--(INDEX(Matrix!$C$5:$BJ$204,0,$B7)&gt;0),--(INDEX(Matrix!$C$5:$BJ$204,0,AG$3)&gt;0)))</f>
        <v/>
      </c>
      <c r="AH7" s="12" t="str">
        <f aca="false">IF(OR($A7="",AH$4=""),"",SUMPRODUCT(--(INDEX(Matrix!$C$5:$BJ$204,0,$B7)&gt;0),--(INDEX(Matrix!$C$5:$BJ$204,0,AH$3)&gt;0)))</f>
        <v/>
      </c>
      <c r="AI7" s="12" t="str">
        <f aca="false">IF(OR($A7="",AI$4=""),"",SUMPRODUCT(--(INDEX(Matrix!$C$5:$BJ$204,0,$B7)&gt;0),--(INDEX(Matrix!$C$5:$BJ$204,0,AI$3)&gt;0)))</f>
        <v/>
      </c>
      <c r="AJ7" s="12" t="str">
        <f aca="false">IF(OR($A7="",AJ$4=""),"",SUMPRODUCT(--(INDEX(Matrix!$C$5:$BJ$204,0,$B7)&gt;0),--(INDEX(Matrix!$C$5:$BJ$204,0,AJ$3)&gt;0)))</f>
        <v/>
      </c>
      <c r="AK7" s="12" t="str">
        <f aca="false">IF(OR($A7="",AK$4=""),"",SUMPRODUCT(--(INDEX(Matrix!$C$5:$BJ$204,0,$B7)&gt;0),--(INDEX(Matrix!$C$5:$BJ$204,0,AK$3)&gt;0)))</f>
        <v/>
      </c>
      <c r="AL7" s="12" t="str">
        <f aca="false">IF(OR($A7="",AL$4=""),"",SUMPRODUCT(--(INDEX(Matrix!$C$5:$BJ$204,0,$B7)&gt;0),--(INDEX(Matrix!$C$5:$BJ$204,0,AL$3)&gt;0)))</f>
        <v/>
      </c>
      <c r="AM7" s="12" t="str">
        <f aca="false">IF(OR($A7="",AM$4=""),"",SUMPRODUCT(--(INDEX(Matrix!$C$5:$BJ$204,0,$B7)&gt;0),--(INDEX(Matrix!$C$5:$BJ$204,0,AM$3)&gt;0)))</f>
        <v/>
      </c>
      <c r="AN7" s="12" t="str">
        <f aca="false">IF(OR($A7="",AN$4=""),"",SUMPRODUCT(--(INDEX(Matrix!$C$5:$BJ$204,0,$B7)&gt;0),--(INDEX(Matrix!$C$5:$BJ$204,0,AN$3)&gt;0)))</f>
        <v/>
      </c>
      <c r="AO7" s="12" t="str">
        <f aca="false">IF(OR($A7="",AO$4=""),"",SUMPRODUCT(--(INDEX(Matrix!$C$5:$BJ$204,0,$B7)&gt;0),--(INDEX(Matrix!$C$5:$BJ$204,0,AO$3)&gt;0)))</f>
        <v/>
      </c>
      <c r="AP7" s="12" t="str">
        <f aca="false">IF(OR($A7="",AP$4=""),"",SUMPRODUCT(--(INDEX(Matrix!$C$5:$BJ$204,0,$B7)&gt;0),--(INDEX(Matrix!$C$5:$BJ$204,0,AP$3)&gt;0)))</f>
        <v/>
      </c>
      <c r="AQ7" s="12" t="str">
        <f aca="false">IF(OR($A7="",AQ$4=""),"",SUMPRODUCT(--(INDEX(Matrix!$C$5:$BJ$204,0,$B7)&gt;0),--(INDEX(Matrix!$C$5:$BJ$204,0,AQ$3)&gt;0)))</f>
        <v/>
      </c>
      <c r="AR7" s="12" t="str">
        <f aca="false">IF(OR($A7="",AR$4=""),"",SUMPRODUCT(--(INDEX(Matrix!$C$5:$BJ$204,0,$B7)&gt;0),--(INDEX(Matrix!$C$5:$BJ$204,0,AR$3)&gt;0)))</f>
        <v/>
      </c>
      <c r="AS7" s="12" t="str">
        <f aca="false">IF(OR($A7="",AS$4=""),"",SUMPRODUCT(--(INDEX(Matrix!$C$5:$BJ$204,0,$B7)&gt;0),--(INDEX(Matrix!$C$5:$BJ$204,0,AS$3)&gt;0)))</f>
        <v/>
      </c>
      <c r="AT7" s="12" t="str">
        <f aca="false">IF(OR($A7="",AT$4=""),"",SUMPRODUCT(--(INDEX(Matrix!$C$5:$BJ$204,0,$B7)&gt;0),--(INDEX(Matrix!$C$5:$BJ$204,0,AT$3)&gt;0)))</f>
        <v/>
      </c>
      <c r="AU7" s="12" t="str">
        <f aca="false">IF(OR($A7="",AU$4=""),"",SUMPRODUCT(--(INDEX(Matrix!$C$5:$BJ$204,0,$B7)&gt;0),--(INDEX(Matrix!$C$5:$BJ$204,0,AU$3)&gt;0)))</f>
        <v/>
      </c>
      <c r="AV7" s="12" t="str">
        <f aca="false">IF(OR($A7="",AV$4=""),"",SUMPRODUCT(--(INDEX(Matrix!$C$5:$BJ$204,0,$B7)&gt;0),--(INDEX(Matrix!$C$5:$BJ$204,0,AV$3)&gt;0)))</f>
        <v/>
      </c>
      <c r="AW7" s="12" t="str">
        <f aca="false">IF(OR($A7="",AW$4=""),"",SUMPRODUCT(--(INDEX(Matrix!$C$5:$BJ$204,0,$B7)&gt;0),--(INDEX(Matrix!$C$5:$BJ$204,0,AW$3)&gt;0)))</f>
        <v/>
      </c>
      <c r="AX7" s="12" t="str">
        <f aca="false">IF(OR($A7="",AX$4=""),"",SUMPRODUCT(--(INDEX(Matrix!$C$5:$BJ$204,0,$B7)&gt;0),--(INDEX(Matrix!$C$5:$BJ$204,0,AX$3)&gt;0)))</f>
        <v/>
      </c>
      <c r="AY7" s="12" t="str">
        <f aca="false">IF(OR($A7="",AY$4=""),"",SUMPRODUCT(--(INDEX(Matrix!$C$5:$BJ$204,0,$B7)&gt;0),--(INDEX(Matrix!$C$5:$BJ$204,0,AY$3)&gt;0)))</f>
        <v/>
      </c>
      <c r="AZ7" s="12" t="str">
        <f aca="false">IF(OR($A7="",AZ$4=""),"",SUMPRODUCT(--(INDEX(Matrix!$C$5:$BJ$204,0,$B7)&gt;0),--(INDEX(Matrix!$C$5:$BJ$204,0,AZ$3)&gt;0)))</f>
        <v/>
      </c>
      <c r="BA7" s="12" t="str">
        <f aca="false">IF(OR($A7="",BA$4=""),"",SUMPRODUCT(--(INDEX(Matrix!$C$5:$BJ$204,0,$B7)&gt;0),--(INDEX(Matrix!$C$5:$BJ$204,0,BA$3)&gt;0)))</f>
        <v/>
      </c>
      <c r="BB7" s="12" t="str">
        <f aca="false">IF(OR($A7="",BB$4=""),"",SUMPRODUCT(--(INDEX(Matrix!$C$5:$BJ$204,0,$B7)&gt;0),--(INDEX(Matrix!$C$5:$BJ$204,0,BB$3)&gt;0)))</f>
        <v/>
      </c>
      <c r="BC7" s="12" t="str">
        <f aca="false">IF(OR($A7="",BC$4=""),"",SUMPRODUCT(--(INDEX(Matrix!$C$5:$BJ$204,0,$B7)&gt;0),--(INDEX(Matrix!$C$5:$BJ$204,0,BC$3)&gt;0)))</f>
        <v/>
      </c>
      <c r="BD7" s="12" t="str">
        <f aca="false">IF(OR($A7="",BD$4=""),"",SUMPRODUCT(--(INDEX(Matrix!$C$5:$BJ$204,0,$B7)&gt;0),--(INDEX(Matrix!$C$5:$BJ$204,0,BD$3)&gt;0)))</f>
        <v/>
      </c>
      <c r="BE7" s="12" t="str">
        <f aca="false">IF(OR($A7="",BE$4=""),"",SUMPRODUCT(--(INDEX(Matrix!$C$5:$BJ$204,0,$B7)&gt;0),--(INDEX(Matrix!$C$5:$BJ$204,0,BE$3)&gt;0)))</f>
        <v/>
      </c>
      <c r="BF7" s="12" t="str">
        <f aca="false">IF(OR($A7="",BF$4=""),"",SUMPRODUCT(--(INDEX(Matrix!$C$5:$BJ$204,0,$B7)&gt;0),--(INDEX(Matrix!$C$5:$BJ$204,0,BF$3)&gt;0)))</f>
        <v/>
      </c>
      <c r="BG7" s="12" t="str">
        <f aca="false">IF(OR($A7="",BG$4=""),"",SUMPRODUCT(--(INDEX(Matrix!$C$5:$BJ$204,0,$B7)&gt;0),--(INDEX(Matrix!$C$5:$BJ$204,0,BG$3)&gt;0)))</f>
        <v/>
      </c>
      <c r="BH7" s="12" t="str">
        <f aca="false">IF(OR($A7="",BH$4=""),"",SUMPRODUCT(--(INDEX(Matrix!$C$5:$BJ$204,0,$B7)&gt;0),--(INDEX(Matrix!$C$5:$BJ$204,0,BH$3)&gt;0)))</f>
        <v/>
      </c>
      <c r="BI7" s="12" t="str">
        <f aca="false">IF(OR($A7="",BI$4=""),"",SUMPRODUCT(--(INDEX(Matrix!$C$5:$BJ$204,0,$B7)&gt;0),--(INDEX(Matrix!$C$5:$BJ$204,0,BI$3)&gt;0)))</f>
        <v/>
      </c>
      <c r="BJ7" s="12" t="str">
        <f aca="false">IF(OR($A7="",BJ$4=""),"",SUMPRODUCT(--(INDEX(Matrix!$C$5:$BJ$204,0,$B7)&gt;0),--(INDEX(Matrix!$C$5:$BJ$204,0,BJ$3)&gt;0)))</f>
        <v/>
      </c>
    </row>
    <row r="8" customFormat="false" ht="15" hidden="false" customHeight="false" outlineLevel="0" collapsed="false">
      <c r="A8" s="6" t="str">
        <f aca="false">IF(INDEX(Products!$A$2:$A$61,$B8)="","",INDEX(Products!$A$2:$A$61,$B8))</f>
        <v>Product 4</v>
      </c>
      <c r="B8" s="23" t="n">
        <v>4</v>
      </c>
      <c r="C8" s="12" t="n">
        <f aca="false">IF(OR($A8="",C$4=""),"",SUMPRODUCT(--(INDEX(Matrix!$C$5:$BJ$204,0,$B8)&gt;0),--(INDEX(Matrix!$C$5:$BJ$204,0,C$3)&gt;0)))</f>
        <v>11</v>
      </c>
      <c r="D8" s="12" t="n">
        <f aca="false">IF(OR($A8="",D$4=""),"",SUMPRODUCT(--(INDEX(Matrix!$C$5:$BJ$204,0,$B8)&gt;0),--(INDEX(Matrix!$C$5:$BJ$204,0,D$3)&gt;0)))</f>
        <v>11</v>
      </c>
      <c r="E8" s="12" t="n">
        <f aca="false">IF(OR($A8="",E$4=""),"",SUMPRODUCT(--(INDEX(Matrix!$C$5:$BJ$204,0,$B8)&gt;0),--(INDEX(Matrix!$C$5:$BJ$204,0,E$3)&gt;0)))</f>
        <v>11</v>
      </c>
      <c r="F8" s="12" t="n">
        <f aca="false">IF(OR($A8="",F$4=""),"",SUMPRODUCT(--(INDEX(Matrix!$C$5:$BJ$204,0,$B8)&gt;0),--(INDEX(Matrix!$C$5:$BJ$204,0,F$3)&gt;0)))</f>
        <v>15</v>
      </c>
      <c r="G8" s="12" t="n">
        <f aca="false">IF(OR($A8="",G$4=""),"",SUMPRODUCT(--(INDEX(Matrix!$C$5:$BJ$204,0,$B8)&gt;0),--(INDEX(Matrix!$C$5:$BJ$204,0,G$3)&gt;0)))</f>
        <v>15</v>
      </c>
      <c r="H8" s="12" t="n">
        <f aca="false">IF(OR($A8="",H$4=""),"",SUMPRODUCT(--(INDEX(Matrix!$C$5:$BJ$204,0,$B8)&gt;0),--(INDEX(Matrix!$C$5:$BJ$204,0,H$3)&gt;0)))</f>
        <v>15</v>
      </c>
      <c r="I8" s="12" t="n">
        <f aca="false">IF(OR($A8="",I$4=""),"",SUMPRODUCT(--(INDEX(Matrix!$C$5:$BJ$204,0,$B8)&gt;0),--(INDEX(Matrix!$C$5:$BJ$204,0,I$3)&gt;0)))</f>
        <v>8</v>
      </c>
      <c r="J8" s="12" t="n">
        <f aca="false">IF(OR($A8="",J$4=""),"",SUMPRODUCT(--(INDEX(Matrix!$C$5:$BJ$204,0,$B8)&gt;0),--(INDEX(Matrix!$C$5:$BJ$204,0,J$3)&gt;0)))</f>
        <v>8</v>
      </c>
      <c r="K8" s="12" t="n">
        <f aca="false">IF(OR($A8="",K$4=""),"",SUMPRODUCT(--(INDEX(Matrix!$C$5:$BJ$204,0,$B8)&gt;0),--(INDEX(Matrix!$C$5:$BJ$204,0,K$3)&gt;0)))</f>
        <v>6</v>
      </c>
      <c r="L8" s="12" t="n">
        <f aca="false">IF(OR($A8="",L$4=""),"",SUMPRODUCT(--(INDEX(Matrix!$C$5:$BJ$204,0,$B8)&gt;0),--(INDEX(Matrix!$C$5:$BJ$204,0,L$3)&gt;0)))</f>
        <v>6</v>
      </c>
      <c r="M8" s="12" t="str">
        <f aca="false">IF(OR($A8="",M$4=""),"",SUMPRODUCT(--(INDEX(Matrix!$C$5:$BJ$204,0,$B8)&gt;0),--(INDEX(Matrix!$C$5:$BJ$204,0,M$3)&gt;0)))</f>
        <v/>
      </c>
      <c r="N8" s="12" t="str">
        <f aca="false">IF(OR($A8="",N$4=""),"",SUMPRODUCT(--(INDEX(Matrix!$C$5:$BJ$204,0,$B8)&gt;0),--(INDEX(Matrix!$C$5:$BJ$204,0,N$3)&gt;0)))</f>
        <v/>
      </c>
      <c r="O8" s="12" t="str">
        <f aca="false">IF(OR($A8="",O$4=""),"",SUMPRODUCT(--(INDEX(Matrix!$C$5:$BJ$204,0,$B8)&gt;0),--(INDEX(Matrix!$C$5:$BJ$204,0,O$3)&gt;0)))</f>
        <v/>
      </c>
      <c r="P8" s="12" t="str">
        <f aca="false">IF(OR($A8="",P$4=""),"",SUMPRODUCT(--(INDEX(Matrix!$C$5:$BJ$204,0,$B8)&gt;0),--(INDEX(Matrix!$C$5:$BJ$204,0,P$3)&gt;0)))</f>
        <v/>
      </c>
      <c r="Q8" s="12" t="str">
        <f aca="false">IF(OR($A8="",Q$4=""),"",SUMPRODUCT(--(INDEX(Matrix!$C$5:$BJ$204,0,$B8)&gt;0),--(INDEX(Matrix!$C$5:$BJ$204,0,Q$3)&gt;0)))</f>
        <v/>
      </c>
      <c r="R8" s="12" t="str">
        <f aca="false">IF(OR($A8="",R$4=""),"",SUMPRODUCT(--(INDEX(Matrix!$C$5:$BJ$204,0,$B8)&gt;0),--(INDEX(Matrix!$C$5:$BJ$204,0,R$3)&gt;0)))</f>
        <v/>
      </c>
      <c r="S8" s="12" t="str">
        <f aca="false">IF(OR($A8="",S$4=""),"",SUMPRODUCT(--(INDEX(Matrix!$C$5:$BJ$204,0,$B8)&gt;0),--(INDEX(Matrix!$C$5:$BJ$204,0,S$3)&gt;0)))</f>
        <v/>
      </c>
      <c r="T8" s="12" t="str">
        <f aca="false">IF(OR($A8="",T$4=""),"",SUMPRODUCT(--(INDEX(Matrix!$C$5:$BJ$204,0,$B8)&gt;0),--(INDEX(Matrix!$C$5:$BJ$204,0,T$3)&gt;0)))</f>
        <v/>
      </c>
      <c r="U8" s="12" t="str">
        <f aca="false">IF(OR($A8="",U$4=""),"",SUMPRODUCT(--(INDEX(Matrix!$C$5:$BJ$204,0,$B8)&gt;0),--(INDEX(Matrix!$C$5:$BJ$204,0,U$3)&gt;0)))</f>
        <v/>
      </c>
      <c r="V8" s="12" t="str">
        <f aca="false">IF(OR($A8="",V$4=""),"",SUMPRODUCT(--(INDEX(Matrix!$C$5:$BJ$204,0,$B8)&gt;0),--(INDEX(Matrix!$C$5:$BJ$204,0,V$3)&gt;0)))</f>
        <v/>
      </c>
      <c r="W8" s="12" t="str">
        <f aca="false">IF(OR($A8="",W$4=""),"",SUMPRODUCT(--(INDEX(Matrix!$C$5:$BJ$204,0,$B8)&gt;0),--(INDEX(Matrix!$C$5:$BJ$204,0,W$3)&gt;0)))</f>
        <v/>
      </c>
      <c r="X8" s="12" t="str">
        <f aca="false">IF(OR($A8="",X$4=""),"",SUMPRODUCT(--(INDEX(Matrix!$C$5:$BJ$204,0,$B8)&gt;0),--(INDEX(Matrix!$C$5:$BJ$204,0,X$3)&gt;0)))</f>
        <v/>
      </c>
      <c r="Y8" s="12" t="str">
        <f aca="false">IF(OR($A8="",Y$4=""),"",SUMPRODUCT(--(INDEX(Matrix!$C$5:$BJ$204,0,$B8)&gt;0),--(INDEX(Matrix!$C$5:$BJ$204,0,Y$3)&gt;0)))</f>
        <v/>
      </c>
      <c r="Z8" s="12" t="str">
        <f aca="false">IF(OR($A8="",Z$4=""),"",SUMPRODUCT(--(INDEX(Matrix!$C$5:$BJ$204,0,$B8)&gt;0),--(INDEX(Matrix!$C$5:$BJ$204,0,Z$3)&gt;0)))</f>
        <v/>
      </c>
      <c r="AA8" s="12" t="str">
        <f aca="false">IF(OR($A8="",AA$4=""),"",SUMPRODUCT(--(INDEX(Matrix!$C$5:$BJ$204,0,$B8)&gt;0),--(INDEX(Matrix!$C$5:$BJ$204,0,AA$3)&gt;0)))</f>
        <v/>
      </c>
      <c r="AB8" s="12" t="str">
        <f aca="false">IF(OR($A8="",AB$4=""),"",SUMPRODUCT(--(INDEX(Matrix!$C$5:$BJ$204,0,$B8)&gt;0),--(INDEX(Matrix!$C$5:$BJ$204,0,AB$3)&gt;0)))</f>
        <v/>
      </c>
      <c r="AC8" s="12" t="str">
        <f aca="false">IF(OR($A8="",AC$4=""),"",SUMPRODUCT(--(INDEX(Matrix!$C$5:$BJ$204,0,$B8)&gt;0),--(INDEX(Matrix!$C$5:$BJ$204,0,AC$3)&gt;0)))</f>
        <v/>
      </c>
      <c r="AD8" s="12" t="str">
        <f aca="false">IF(OR($A8="",AD$4=""),"",SUMPRODUCT(--(INDEX(Matrix!$C$5:$BJ$204,0,$B8)&gt;0),--(INDEX(Matrix!$C$5:$BJ$204,0,AD$3)&gt;0)))</f>
        <v/>
      </c>
      <c r="AE8" s="12" t="str">
        <f aca="false">IF(OR($A8="",AE$4=""),"",SUMPRODUCT(--(INDEX(Matrix!$C$5:$BJ$204,0,$B8)&gt;0),--(INDEX(Matrix!$C$5:$BJ$204,0,AE$3)&gt;0)))</f>
        <v/>
      </c>
      <c r="AF8" s="12" t="str">
        <f aca="false">IF(OR($A8="",AF$4=""),"",SUMPRODUCT(--(INDEX(Matrix!$C$5:$BJ$204,0,$B8)&gt;0),--(INDEX(Matrix!$C$5:$BJ$204,0,AF$3)&gt;0)))</f>
        <v/>
      </c>
      <c r="AG8" s="12" t="str">
        <f aca="false">IF(OR($A8="",AG$4=""),"",SUMPRODUCT(--(INDEX(Matrix!$C$5:$BJ$204,0,$B8)&gt;0),--(INDEX(Matrix!$C$5:$BJ$204,0,AG$3)&gt;0)))</f>
        <v/>
      </c>
      <c r="AH8" s="12" t="str">
        <f aca="false">IF(OR($A8="",AH$4=""),"",SUMPRODUCT(--(INDEX(Matrix!$C$5:$BJ$204,0,$B8)&gt;0),--(INDEX(Matrix!$C$5:$BJ$204,0,AH$3)&gt;0)))</f>
        <v/>
      </c>
      <c r="AI8" s="12" t="str">
        <f aca="false">IF(OR($A8="",AI$4=""),"",SUMPRODUCT(--(INDEX(Matrix!$C$5:$BJ$204,0,$B8)&gt;0),--(INDEX(Matrix!$C$5:$BJ$204,0,AI$3)&gt;0)))</f>
        <v/>
      </c>
      <c r="AJ8" s="12" t="str">
        <f aca="false">IF(OR($A8="",AJ$4=""),"",SUMPRODUCT(--(INDEX(Matrix!$C$5:$BJ$204,0,$B8)&gt;0),--(INDEX(Matrix!$C$5:$BJ$204,0,AJ$3)&gt;0)))</f>
        <v/>
      </c>
      <c r="AK8" s="12" t="str">
        <f aca="false">IF(OR($A8="",AK$4=""),"",SUMPRODUCT(--(INDEX(Matrix!$C$5:$BJ$204,0,$B8)&gt;0),--(INDEX(Matrix!$C$5:$BJ$204,0,AK$3)&gt;0)))</f>
        <v/>
      </c>
      <c r="AL8" s="12" t="str">
        <f aca="false">IF(OR($A8="",AL$4=""),"",SUMPRODUCT(--(INDEX(Matrix!$C$5:$BJ$204,0,$B8)&gt;0),--(INDEX(Matrix!$C$5:$BJ$204,0,AL$3)&gt;0)))</f>
        <v/>
      </c>
      <c r="AM8" s="12" t="str">
        <f aca="false">IF(OR($A8="",AM$4=""),"",SUMPRODUCT(--(INDEX(Matrix!$C$5:$BJ$204,0,$B8)&gt;0),--(INDEX(Matrix!$C$5:$BJ$204,0,AM$3)&gt;0)))</f>
        <v/>
      </c>
      <c r="AN8" s="12" t="str">
        <f aca="false">IF(OR($A8="",AN$4=""),"",SUMPRODUCT(--(INDEX(Matrix!$C$5:$BJ$204,0,$B8)&gt;0),--(INDEX(Matrix!$C$5:$BJ$204,0,AN$3)&gt;0)))</f>
        <v/>
      </c>
      <c r="AO8" s="12" t="str">
        <f aca="false">IF(OR($A8="",AO$4=""),"",SUMPRODUCT(--(INDEX(Matrix!$C$5:$BJ$204,0,$B8)&gt;0),--(INDEX(Matrix!$C$5:$BJ$204,0,AO$3)&gt;0)))</f>
        <v/>
      </c>
      <c r="AP8" s="12" t="str">
        <f aca="false">IF(OR($A8="",AP$4=""),"",SUMPRODUCT(--(INDEX(Matrix!$C$5:$BJ$204,0,$B8)&gt;0),--(INDEX(Matrix!$C$5:$BJ$204,0,AP$3)&gt;0)))</f>
        <v/>
      </c>
      <c r="AQ8" s="12" t="str">
        <f aca="false">IF(OR($A8="",AQ$4=""),"",SUMPRODUCT(--(INDEX(Matrix!$C$5:$BJ$204,0,$B8)&gt;0),--(INDEX(Matrix!$C$5:$BJ$204,0,AQ$3)&gt;0)))</f>
        <v/>
      </c>
      <c r="AR8" s="12" t="str">
        <f aca="false">IF(OR($A8="",AR$4=""),"",SUMPRODUCT(--(INDEX(Matrix!$C$5:$BJ$204,0,$B8)&gt;0),--(INDEX(Matrix!$C$5:$BJ$204,0,AR$3)&gt;0)))</f>
        <v/>
      </c>
      <c r="AS8" s="12" t="str">
        <f aca="false">IF(OR($A8="",AS$4=""),"",SUMPRODUCT(--(INDEX(Matrix!$C$5:$BJ$204,0,$B8)&gt;0),--(INDEX(Matrix!$C$5:$BJ$204,0,AS$3)&gt;0)))</f>
        <v/>
      </c>
      <c r="AT8" s="12" t="str">
        <f aca="false">IF(OR($A8="",AT$4=""),"",SUMPRODUCT(--(INDEX(Matrix!$C$5:$BJ$204,0,$B8)&gt;0),--(INDEX(Matrix!$C$5:$BJ$204,0,AT$3)&gt;0)))</f>
        <v/>
      </c>
      <c r="AU8" s="12" t="str">
        <f aca="false">IF(OR($A8="",AU$4=""),"",SUMPRODUCT(--(INDEX(Matrix!$C$5:$BJ$204,0,$B8)&gt;0),--(INDEX(Matrix!$C$5:$BJ$204,0,AU$3)&gt;0)))</f>
        <v/>
      </c>
      <c r="AV8" s="12" t="str">
        <f aca="false">IF(OR($A8="",AV$4=""),"",SUMPRODUCT(--(INDEX(Matrix!$C$5:$BJ$204,0,$B8)&gt;0),--(INDEX(Matrix!$C$5:$BJ$204,0,AV$3)&gt;0)))</f>
        <v/>
      </c>
      <c r="AW8" s="12" t="str">
        <f aca="false">IF(OR($A8="",AW$4=""),"",SUMPRODUCT(--(INDEX(Matrix!$C$5:$BJ$204,0,$B8)&gt;0),--(INDEX(Matrix!$C$5:$BJ$204,0,AW$3)&gt;0)))</f>
        <v/>
      </c>
      <c r="AX8" s="12" t="str">
        <f aca="false">IF(OR($A8="",AX$4=""),"",SUMPRODUCT(--(INDEX(Matrix!$C$5:$BJ$204,0,$B8)&gt;0),--(INDEX(Matrix!$C$5:$BJ$204,0,AX$3)&gt;0)))</f>
        <v/>
      </c>
      <c r="AY8" s="12" t="str">
        <f aca="false">IF(OR($A8="",AY$4=""),"",SUMPRODUCT(--(INDEX(Matrix!$C$5:$BJ$204,0,$B8)&gt;0),--(INDEX(Matrix!$C$5:$BJ$204,0,AY$3)&gt;0)))</f>
        <v/>
      </c>
      <c r="AZ8" s="12" t="str">
        <f aca="false">IF(OR($A8="",AZ$4=""),"",SUMPRODUCT(--(INDEX(Matrix!$C$5:$BJ$204,0,$B8)&gt;0),--(INDEX(Matrix!$C$5:$BJ$204,0,AZ$3)&gt;0)))</f>
        <v/>
      </c>
      <c r="BA8" s="12" t="str">
        <f aca="false">IF(OR($A8="",BA$4=""),"",SUMPRODUCT(--(INDEX(Matrix!$C$5:$BJ$204,0,$B8)&gt;0),--(INDEX(Matrix!$C$5:$BJ$204,0,BA$3)&gt;0)))</f>
        <v/>
      </c>
      <c r="BB8" s="12" t="str">
        <f aca="false">IF(OR($A8="",BB$4=""),"",SUMPRODUCT(--(INDEX(Matrix!$C$5:$BJ$204,0,$B8)&gt;0),--(INDEX(Matrix!$C$5:$BJ$204,0,BB$3)&gt;0)))</f>
        <v/>
      </c>
      <c r="BC8" s="12" t="str">
        <f aca="false">IF(OR($A8="",BC$4=""),"",SUMPRODUCT(--(INDEX(Matrix!$C$5:$BJ$204,0,$B8)&gt;0),--(INDEX(Matrix!$C$5:$BJ$204,0,BC$3)&gt;0)))</f>
        <v/>
      </c>
      <c r="BD8" s="12" t="str">
        <f aca="false">IF(OR($A8="",BD$4=""),"",SUMPRODUCT(--(INDEX(Matrix!$C$5:$BJ$204,0,$B8)&gt;0),--(INDEX(Matrix!$C$5:$BJ$204,0,BD$3)&gt;0)))</f>
        <v/>
      </c>
      <c r="BE8" s="12" t="str">
        <f aca="false">IF(OR($A8="",BE$4=""),"",SUMPRODUCT(--(INDEX(Matrix!$C$5:$BJ$204,0,$B8)&gt;0),--(INDEX(Matrix!$C$5:$BJ$204,0,BE$3)&gt;0)))</f>
        <v/>
      </c>
      <c r="BF8" s="12" t="str">
        <f aca="false">IF(OR($A8="",BF$4=""),"",SUMPRODUCT(--(INDEX(Matrix!$C$5:$BJ$204,0,$B8)&gt;0),--(INDEX(Matrix!$C$5:$BJ$204,0,BF$3)&gt;0)))</f>
        <v/>
      </c>
      <c r="BG8" s="12" t="str">
        <f aca="false">IF(OR($A8="",BG$4=""),"",SUMPRODUCT(--(INDEX(Matrix!$C$5:$BJ$204,0,$B8)&gt;0),--(INDEX(Matrix!$C$5:$BJ$204,0,BG$3)&gt;0)))</f>
        <v/>
      </c>
      <c r="BH8" s="12" t="str">
        <f aca="false">IF(OR($A8="",BH$4=""),"",SUMPRODUCT(--(INDEX(Matrix!$C$5:$BJ$204,0,$B8)&gt;0),--(INDEX(Matrix!$C$5:$BJ$204,0,BH$3)&gt;0)))</f>
        <v/>
      </c>
      <c r="BI8" s="12" t="str">
        <f aca="false">IF(OR($A8="",BI$4=""),"",SUMPRODUCT(--(INDEX(Matrix!$C$5:$BJ$204,0,$B8)&gt;0),--(INDEX(Matrix!$C$5:$BJ$204,0,BI$3)&gt;0)))</f>
        <v/>
      </c>
      <c r="BJ8" s="12" t="str">
        <f aca="false">IF(OR($A8="",BJ$4=""),"",SUMPRODUCT(--(INDEX(Matrix!$C$5:$BJ$204,0,$B8)&gt;0),--(INDEX(Matrix!$C$5:$BJ$204,0,BJ$3)&gt;0)))</f>
        <v/>
      </c>
    </row>
    <row r="9" customFormat="false" ht="15" hidden="false" customHeight="false" outlineLevel="0" collapsed="false">
      <c r="A9" s="6" t="str">
        <f aca="false">IF(INDEX(Products!$A$2:$A$61,$B9)="","",INDEX(Products!$A$2:$A$61,$B9))</f>
        <v>Product 5</v>
      </c>
      <c r="B9" s="23" t="n">
        <v>5</v>
      </c>
      <c r="C9" s="12" t="n">
        <f aca="false">IF(OR($A9="",C$4=""),"",SUMPRODUCT(--(INDEX(Matrix!$C$5:$BJ$204,0,$B9)&gt;0),--(INDEX(Matrix!$C$5:$BJ$204,0,C$3)&gt;0)))</f>
        <v>11</v>
      </c>
      <c r="D9" s="12" t="n">
        <f aca="false">IF(OR($A9="",D$4=""),"",SUMPRODUCT(--(INDEX(Matrix!$C$5:$BJ$204,0,$B9)&gt;0),--(INDEX(Matrix!$C$5:$BJ$204,0,D$3)&gt;0)))</f>
        <v>11</v>
      </c>
      <c r="E9" s="12" t="n">
        <f aca="false">IF(OR($A9="",E$4=""),"",SUMPRODUCT(--(INDEX(Matrix!$C$5:$BJ$204,0,$B9)&gt;0),--(INDEX(Matrix!$C$5:$BJ$204,0,E$3)&gt;0)))</f>
        <v>11</v>
      </c>
      <c r="F9" s="12" t="n">
        <f aca="false">IF(OR($A9="",F$4=""),"",SUMPRODUCT(--(INDEX(Matrix!$C$5:$BJ$204,0,$B9)&gt;0),--(INDEX(Matrix!$C$5:$BJ$204,0,F$3)&gt;0)))</f>
        <v>15</v>
      </c>
      <c r="G9" s="12" t="n">
        <f aca="false">IF(OR($A9="",G$4=""),"",SUMPRODUCT(--(INDEX(Matrix!$C$5:$BJ$204,0,$B9)&gt;0),--(INDEX(Matrix!$C$5:$BJ$204,0,G$3)&gt;0)))</f>
        <v>15</v>
      </c>
      <c r="H9" s="12" t="n">
        <f aca="false">IF(OR($A9="",H$4=""),"",SUMPRODUCT(--(INDEX(Matrix!$C$5:$BJ$204,0,$B9)&gt;0),--(INDEX(Matrix!$C$5:$BJ$204,0,H$3)&gt;0)))</f>
        <v>15</v>
      </c>
      <c r="I9" s="12" t="n">
        <f aca="false">IF(OR($A9="",I$4=""),"",SUMPRODUCT(--(INDEX(Matrix!$C$5:$BJ$204,0,$B9)&gt;0),--(INDEX(Matrix!$C$5:$BJ$204,0,I$3)&gt;0)))</f>
        <v>8</v>
      </c>
      <c r="J9" s="12" t="n">
        <f aca="false">IF(OR($A9="",J$4=""),"",SUMPRODUCT(--(INDEX(Matrix!$C$5:$BJ$204,0,$B9)&gt;0),--(INDEX(Matrix!$C$5:$BJ$204,0,J$3)&gt;0)))</f>
        <v>8</v>
      </c>
      <c r="K9" s="12" t="n">
        <f aca="false">IF(OR($A9="",K$4=""),"",SUMPRODUCT(--(INDEX(Matrix!$C$5:$BJ$204,0,$B9)&gt;0),--(INDEX(Matrix!$C$5:$BJ$204,0,K$3)&gt;0)))</f>
        <v>6</v>
      </c>
      <c r="L9" s="12" t="n">
        <f aca="false">IF(OR($A9="",L$4=""),"",SUMPRODUCT(--(INDEX(Matrix!$C$5:$BJ$204,0,$B9)&gt;0),--(INDEX(Matrix!$C$5:$BJ$204,0,L$3)&gt;0)))</f>
        <v>6</v>
      </c>
      <c r="M9" s="12" t="str">
        <f aca="false">IF(OR($A9="",M$4=""),"",SUMPRODUCT(--(INDEX(Matrix!$C$5:$BJ$204,0,$B9)&gt;0),--(INDEX(Matrix!$C$5:$BJ$204,0,M$3)&gt;0)))</f>
        <v/>
      </c>
      <c r="N9" s="12" t="str">
        <f aca="false">IF(OR($A9="",N$4=""),"",SUMPRODUCT(--(INDEX(Matrix!$C$5:$BJ$204,0,$B9)&gt;0),--(INDEX(Matrix!$C$5:$BJ$204,0,N$3)&gt;0)))</f>
        <v/>
      </c>
      <c r="O9" s="12" t="str">
        <f aca="false">IF(OR($A9="",O$4=""),"",SUMPRODUCT(--(INDEX(Matrix!$C$5:$BJ$204,0,$B9)&gt;0),--(INDEX(Matrix!$C$5:$BJ$204,0,O$3)&gt;0)))</f>
        <v/>
      </c>
      <c r="P9" s="12" t="str">
        <f aca="false">IF(OR($A9="",P$4=""),"",SUMPRODUCT(--(INDEX(Matrix!$C$5:$BJ$204,0,$B9)&gt;0),--(INDEX(Matrix!$C$5:$BJ$204,0,P$3)&gt;0)))</f>
        <v/>
      </c>
      <c r="Q9" s="12" t="str">
        <f aca="false">IF(OR($A9="",Q$4=""),"",SUMPRODUCT(--(INDEX(Matrix!$C$5:$BJ$204,0,$B9)&gt;0),--(INDEX(Matrix!$C$5:$BJ$204,0,Q$3)&gt;0)))</f>
        <v/>
      </c>
      <c r="R9" s="12" t="str">
        <f aca="false">IF(OR($A9="",R$4=""),"",SUMPRODUCT(--(INDEX(Matrix!$C$5:$BJ$204,0,$B9)&gt;0),--(INDEX(Matrix!$C$5:$BJ$204,0,R$3)&gt;0)))</f>
        <v/>
      </c>
      <c r="S9" s="12" t="str">
        <f aca="false">IF(OR($A9="",S$4=""),"",SUMPRODUCT(--(INDEX(Matrix!$C$5:$BJ$204,0,$B9)&gt;0),--(INDEX(Matrix!$C$5:$BJ$204,0,S$3)&gt;0)))</f>
        <v/>
      </c>
      <c r="T9" s="12" t="str">
        <f aca="false">IF(OR($A9="",T$4=""),"",SUMPRODUCT(--(INDEX(Matrix!$C$5:$BJ$204,0,$B9)&gt;0),--(INDEX(Matrix!$C$5:$BJ$204,0,T$3)&gt;0)))</f>
        <v/>
      </c>
      <c r="U9" s="12" t="str">
        <f aca="false">IF(OR($A9="",U$4=""),"",SUMPRODUCT(--(INDEX(Matrix!$C$5:$BJ$204,0,$B9)&gt;0),--(INDEX(Matrix!$C$5:$BJ$204,0,U$3)&gt;0)))</f>
        <v/>
      </c>
      <c r="V9" s="12" t="str">
        <f aca="false">IF(OR($A9="",V$4=""),"",SUMPRODUCT(--(INDEX(Matrix!$C$5:$BJ$204,0,$B9)&gt;0),--(INDEX(Matrix!$C$5:$BJ$204,0,V$3)&gt;0)))</f>
        <v/>
      </c>
      <c r="W9" s="12" t="str">
        <f aca="false">IF(OR($A9="",W$4=""),"",SUMPRODUCT(--(INDEX(Matrix!$C$5:$BJ$204,0,$B9)&gt;0),--(INDEX(Matrix!$C$5:$BJ$204,0,W$3)&gt;0)))</f>
        <v/>
      </c>
      <c r="X9" s="12" t="str">
        <f aca="false">IF(OR($A9="",X$4=""),"",SUMPRODUCT(--(INDEX(Matrix!$C$5:$BJ$204,0,$B9)&gt;0),--(INDEX(Matrix!$C$5:$BJ$204,0,X$3)&gt;0)))</f>
        <v/>
      </c>
      <c r="Y9" s="12" t="str">
        <f aca="false">IF(OR($A9="",Y$4=""),"",SUMPRODUCT(--(INDEX(Matrix!$C$5:$BJ$204,0,$B9)&gt;0),--(INDEX(Matrix!$C$5:$BJ$204,0,Y$3)&gt;0)))</f>
        <v/>
      </c>
      <c r="Z9" s="12" t="str">
        <f aca="false">IF(OR($A9="",Z$4=""),"",SUMPRODUCT(--(INDEX(Matrix!$C$5:$BJ$204,0,$B9)&gt;0),--(INDEX(Matrix!$C$5:$BJ$204,0,Z$3)&gt;0)))</f>
        <v/>
      </c>
      <c r="AA9" s="12" t="str">
        <f aca="false">IF(OR($A9="",AA$4=""),"",SUMPRODUCT(--(INDEX(Matrix!$C$5:$BJ$204,0,$B9)&gt;0),--(INDEX(Matrix!$C$5:$BJ$204,0,AA$3)&gt;0)))</f>
        <v/>
      </c>
      <c r="AB9" s="12" t="str">
        <f aca="false">IF(OR($A9="",AB$4=""),"",SUMPRODUCT(--(INDEX(Matrix!$C$5:$BJ$204,0,$B9)&gt;0),--(INDEX(Matrix!$C$5:$BJ$204,0,AB$3)&gt;0)))</f>
        <v/>
      </c>
      <c r="AC9" s="12" t="str">
        <f aca="false">IF(OR($A9="",AC$4=""),"",SUMPRODUCT(--(INDEX(Matrix!$C$5:$BJ$204,0,$B9)&gt;0),--(INDEX(Matrix!$C$5:$BJ$204,0,AC$3)&gt;0)))</f>
        <v/>
      </c>
      <c r="AD9" s="12" t="str">
        <f aca="false">IF(OR($A9="",AD$4=""),"",SUMPRODUCT(--(INDEX(Matrix!$C$5:$BJ$204,0,$B9)&gt;0),--(INDEX(Matrix!$C$5:$BJ$204,0,AD$3)&gt;0)))</f>
        <v/>
      </c>
      <c r="AE9" s="12" t="str">
        <f aca="false">IF(OR($A9="",AE$4=""),"",SUMPRODUCT(--(INDEX(Matrix!$C$5:$BJ$204,0,$B9)&gt;0),--(INDEX(Matrix!$C$5:$BJ$204,0,AE$3)&gt;0)))</f>
        <v/>
      </c>
      <c r="AF9" s="12" t="str">
        <f aca="false">IF(OR($A9="",AF$4=""),"",SUMPRODUCT(--(INDEX(Matrix!$C$5:$BJ$204,0,$B9)&gt;0),--(INDEX(Matrix!$C$5:$BJ$204,0,AF$3)&gt;0)))</f>
        <v/>
      </c>
      <c r="AG9" s="12" t="str">
        <f aca="false">IF(OR($A9="",AG$4=""),"",SUMPRODUCT(--(INDEX(Matrix!$C$5:$BJ$204,0,$B9)&gt;0),--(INDEX(Matrix!$C$5:$BJ$204,0,AG$3)&gt;0)))</f>
        <v/>
      </c>
      <c r="AH9" s="12" t="str">
        <f aca="false">IF(OR($A9="",AH$4=""),"",SUMPRODUCT(--(INDEX(Matrix!$C$5:$BJ$204,0,$B9)&gt;0),--(INDEX(Matrix!$C$5:$BJ$204,0,AH$3)&gt;0)))</f>
        <v/>
      </c>
      <c r="AI9" s="12" t="str">
        <f aca="false">IF(OR($A9="",AI$4=""),"",SUMPRODUCT(--(INDEX(Matrix!$C$5:$BJ$204,0,$B9)&gt;0),--(INDEX(Matrix!$C$5:$BJ$204,0,AI$3)&gt;0)))</f>
        <v/>
      </c>
      <c r="AJ9" s="12" t="str">
        <f aca="false">IF(OR($A9="",AJ$4=""),"",SUMPRODUCT(--(INDEX(Matrix!$C$5:$BJ$204,0,$B9)&gt;0),--(INDEX(Matrix!$C$5:$BJ$204,0,AJ$3)&gt;0)))</f>
        <v/>
      </c>
      <c r="AK9" s="12" t="str">
        <f aca="false">IF(OR($A9="",AK$4=""),"",SUMPRODUCT(--(INDEX(Matrix!$C$5:$BJ$204,0,$B9)&gt;0),--(INDEX(Matrix!$C$5:$BJ$204,0,AK$3)&gt;0)))</f>
        <v/>
      </c>
      <c r="AL9" s="12" t="str">
        <f aca="false">IF(OR($A9="",AL$4=""),"",SUMPRODUCT(--(INDEX(Matrix!$C$5:$BJ$204,0,$B9)&gt;0),--(INDEX(Matrix!$C$5:$BJ$204,0,AL$3)&gt;0)))</f>
        <v/>
      </c>
      <c r="AM9" s="12" t="str">
        <f aca="false">IF(OR($A9="",AM$4=""),"",SUMPRODUCT(--(INDEX(Matrix!$C$5:$BJ$204,0,$B9)&gt;0),--(INDEX(Matrix!$C$5:$BJ$204,0,AM$3)&gt;0)))</f>
        <v/>
      </c>
      <c r="AN9" s="12" t="str">
        <f aca="false">IF(OR($A9="",AN$4=""),"",SUMPRODUCT(--(INDEX(Matrix!$C$5:$BJ$204,0,$B9)&gt;0),--(INDEX(Matrix!$C$5:$BJ$204,0,AN$3)&gt;0)))</f>
        <v/>
      </c>
      <c r="AO9" s="12" t="str">
        <f aca="false">IF(OR($A9="",AO$4=""),"",SUMPRODUCT(--(INDEX(Matrix!$C$5:$BJ$204,0,$B9)&gt;0),--(INDEX(Matrix!$C$5:$BJ$204,0,AO$3)&gt;0)))</f>
        <v/>
      </c>
      <c r="AP9" s="12" t="str">
        <f aca="false">IF(OR($A9="",AP$4=""),"",SUMPRODUCT(--(INDEX(Matrix!$C$5:$BJ$204,0,$B9)&gt;0),--(INDEX(Matrix!$C$5:$BJ$204,0,AP$3)&gt;0)))</f>
        <v/>
      </c>
      <c r="AQ9" s="12" t="str">
        <f aca="false">IF(OR($A9="",AQ$4=""),"",SUMPRODUCT(--(INDEX(Matrix!$C$5:$BJ$204,0,$B9)&gt;0),--(INDEX(Matrix!$C$5:$BJ$204,0,AQ$3)&gt;0)))</f>
        <v/>
      </c>
      <c r="AR9" s="12" t="str">
        <f aca="false">IF(OR($A9="",AR$4=""),"",SUMPRODUCT(--(INDEX(Matrix!$C$5:$BJ$204,0,$B9)&gt;0),--(INDEX(Matrix!$C$5:$BJ$204,0,AR$3)&gt;0)))</f>
        <v/>
      </c>
      <c r="AS9" s="12" t="str">
        <f aca="false">IF(OR($A9="",AS$4=""),"",SUMPRODUCT(--(INDEX(Matrix!$C$5:$BJ$204,0,$B9)&gt;0),--(INDEX(Matrix!$C$5:$BJ$204,0,AS$3)&gt;0)))</f>
        <v/>
      </c>
      <c r="AT9" s="12" t="str">
        <f aca="false">IF(OR($A9="",AT$4=""),"",SUMPRODUCT(--(INDEX(Matrix!$C$5:$BJ$204,0,$B9)&gt;0),--(INDEX(Matrix!$C$5:$BJ$204,0,AT$3)&gt;0)))</f>
        <v/>
      </c>
      <c r="AU9" s="12" t="str">
        <f aca="false">IF(OR($A9="",AU$4=""),"",SUMPRODUCT(--(INDEX(Matrix!$C$5:$BJ$204,0,$B9)&gt;0),--(INDEX(Matrix!$C$5:$BJ$204,0,AU$3)&gt;0)))</f>
        <v/>
      </c>
      <c r="AV9" s="12" t="str">
        <f aca="false">IF(OR($A9="",AV$4=""),"",SUMPRODUCT(--(INDEX(Matrix!$C$5:$BJ$204,0,$B9)&gt;0),--(INDEX(Matrix!$C$5:$BJ$204,0,AV$3)&gt;0)))</f>
        <v/>
      </c>
      <c r="AW9" s="12" t="str">
        <f aca="false">IF(OR($A9="",AW$4=""),"",SUMPRODUCT(--(INDEX(Matrix!$C$5:$BJ$204,0,$B9)&gt;0),--(INDEX(Matrix!$C$5:$BJ$204,0,AW$3)&gt;0)))</f>
        <v/>
      </c>
      <c r="AX9" s="12" t="str">
        <f aca="false">IF(OR($A9="",AX$4=""),"",SUMPRODUCT(--(INDEX(Matrix!$C$5:$BJ$204,0,$B9)&gt;0),--(INDEX(Matrix!$C$5:$BJ$204,0,AX$3)&gt;0)))</f>
        <v/>
      </c>
      <c r="AY9" s="12" t="str">
        <f aca="false">IF(OR($A9="",AY$4=""),"",SUMPRODUCT(--(INDEX(Matrix!$C$5:$BJ$204,0,$B9)&gt;0),--(INDEX(Matrix!$C$5:$BJ$204,0,AY$3)&gt;0)))</f>
        <v/>
      </c>
      <c r="AZ9" s="12" t="str">
        <f aca="false">IF(OR($A9="",AZ$4=""),"",SUMPRODUCT(--(INDEX(Matrix!$C$5:$BJ$204,0,$B9)&gt;0),--(INDEX(Matrix!$C$5:$BJ$204,0,AZ$3)&gt;0)))</f>
        <v/>
      </c>
      <c r="BA9" s="12" t="str">
        <f aca="false">IF(OR($A9="",BA$4=""),"",SUMPRODUCT(--(INDEX(Matrix!$C$5:$BJ$204,0,$B9)&gt;0),--(INDEX(Matrix!$C$5:$BJ$204,0,BA$3)&gt;0)))</f>
        <v/>
      </c>
      <c r="BB9" s="12" t="str">
        <f aca="false">IF(OR($A9="",BB$4=""),"",SUMPRODUCT(--(INDEX(Matrix!$C$5:$BJ$204,0,$B9)&gt;0),--(INDEX(Matrix!$C$5:$BJ$204,0,BB$3)&gt;0)))</f>
        <v/>
      </c>
      <c r="BC9" s="12" t="str">
        <f aca="false">IF(OR($A9="",BC$4=""),"",SUMPRODUCT(--(INDEX(Matrix!$C$5:$BJ$204,0,$B9)&gt;0),--(INDEX(Matrix!$C$5:$BJ$204,0,BC$3)&gt;0)))</f>
        <v/>
      </c>
      <c r="BD9" s="12" t="str">
        <f aca="false">IF(OR($A9="",BD$4=""),"",SUMPRODUCT(--(INDEX(Matrix!$C$5:$BJ$204,0,$B9)&gt;0),--(INDEX(Matrix!$C$5:$BJ$204,0,BD$3)&gt;0)))</f>
        <v/>
      </c>
      <c r="BE9" s="12" t="str">
        <f aca="false">IF(OR($A9="",BE$4=""),"",SUMPRODUCT(--(INDEX(Matrix!$C$5:$BJ$204,0,$B9)&gt;0),--(INDEX(Matrix!$C$5:$BJ$204,0,BE$3)&gt;0)))</f>
        <v/>
      </c>
      <c r="BF9" s="12" t="str">
        <f aca="false">IF(OR($A9="",BF$4=""),"",SUMPRODUCT(--(INDEX(Matrix!$C$5:$BJ$204,0,$B9)&gt;0),--(INDEX(Matrix!$C$5:$BJ$204,0,BF$3)&gt;0)))</f>
        <v/>
      </c>
      <c r="BG9" s="12" t="str">
        <f aca="false">IF(OR($A9="",BG$4=""),"",SUMPRODUCT(--(INDEX(Matrix!$C$5:$BJ$204,0,$B9)&gt;0),--(INDEX(Matrix!$C$5:$BJ$204,0,BG$3)&gt;0)))</f>
        <v/>
      </c>
      <c r="BH9" s="12" t="str">
        <f aca="false">IF(OR($A9="",BH$4=""),"",SUMPRODUCT(--(INDEX(Matrix!$C$5:$BJ$204,0,$B9)&gt;0),--(INDEX(Matrix!$C$5:$BJ$204,0,BH$3)&gt;0)))</f>
        <v/>
      </c>
      <c r="BI9" s="12" t="str">
        <f aca="false">IF(OR($A9="",BI$4=""),"",SUMPRODUCT(--(INDEX(Matrix!$C$5:$BJ$204,0,$B9)&gt;0),--(INDEX(Matrix!$C$5:$BJ$204,0,BI$3)&gt;0)))</f>
        <v/>
      </c>
      <c r="BJ9" s="12" t="str">
        <f aca="false">IF(OR($A9="",BJ$4=""),"",SUMPRODUCT(--(INDEX(Matrix!$C$5:$BJ$204,0,$B9)&gt;0),--(INDEX(Matrix!$C$5:$BJ$204,0,BJ$3)&gt;0)))</f>
        <v/>
      </c>
    </row>
    <row r="10" customFormat="false" ht="15" hidden="false" customHeight="false" outlineLevel="0" collapsed="false">
      <c r="A10" s="6" t="str">
        <f aca="false">IF(INDEX(Products!$A$2:$A$61,$B10)="","",INDEX(Products!$A$2:$A$61,$B10))</f>
        <v>Product 6</v>
      </c>
      <c r="B10" s="23" t="n">
        <v>6</v>
      </c>
      <c r="C10" s="12" t="n">
        <f aca="false">IF(OR($A10="",C$4=""),"",SUMPRODUCT(--(INDEX(Matrix!$C$5:$BJ$204,0,$B10)&gt;0),--(INDEX(Matrix!$C$5:$BJ$204,0,C$3)&gt;0)))</f>
        <v>11</v>
      </c>
      <c r="D10" s="12" t="n">
        <f aca="false">IF(OR($A10="",D$4=""),"",SUMPRODUCT(--(INDEX(Matrix!$C$5:$BJ$204,0,$B10)&gt;0),--(INDEX(Matrix!$C$5:$BJ$204,0,D$3)&gt;0)))</f>
        <v>11</v>
      </c>
      <c r="E10" s="12" t="n">
        <f aca="false">IF(OR($A10="",E$4=""),"",SUMPRODUCT(--(INDEX(Matrix!$C$5:$BJ$204,0,$B10)&gt;0),--(INDEX(Matrix!$C$5:$BJ$204,0,E$3)&gt;0)))</f>
        <v>11</v>
      </c>
      <c r="F10" s="12" t="n">
        <f aca="false">IF(OR($A10="",F$4=""),"",SUMPRODUCT(--(INDEX(Matrix!$C$5:$BJ$204,0,$B10)&gt;0),--(INDEX(Matrix!$C$5:$BJ$204,0,F$3)&gt;0)))</f>
        <v>15</v>
      </c>
      <c r="G10" s="12" t="n">
        <f aca="false">IF(OR($A10="",G$4=""),"",SUMPRODUCT(--(INDEX(Matrix!$C$5:$BJ$204,0,$B10)&gt;0),--(INDEX(Matrix!$C$5:$BJ$204,0,G$3)&gt;0)))</f>
        <v>15</v>
      </c>
      <c r="H10" s="12" t="n">
        <f aca="false">IF(OR($A10="",H$4=""),"",SUMPRODUCT(--(INDEX(Matrix!$C$5:$BJ$204,0,$B10)&gt;0),--(INDEX(Matrix!$C$5:$BJ$204,0,H$3)&gt;0)))</f>
        <v>15</v>
      </c>
      <c r="I10" s="12" t="n">
        <f aca="false">IF(OR($A10="",I$4=""),"",SUMPRODUCT(--(INDEX(Matrix!$C$5:$BJ$204,0,$B10)&gt;0),--(INDEX(Matrix!$C$5:$BJ$204,0,I$3)&gt;0)))</f>
        <v>8</v>
      </c>
      <c r="J10" s="12" t="n">
        <f aca="false">IF(OR($A10="",J$4=""),"",SUMPRODUCT(--(INDEX(Matrix!$C$5:$BJ$204,0,$B10)&gt;0),--(INDEX(Matrix!$C$5:$BJ$204,0,J$3)&gt;0)))</f>
        <v>8</v>
      </c>
      <c r="K10" s="12" t="n">
        <f aca="false">IF(OR($A10="",K$4=""),"",SUMPRODUCT(--(INDEX(Matrix!$C$5:$BJ$204,0,$B10)&gt;0),--(INDEX(Matrix!$C$5:$BJ$204,0,K$3)&gt;0)))</f>
        <v>6</v>
      </c>
      <c r="L10" s="12" t="n">
        <f aca="false">IF(OR($A10="",L$4=""),"",SUMPRODUCT(--(INDEX(Matrix!$C$5:$BJ$204,0,$B10)&gt;0),--(INDEX(Matrix!$C$5:$BJ$204,0,L$3)&gt;0)))</f>
        <v>6</v>
      </c>
      <c r="M10" s="12" t="str">
        <f aca="false">IF(OR($A10="",M$4=""),"",SUMPRODUCT(--(INDEX(Matrix!$C$5:$BJ$204,0,$B10)&gt;0),--(INDEX(Matrix!$C$5:$BJ$204,0,M$3)&gt;0)))</f>
        <v/>
      </c>
      <c r="N10" s="12" t="str">
        <f aca="false">IF(OR($A10="",N$4=""),"",SUMPRODUCT(--(INDEX(Matrix!$C$5:$BJ$204,0,$B10)&gt;0),--(INDEX(Matrix!$C$5:$BJ$204,0,N$3)&gt;0)))</f>
        <v/>
      </c>
      <c r="O10" s="12" t="str">
        <f aca="false">IF(OR($A10="",O$4=""),"",SUMPRODUCT(--(INDEX(Matrix!$C$5:$BJ$204,0,$B10)&gt;0),--(INDEX(Matrix!$C$5:$BJ$204,0,O$3)&gt;0)))</f>
        <v/>
      </c>
      <c r="P10" s="12" t="str">
        <f aca="false">IF(OR($A10="",P$4=""),"",SUMPRODUCT(--(INDEX(Matrix!$C$5:$BJ$204,0,$B10)&gt;0),--(INDEX(Matrix!$C$5:$BJ$204,0,P$3)&gt;0)))</f>
        <v/>
      </c>
      <c r="Q10" s="12" t="str">
        <f aca="false">IF(OR($A10="",Q$4=""),"",SUMPRODUCT(--(INDEX(Matrix!$C$5:$BJ$204,0,$B10)&gt;0),--(INDEX(Matrix!$C$5:$BJ$204,0,Q$3)&gt;0)))</f>
        <v/>
      </c>
      <c r="R10" s="12" t="str">
        <f aca="false">IF(OR($A10="",R$4=""),"",SUMPRODUCT(--(INDEX(Matrix!$C$5:$BJ$204,0,$B10)&gt;0),--(INDEX(Matrix!$C$5:$BJ$204,0,R$3)&gt;0)))</f>
        <v/>
      </c>
      <c r="S10" s="12" t="str">
        <f aca="false">IF(OR($A10="",S$4=""),"",SUMPRODUCT(--(INDEX(Matrix!$C$5:$BJ$204,0,$B10)&gt;0),--(INDEX(Matrix!$C$5:$BJ$204,0,S$3)&gt;0)))</f>
        <v/>
      </c>
      <c r="T10" s="12" t="str">
        <f aca="false">IF(OR($A10="",T$4=""),"",SUMPRODUCT(--(INDEX(Matrix!$C$5:$BJ$204,0,$B10)&gt;0),--(INDEX(Matrix!$C$5:$BJ$204,0,T$3)&gt;0)))</f>
        <v/>
      </c>
      <c r="U10" s="12" t="str">
        <f aca="false">IF(OR($A10="",U$4=""),"",SUMPRODUCT(--(INDEX(Matrix!$C$5:$BJ$204,0,$B10)&gt;0),--(INDEX(Matrix!$C$5:$BJ$204,0,U$3)&gt;0)))</f>
        <v/>
      </c>
      <c r="V10" s="12" t="str">
        <f aca="false">IF(OR($A10="",V$4=""),"",SUMPRODUCT(--(INDEX(Matrix!$C$5:$BJ$204,0,$B10)&gt;0),--(INDEX(Matrix!$C$5:$BJ$204,0,V$3)&gt;0)))</f>
        <v/>
      </c>
      <c r="W10" s="12" t="str">
        <f aca="false">IF(OR($A10="",W$4=""),"",SUMPRODUCT(--(INDEX(Matrix!$C$5:$BJ$204,0,$B10)&gt;0),--(INDEX(Matrix!$C$5:$BJ$204,0,W$3)&gt;0)))</f>
        <v/>
      </c>
      <c r="X10" s="12" t="str">
        <f aca="false">IF(OR($A10="",X$4=""),"",SUMPRODUCT(--(INDEX(Matrix!$C$5:$BJ$204,0,$B10)&gt;0),--(INDEX(Matrix!$C$5:$BJ$204,0,X$3)&gt;0)))</f>
        <v/>
      </c>
      <c r="Y10" s="12" t="str">
        <f aca="false">IF(OR($A10="",Y$4=""),"",SUMPRODUCT(--(INDEX(Matrix!$C$5:$BJ$204,0,$B10)&gt;0),--(INDEX(Matrix!$C$5:$BJ$204,0,Y$3)&gt;0)))</f>
        <v/>
      </c>
      <c r="Z10" s="12" t="str">
        <f aca="false">IF(OR($A10="",Z$4=""),"",SUMPRODUCT(--(INDEX(Matrix!$C$5:$BJ$204,0,$B10)&gt;0),--(INDEX(Matrix!$C$5:$BJ$204,0,Z$3)&gt;0)))</f>
        <v/>
      </c>
      <c r="AA10" s="12" t="str">
        <f aca="false">IF(OR($A10="",AA$4=""),"",SUMPRODUCT(--(INDEX(Matrix!$C$5:$BJ$204,0,$B10)&gt;0),--(INDEX(Matrix!$C$5:$BJ$204,0,AA$3)&gt;0)))</f>
        <v/>
      </c>
      <c r="AB10" s="12" t="str">
        <f aca="false">IF(OR($A10="",AB$4=""),"",SUMPRODUCT(--(INDEX(Matrix!$C$5:$BJ$204,0,$B10)&gt;0),--(INDEX(Matrix!$C$5:$BJ$204,0,AB$3)&gt;0)))</f>
        <v/>
      </c>
      <c r="AC10" s="12" t="str">
        <f aca="false">IF(OR($A10="",AC$4=""),"",SUMPRODUCT(--(INDEX(Matrix!$C$5:$BJ$204,0,$B10)&gt;0),--(INDEX(Matrix!$C$5:$BJ$204,0,AC$3)&gt;0)))</f>
        <v/>
      </c>
      <c r="AD10" s="12" t="str">
        <f aca="false">IF(OR($A10="",AD$4=""),"",SUMPRODUCT(--(INDEX(Matrix!$C$5:$BJ$204,0,$B10)&gt;0),--(INDEX(Matrix!$C$5:$BJ$204,0,AD$3)&gt;0)))</f>
        <v/>
      </c>
      <c r="AE10" s="12" t="str">
        <f aca="false">IF(OR($A10="",AE$4=""),"",SUMPRODUCT(--(INDEX(Matrix!$C$5:$BJ$204,0,$B10)&gt;0),--(INDEX(Matrix!$C$5:$BJ$204,0,AE$3)&gt;0)))</f>
        <v/>
      </c>
      <c r="AF10" s="12" t="str">
        <f aca="false">IF(OR($A10="",AF$4=""),"",SUMPRODUCT(--(INDEX(Matrix!$C$5:$BJ$204,0,$B10)&gt;0),--(INDEX(Matrix!$C$5:$BJ$204,0,AF$3)&gt;0)))</f>
        <v/>
      </c>
      <c r="AG10" s="12" t="str">
        <f aca="false">IF(OR($A10="",AG$4=""),"",SUMPRODUCT(--(INDEX(Matrix!$C$5:$BJ$204,0,$B10)&gt;0),--(INDEX(Matrix!$C$5:$BJ$204,0,AG$3)&gt;0)))</f>
        <v/>
      </c>
      <c r="AH10" s="12" t="str">
        <f aca="false">IF(OR($A10="",AH$4=""),"",SUMPRODUCT(--(INDEX(Matrix!$C$5:$BJ$204,0,$B10)&gt;0),--(INDEX(Matrix!$C$5:$BJ$204,0,AH$3)&gt;0)))</f>
        <v/>
      </c>
      <c r="AI10" s="12" t="str">
        <f aca="false">IF(OR($A10="",AI$4=""),"",SUMPRODUCT(--(INDEX(Matrix!$C$5:$BJ$204,0,$B10)&gt;0),--(INDEX(Matrix!$C$5:$BJ$204,0,AI$3)&gt;0)))</f>
        <v/>
      </c>
      <c r="AJ10" s="12" t="str">
        <f aca="false">IF(OR($A10="",AJ$4=""),"",SUMPRODUCT(--(INDEX(Matrix!$C$5:$BJ$204,0,$B10)&gt;0),--(INDEX(Matrix!$C$5:$BJ$204,0,AJ$3)&gt;0)))</f>
        <v/>
      </c>
      <c r="AK10" s="12" t="str">
        <f aca="false">IF(OR($A10="",AK$4=""),"",SUMPRODUCT(--(INDEX(Matrix!$C$5:$BJ$204,0,$B10)&gt;0),--(INDEX(Matrix!$C$5:$BJ$204,0,AK$3)&gt;0)))</f>
        <v/>
      </c>
      <c r="AL10" s="12" t="str">
        <f aca="false">IF(OR($A10="",AL$4=""),"",SUMPRODUCT(--(INDEX(Matrix!$C$5:$BJ$204,0,$B10)&gt;0),--(INDEX(Matrix!$C$5:$BJ$204,0,AL$3)&gt;0)))</f>
        <v/>
      </c>
      <c r="AM10" s="12" t="str">
        <f aca="false">IF(OR($A10="",AM$4=""),"",SUMPRODUCT(--(INDEX(Matrix!$C$5:$BJ$204,0,$B10)&gt;0),--(INDEX(Matrix!$C$5:$BJ$204,0,AM$3)&gt;0)))</f>
        <v/>
      </c>
      <c r="AN10" s="12" t="str">
        <f aca="false">IF(OR($A10="",AN$4=""),"",SUMPRODUCT(--(INDEX(Matrix!$C$5:$BJ$204,0,$B10)&gt;0),--(INDEX(Matrix!$C$5:$BJ$204,0,AN$3)&gt;0)))</f>
        <v/>
      </c>
      <c r="AO10" s="12" t="str">
        <f aca="false">IF(OR($A10="",AO$4=""),"",SUMPRODUCT(--(INDEX(Matrix!$C$5:$BJ$204,0,$B10)&gt;0),--(INDEX(Matrix!$C$5:$BJ$204,0,AO$3)&gt;0)))</f>
        <v/>
      </c>
      <c r="AP10" s="12" t="str">
        <f aca="false">IF(OR($A10="",AP$4=""),"",SUMPRODUCT(--(INDEX(Matrix!$C$5:$BJ$204,0,$B10)&gt;0),--(INDEX(Matrix!$C$5:$BJ$204,0,AP$3)&gt;0)))</f>
        <v/>
      </c>
      <c r="AQ10" s="12" t="str">
        <f aca="false">IF(OR($A10="",AQ$4=""),"",SUMPRODUCT(--(INDEX(Matrix!$C$5:$BJ$204,0,$B10)&gt;0),--(INDEX(Matrix!$C$5:$BJ$204,0,AQ$3)&gt;0)))</f>
        <v/>
      </c>
      <c r="AR10" s="12" t="str">
        <f aca="false">IF(OR($A10="",AR$4=""),"",SUMPRODUCT(--(INDEX(Matrix!$C$5:$BJ$204,0,$B10)&gt;0),--(INDEX(Matrix!$C$5:$BJ$204,0,AR$3)&gt;0)))</f>
        <v/>
      </c>
      <c r="AS10" s="12" t="str">
        <f aca="false">IF(OR($A10="",AS$4=""),"",SUMPRODUCT(--(INDEX(Matrix!$C$5:$BJ$204,0,$B10)&gt;0),--(INDEX(Matrix!$C$5:$BJ$204,0,AS$3)&gt;0)))</f>
        <v/>
      </c>
      <c r="AT10" s="12" t="str">
        <f aca="false">IF(OR($A10="",AT$4=""),"",SUMPRODUCT(--(INDEX(Matrix!$C$5:$BJ$204,0,$B10)&gt;0),--(INDEX(Matrix!$C$5:$BJ$204,0,AT$3)&gt;0)))</f>
        <v/>
      </c>
      <c r="AU10" s="12" t="str">
        <f aca="false">IF(OR($A10="",AU$4=""),"",SUMPRODUCT(--(INDEX(Matrix!$C$5:$BJ$204,0,$B10)&gt;0),--(INDEX(Matrix!$C$5:$BJ$204,0,AU$3)&gt;0)))</f>
        <v/>
      </c>
      <c r="AV10" s="12" t="str">
        <f aca="false">IF(OR($A10="",AV$4=""),"",SUMPRODUCT(--(INDEX(Matrix!$C$5:$BJ$204,0,$B10)&gt;0),--(INDEX(Matrix!$C$5:$BJ$204,0,AV$3)&gt;0)))</f>
        <v/>
      </c>
      <c r="AW10" s="12" t="str">
        <f aca="false">IF(OR($A10="",AW$4=""),"",SUMPRODUCT(--(INDEX(Matrix!$C$5:$BJ$204,0,$B10)&gt;0),--(INDEX(Matrix!$C$5:$BJ$204,0,AW$3)&gt;0)))</f>
        <v/>
      </c>
      <c r="AX10" s="12" t="str">
        <f aca="false">IF(OR($A10="",AX$4=""),"",SUMPRODUCT(--(INDEX(Matrix!$C$5:$BJ$204,0,$B10)&gt;0),--(INDEX(Matrix!$C$5:$BJ$204,0,AX$3)&gt;0)))</f>
        <v/>
      </c>
      <c r="AY10" s="12" t="str">
        <f aca="false">IF(OR($A10="",AY$4=""),"",SUMPRODUCT(--(INDEX(Matrix!$C$5:$BJ$204,0,$B10)&gt;0),--(INDEX(Matrix!$C$5:$BJ$204,0,AY$3)&gt;0)))</f>
        <v/>
      </c>
      <c r="AZ10" s="12" t="str">
        <f aca="false">IF(OR($A10="",AZ$4=""),"",SUMPRODUCT(--(INDEX(Matrix!$C$5:$BJ$204,0,$B10)&gt;0),--(INDEX(Matrix!$C$5:$BJ$204,0,AZ$3)&gt;0)))</f>
        <v/>
      </c>
      <c r="BA10" s="12" t="str">
        <f aca="false">IF(OR($A10="",BA$4=""),"",SUMPRODUCT(--(INDEX(Matrix!$C$5:$BJ$204,0,$B10)&gt;0),--(INDEX(Matrix!$C$5:$BJ$204,0,BA$3)&gt;0)))</f>
        <v/>
      </c>
      <c r="BB10" s="12" t="str">
        <f aca="false">IF(OR($A10="",BB$4=""),"",SUMPRODUCT(--(INDEX(Matrix!$C$5:$BJ$204,0,$B10)&gt;0),--(INDEX(Matrix!$C$5:$BJ$204,0,BB$3)&gt;0)))</f>
        <v/>
      </c>
      <c r="BC10" s="12" t="str">
        <f aca="false">IF(OR($A10="",BC$4=""),"",SUMPRODUCT(--(INDEX(Matrix!$C$5:$BJ$204,0,$B10)&gt;0),--(INDEX(Matrix!$C$5:$BJ$204,0,BC$3)&gt;0)))</f>
        <v/>
      </c>
      <c r="BD10" s="12" t="str">
        <f aca="false">IF(OR($A10="",BD$4=""),"",SUMPRODUCT(--(INDEX(Matrix!$C$5:$BJ$204,0,$B10)&gt;0),--(INDEX(Matrix!$C$5:$BJ$204,0,BD$3)&gt;0)))</f>
        <v/>
      </c>
      <c r="BE10" s="12" t="str">
        <f aca="false">IF(OR($A10="",BE$4=""),"",SUMPRODUCT(--(INDEX(Matrix!$C$5:$BJ$204,0,$B10)&gt;0),--(INDEX(Matrix!$C$5:$BJ$204,0,BE$3)&gt;0)))</f>
        <v/>
      </c>
      <c r="BF10" s="12" t="str">
        <f aca="false">IF(OR($A10="",BF$4=""),"",SUMPRODUCT(--(INDEX(Matrix!$C$5:$BJ$204,0,$B10)&gt;0),--(INDEX(Matrix!$C$5:$BJ$204,0,BF$3)&gt;0)))</f>
        <v/>
      </c>
      <c r="BG10" s="12" t="str">
        <f aca="false">IF(OR($A10="",BG$4=""),"",SUMPRODUCT(--(INDEX(Matrix!$C$5:$BJ$204,0,$B10)&gt;0),--(INDEX(Matrix!$C$5:$BJ$204,0,BG$3)&gt;0)))</f>
        <v/>
      </c>
      <c r="BH10" s="12" t="str">
        <f aca="false">IF(OR($A10="",BH$4=""),"",SUMPRODUCT(--(INDEX(Matrix!$C$5:$BJ$204,0,$B10)&gt;0),--(INDEX(Matrix!$C$5:$BJ$204,0,BH$3)&gt;0)))</f>
        <v/>
      </c>
      <c r="BI10" s="12" t="str">
        <f aca="false">IF(OR($A10="",BI$4=""),"",SUMPRODUCT(--(INDEX(Matrix!$C$5:$BJ$204,0,$B10)&gt;0),--(INDEX(Matrix!$C$5:$BJ$204,0,BI$3)&gt;0)))</f>
        <v/>
      </c>
      <c r="BJ10" s="12" t="str">
        <f aca="false">IF(OR($A10="",BJ$4=""),"",SUMPRODUCT(--(INDEX(Matrix!$C$5:$BJ$204,0,$B10)&gt;0),--(INDEX(Matrix!$C$5:$BJ$204,0,BJ$3)&gt;0)))</f>
        <v/>
      </c>
    </row>
    <row r="11" customFormat="false" ht="15" hidden="false" customHeight="false" outlineLevel="0" collapsed="false">
      <c r="A11" s="6" t="str">
        <f aca="false">IF(INDEX(Products!$A$2:$A$61,$B11)="","",INDEX(Products!$A$2:$A$61,$B11))</f>
        <v>Product 7</v>
      </c>
      <c r="B11" s="23" t="n">
        <v>7</v>
      </c>
      <c r="C11" s="12" t="n">
        <f aca="false">IF(OR($A11="",C$4=""),"",SUMPRODUCT(--(INDEX(Matrix!$C$5:$BJ$204,0,$B11)&gt;0),--(INDEX(Matrix!$C$5:$BJ$204,0,C$3)&gt;0)))</f>
        <v>9</v>
      </c>
      <c r="D11" s="12" t="n">
        <f aca="false">IF(OR($A11="",D$4=""),"",SUMPRODUCT(--(INDEX(Matrix!$C$5:$BJ$204,0,$B11)&gt;0),--(INDEX(Matrix!$C$5:$BJ$204,0,D$3)&gt;0)))</f>
        <v>9</v>
      </c>
      <c r="E11" s="12" t="n">
        <f aca="false">IF(OR($A11="",E$4=""),"",SUMPRODUCT(--(INDEX(Matrix!$C$5:$BJ$204,0,$B11)&gt;0),--(INDEX(Matrix!$C$5:$BJ$204,0,E$3)&gt;0)))</f>
        <v>8</v>
      </c>
      <c r="F11" s="12" t="n">
        <f aca="false">IF(OR($A11="",F$4=""),"",SUMPRODUCT(--(INDEX(Matrix!$C$5:$BJ$204,0,$B11)&gt;0),--(INDEX(Matrix!$C$5:$BJ$204,0,F$3)&gt;0)))</f>
        <v>8</v>
      </c>
      <c r="G11" s="12" t="n">
        <f aca="false">IF(OR($A11="",G$4=""),"",SUMPRODUCT(--(INDEX(Matrix!$C$5:$BJ$204,0,$B11)&gt;0),--(INDEX(Matrix!$C$5:$BJ$204,0,G$3)&gt;0)))</f>
        <v>8</v>
      </c>
      <c r="H11" s="12" t="n">
        <f aca="false">IF(OR($A11="",H$4=""),"",SUMPRODUCT(--(INDEX(Matrix!$C$5:$BJ$204,0,$B11)&gt;0),--(INDEX(Matrix!$C$5:$BJ$204,0,H$3)&gt;0)))</f>
        <v>8</v>
      </c>
      <c r="I11" s="12" t="n">
        <f aca="false">IF(OR($A11="",I$4=""),"",SUMPRODUCT(--(INDEX(Matrix!$C$5:$BJ$204,0,$B11)&gt;0),--(INDEX(Matrix!$C$5:$BJ$204,0,I$3)&gt;0)))</f>
        <v>14</v>
      </c>
      <c r="J11" s="12" t="n">
        <f aca="false">IF(OR($A11="",J$4=""),"",SUMPRODUCT(--(INDEX(Matrix!$C$5:$BJ$204,0,$B11)&gt;0),--(INDEX(Matrix!$C$5:$BJ$204,0,J$3)&gt;0)))</f>
        <v>14</v>
      </c>
      <c r="K11" s="12" t="n">
        <f aca="false">IF(OR($A11="",K$4=""),"",SUMPRODUCT(--(INDEX(Matrix!$C$5:$BJ$204,0,$B11)&gt;0),--(INDEX(Matrix!$C$5:$BJ$204,0,K$3)&gt;0)))</f>
        <v>5</v>
      </c>
      <c r="L11" s="12" t="n">
        <f aca="false">IF(OR($A11="",L$4=""),"",SUMPRODUCT(--(INDEX(Matrix!$C$5:$BJ$204,0,$B11)&gt;0),--(INDEX(Matrix!$C$5:$BJ$204,0,L$3)&gt;0)))</f>
        <v>5</v>
      </c>
      <c r="M11" s="12" t="str">
        <f aca="false">IF(OR($A11="",M$4=""),"",SUMPRODUCT(--(INDEX(Matrix!$C$5:$BJ$204,0,$B11)&gt;0),--(INDEX(Matrix!$C$5:$BJ$204,0,M$3)&gt;0)))</f>
        <v/>
      </c>
      <c r="N11" s="12" t="str">
        <f aca="false">IF(OR($A11="",N$4=""),"",SUMPRODUCT(--(INDEX(Matrix!$C$5:$BJ$204,0,$B11)&gt;0),--(INDEX(Matrix!$C$5:$BJ$204,0,N$3)&gt;0)))</f>
        <v/>
      </c>
      <c r="O11" s="12" t="str">
        <f aca="false">IF(OR($A11="",O$4=""),"",SUMPRODUCT(--(INDEX(Matrix!$C$5:$BJ$204,0,$B11)&gt;0),--(INDEX(Matrix!$C$5:$BJ$204,0,O$3)&gt;0)))</f>
        <v/>
      </c>
      <c r="P11" s="12" t="str">
        <f aca="false">IF(OR($A11="",P$4=""),"",SUMPRODUCT(--(INDEX(Matrix!$C$5:$BJ$204,0,$B11)&gt;0),--(INDEX(Matrix!$C$5:$BJ$204,0,P$3)&gt;0)))</f>
        <v/>
      </c>
      <c r="Q11" s="12" t="str">
        <f aca="false">IF(OR($A11="",Q$4=""),"",SUMPRODUCT(--(INDEX(Matrix!$C$5:$BJ$204,0,$B11)&gt;0),--(INDEX(Matrix!$C$5:$BJ$204,0,Q$3)&gt;0)))</f>
        <v/>
      </c>
      <c r="R11" s="12" t="str">
        <f aca="false">IF(OR($A11="",R$4=""),"",SUMPRODUCT(--(INDEX(Matrix!$C$5:$BJ$204,0,$B11)&gt;0),--(INDEX(Matrix!$C$5:$BJ$204,0,R$3)&gt;0)))</f>
        <v/>
      </c>
      <c r="S11" s="12" t="str">
        <f aca="false">IF(OR($A11="",S$4=""),"",SUMPRODUCT(--(INDEX(Matrix!$C$5:$BJ$204,0,$B11)&gt;0),--(INDEX(Matrix!$C$5:$BJ$204,0,S$3)&gt;0)))</f>
        <v/>
      </c>
      <c r="T11" s="12" t="str">
        <f aca="false">IF(OR($A11="",T$4=""),"",SUMPRODUCT(--(INDEX(Matrix!$C$5:$BJ$204,0,$B11)&gt;0),--(INDEX(Matrix!$C$5:$BJ$204,0,T$3)&gt;0)))</f>
        <v/>
      </c>
      <c r="U11" s="12" t="str">
        <f aca="false">IF(OR($A11="",U$4=""),"",SUMPRODUCT(--(INDEX(Matrix!$C$5:$BJ$204,0,$B11)&gt;0),--(INDEX(Matrix!$C$5:$BJ$204,0,U$3)&gt;0)))</f>
        <v/>
      </c>
      <c r="V11" s="12" t="str">
        <f aca="false">IF(OR($A11="",V$4=""),"",SUMPRODUCT(--(INDEX(Matrix!$C$5:$BJ$204,0,$B11)&gt;0),--(INDEX(Matrix!$C$5:$BJ$204,0,V$3)&gt;0)))</f>
        <v/>
      </c>
      <c r="W11" s="12" t="str">
        <f aca="false">IF(OR($A11="",W$4=""),"",SUMPRODUCT(--(INDEX(Matrix!$C$5:$BJ$204,0,$B11)&gt;0),--(INDEX(Matrix!$C$5:$BJ$204,0,W$3)&gt;0)))</f>
        <v/>
      </c>
      <c r="X11" s="12" t="str">
        <f aca="false">IF(OR($A11="",X$4=""),"",SUMPRODUCT(--(INDEX(Matrix!$C$5:$BJ$204,0,$B11)&gt;0),--(INDEX(Matrix!$C$5:$BJ$204,0,X$3)&gt;0)))</f>
        <v/>
      </c>
      <c r="Y11" s="12" t="str">
        <f aca="false">IF(OR($A11="",Y$4=""),"",SUMPRODUCT(--(INDEX(Matrix!$C$5:$BJ$204,0,$B11)&gt;0),--(INDEX(Matrix!$C$5:$BJ$204,0,Y$3)&gt;0)))</f>
        <v/>
      </c>
      <c r="Z11" s="12" t="str">
        <f aca="false">IF(OR($A11="",Z$4=""),"",SUMPRODUCT(--(INDEX(Matrix!$C$5:$BJ$204,0,$B11)&gt;0),--(INDEX(Matrix!$C$5:$BJ$204,0,Z$3)&gt;0)))</f>
        <v/>
      </c>
      <c r="AA11" s="12" t="str">
        <f aca="false">IF(OR($A11="",AA$4=""),"",SUMPRODUCT(--(INDEX(Matrix!$C$5:$BJ$204,0,$B11)&gt;0),--(INDEX(Matrix!$C$5:$BJ$204,0,AA$3)&gt;0)))</f>
        <v/>
      </c>
      <c r="AB11" s="12" t="str">
        <f aca="false">IF(OR($A11="",AB$4=""),"",SUMPRODUCT(--(INDEX(Matrix!$C$5:$BJ$204,0,$B11)&gt;0),--(INDEX(Matrix!$C$5:$BJ$204,0,AB$3)&gt;0)))</f>
        <v/>
      </c>
      <c r="AC11" s="12" t="str">
        <f aca="false">IF(OR($A11="",AC$4=""),"",SUMPRODUCT(--(INDEX(Matrix!$C$5:$BJ$204,0,$B11)&gt;0),--(INDEX(Matrix!$C$5:$BJ$204,0,AC$3)&gt;0)))</f>
        <v/>
      </c>
      <c r="AD11" s="12" t="str">
        <f aca="false">IF(OR($A11="",AD$4=""),"",SUMPRODUCT(--(INDEX(Matrix!$C$5:$BJ$204,0,$B11)&gt;0),--(INDEX(Matrix!$C$5:$BJ$204,0,AD$3)&gt;0)))</f>
        <v/>
      </c>
      <c r="AE11" s="12" t="str">
        <f aca="false">IF(OR($A11="",AE$4=""),"",SUMPRODUCT(--(INDEX(Matrix!$C$5:$BJ$204,0,$B11)&gt;0),--(INDEX(Matrix!$C$5:$BJ$204,0,AE$3)&gt;0)))</f>
        <v/>
      </c>
      <c r="AF11" s="12" t="str">
        <f aca="false">IF(OR($A11="",AF$4=""),"",SUMPRODUCT(--(INDEX(Matrix!$C$5:$BJ$204,0,$B11)&gt;0),--(INDEX(Matrix!$C$5:$BJ$204,0,AF$3)&gt;0)))</f>
        <v/>
      </c>
      <c r="AG11" s="12" t="str">
        <f aca="false">IF(OR($A11="",AG$4=""),"",SUMPRODUCT(--(INDEX(Matrix!$C$5:$BJ$204,0,$B11)&gt;0),--(INDEX(Matrix!$C$5:$BJ$204,0,AG$3)&gt;0)))</f>
        <v/>
      </c>
      <c r="AH11" s="12" t="str">
        <f aca="false">IF(OR($A11="",AH$4=""),"",SUMPRODUCT(--(INDEX(Matrix!$C$5:$BJ$204,0,$B11)&gt;0),--(INDEX(Matrix!$C$5:$BJ$204,0,AH$3)&gt;0)))</f>
        <v/>
      </c>
      <c r="AI11" s="12" t="str">
        <f aca="false">IF(OR($A11="",AI$4=""),"",SUMPRODUCT(--(INDEX(Matrix!$C$5:$BJ$204,0,$B11)&gt;0),--(INDEX(Matrix!$C$5:$BJ$204,0,AI$3)&gt;0)))</f>
        <v/>
      </c>
      <c r="AJ11" s="12" t="str">
        <f aca="false">IF(OR($A11="",AJ$4=""),"",SUMPRODUCT(--(INDEX(Matrix!$C$5:$BJ$204,0,$B11)&gt;0),--(INDEX(Matrix!$C$5:$BJ$204,0,AJ$3)&gt;0)))</f>
        <v/>
      </c>
      <c r="AK11" s="12" t="str">
        <f aca="false">IF(OR($A11="",AK$4=""),"",SUMPRODUCT(--(INDEX(Matrix!$C$5:$BJ$204,0,$B11)&gt;0),--(INDEX(Matrix!$C$5:$BJ$204,0,AK$3)&gt;0)))</f>
        <v/>
      </c>
      <c r="AL11" s="12" t="str">
        <f aca="false">IF(OR($A11="",AL$4=""),"",SUMPRODUCT(--(INDEX(Matrix!$C$5:$BJ$204,0,$B11)&gt;0),--(INDEX(Matrix!$C$5:$BJ$204,0,AL$3)&gt;0)))</f>
        <v/>
      </c>
      <c r="AM11" s="12" t="str">
        <f aca="false">IF(OR($A11="",AM$4=""),"",SUMPRODUCT(--(INDEX(Matrix!$C$5:$BJ$204,0,$B11)&gt;0),--(INDEX(Matrix!$C$5:$BJ$204,0,AM$3)&gt;0)))</f>
        <v/>
      </c>
      <c r="AN11" s="12" t="str">
        <f aca="false">IF(OR($A11="",AN$4=""),"",SUMPRODUCT(--(INDEX(Matrix!$C$5:$BJ$204,0,$B11)&gt;0),--(INDEX(Matrix!$C$5:$BJ$204,0,AN$3)&gt;0)))</f>
        <v/>
      </c>
      <c r="AO11" s="12" t="str">
        <f aca="false">IF(OR($A11="",AO$4=""),"",SUMPRODUCT(--(INDEX(Matrix!$C$5:$BJ$204,0,$B11)&gt;0),--(INDEX(Matrix!$C$5:$BJ$204,0,AO$3)&gt;0)))</f>
        <v/>
      </c>
      <c r="AP11" s="12" t="str">
        <f aca="false">IF(OR($A11="",AP$4=""),"",SUMPRODUCT(--(INDEX(Matrix!$C$5:$BJ$204,0,$B11)&gt;0),--(INDEX(Matrix!$C$5:$BJ$204,0,AP$3)&gt;0)))</f>
        <v/>
      </c>
      <c r="AQ11" s="12" t="str">
        <f aca="false">IF(OR($A11="",AQ$4=""),"",SUMPRODUCT(--(INDEX(Matrix!$C$5:$BJ$204,0,$B11)&gt;0),--(INDEX(Matrix!$C$5:$BJ$204,0,AQ$3)&gt;0)))</f>
        <v/>
      </c>
      <c r="AR11" s="12" t="str">
        <f aca="false">IF(OR($A11="",AR$4=""),"",SUMPRODUCT(--(INDEX(Matrix!$C$5:$BJ$204,0,$B11)&gt;0),--(INDEX(Matrix!$C$5:$BJ$204,0,AR$3)&gt;0)))</f>
        <v/>
      </c>
      <c r="AS11" s="12" t="str">
        <f aca="false">IF(OR($A11="",AS$4=""),"",SUMPRODUCT(--(INDEX(Matrix!$C$5:$BJ$204,0,$B11)&gt;0),--(INDEX(Matrix!$C$5:$BJ$204,0,AS$3)&gt;0)))</f>
        <v/>
      </c>
      <c r="AT11" s="12" t="str">
        <f aca="false">IF(OR($A11="",AT$4=""),"",SUMPRODUCT(--(INDEX(Matrix!$C$5:$BJ$204,0,$B11)&gt;0),--(INDEX(Matrix!$C$5:$BJ$204,0,AT$3)&gt;0)))</f>
        <v/>
      </c>
      <c r="AU11" s="12" t="str">
        <f aca="false">IF(OR($A11="",AU$4=""),"",SUMPRODUCT(--(INDEX(Matrix!$C$5:$BJ$204,0,$B11)&gt;0),--(INDEX(Matrix!$C$5:$BJ$204,0,AU$3)&gt;0)))</f>
        <v/>
      </c>
      <c r="AV11" s="12" t="str">
        <f aca="false">IF(OR($A11="",AV$4=""),"",SUMPRODUCT(--(INDEX(Matrix!$C$5:$BJ$204,0,$B11)&gt;0),--(INDEX(Matrix!$C$5:$BJ$204,0,AV$3)&gt;0)))</f>
        <v/>
      </c>
      <c r="AW11" s="12" t="str">
        <f aca="false">IF(OR($A11="",AW$4=""),"",SUMPRODUCT(--(INDEX(Matrix!$C$5:$BJ$204,0,$B11)&gt;0),--(INDEX(Matrix!$C$5:$BJ$204,0,AW$3)&gt;0)))</f>
        <v/>
      </c>
      <c r="AX11" s="12" t="str">
        <f aca="false">IF(OR($A11="",AX$4=""),"",SUMPRODUCT(--(INDEX(Matrix!$C$5:$BJ$204,0,$B11)&gt;0),--(INDEX(Matrix!$C$5:$BJ$204,0,AX$3)&gt;0)))</f>
        <v/>
      </c>
      <c r="AY11" s="12" t="str">
        <f aca="false">IF(OR($A11="",AY$4=""),"",SUMPRODUCT(--(INDEX(Matrix!$C$5:$BJ$204,0,$B11)&gt;0),--(INDEX(Matrix!$C$5:$BJ$204,0,AY$3)&gt;0)))</f>
        <v/>
      </c>
      <c r="AZ11" s="12" t="str">
        <f aca="false">IF(OR($A11="",AZ$4=""),"",SUMPRODUCT(--(INDEX(Matrix!$C$5:$BJ$204,0,$B11)&gt;0),--(INDEX(Matrix!$C$5:$BJ$204,0,AZ$3)&gt;0)))</f>
        <v/>
      </c>
      <c r="BA11" s="12" t="str">
        <f aca="false">IF(OR($A11="",BA$4=""),"",SUMPRODUCT(--(INDEX(Matrix!$C$5:$BJ$204,0,$B11)&gt;0),--(INDEX(Matrix!$C$5:$BJ$204,0,BA$3)&gt;0)))</f>
        <v/>
      </c>
      <c r="BB11" s="12" t="str">
        <f aca="false">IF(OR($A11="",BB$4=""),"",SUMPRODUCT(--(INDEX(Matrix!$C$5:$BJ$204,0,$B11)&gt;0),--(INDEX(Matrix!$C$5:$BJ$204,0,BB$3)&gt;0)))</f>
        <v/>
      </c>
      <c r="BC11" s="12" t="str">
        <f aca="false">IF(OR($A11="",BC$4=""),"",SUMPRODUCT(--(INDEX(Matrix!$C$5:$BJ$204,0,$B11)&gt;0),--(INDEX(Matrix!$C$5:$BJ$204,0,BC$3)&gt;0)))</f>
        <v/>
      </c>
      <c r="BD11" s="12" t="str">
        <f aca="false">IF(OR($A11="",BD$4=""),"",SUMPRODUCT(--(INDEX(Matrix!$C$5:$BJ$204,0,$B11)&gt;0),--(INDEX(Matrix!$C$5:$BJ$204,0,BD$3)&gt;0)))</f>
        <v/>
      </c>
      <c r="BE11" s="12" t="str">
        <f aca="false">IF(OR($A11="",BE$4=""),"",SUMPRODUCT(--(INDEX(Matrix!$C$5:$BJ$204,0,$B11)&gt;0),--(INDEX(Matrix!$C$5:$BJ$204,0,BE$3)&gt;0)))</f>
        <v/>
      </c>
      <c r="BF11" s="12" t="str">
        <f aca="false">IF(OR($A11="",BF$4=""),"",SUMPRODUCT(--(INDEX(Matrix!$C$5:$BJ$204,0,$B11)&gt;0),--(INDEX(Matrix!$C$5:$BJ$204,0,BF$3)&gt;0)))</f>
        <v/>
      </c>
      <c r="BG11" s="12" t="str">
        <f aca="false">IF(OR($A11="",BG$4=""),"",SUMPRODUCT(--(INDEX(Matrix!$C$5:$BJ$204,0,$B11)&gt;0),--(INDEX(Matrix!$C$5:$BJ$204,0,BG$3)&gt;0)))</f>
        <v/>
      </c>
      <c r="BH11" s="12" t="str">
        <f aca="false">IF(OR($A11="",BH$4=""),"",SUMPRODUCT(--(INDEX(Matrix!$C$5:$BJ$204,0,$B11)&gt;0),--(INDEX(Matrix!$C$5:$BJ$204,0,BH$3)&gt;0)))</f>
        <v/>
      </c>
      <c r="BI11" s="12" t="str">
        <f aca="false">IF(OR($A11="",BI$4=""),"",SUMPRODUCT(--(INDEX(Matrix!$C$5:$BJ$204,0,$B11)&gt;0),--(INDEX(Matrix!$C$5:$BJ$204,0,BI$3)&gt;0)))</f>
        <v/>
      </c>
      <c r="BJ11" s="12" t="str">
        <f aca="false">IF(OR($A11="",BJ$4=""),"",SUMPRODUCT(--(INDEX(Matrix!$C$5:$BJ$204,0,$B11)&gt;0),--(INDEX(Matrix!$C$5:$BJ$204,0,BJ$3)&gt;0)))</f>
        <v/>
      </c>
    </row>
    <row r="12" customFormat="false" ht="15" hidden="false" customHeight="false" outlineLevel="0" collapsed="false">
      <c r="A12" s="6" t="str">
        <f aca="false">IF(INDEX(Products!$A$2:$A$61,$B12)="","",INDEX(Products!$A$2:$A$61,$B12))</f>
        <v>Product 8</v>
      </c>
      <c r="B12" s="23" t="n">
        <v>8</v>
      </c>
      <c r="C12" s="12" t="n">
        <f aca="false">IF(OR($A12="",C$4=""),"",SUMPRODUCT(--(INDEX(Matrix!$C$5:$BJ$204,0,$B12)&gt;0),--(INDEX(Matrix!$C$5:$BJ$204,0,C$3)&gt;0)))</f>
        <v>9</v>
      </c>
      <c r="D12" s="12" t="n">
        <f aca="false">IF(OR($A12="",D$4=""),"",SUMPRODUCT(--(INDEX(Matrix!$C$5:$BJ$204,0,$B12)&gt;0),--(INDEX(Matrix!$C$5:$BJ$204,0,D$3)&gt;0)))</f>
        <v>9</v>
      </c>
      <c r="E12" s="12" t="n">
        <f aca="false">IF(OR($A12="",E$4=""),"",SUMPRODUCT(--(INDEX(Matrix!$C$5:$BJ$204,0,$B12)&gt;0),--(INDEX(Matrix!$C$5:$BJ$204,0,E$3)&gt;0)))</f>
        <v>8</v>
      </c>
      <c r="F12" s="12" t="n">
        <f aca="false">IF(OR($A12="",F$4=""),"",SUMPRODUCT(--(INDEX(Matrix!$C$5:$BJ$204,0,$B12)&gt;0),--(INDEX(Matrix!$C$5:$BJ$204,0,F$3)&gt;0)))</f>
        <v>8</v>
      </c>
      <c r="G12" s="12" t="n">
        <f aca="false">IF(OR($A12="",G$4=""),"",SUMPRODUCT(--(INDEX(Matrix!$C$5:$BJ$204,0,$B12)&gt;0),--(INDEX(Matrix!$C$5:$BJ$204,0,G$3)&gt;0)))</f>
        <v>8</v>
      </c>
      <c r="H12" s="12" t="n">
        <f aca="false">IF(OR($A12="",H$4=""),"",SUMPRODUCT(--(INDEX(Matrix!$C$5:$BJ$204,0,$B12)&gt;0),--(INDEX(Matrix!$C$5:$BJ$204,0,H$3)&gt;0)))</f>
        <v>8</v>
      </c>
      <c r="I12" s="12" t="n">
        <f aca="false">IF(OR($A12="",I$4=""),"",SUMPRODUCT(--(INDEX(Matrix!$C$5:$BJ$204,0,$B12)&gt;0),--(INDEX(Matrix!$C$5:$BJ$204,0,I$3)&gt;0)))</f>
        <v>14</v>
      </c>
      <c r="J12" s="12" t="n">
        <f aca="false">IF(OR($A12="",J$4=""),"",SUMPRODUCT(--(INDEX(Matrix!$C$5:$BJ$204,0,$B12)&gt;0),--(INDEX(Matrix!$C$5:$BJ$204,0,J$3)&gt;0)))</f>
        <v>14</v>
      </c>
      <c r="K12" s="12" t="n">
        <f aca="false">IF(OR($A12="",K$4=""),"",SUMPRODUCT(--(INDEX(Matrix!$C$5:$BJ$204,0,$B12)&gt;0),--(INDEX(Matrix!$C$5:$BJ$204,0,K$3)&gt;0)))</f>
        <v>5</v>
      </c>
      <c r="L12" s="12" t="n">
        <f aca="false">IF(OR($A12="",L$4=""),"",SUMPRODUCT(--(INDEX(Matrix!$C$5:$BJ$204,0,$B12)&gt;0),--(INDEX(Matrix!$C$5:$BJ$204,0,L$3)&gt;0)))</f>
        <v>5</v>
      </c>
      <c r="M12" s="12" t="str">
        <f aca="false">IF(OR($A12="",M$4=""),"",SUMPRODUCT(--(INDEX(Matrix!$C$5:$BJ$204,0,$B12)&gt;0),--(INDEX(Matrix!$C$5:$BJ$204,0,M$3)&gt;0)))</f>
        <v/>
      </c>
      <c r="N12" s="12" t="str">
        <f aca="false">IF(OR($A12="",N$4=""),"",SUMPRODUCT(--(INDEX(Matrix!$C$5:$BJ$204,0,$B12)&gt;0),--(INDEX(Matrix!$C$5:$BJ$204,0,N$3)&gt;0)))</f>
        <v/>
      </c>
      <c r="O12" s="12" t="str">
        <f aca="false">IF(OR($A12="",O$4=""),"",SUMPRODUCT(--(INDEX(Matrix!$C$5:$BJ$204,0,$B12)&gt;0),--(INDEX(Matrix!$C$5:$BJ$204,0,O$3)&gt;0)))</f>
        <v/>
      </c>
      <c r="P12" s="12" t="str">
        <f aca="false">IF(OR($A12="",P$4=""),"",SUMPRODUCT(--(INDEX(Matrix!$C$5:$BJ$204,0,$B12)&gt;0),--(INDEX(Matrix!$C$5:$BJ$204,0,P$3)&gt;0)))</f>
        <v/>
      </c>
      <c r="Q12" s="12" t="str">
        <f aca="false">IF(OR($A12="",Q$4=""),"",SUMPRODUCT(--(INDEX(Matrix!$C$5:$BJ$204,0,$B12)&gt;0),--(INDEX(Matrix!$C$5:$BJ$204,0,Q$3)&gt;0)))</f>
        <v/>
      </c>
      <c r="R12" s="12" t="str">
        <f aca="false">IF(OR($A12="",R$4=""),"",SUMPRODUCT(--(INDEX(Matrix!$C$5:$BJ$204,0,$B12)&gt;0),--(INDEX(Matrix!$C$5:$BJ$204,0,R$3)&gt;0)))</f>
        <v/>
      </c>
      <c r="S12" s="12" t="str">
        <f aca="false">IF(OR($A12="",S$4=""),"",SUMPRODUCT(--(INDEX(Matrix!$C$5:$BJ$204,0,$B12)&gt;0),--(INDEX(Matrix!$C$5:$BJ$204,0,S$3)&gt;0)))</f>
        <v/>
      </c>
      <c r="T12" s="12" t="str">
        <f aca="false">IF(OR($A12="",T$4=""),"",SUMPRODUCT(--(INDEX(Matrix!$C$5:$BJ$204,0,$B12)&gt;0),--(INDEX(Matrix!$C$5:$BJ$204,0,T$3)&gt;0)))</f>
        <v/>
      </c>
      <c r="U12" s="12" t="str">
        <f aca="false">IF(OR($A12="",U$4=""),"",SUMPRODUCT(--(INDEX(Matrix!$C$5:$BJ$204,0,$B12)&gt;0),--(INDEX(Matrix!$C$5:$BJ$204,0,U$3)&gt;0)))</f>
        <v/>
      </c>
      <c r="V12" s="12" t="str">
        <f aca="false">IF(OR($A12="",V$4=""),"",SUMPRODUCT(--(INDEX(Matrix!$C$5:$BJ$204,0,$B12)&gt;0),--(INDEX(Matrix!$C$5:$BJ$204,0,V$3)&gt;0)))</f>
        <v/>
      </c>
      <c r="W12" s="12" t="str">
        <f aca="false">IF(OR($A12="",W$4=""),"",SUMPRODUCT(--(INDEX(Matrix!$C$5:$BJ$204,0,$B12)&gt;0),--(INDEX(Matrix!$C$5:$BJ$204,0,W$3)&gt;0)))</f>
        <v/>
      </c>
      <c r="X12" s="12" t="str">
        <f aca="false">IF(OR($A12="",X$4=""),"",SUMPRODUCT(--(INDEX(Matrix!$C$5:$BJ$204,0,$B12)&gt;0),--(INDEX(Matrix!$C$5:$BJ$204,0,X$3)&gt;0)))</f>
        <v/>
      </c>
      <c r="Y12" s="12" t="str">
        <f aca="false">IF(OR($A12="",Y$4=""),"",SUMPRODUCT(--(INDEX(Matrix!$C$5:$BJ$204,0,$B12)&gt;0),--(INDEX(Matrix!$C$5:$BJ$204,0,Y$3)&gt;0)))</f>
        <v/>
      </c>
      <c r="Z12" s="12" t="str">
        <f aca="false">IF(OR($A12="",Z$4=""),"",SUMPRODUCT(--(INDEX(Matrix!$C$5:$BJ$204,0,$B12)&gt;0),--(INDEX(Matrix!$C$5:$BJ$204,0,Z$3)&gt;0)))</f>
        <v/>
      </c>
      <c r="AA12" s="12" t="str">
        <f aca="false">IF(OR($A12="",AA$4=""),"",SUMPRODUCT(--(INDEX(Matrix!$C$5:$BJ$204,0,$B12)&gt;0),--(INDEX(Matrix!$C$5:$BJ$204,0,AA$3)&gt;0)))</f>
        <v/>
      </c>
      <c r="AB12" s="12" t="str">
        <f aca="false">IF(OR($A12="",AB$4=""),"",SUMPRODUCT(--(INDEX(Matrix!$C$5:$BJ$204,0,$B12)&gt;0),--(INDEX(Matrix!$C$5:$BJ$204,0,AB$3)&gt;0)))</f>
        <v/>
      </c>
      <c r="AC12" s="12" t="str">
        <f aca="false">IF(OR($A12="",AC$4=""),"",SUMPRODUCT(--(INDEX(Matrix!$C$5:$BJ$204,0,$B12)&gt;0),--(INDEX(Matrix!$C$5:$BJ$204,0,AC$3)&gt;0)))</f>
        <v/>
      </c>
      <c r="AD12" s="12" t="str">
        <f aca="false">IF(OR($A12="",AD$4=""),"",SUMPRODUCT(--(INDEX(Matrix!$C$5:$BJ$204,0,$B12)&gt;0),--(INDEX(Matrix!$C$5:$BJ$204,0,AD$3)&gt;0)))</f>
        <v/>
      </c>
      <c r="AE12" s="12" t="str">
        <f aca="false">IF(OR($A12="",AE$4=""),"",SUMPRODUCT(--(INDEX(Matrix!$C$5:$BJ$204,0,$B12)&gt;0),--(INDEX(Matrix!$C$5:$BJ$204,0,AE$3)&gt;0)))</f>
        <v/>
      </c>
      <c r="AF12" s="12" t="str">
        <f aca="false">IF(OR($A12="",AF$4=""),"",SUMPRODUCT(--(INDEX(Matrix!$C$5:$BJ$204,0,$B12)&gt;0),--(INDEX(Matrix!$C$5:$BJ$204,0,AF$3)&gt;0)))</f>
        <v/>
      </c>
      <c r="AG12" s="12" t="str">
        <f aca="false">IF(OR($A12="",AG$4=""),"",SUMPRODUCT(--(INDEX(Matrix!$C$5:$BJ$204,0,$B12)&gt;0),--(INDEX(Matrix!$C$5:$BJ$204,0,AG$3)&gt;0)))</f>
        <v/>
      </c>
      <c r="AH12" s="12" t="str">
        <f aca="false">IF(OR($A12="",AH$4=""),"",SUMPRODUCT(--(INDEX(Matrix!$C$5:$BJ$204,0,$B12)&gt;0),--(INDEX(Matrix!$C$5:$BJ$204,0,AH$3)&gt;0)))</f>
        <v/>
      </c>
      <c r="AI12" s="12" t="str">
        <f aca="false">IF(OR($A12="",AI$4=""),"",SUMPRODUCT(--(INDEX(Matrix!$C$5:$BJ$204,0,$B12)&gt;0),--(INDEX(Matrix!$C$5:$BJ$204,0,AI$3)&gt;0)))</f>
        <v/>
      </c>
      <c r="AJ12" s="12" t="str">
        <f aca="false">IF(OR($A12="",AJ$4=""),"",SUMPRODUCT(--(INDEX(Matrix!$C$5:$BJ$204,0,$B12)&gt;0),--(INDEX(Matrix!$C$5:$BJ$204,0,AJ$3)&gt;0)))</f>
        <v/>
      </c>
      <c r="AK12" s="12" t="str">
        <f aca="false">IF(OR($A12="",AK$4=""),"",SUMPRODUCT(--(INDEX(Matrix!$C$5:$BJ$204,0,$B12)&gt;0),--(INDEX(Matrix!$C$5:$BJ$204,0,AK$3)&gt;0)))</f>
        <v/>
      </c>
      <c r="AL12" s="12" t="str">
        <f aca="false">IF(OR($A12="",AL$4=""),"",SUMPRODUCT(--(INDEX(Matrix!$C$5:$BJ$204,0,$B12)&gt;0),--(INDEX(Matrix!$C$5:$BJ$204,0,AL$3)&gt;0)))</f>
        <v/>
      </c>
      <c r="AM12" s="12" t="str">
        <f aca="false">IF(OR($A12="",AM$4=""),"",SUMPRODUCT(--(INDEX(Matrix!$C$5:$BJ$204,0,$B12)&gt;0),--(INDEX(Matrix!$C$5:$BJ$204,0,AM$3)&gt;0)))</f>
        <v/>
      </c>
      <c r="AN12" s="12" t="str">
        <f aca="false">IF(OR($A12="",AN$4=""),"",SUMPRODUCT(--(INDEX(Matrix!$C$5:$BJ$204,0,$B12)&gt;0),--(INDEX(Matrix!$C$5:$BJ$204,0,AN$3)&gt;0)))</f>
        <v/>
      </c>
      <c r="AO12" s="12" t="str">
        <f aca="false">IF(OR($A12="",AO$4=""),"",SUMPRODUCT(--(INDEX(Matrix!$C$5:$BJ$204,0,$B12)&gt;0),--(INDEX(Matrix!$C$5:$BJ$204,0,AO$3)&gt;0)))</f>
        <v/>
      </c>
      <c r="AP12" s="12" t="str">
        <f aca="false">IF(OR($A12="",AP$4=""),"",SUMPRODUCT(--(INDEX(Matrix!$C$5:$BJ$204,0,$B12)&gt;0),--(INDEX(Matrix!$C$5:$BJ$204,0,AP$3)&gt;0)))</f>
        <v/>
      </c>
      <c r="AQ12" s="12" t="str">
        <f aca="false">IF(OR($A12="",AQ$4=""),"",SUMPRODUCT(--(INDEX(Matrix!$C$5:$BJ$204,0,$B12)&gt;0),--(INDEX(Matrix!$C$5:$BJ$204,0,AQ$3)&gt;0)))</f>
        <v/>
      </c>
      <c r="AR12" s="12" t="str">
        <f aca="false">IF(OR($A12="",AR$4=""),"",SUMPRODUCT(--(INDEX(Matrix!$C$5:$BJ$204,0,$B12)&gt;0),--(INDEX(Matrix!$C$5:$BJ$204,0,AR$3)&gt;0)))</f>
        <v/>
      </c>
      <c r="AS12" s="12" t="str">
        <f aca="false">IF(OR($A12="",AS$4=""),"",SUMPRODUCT(--(INDEX(Matrix!$C$5:$BJ$204,0,$B12)&gt;0),--(INDEX(Matrix!$C$5:$BJ$204,0,AS$3)&gt;0)))</f>
        <v/>
      </c>
      <c r="AT12" s="12" t="str">
        <f aca="false">IF(OR($A12="",AT$4=""),"",SUMPRODUCT(--(INDEX(Matrix!$C$5:$BJ$204,0,$B12)&gt;0),--(INDEX(Matrix!$C$5:$BJ$204,0,AT$3)&gt;0)))</f>
        <v/>
      </c>
      <c r="AU12" s="12" t="str">
        <f aca="false">IF(OR($A12="",AU$4=""),"",SUMPRODUCT(--(INDEX(Matrix!$C$5:$BJ$204,0,$B12)&gt;0),--(INDEX(Matrix!$C$5:$BJ$204,0,AU$3)&gt;0)))</f>
        <v/>
      </c>
      <c r="AV12" s="12" t="str">
        <f aca="false">IF(OR($A12="",AV$4=""),"",SUMPRODUCT(--(INDEX(Matrix!$C$5:$BJ$204,0,$B12)&gt;0),--(INDEX(Matrix!$C$5:$BJ$204,0,AV$3)&gt;0)))</f>
        <v/>
      </c>
      <c r="AW12" s="12" t="str">
        <f aca="false">IF(OR($A12="",AW$4=""),"",SUMPRODUCT(--(INDEX(Matrix!$C$5:$BJ$204,0,$B12)&gt;0),--(INDEX(Matrix!$C$5:$BJ$204,0,AW$3)&gt;0)))</f>
        <v/>
      </c>
      <c r="AX12" s="12" t="str">
        <f aca="false">IF(OR($A12="",AX$4=""),"",SUMPRODUCT(--(INDEX(Matrix!$C$5:$BJ$204,0,$B12)&gt;0),--(INDEX(Matrix!$C$5:$BJ$204,0,AX$3)&gt;0)))</f>
        <v/>
      </c>
      <c r="AY12" s="12" t="str">
        <f aca="false">IF(OR($A12="",AY$4=""),"",SUMPRODUCT(--(INDEX(Matrix!$C$5:$BJ$204,0,$B12)&gt;0),--(INDEX(Matrix!$C$5:$BJ$204,0,AY$3)&gt;0)))</f>
        <v/>
      </c>
      <c r="AZ12" s="12" t="str">
        <f aca="false">IF(OR($A12="",AZ$4=""),"",SUMPRODUCT(--(INDEX(Matrix!$C$5:$BJ$204,0,$B12)&gt;0),--(INDEX(Matrix!$C$5:$BJ$204,0,AZ$3)&gt;0)))</f>
        <v/>
      </c>
      <c r="BA12" s="12" t="str">
        <f aca="false">IF(OR($A12="",BA$4=""),"",SUMPRODUCT(--(INDEX(Matrix!$C$5:$BJ$204,0,$B12)&gt;0),--(INDEX(Matrix!$C$5:$BJ$204,0,BA$3)&gt;0)))</f>
        <v/>
      </c>
      <c r="BB12" s="12" t="str">
        <f aca="false">IF(OR($A12="",BB$4=""),"",SUMPRODUCT(--(INDEX(Matrix!$C$5:$BJ$204,0,$B12)&gt;0),--(INDEX(Matrix!$C$5:$BJ$204,0,BB$3)&gt;0)))</f>
        <v/>
      </c>
      <c r="BC12" s="12" t="str">
        <f aca="false">IF(OR($A12="",BC$4=""),"",SUMPRODUCT(--(INDEX(Matrix!$C$5:$BJ$204,0,$B12)&gt;0),--(INDEX(Matrix!$C$5:$BJ$204,0,BC$3)&gt;0)))</f>
        <v/>
      </c>
      <c r="BD12" s="12" t="str">
        <f aca="false">IF(OR($A12="",BD$4=""),"",SUMPRODUCT(--(INDEX(Matrix!$C$5:$BJ$204,0,$B12)&gt;0),--(INDEX(Matrix!$C$5:$BJ$204,0,BD$3)&gt;0)))</f>
        <v/>
      </c>
      <c r="BE12" s="12" t="str">
        <f aca="false">IF(OR($A12="",BE$4=""),"",SUMPRODUCT(--(INDEX(Matrix!$C$5:$BJ$204,0,$B12)&gt;0),--(INDEX(Matrix!$C$5:$BJ$204,0,BE$3)&gt;0)))</f>
        <v/>
      </c>
      <c r="BF12" s="12" t="str">
        <f aca="false">IF(OR($A12="",BF$4=""),"",SUMPRODUCT(--(INDEX(Matrix!$C$5:$BJ$204,0,$B12)&gt;0),--(INDEX(Matrix!$C$5:$BJ$204,0,BF$3)&gt;0)))</f>
        <v/>
      </c>
      <c r="BG12" s="12" t="str">
        <f aca="false">IF(OR($A12="",BG$4=""),"",SUMPRODUCT(--(INDEX(Matrix!$C$5:$BJ$204,0,$B12)&gt;0),--(INDEX(Matrix!$C$5:$BJ$204,0,BG$3)&gt;0)))</f>
        <v/>
      </c>
      <c r="BH12" s="12" t="str">
        <f aca="false">IF(OR($A12="",BH$4=""),"",SUMPRODUCT(--(INDEX(Matrix!$C$5:$BJ$204,0,$B12)&gt;0),--(INDEX(Matrix!$C$5:$BJ$204,0,BH$3)&gt;0)))</f>
        <v/>
      </c>
      <c r="BI12" s="12" t="str">
        <f aca="false">IF(OR($A12="",BI$4=""),"",SUMPRODUCT(--(INDEX(Matrix!$C$5:$BJ$204,0,$B12)&gt;0),--(INDEX(Matrix!$C$5:$BJ$204,0,BI$3)&gt;0)))</f>
        <v/>
      </c>
      <c r="BJ12" s="12" t="str">
        <f aca="false">IF(OR($A12="",BJ$4=""),"",SUMPRODUCT(--(INDEX(Matrix!$C$5:$BJ$204,0,$B12)&gt;0),--(INDEX(Matrix!$C$5:$BJ$204,0,BJ$3)&gt;0)))</f>
        <v/>
      </c>
    </row>
    <row r="13" customFormat="false" ht="15" hidden="false" customHeight="false" outlineLevel="0" collapsed="false">
      <c r="A13" s="6" t="str">
        <f aca="false">IF(INDEX(Products!$A$2:$A$61,$B13)="","",INDEX(Products!$A$2:$A$61,$B13))</f>
        <v>Product 9</v>
      </c>
      <c r="B13" s="23" t="n">
        <v>9</v>
      </c>
      <c r="C13" s="12" t="n">
        <f aca="false">IF(OR($A13="",C$4=""),"",SUMPRODUCT(--(INDEX(Matrix!$C$5:$BJ$204,0,$B13)&gt;0),--(INDEX(Matrix!$C$5:$BJ$204,0,C$3)&gt;0)))</f>
        <v>6</v>
      </c>
      <c r="D13" s="12" t="n">
        <f aca="false">IF(OR($A13="",D$4=""),"",SUMPRODUCT(--(INDEX(Matrix!$C$5:$BJ$204,0,$B13)&gt;0),--(INDEX(Matrix!$C$5:$BJ$204,0,D$3)&gt;0)))</f>
        <v>6</v>
      </c>
      <c r="E13" s="12" t="n">
        <f aca="false">IF(OR($A13="",E$4=""),"",SUMPRODUCT(--(INDEX(Matrix!$C$5:$BJ$204,0,$B13)&gt;0),--(INDEX(Matrix!$C$5:$BJ$204,0,E$3)&gt;0)))</f>
        <v>6</v>
      </c>
      <c r="F13" s="12" t="n">
        <f aca="false">IF(OR($A13="",F$4=""),"",SUMPRODUCT(--(INDEX(Matrix!$C$5:$BJ$204,0,$B13)&gt;0),--(INDEX(Matrix!$C$5:$BJ$204,0,F$3)&gt;0)))</f>
        <v>6</v>
      </c>
      <c r="G13" s="12" t="n">
        <f aca="false">IF(OR($A13="",G$4=""),"",SUMPRODUCT(--(INDEX(Matrix!$C$5:$BJ$204,0,$B13)&gt;0),--(INDEX(Matrix!$C$5:$BJ$204,0,G$3)&gt;0)))</f>
        <v>6</v>
      </c>
      <c r="H13" s="12" t="n">
        <f aca="false">IF(OR($A13="",H$4=""),"",SUMPRODUCT(--(INDEX(Matrix!$C$5:$BJ$204,0,$B13)&gt;0),--(INDEX(Matrix!$C$5:$BJ$204,0,H$3)&gt;0)))</f>
        <v>6</v>
      </c>
      <c r="I13" s="12" t="n">
        <f aca="false">IF(OR($A13="",I$4=""),"",SUMPRODUCT(--(INDEX(Matrix!$C$5:$BJ$204,0,$B13)&gt;0),--(INDEX(Matrix!$C$5:$BJ$204,0,I$3)&gt;0)))</f>
        <v>5</v>
      </c>
      <c r="J13" s="12" t="n">
        <f aca="false">IF(OR($A13="",J$4=""),"",SUMPRODUCT(--(INDEX(Matrix!$C$5:$BJ$204,0,$B13)&gt;0),--(INDEX(Matrix!$C$5:$BJ$204,0,J$3)&gt;0)))</f>
        <v>5</v>
      </c>
      <c r="K13" s="12" t="n">
        <f aca="false">IF(OR($A13="",K$4=""),"",SUMPRODUCT(--(INDEX(Matrix!$C$5:$BJ$204,0,$B13)&gt;0),--(INDEX(Matrix!$C$5:$BJ$204,0,K$3)&gt;0)))</f>
        <v>13</v>
      </c>
      <c r="L13" s="12" t="n">
        <f aca="false">IF(OR($A13="",L$4=""),"",SUMPRODUCT(--(INDEX(Matrix!$C$5:$BJ$204,0,$B13)&gt;0),--(INDEX(Matrix!$C$5:$BJ$204,0,L$3)&gt;0)))</f>
        <v>13</v>
      </c>
      <c r="M13" s="12" t="str">
        <f aca="false">IF(OR($A13="",M$4=""),"",SUMPRODUCT(--(INDEX(Matrix!$C$5:$BJ$204,0,$B13)&gt;0),--(INDEX(Matrix!$C$5:$BJ$204,0,M$3)&gt;0)))</f>
        <v/>
      </c>
      <c r="N13" s="12" t="str">
        <f aca="false">IF(OR($A13="",N$4=""),"",SUMPRODUCT(--(INDEX(Matrix!$C$5:$BJ$204,0,$B13)&gt;0),--(INDEX(Matrix!$C$5:$BJ$204,0,N$3)&gt;0)))</f>
        <v/>
      </c>
      <c r="O13" s="12" t="str">
        <f aca="false">IF(OR($A13="",O$4=""),"",SUMPRODUCT(--(INDEX(Matrix!$C$5:$BJ$204,0,$B13)&gt;0),--(INDEX(Matrix!$C$5:$BJ$204,0,O$3)&gt;0)))</f>
        <v/>
      </c>
      <c r="P13" s="12" t="str">
        <f aca="false">IF(OR($A13="",P$4=""),"",SUMPRODUCT(--(INDEX(Matrix!$C$5:$BJ$204,0,$B13)&gt;0),--(INDEX(Matrix!$C$5:$BJ$204,0,P$3)&gt;0)))</f>
        <v/>
      </c>
      <c r="Q13" s="12" t="str">
        <f aca="false">IF(OR($A13="",Q$4=""),"",SUMPRODUCT(--(INDEX(Matrix!$C$5:$BJ$204,0,$B13)&gt;0),--(INDEX(Matrix!$C$5:$BJ$204,0,Q$3)&gt;0)))</f>
        <v/>
      </c>
      <c r="R13" s="12" t="str">
        <f aca="false">IF(OR($A13="",R$4=""),"",SUMPRODUCT(--(INDEX(Matrix!$C$5:$BJ$204,0,$B13)&gt;0),--(INDEX(Matrix!$C$5:$BJ$204,0,R$3)&gt;0)))</f>
        <v/>
      </c>
      <c r="S13" s="12" t="str">
        <f aca="false">IF(OR($A13="",S$4=""),"",SUMPRODUCT(--(INDEX(Matrix!$C$5:$BJ$204,0,$B13)&gt;0),--(INDEX(Matrix!$C$5:$BJ$204,0,S$3)&gt;0)))</f>
        <v/>
      </c>
      <c r="T13" s="12" t="str">
        <f aca="false">IF(OR($A13="",T$4=""),"",SUMPRODUCT(--(INDEX(Matrix!$C$5:$BJ$204,0,$B13)&gt;0),--(INDEX(Matrix!$C$5:$BJ$204,0,T$3)&gt;0)))</f>
        <v/>
      </c>
      <c r="U13" s="12" t="str">
        <f aca="false">IF(OR($A13="",U$4=""),"",SUMPRODUCT(--(INDEX(Matrix!$C$5:$BJ$204,0,$B13)&gt;0),--(INDEX(Matrix!$C$5:$BJ$204,0,U$3)&gt;0)))</f>
        <v/>
      </c>
      <c r="V13" s="12" t="str">
        <f aca="false">IF(OR($A13="",V$4=""),"",SUMPRODUCT(--(INDEX(Matrix!$C$5:$BJ$204,0,$B13)&gt;0),--(INDEX(Matrix!$C$5:$BJ$204,0,V$3)&gt;0)))</f>
        <v/>
      </c>
      <c r="W13" s="12" t="str">
        <f aca="false">IF(OR($A13="",W$4=""),"",SUMPRODUCT(--(INDEX(Matrix!$C$5:$BJ$204,0,$B13)&gt;0),--(INDEX(Matrix!$C$5:$BJ$204,0,W$3)&gt;0)))</f>
        <v/>
      </c>
      <c r="X13" s="12" t="str">
        <f aca="false">IF(OR($A13="",X$4=""),"",SUMPRODUCT(--(INDEX(Matrix!$C$5:$BJ$204,0,$B13)&gt;0),--(INDEX(Matrix!$C$5:$BJ$204,0,X$3)&gt;0)))</f>
        <v/>
      </c>
      <c r="Y13" s="12" t="str">
        <f aca="false">IF(OR($A13="",Y$4=""),"",SUMPRODUCT(--(INDEX(Matrix!$C$5:$BJ$204,0,$B13)&gt;0),--(INDEX(Matrix!$C$5:$BJ$204,0,Y$3)&gt;0)))</f>
        <v/>
      </c>
      <c r="Z13" s="12" t="str">
        <f aca="false">IF(OR($A13="",Z$4=""),"",SUMPRODUCT(--(INDEX(Matrix!$C$5:$BJ$204,0,$B13)&gt;0),--(INDEX(Matrix!$C$5:$BJ$204,0,Z$3)&gt;0)))</f>
        <v/>
      </c>
      <c r="AA13" s="12" t="str">
        <f aca="false">IF(OR($A13="",AA$4=""),"",SUMPRODUCT(--(INDEX(Matrix!$C$5:$BJ$204,0,$B13)&gt;0),--(INDEX(Matrix!$C$5:$BJ$204,0,AA$3)&gt;0)))</f>
        <v/>
      </c>
      <c r="AB13" s="12" t="str">
        <f aca="false">IF(OR($A13="",AB$4=""),"",SUMPRODUCT(--(INDEX(Matrix!$C$5:$BJ$204,0,$B13)&gt;0),--(INDEX(Matrix!$C$5:$BJ$204,0,AB$3)&gt;0)))</f>
        <v/>
      </c>
      <c r="AC13" s="12" t="str">
        <f aca="false">IF(OR($A13="",AC$4=""),"",SUMPRODUCT(--(INDEX(Matrix!$C$5:$BJ$204,0,$B13)&gt;0),--(INDEX(Matrix!$C$5:$BJ$204,0,AC$3)&gt;0)))</f>
        <v/>
      </c>
      <c r="AD13" s="12" t="str">
        <f aca="false">IF(OR($A13="",AD$4=""),"",SUMPRODUCT(--(INDEX(Matrix!$C$5:$BJ$204,0,$B13)&gt;0),--(INDEX(Matrix!$C$5:$BJ$204,0,AD$3)&gt;0)))</f>
        <v/>
      </c>
      <c r="AE13" s="12" t="str">
        <f aca="false">IF(OR($A13="",AE$4=""),"",SUMPRODUCT(--(INDEX(Matrix!$C$5:$BJ$204,0,$B13)&gt;0),--(INDEX(Matrix!$C$5:$BJ$204,0,AE$3)&gt;0)))</f>
        <v/>
      </c>
      <c r="AF13" s="12" t="str">
        <f aca="false">IF(OR($A13="",AF$4=""),"",SUMPRODUCT(--(INDEX(Matrix!$C$5:$BJ$204,0,$B13)&gt;0),--(INDEX(Matrix!$C$5:$BJ$204,0,AF$3)&gt;0)))</f>
        <v/>
      </c>
      <c r="AG13" s="12" t="str">
        <f aca="false">IF(OR($A13="",AG$4=""),"",SUMPRODUCT(--(INDEX(Matrix!$C$5:$BJ$204,0,$B13)&gt;0),--(INDEX(Matrix!$C$5:$BJ$204,0,AG$3)&gt;0)))</f>
        <v/>
      </c>
      <c r="AH13" s="12" t="str">
        <f aca="false">IF(OR($A13="",AH$4=""),"",SUMPRODUCT(--(INDEX(Matrix!$C$5:$BJ$204,0,$B13)&gt;0),--(INDEX(Matrix!$C$5:$BJ$204,0,AH$3)&gt;0)))</f>
        <v/>
      </c>
      <c r="AI13" s="12" t="str">
        <f aca="false">IF(OR($A13="",AI$4=""),"",SUMPRODUCT(--(INDEX(Matrix!$C$5:$BJ$204,0,$B13)&gt;0),--(INDEX(Matrix!$C$5:$BJ$204,0,AI$3)&gt;0)))</f>
        <v/>
      </c>
      <c r="AJ13" s="12" t="str">
        <f aca="false">IF(OR($A13="",AJ$4=""),"",SUMPRODUCT(--(INDEX(Matrix!$C$5:$BJ$204,0,$B13)&gt;0),--(INDEX(Matrix!$C$5:$BJ$204,0,AJ$3)&gt;0)))</f>
        <v/>
      </c>
      <c r="AK13" s="12" t="str">
        <f aca="false">IF(OR($A13="",AK$4=""),"",SUMPRODUCT(--(INDEX(Matrix!$C$5:$BJ$204,0,$B13)&gt;0),--(INDEX(Matrix!$C$5:$BJ$204,0,AK$3)&gt;0)))</f>
        <v/>
      </c>
      <c r="AL13" s="12" t="str">
        <f aca="false">IF(OR($A13="",AL$4=""),"",SUMPRODUCT(--(INDEX(Matrix!$C$5:$BJ$204,0,$B13)&gt;0),--(INDEX(Matrix!$C$5:$BJ$204,0,AL$3)&gt;0)))</f>
        <v/>
      </c>
      <c r="AM13" s="12" t="str">
        <f aca="false">IF(OR($A13="",AM$4=""),"",SUMPRODUCT(--(INDEX(Matrix!$C$5:$BJ$204,0,$B13)&gt;0),--(INDEX(Matrix!$C$5:$BJ$204,0,AM$3)&gt;0)))</f>
        <v/>
      </c>
      <c r="AN13" s="12" t="str">
        <f aca="false">IF(OR($A13="",AN$4=""),"",SUMPRODUCT(--(INDEX(Matrix!$C$5:$BJ$204,0,$B13)&gt;0),--(INDEX(Matrix!$C$5:$BJ$204,0,AN$3)&gt;0)))</f>
        <v/>
      </c>
      <c r="AO13" s="12" t="str">
        <f aca="false">IF(OR($A13="",AO$4=""),"",SUMPRODUCT(--(INDEX(Matrix!$C$5:$BJ$204,0,$B13)&gt;0),--(INDEX(Matrix!$C$5:$BJ$204,0,AO$3)&gt;0)))</f>
        <v/>
      </c>
      <c r="AP13" s="12" t="str">
        <f aca="false">IF(OR($A13="",AP$4=""),"",SUMPRODUCT(--(INDEX(Matrix!$C$5:$BJ$204,0,$B13)&gt;0),--(INDEX(Matrix!$C$5:$BJ$204,0,AP$3)&gt;0)))</f>
        <v/>
      </c>
      <c r="AQ13" s="12" t="str">
        <f aca="false">IF(OR($A13="",AQ$4=""),"",SUMPRODUCT(--(INDEX(Matrix!$C$5:$BJ$204,0,$B13)&gt;0),--(INDEX(Matrix!$C$5:$BJ$204,0,AQ$3)&gt;0)))</f>
        <v/>
      </c>
      <c r="AR13" s="12" t="str">
        <f aca="false">IF(OR($A13="",AR$4=""),"",SUMPRODUCT(--(INDEX(Matrix!$C$5:$BJ$204,0,$B13)&gt;0),--(INDEX(Matrix!$C$5:$BJ$204,0,AR$3)&gt;0)))</f>
        <v/>
      </c>
      <c r="AS13" s="12" t="str">
        <f aca="false">IF(OR($A13="",AS$4=""),"",SUMPRODUCT(--(INDEX(Matrix!$C$5:$BJ$204,0,$B13)&gt;0),--(INDEX(Matrix!$C$5:$BJ$204,0,AS$3)&gt;0)))</f>
        <v/>
      </c>
      <c r="AT13" s="12" t="str">
        <f aca="false">IF(OR($A13="",AT$4=""),"",SUMPRODUCT(--(INDEX(Matrix!$C$5:$BJ$204,0,$B13)&gt;0),--(INDEX(Matrix!$C$5:$BJ$204,0,AT$3)&gt;0)))</f>
        <v/>
      </c>
      <c r="AU13" s="12" t="str">
        <f aca="false">IF(OR($A13="",AU$4=""),"",SUMPRODUCT(--(INDEX(Matrix!$C$5:$BJ$204,0,$B13)&gt;0),--(INDEX(Matrix!$C$5:$BJ$204,0,AU$3)&gt;0)))</f>
        <v/>
      </c>
      <c r="AV13" s="12" t="str">
        <f aca="false">IF(OR($A13="",AV$4=""),"",SUMPRODUCT(--(INDEX(Matrix!$C$5:$BJ$204,0,$B13)&gt;0),--(INDEX(Matrix!$C$5:$BJ$204,0,AV$3)&gt;0)))</f>
        <v/>
      </c>
      <c r="AW13" s="12" t="str">
        <f aca="false">IF(OR($A13="",AW$4=""),"",SUMPRODUCT(--(INDEX(Matrix!$C$5:$BJ$204,0,$B13)&gt;0),--(INDEX(Matrix!$C$5:$BJ$204,0,AW$3)&gt;0)))</f>
        <v/>
      </c>
      <c r="AX13" s="12" t="str">
        <f aca="false">IF(OR($A13="",AX$4=""),"",SUMPRODUCT(--(INDEX(Matrix!$C$5:$BJ$204,0,$B13)&gt;0),--(INDEX(Matrix!$C$5:$BJ$204,0,AX$3)&gt;0)))</f>
        <v/>
      </c>
      <c r="AY13" s="12" t="str">
        <f aca="false">IF(OR($A13="",AY$4=""),"",SUMPRODUCT(--(INDEX(Matrix!$C$5:$BJ$204,0,$B13)&gt;0),--(INDEX(Matrix!$C$5:$BJ$204,0,AY$3)&gt;0)))</f>
        <v/>
      </c>
      <c r="AZ13" s="12" t="str">
        <f aca="false">IF(OR($A13="",AZ$4=""),"",SUMPRODUCT(--(INDEX(Matrix!$C$5:$BJ$204,0,$B13)&gt;0),--(INDEX(Matrix!$C$5:$BJ$204,0,AZ$3)&gt;0)))</f>
        <v/>
      </c>
      <c r="BA13" s="12" t="str">
        <f aca="false">IF(OR($A13="",BA$4=""),"",SUMPRODUCT(--(INDEX(Matrix!$C$5:$BJ$204,0,$B13)&gt;0),--(INDEX(Matrix!$C$5:$BJ$204,0,BA$3)&gt;0)))</f>
        <v/>
      </c>
      <c r="BB13" s="12" t="str">
        <f aca="false">IF(OR($A13="",BB$4=""),"",SUMPRODUCT(--(INDEX(Matrix!$C$5:$BJ$204,0,$B13)&gt;0),--(INDEX(Matrix!$C$5:$BJ$204,0,BB$3)&gt;0)))</f>
        <v/>
      </c>
      <c r="BC13" s="12" t="str">
        <f aca="false">IF(OR($A13="",BC$4=""),"",SUMPRODUCT(--(INDEX(Matrix!$C$5:$BJ$204,0,$B13)&gt;0),--(INDEX(Matrix!$C$5:$BJ$204,0,BC$3)&gt;0)))</f>
        <v/>
      </c>
      <c r="BD13" s="12" t="str">
        <f aca="false">IF(OR($A13="",BD$4=""),"",SUMPRODUCT(--(INDEX(Matrix!$C$5:$BJ$204,0,$B13)&gt;0),--(INDEX(Matrix!$C$5:$BJ$204,0,BD$3)&gt;0)))</f>
        <v/>
      </c>
      <c r="BE13" s="12" t="str">
        <f aca="false">IF(OR($A13="",BE$4=""),"",SUMPRODUCT(--(INDEX(Matrix!$C$5:$BJ$204,0,$B13)&gt;0),--(INDEX(Matrix!$C$5:$BJ$204,0,BE$3)&gt;0)))</f>
        <v/>
      </c>
      <c r="BF13" s="12" t="str">
        <f aca="false">IF(OR($A13="",BF$4=""),"",SUMPRODUCT(--(INDEX(Matrix!$C$5:$BJ$204,0,$B13)&gt;0),--(INDEX(Matrix!$C$5:$BJ$204,0,BF$3)&gt;0)))</f>
        <v/>
      </c>
      <c r="BG13" s="12" t="str">
        <f aca="false">IF(OR($A13="",BG$4=""),"",SUMPRODUCT(--(INDEX(Matrix!$C$5:$BJ$204,0,$B13)&gt;0),--(INDEX(Matrix!$C$5:$BJ$204,0,BG$3)&gt;0)))</f>
        <v/>
      </c>
      <c r="BH13" s="12" t="str">
        <f aca="false">IF(OR($A13="",BH$4=""),"",SUMPRODUCT(--(INDEX(Matrix!$C$5:$BJ$204,0,$B13)&gt;0),--(INDEX(Matrix!$C$5:$BJ$204,0,BH$3)&gt;0)))</f>
        <v/>
      </c>
      <c r="BI13" s="12" t="str">
        <f aca="false">IF(OR($A13="",BI$4=""),"",SUMPRODUCT(--(INDEX(Matrix!$C$5:$BJ$204,0,$B13)&gt;0),--(INDEX(Matrix!$C$5:$BJ$204,0,BI$3)&gt;0)))</f>
        <v/>
      </c>
      <c r="BJ13" s="12" t="str">
        <f aca="false">IF(OR($A13="",BJ$4=""),"",SUMPRODUCT(--(INDEX(Matrix!$C$5:$BJ$204,0,$B13)&gt;0),--(INDEX(Matrix!$C$5:$BJ$204,0,BJ$3)&gt;0)))</f>
        <v/>
      </c>
    </row>
    <row r="14" customFormat="false" ht="15" hidden="false" customHeight="false" outlineLevel="0" collapsed="false">
      <c r="A14" s="6" t="str">
        <f aca="false">IF(INDEX(Products!$A$2:$A$61,$B14)="","",INDEX(Products!$A$2:$A$61,$B14))</f>
        <v>Product 10</v>
      </c>
      <c r="B14" s="23" t="n">
        <v>10</v>
      </c>
      <c r="C14" s="12" t="n">
        <f aca="false">IF(OR($A14="",C$4=""),"",SUMPRODUCT(--(INDEX(Matrix!$C$5:$BJ$204,0,$B14)&gt;0),--(INDEX(Matrix!$C$5:$BJ$204,0,C$3)&gt;0)))</f>
        <v>6</v>
      </c>
      <c r="D14" s="12" t="n">
        <f aca="false">IF(OR($A14="",D$4=""),"",SUMPRODUCT(--(INDEX(Matrix!$C$5:$BJ$204,0,$B14)&gt;0),--(INDEX(Matrix!$C$5:$BJ$204,0,D$3)&gt;0)))</f>
        <v>6</v>
      </c>
      <c r="E14" s="12" t="n">
        <f aca="false">IF(OR($A14="",E$4=""),"",SUMPRODUCT(--(INDEX(Matrix!$C$5:$BJ$204,0,$B14)&gt;0),--(INDEX(Matrix!$C$5:$BJ$204,0,E$3)&gt;0)))</f>
        <v>6</v>
      </c>
      <c r="F14" s="12" t="n">
        <f aca="false">IF(OR($A14="",F$4=""),"",SUMPRODUCT(--(INDEX(Matrix!$C$5:$BJ$204,0,$B14)&gt;0),--(INDEX(Matrix!$C$5:$BJ$204,0,F$3)&gt;0)))</f>
        <v>6</v>
      </c>
      <c r="G14" s="12" t="n">
        <f aca="false">IF(OR($A14="",G$4=""),"",SUMPRODUCT(--(INDEX(Matrix!$C$5:$BJ$204,0,$B14)&gt;0),--(INDEX(Matrix!$C$5:$BJ$204,0,G$3)&gt;0)))</f>
        <v>6</v>
      </c>
      <c r="H14" s="12" t="n">
        <f aca="false">IF(OR($A14="",H$4=""),"",SUMPRODUCT(--(INDEX(Matrix!$C$5:$BJ$204,0,$B14)&gt;0),--(INDEX(Matrix!$C$5:$BJ$204,0,H$3)&gt;0)))</f>
        <v>6</v>
      </c>
      <c r="I14" s="12" t="n">
        <f aca="false">IF(OR($A14="",I$4=""),"",SUMPRODUCT(--(INDEX(Matrix!$C$5:$BJ$204,0,$B14)&gt;0),--(INDEX(Matrix!$C$5:$BJ$204,0,I$3)&gt;0)))</f>
        <v>5</v>
      </c>
      <c r="J14" s="12" t="n">
        <f aca="false">IF(OR($A14="",J$4=""),"",SUMPRODUCT(--(INDEX(Matrix!$C$5:$BJ$204,0,$B14)&gt;0),--(INDEX(Matrix!$C$5:$BJ$204,0,J$3)&gt;0)))</f>
        <v>5</v>
      </c>
      <c r="K14" s="12" t="n">
        <f aca="false">IF(OR($A14="",K$4=""),"",SUMPRODUCT(--(INDEX(Matrix!$C$5:$BJ$204,0,$B14)&gt;0),--(INDEX(Matrix!$C$5:$BJ$204,0,K$3)&gt;0)))</f>
        <v>13</v>
      </c>
      <c r="L14" s="12" t="n">
        <f aca="false">IF(OR($A14="",L$4=""),"",SUMPRODUCT(--(INDEX(Matrix!$C$5:$BJ$204,0,$B14)&gt;0),--(INDEX(Matrix!$C$5:$BJ$204,0,L$3)&gt;0)))</f>
        <v>13</v>
      </c>
      <c r="M14" s="12" t="str">
        <f aca="false">IF(OR($A14="",M$4=""),"",SUMPRODUCT(--(INDEX(Matrix!$C$5:$BJ$204,0,$B14)&gt;0),--(INDEX(Matrix!$C$5:$BJ$204,0,M$3)&gt;0)))</f>
        <v/>
      </c>
      <c r="N14" s="12" t="str">
        <f aca="false">IF(OR($A14="",N$4=""),"",SUMPRODUCT(--(INDEX(Matrix!$C$5:$BJ$204,0,$B14)&gt;0),--(INDEX(Matrix!$C$5:$BJ$204,0,N$3)&gt;0)))</f>
        <v/>
      </c>
      <c r="O14" s="12" t="str">
        <f aca="false">IF(OR($A14="",O$4=""),"",SUMPRODUCT(--(INDEX(Matrix!$C$5:$BJ$204,0,$B14)&gt;0),--(INDEX(Matrix!$C$5:$BJ$204,0,O$3)&gt;0)))</f>
        <v/>
      </c>
      <c r="P14" s="12" t="str">
        <f aca="false">IF(OR($A14="",P$4=""),"",SUMPRODUCT(--(INDEX(Matrix!$C$5:$BJ$204,0,$B14)&gt;0),--(INDEX(Matrix!$C$5:$BJ$204,0,P$3)&gt;0)))</f>
        <v/>
      </c>
      <c r="Q14" s="12" t="str">
        <f aca="false">IF(OR($A14="",Q$4=""),"",SUMPRODUCT(--(INDEX(Matrix!$C$5:$BJ$204,0,$B14)&gt;0),--(INDEX(Matrix!$C$5:$BJ$204,0,Q$3)&gt;0)))</f>
        <v/>
      </c>
      <c r="R14" s="12" t="str">
        <f aca="false">IF(OR($A14="",R$4=""),"",SUMPRODUCT(--(INDEX(Matrix!$C$5:$BJ$204,0,$B14)&gt;0),--(INDEX(Matrix!$C$5:$BJ$204,0,R$3)&gt;0)))</f>
        <v/>
      </c>
      <c r="S14" s="12" t="str">
        <f aca="false">IF(OR($A14="",S$4=""),"",SUMPRODUCT(--(INDEX(Matrix!$C$5:$BJ$204,0,$B14)&gt;0),--(INDEX(Matrix!$C$5:$BJ$204,0,S$3)&gt;0)))</f>
        <v/>
      </c>
      <c r="T14" s="12" t="str">
        <f aca="false">IF(OR($A14="",T$4=""),"",SUMPRODUCT(--(INDEX(Matrix!$C$5:$BJ$204,0,$B14)&gt;0),--(INDEX(Matrix!$C$5:$BJ$204,0,T$3)&gt;0)))</f>
        <v/>
      </c>
      <c r="U14" s="12" t="str">
        <f aca="false">IF(OR($A14="",U$4=""),"",SUMPRODUCT(--(INDEX(Matrix!$C$5:$BJ$204,0,$B14)&gt;0),--(INDEX(Matrix!$C$5:$BJ$204,0,U$3)&gt;0)))</f>
        <v/>
      </c>
      <c r="V14" s="12" t="str">
        <f aca="false">IF(OR($A14="",V$4=""),"",SUMPRODUCT(--(INDEX(Matrix!$C$5:$BJ$204,0,$B14)&gt;0),--(INDEX(Matrix!$C$5:$BJ$204,0,V$3)&gt;0)))</f>
        <v/>
      </c>
      <c r="W14" s="12" t="str">
        <f aca="false">IF(OR($A14="",W$4=""),"",SUMPRODUCT(--(INDEX(Matrix!$C$5:$BJ$204,0,$B14)&gt;0),--(INDEX(Matrix!$C$5:$BJ$204,0,W$3)&gt;0)))</f>
        <v/>
      </c>
      <c r="X14" s="12" t="str">
        <f aca="false">IF(OR($A14="",X$4=""),"",SUMPRODUCT(--(INDEX(Matrix!$C$5:$BJ$204,0,$B14)&gt;0),--(INDEX(Matrix!$C$5:$BJ$204,0,X$3)&gt;0)))</f>
        <v/>
      </c>
      <c r="Y14" s="12" t="str">
        <f aca="false">IF(OR($A14="",Y$4=""),"",SUMPRODUCT(--(INDEX(Matrix!$C$5:$BJ$204,0,$B14)&gt;0),--(INDEX(Matrix!$C$5:$BJ$204,0,Y$3)&gt;0)))</f>
        <v/>
      </c>
      <c r="Z14" s="12" t="str">
        <f aca="false">IF(OR($A14="",Z$4=""),"",SUMPRODUCT(--(INDEX(Matrix!$C$5:$BJ$204,0,$B14)&gt;0),--(INDEX(Matrix!$C$5:$BJ$204,0,Z$3)&gt;0)))</f>
        <v/>
      </c>
      <c r="AA14" s="12" t="str">
        <f aca="false">IF(OR($A14="",AA$4=""),"",SUMPRODUCT(--(INDEX(Matrix!$C$5:$BJ$204,0,$B14)&gt;0),--(INDEX(Matrix!$C$5:$BJ$204,0,AA$3)&gt;0)))</f>
        <v/>
      </c>
      <c r="AB14" s="12" t="str">
        <f aca="false">IF(OR($A14="",AB$4=""),"",SUMPRODUCT(--(INDEX(Matrix!$C$5:$BJ$204,0,$B14)&gt;0),--(INDEX(Matrix!$C$5:$BJ$204,0,AB$3)&gt;0)))</f>
        <v/>
      </c>
      <c r="AC14" s="12" t="str">
        <f aca="false">IF(OR($A14="",AC$4=""),"",SUMPRODUCT(--(INDEX(Matrix!$C$5:$BJ$204,0,$B14)&gt;0),--(INDEX(Matrix!$C$5:$BJ$204,0,AC$3)&gt;0)))</f>
        <v/>
      </c>
      <c r="AD14" s="12" t="str">
        <f aca="false">IF(OR($A14="",AD$4=""),"",SUMPRODUCT(--(INDEX(Matrix!$C$5:$BJ$204,0,$B14)&gt;0),--(INDEX(Matrix!$C$5:$BJ$204,0,AD$3)&gt;0)))</f>
        <v/>
      </c>
      <c r="AE14" s="12" t="str">
        <f aca="false">IF(OR($A14="",AE$4=""),"",SUMPRODUCT(--(INDEX(Matrix!$C$5:$BJ$204,0,$B14)&gt;0),--(INDEX(Matrix!$C$5:$BJ$204,0,AE$3)&gt;0)))</f>
        <v/>
      </c>
      <c r="AF14" s="12" t="str">
        <f aca="false">IF(OR($A14="",AF$4=""),"",SUMPRODUCT(--(INDEX(Matrix!$C$5:$BJ$204,0,$B14)&gt;0),--(INDEX(Matrix!$C$5:$BJ$204,0,AF$3)&gt;0)))</f>
        <v/>
      </c>
      <c r="AG14" s="12" t="str">
        <f aca="false">IF(OR($A14="",AG$4=""),"",SUMPRODUCT(--(INDEX(Matrix!$C$5:$BJ$204,0,$B14)&gt;0),--(INDEX(Matrix!$C$5:$BJ$204,0,AG$3)&gt;0)))</f>
        <v/>
      </c>
      <c r="AH14" s="12" t="str">
        <f aca="false">IF(OR($A14="",AH$4=""),"",SUMPRODUCT(--(INDEX(Matrix!$C$5:$BJ$204,0,$B14)&gt;0),--(INDEX(Matrix!$C$5:$BJ$204,0,AH$3)&gt;0)))</f>
        <v/>
      </c>
      <c r="AI14" s="12" t="str">
        <f aca="false">IF(OR($A14="",AI$4=""),"",SUMPRODUCT(--(INDEX(Matrix!$C$5:$BJ$204,0,$B14)&gt;0),--(INDEX(Matrix!$C$5:$BJ$204,0,AI$3)&gt;0)))</f>
        <v/>
      </c>
      <c r="AJ14" s="12" t="str">
        <f aca="false">IF(OR($A14="",AJ$4=""),"",SUMPRODUCT(--(INDEX(Matrix!$C$5:$BJ$204,0,$B14)&gt;0),--(INDEX(Matrix!$C$5:$BJ$204,0,AJ$3)&gt;0)))</f>
        <v/>
      </c>
      <c r="AK14" s="12" t="str">
        <f aca="false">IF(OR($A14="",AK$4=""),"",SUMPRODUCT(--(INDEX(Matrix!$C$5:$BJ$204,0,$B14)&gt;0),--(INDEX(Matrix!$C$5:$BJ$204,0,AK$3)&gt;0)))</f>
        <v/>
      </c>
      <c r="AL14" s="12" t="str">
        <f aca="false">IF(OR($A14="",AL$4=""),"",SUMPRODUCT(--(INDEX(Matrix!$C$5:$BJ$204,0,$B14)&gt;0),--(INDEX(Matrix!$C$5:$BJ$204,0,AL$3)&gt;0)))</f>
        <v/>
      </c>
      <c r="AM14" s="12" t="str">
        <f aca="false">IF(OR($A14="",AM$4=""),"",SUMPRODUCT(--(INDEX(Matrix!$C$5:$BJ$204,0,$B14)&gt;0),--(INDEX(Matrix!$C$5:$BJ$204,0,AM$3)&gt;0)))</f>
        <v/>
      </c>
      <c r="AN14" s="12" t="str">
        <f aca="false">IF(OR($A14="",AN$4=""),"",SUMPRODUCT(--(INDEX(Matrix!$C$5:$BJ$204,0,$B14)&gt;0),--(INDEX(Matrix!$C$5:$BJ$204,0,AN$3)&gt;0)))</f>
        <v/>
      </c>
      <c r="AO14" s="12" t="str">
        <f aca="false">IF(OR($A14="",AO$4=""),"",SUMPRODUCT(--(INDEX(Matrix!$C$5:$BJ$204,0,$B14)&gt;0),--(INDEX(Matrix!$C$5:$BJ$204,0,AO$3)&gt;0)))</f>
        <v/>
      </c>
      <c r="AP14" s="12" t="str">
        <f aca="false">IF(OR($A14="",AP$4=""),"",SUMPRODUCT(--(INDEX(Matrix!$C$5:$BJ$204,0,$B14)&gt;0),--(INDEX(Matrix!$C$5:$BJ$204,0,AP$3)&gt;0)))</f>
        <v/>
      </c>
      <c r="AQ14" s="12" t="str">
        <f aca="false">IF(OR($A14="",AQ$4=""),"",SUMPRODUCT(--(INDEX(Matrix!$C$5:$BJ$204,0,$B14)&gt;0),--(INDEX(Matrix!$C$5:$BJ$204,0,AQ$3)&gt;0)))</f>
        <v/>
      </c>
      <c r="AR14" s="12" t="str">
        <f aca="false">IF(OR($A14="",AR$4=""),"",SUMPRODUCT(--(INDEX(Matrix!$C$5:$BJ$204,0,$B14)&gt;0),--(INDEX(Matrix!$C$5:$BJ$204,0,AR$3)&gt;0)))</f>
        <v/>
      </c>
      <c r="AS14" s="12" t="str">
        <f aca="false">IF(OR($A14="",AS$4=""),"",SUMPRODUCT(--(INDEX(Matrix!$C$5:$BJ$204,0,$B14)&gt;0),--(INDEX(Matrix!$C$5:$BJ$204,0,AS$3)&gt;0)))</f>
        <v/>
      </c>
      <c r="AT14" s="12" t="str">
        <f aca="false">IF(OR($A14="",AT$4=""),"",SUMPRODUCT(--(INDEX(Matrix!$C$5:$BJ$204,0,$B14)&gt;0),--(INDEX(Matrix!$C$5:$BJ$204,0,AT$3)&gt;0)))</f>
        <v/>
      </c>
      <c r="AU14" s="12" t="str">
        <f aca="false">IF(OR($A14="",AU$4=""),"",SUMPRODUCT(--(INDEX(Matrix!$C$5:$BJ$204,0,$B14)&gt;0),--(INDEX(Matrix!$C$5:$BJ$204,0,AU$3)&gt;0)))</f>
        <v/>
      </c>
      <c r="AV14" s="12" t="str">
        <f aca="false">IF(OR($A14="",AV$4=""),"",SUMPRODUCT(--(INDEX(Matrix!$C$5:$BJ$204,0,$B14)&gt;0),--(INDEX(Matrix!$C$5:$BJ$204,0,AV$3)&gt;0)))</f>
        <v/>
      </c>
      <c r="AW14" s="12" t="str">
        <f aca="false">IF(OR($A14="",AW$4=""),"",SUMPRODUCT(--(INDEX(Matrix!$C$5:$BJ$204,0,$B14)&gt;0),--(INDEX(Matrix!$C$5:$BJ$204,0,AW$3)&gt;0)))</f>
        <v/>
      </c>
      <c r="AX14" s="12" t="str">
        <f aca="false">IF(OR($A14="",AX$4=""),"",SUMPRODUCT(--(INDEX(Matrix!$C$5:$BJ$204,0,$B14)&gt;0),--(INDEX(Matrix!$C$5:$BJ$204,0,AX$3)&gt;0)))</f>
        <v/>
      </c>
      <c r="AY14" s="12" t="str">
        <f aca="false">IF(OR($A14="",AY$4=""),"",SUMPRODUCT(--(INDEX(Matrix!$C$5:$BJ$204,0,$B14)&gt;0),--(INDEX(Matrix!$C$5:$BJ$204,0,AY$3)&gt;0)))</f>
        <v/>
      </c>
      <c r="AZ14" s="12" t="str">
        <f aca="false">IF(OR($A14="",AZ$4=""),"",SUMPRODUCT(--(INDEX(Matrix!$C$5:$BJ$204,0,$B14)&gt;0),--(INDEX(Matrix!$C$5:$BJ$204,0,AZ$3)&gt;0)))</f>
        <v/>
      </c>
      <c r="BA14" s="12" t="str">
        <f aca="false">IF(OR($A14="",BA$4=""),"",SUMPRODUCT(--(INDEX(Matrix!$C$5:$BJ$204,0,$B14)&gt;0),--(INDEX(Matrix!$C$5:$BJ$204,0,BA$3)&gt;0)))</f>
        <v/>
      </c>
      <c r="BB14" s="12" t="str">
        <f aca="false">IF(OR($A14="",BB$4=""),"",SUMPRODUCT(--(INDEX(Matrix!$C$5:$BJ$204,0,$B14)&gt;0),--(INDEX(Matrix!$C$5:$BJ$204,0,BB$3)&gt;0)))</f>
        <v/>
      </c>
      <c r="BC14" s="12" t="str">
        <f aca="false">IF(OR($A14="",BC$4=""),"",SUMPRODUCT(--(INDEX(Matrix!$C$5:$BJ$204,0,$B14)&gt;0),--(INDEX(Matrix!$C$5:$BJ$204,0,BC$3)&gt;0)))</f>
        <v/>
      </c>
      <c r="BD14" s="12" t="str">
        <f aca="false">IF(OR($A14="",BD$4=""),"",SUMPRODUCT(--(INDEX(Matrix!$C$5:$BJ$204,0,$B14)&gt;0),--(INDEX(Matrix!$C$5:$BJ$204,0,BD$3)&gt;0)))</f>
        <v/>
      </c>
      <c r="BE14" s="12" t="str">
        <f aca="false">IF(OR($A14="",BE$4=""),"",SUMPRODUCT(--(INDEX(Matrix!$C$5:$BJ$204,0,$B14)&gt;0),--(INDEX(Matrix!$C$5:$BJ$204,0,BE$3)&gt;0)))</f>
        <v/>
      </c>
      <c r="BF14" s="12" t="str">
        <f aca="false">IF(OR($A14="",BF$4=""),"",SUMPRODUCT(--(INDEX(Matrix!$C$5:$BJ$204,0,$B14)&gt;0),--(INDEX(Matrix!$C$5:$BJ$204,0,BF$3)&gt;0)))</f>
        <v/>
      </c>
      <c r="BG14" s="12" t="str">
        <f aca="false">IF(OR($A14="",BG$4=""),"",SUMPRODUCT(--(INDEX(Matrix!$C$5:$BJ$204,0,$B14)&gt;0),--(INDEX(Matrix!$C$5:$BJ$204,0,BG$3)&gt;0)))</f>
        <v/>
      </c>
      <c r="BH14" s="12" t="str">
        <f aca="false">IF(OR($A14="",BH$4=""),"",SUMPRODUCT(--(INDEX(Matrix!$C$5:$BJ$204,0,$B14)&gt;0),--(INDEX(Matrix!$C$5:$BJ$204,0,BH$3)&gt;0)))</f>
        <v/>
      </c>
      <c r="BI14" s="12" t="str">
        <f aca="false">IF(OR($A14="",BI$4=""),"",SUMPRODUCT(--(INDEX(Matrix!$C$5:$BJ$204,0,$B14)&gt;0),--(INDEX(Matrix!$C$5:$BJ$204,0,BI$3)&gt;0)))</f>
        <v/>
      </c>
      <c r="BJ14" s="12" t="str">
        <f aca="false">IF(OR($A14="",BJ$4=""),"",SUMPRODUCT(--(INDEX(Matrix!$C$5:$BJ$204,0,$B14)&gt;0),--(INDEX(Matrix!$C$5:$BJ$204,0,BJ$3)&gt;0)))</f>
        <v/>
      </c>
    </row>
    <row r="15" customFormat="false" ht="15" hidden="false" customHeight="false" outlineLevel="0" collapsed="false">
      <c r="A15" s="6" t="str">
        <f aca="false">IF(INDEX(Products!$A$2:$A$61,$B15)="","",INDEX(Products!$A$2:$A$61,$B15))</f>
        <v/>
      </c>
      <c r="B15" s="23" t="n">
        <v>11</v>
      </c>
      <c r="C15" s="12" t="str">
        <f aca="false">IF(OR($A15="",C$4=""),"",SUMPRODUCT(--(INDEX(Matrix!$C$5:$BJ$204,0,$B15)&gt;0),--(INDEX(Matrix!$C$5:$BJ$204,0,C$3)&gt;0)))</f>
        <v/>
      </c>
      <c r="D15" s="12" t="str">
        <f aca="false">IF(OR($A15="",D$4=""),"",SUMPRODUCT(--(INDEX(Matrix!$C$5:$BJ$204,0,$B15)&gt;0),--(INDEX(Matrix!$C$5:$BJ$204,0,D$3)&gt;0)))</f>
        <v/>
      </c>
      <c r="E15" s="12" t="str">
        <f aca="false">IF(OR($A15="",E$4=""),"",SUMPRODUCT(--(INDEX(Matrix!$C$5:$BJ$204,0,$B15)&gt;0),--(INDEX(Matrix!$C$5:$BJ$204,0,E$3)&gt;0)))</f>
        <v/>
      </c>
      <c r="F15" s="12" t="str">
        <f aca="false">IF(OR($A15="",F$4=""),"",SUMPRODUCT(--(INDEX(Matrix!$C$5:$BJ$204,0,$B15)&gt;0),--(INDEX(Matrix!$C$5:$BJ$204,0,F$3)&gt;0)))</f>
        <v/>
      </c>
      <c r="G15" s="12" t="str">
        <f aca="false">IF(OR($A15="",G$4=""),"",SUMPRODUCT(--(INDEX(Matrix!$C$5:$BJ$204,0,$B15)&gt;0),--(INDEX(Matrix!$C$5:$BJ$204,0,G$3)&gt;0)))</f>
        <v/>
      </c>
      <c r="H15" s="12" t="str">
        <f aca="false">IF(OR($A15="",H$4=""),"",SUMPRODUCT(--(INDEX(Matrix!$C$5:$BJ$204,0,$B15)&gt;0),--(INDEX(Matrix!$C$5:$BJ$204,0,H$3)&gt;0)))</f>
        <v/>
      </c>
      <c r="I15" s="12" t="str">
        <f aca="false">IF(OR($A15="",I$4=""),"",SUMPRODUCT(--(INDEX(Matrix!$C$5:$BJ$204,0,$B15)&gt;0),--(INDEX(Matrix!$C$5:$BJ$204,0,I$3)&gt;0)))</f>
        <v/>
      </c>
      <c r="J15" s="12" t="str">
        <f aca="false">IF(OR($A15="",J$4=""),"",SUMPRODUCT(--(INDEX(Matrix!$C$5:$BJ$204,0,$B15)&gt;0),--(INDEX(Matrix!$C$5:$BJ$204,0,J$3)&gt;0)))</f>
        <v/>
      </c>
      <c r="K15" s="12" t="str">
        <f aca="false">IF(OR($A15="",K$4=""),"",SUMPRODUCT(--(INDEX(Matrix!$C$5:$BJ$204,0,$B15)&gt;0),--(INDEX(Matrix!$C$5:$BJ$204,0,K$3)&gt;0)))</f>
        <v/>
      </c>
      <c r="L15" s="12" t="str">
        <f aca="false">IF(OR($A15="",L$4=""),"",SUMPRODUCT(--(INDEX(Matrix!$C$5:$BJ$204,0,$B15)&gt;0),--(INDEX(Matrix!$C$5:$BJ$204,0,L$3)&gt;0)))</f>
        <v/>
      </c>
      <c r="M15" s="12" t="str">
        <f aca="false">IF(OR($A15="",M$4=""),"",SUMPRODUCT(--(INDEX(Matrix!$C$5:$BJ$204,0,$B15)&gt;0),--(INDEX(Matrix!$C$5:$BJ$204,0,M$3)&gt;0)))</f>
        <v/>
      </c>
      <c r="N15" s="12" t="str">
        <f aca="false">IF(OR($A15="",N$4=""),"",SUMPRODUCT(--(INDEX(Matrix!$C$5:$BJ$204,0,$B15)&gt;0),--(INDEX(Matrix!$C$5:$BJ$204,0,N$3)&gt;0)))</f>
        <v/>
      </c>
      <c r="O15" s="12" t="str">
        <f aca="false">IF(OR($A15="",O$4=""),"",SUMPRODUCT(--(INDEX(Matrix!$C$5:$BJ$204,0,$B15)&gt;0),--(INDEX(Matrix!$C$5:$BJ$204,0,O$3)&gt;0)))</f>
        <v/>
      </c>
      <c r="P15" s="12" t="str">
        <f aca="false">IF(OR($A15="",P$4=""),"",SUMPRODUCT(--(INDEX(Matrix!$C$5:$BJ$204,0,$B15)&gt;0),--(INDEX(Matrix!$C$5:$BJ$204,0,P$3)&gt;0)))</f>
        <v/>
      </c>
      <c r="Q15" s="12" t="str">
        <f aca="false">IF(OR($A15="",Q$4=""),"",SUMPRODUCT(--(INDEX(Matrix!$C$5:$BJ$204,0,$B15)&gt;0),--(INDEX(Matrix!$C$5:$BJ$204,0,Q$3)&gt;0)))</f>
        <v/>
      </c>
      <c r="R15" s="12" t="str">
        <f aca="false">IF(OR($A15="",R$4=""),"",SUMPRODUCT(--(INDEX(Matrix!$C$5:$BJ$204,0,$B15)&gt;0),--(INDEX(Matrix!$C$5:$BJ$204,0,R$3)&gt;0)))</f>
        <v/>
      </c>
      <c r="S15" s="12" t="str">
        <f aca="false">IF(OR($A15="",S$4=""),"",SUMPRODUCT(--(INDEX(Matrix!$C$5:$BJ$204,0,$B15)&gt;0),--(INDEX(Matrix!$C$5:$BJ$204,0,S$3)&gt;0)))</f>
        <v/>
      </c>
      <c r="T15" s="12" t="str">
        <f aca="false">IF(OR($A15="",T$4=""),"",SUMPRODUCT(--(INDEX(Matrix!$C$5:$BJ$204,0,$B15)&gt;0),--(INDEX(Matrix!$C$5:$BJ$204,0,T$3)&gt;0)))</f>
        <v/>
      </c>
      <c r="U15" s="12" t="str">
        <f aca="false">IF(OR($A15="",U$4=""),"",SUMPRODUCT(--(INDEX(Matrix!$C$5:$BJ$204,0,$B15)&gt;0),--(INDEX(Matrix!$C$5:$BJ$204,0,U$3)&gt;0)))</f>
        <v/>
      </c>
      <c r="V15" s="12" t="str">
        <f aca="false">IF(OR($A15="",V$4=""),"",SUMPRODUCT(--(INDEX(Matrix!$C$5:$BJ$204,0,$B15)&gt;0),--(INDEX(Matrix!$C$5:$BJ$204,0,V$3)&gt;0)))</f>
        <v/>
      </c>
      <c r="W15" s="12" t="str">
        <f aca="false">IF(OR($A15="",W$4=""),"",SUMPRODUCT(--(INDEX(Matrix!$C$5:$BJ$204,0,$B15)&gt;0),--(INDEX(Matrix!$C$5:$BJ$204,0,W$3)&gt;0)))</f>
        <v/>
      </c>
      <c r="X15" s="12" t="str">
        <f aca="false">IF(OR($A15="",X$4=""),"",SUMPRODUCT(--(INDEX(Matrix!$C$5:$BJ$204,0,$B15)&gt;0),--(INDEX(Matrix!$C$5:$BJ$204,0,X$3)&gt;0)))</f>
        <v/>
      </c>
      <c r="Y15" s="12" t="str">
        <f aca="false">IF(OR($A15="",Y$4=""),"",SUMPRODUCT(--(INDEX(Matrix!$C$5:$BJ$204,0,$B15)&gt;0),--(INDEX(Matrix!$C$5:$BJ$204,0,Y$3)&gt;0)))</f>
        <v/>
      </c>
      <c r="Z15" s="12" t="str">
        <f aca="false">IF(OR($A15="",Z$4=""),"",SUMPRODUCT(--(INDEX(Matrix!$C$5:$BJ$204,0,$B15)&gt;0),--(INDEX(Matrix!$C$5:$BJ$204,0,Z$3)&gt;0)))</f>
        <v/>
      </c>
      <c r="AA15" s="12" t="str">
        <f aca="false">IF(OR($A15="",AA$4=""),"",SUMPRODUCT(--(INDEX(Matrix!$C$5:$BJ$204,0,$B15)&gt;0),--(INDEX(Matrix!$C$5:$BJ$204,0,AA$3)&gt;0)))</f>
        <v/>
      </c>
      <c r="AB15" s="12" t="str">
        <f aca="false">IF(OR($A15="",AB$4=""),"",SUMPRODUCT(--(INDEX(Matrix!$C$5:$BJ$204,0,$B15)&gt;0),--(INDEX(Matrix!$C$5:$BJ$204,0,AB$3)&gt;0)))</f>
        <v/>
      </c>
      <c r="AC15" s="12" t="str">
        <f aca="false">IF(OR($A15="",AC$4=""),"",SUMPRODUCT(--(INDEX(Matrix!$C$5:$BJ$204,0,$B15)&gt;0),--(INDEX(Matrix!$C$5:$BJ$204,0,AC$3)&gt;0)))</f>
        <v/>
      </c>
      <c r="AD15" s="12" t="str">
        <f aca="false">IF(OR($A15="",AD$4=""),"",SUMPRODUCT(--(INDEX(Matrix!$C$5:$BJ$204,0,$B15)&gt;0),--(INDEX(Matrix!$C$5:$BJ$204,0,AD$3)&gt;0)))</f>
        <v/>
      </c>
      <c r="AE15" s="12" t="str">
        <f aca="false">IF(OR($A15="",AE$4=""),"",SUMPRODUCT(--(INDEX(Matrix!$C$5:$BJ$204,0,$B15)&gt;0),--(INDEX(Matrix!$C$5:$BJ$204,0,AE$3)&gt;0)))</f>
        <v/>
      </c>
      <c r="AF15" s="12" t="str">
        <f aca="false">IF(OR($A15="",AF$4=""),"",SUMPRODUCT(--(INDEX(Matrix!$C$5:$BJ$204,0,$B15)&gt;0),--(INDEX(Matrix!$C$5:$BJ$204,0,AF$3)&gt;0)))</f>
        <v/>
      </c>
      <c r="AG15" s="12" t="str">
        <f aca="false">IF(OR($A15="",AG$4=""),"",SUMPRODUCT(--(INDEX(Matrix!$C$5:$BJ$204,0,$B15)&gt;0),--(INDEX(Matrix!$C$5:$BJ$204,0,AG$3)&gt;0)))</f>
        <v/>
      </c>
      <c r="AH15" s="12" t="str">
        <f aca="false">IF(OR($A15="",AH$4=""),"",SUMPRODUCT(--(INDEX(Matrix!$C$5:$BJ$204,0,$B15)&gt;0),--(INDEX(Matrix!$C$5:$BJ$204,0,AH$3)&gt;0)))</f>
        <v/>
      </c>
      <c r="AI15" s="12" t="str">
        <f aca="false">IF(OR($A15="",AI$4=""),"",SUMPRODUCT(--(INDEX(Matrix!$C$5:$BJ$204,0,$B15)&gt;0),--(INDEX(Matrix!$C$5:$BJ$204,0,AI$3)&gt;0)))</f>
        <v/>
      </c>
      <c r="AJ15" s="12" t="str">
        <f aca="false">IF(OR($A15="",AJ$4=""),"",SUMPRODUCT(--(INDEX(Matrix!$C$5:$BJ$204,0,$B15)&gt;0),--(INDEX(Matrix!$C$5:$BJ$204,0,AJ$3)&gt;0)))</f>
        <v/>
      </c>
      <c r="AK15" s="12" t="str">
        <f aca="false">IF(OR($A15="",AK$4=""),"",SUMPRODUCT(--(INDEX(Matrix!$C$5:$BJ$204,0,$B15)&gt;0),--(INDEX(Matrix!$C$5:$BJ$204,0,AK$3)&gt;0)))</f>
        <v/>
      </c>
      <c r="AL15" s="12" t="str">
        <f aca="false">IF(OR($A15="",AL$4=""),"",SUMPRODUCT(--(INDEX(Matrix!$C$5:$BJ$204,0,$B15)&gt;0),--(INDEX(Matrix!$C$5:$BJ$204,0,AL$3)&gt;0)))</f>
        <v/>
      </c>
      <c r="AM15" s="12" t="str">
        <f aca="false">IF(OR($A15="",AM$4=""),"",SUMPRODUCT(--(INDEX(Matrix!$C$5:$BJ$204,0,$B15)&gt;0),--(INDEX(Matrix!$C$5:$BJ$204,0,AM$3)&gt;0)))</f>
        <v/>
      </c>
      <c r="AN15" s="12" t="str">
        <f aca="false">IF(OR($A15="",AN$4=""),"",SUMPRODUCT(--(INDEX(Matrix!$C$5:$BJ$204,0,$B15)&gt;0),--(INDEX(Matrix!$C$5:$BJ$204,0,AN$3)&gt;0)))</f>
        <v/>
      </c>
      <c r="AO15" s="12" t="str">
        <f aca="false">IF(OR($A15="",AO$4=""),"",SUMPRODUCT(--(INDEX(Matrix!$C$5:$BJ$204,0,$B15)&gt;0),--(INDEX(Matrix!$C$5:$BJ$204,0,AO$3)&gt;0)))</f>
        <v/>
      </c>
      <c r="AP15" s="12" t="str">
        <f aca="false">IF(OR($A15="",AP$4=""),"",SUMPRODUCT(--(INDEX(Matrix!$C$5:$BJ$204,0,$B15)&gt;0),--(INDEX(Matrix!$C$5:$BJ$204,0,AP$3)&gt;0)))</f>
        <v/>
      </c>
      <c r="AQ15" s="12" t="str">
        <f aca="false">IF(OR($A15="",AQ$4=""),"",SUMPRODUCT(--(INDEX(Matrix!$C$5:$BJ$204,0,$B15)&gt;0),--(INDEX(Matrix!$C$5:$BJ$204,0,AQ$3)&gt;0)))</f>
        <v/>
      </c>
      <c r="AR15" s="12" t="str">
        <f aca="false">IF(OR($A15="",AR$4=""),"",SUMPRODUCT(--(INDEX(Matrix!$C$5:$BJ$204,0,$B15)&gt;0),--(INDEX(Matrix!$C$5:$BJ$204,0,AR$3)&gt;0)))</f>
        <v/>
      </c>
      <c r="AS15" s="12" t="str">
        <f aca="false">IF(OR($A15="",AS$4=""),"",SUMPRODUCT(--(INDEX(Matrix!$C$5:$BJ$204,0,$B15)&gt;0),--(INDEX(Matrix!$C$5:$BJ$204,0,AS$3)&gt;0)))</f>
        <v/>
      </c>
      <c r="AT15" s="12" t="str">
        <f aca="false">IF(OR($A15="",AT$4=""),"",SUMPRODUCT(--(INDEX(Matrix!$C$5:$BJ$204,0,$B15)&gt;0),--(INDEX(Matrix!$C$5:$BJ$204,0,AT$3)&gt;0)))</f>
        <v/>
      </c>
      <c r="AU15" s="12" t="str">
        <f aca="false">IF(OR($A15="",AU$4=""),"",SUMPRODUCT(--(INDEX(Matrix!$C$5:$BJ$204,0,$B15)&gt;0),--(INDEX(Matrix!$C$5:$BJ$204,0,AU$3)&gt;0)))</f>
        <v/>
      </c>
      <c r="AV15" s="12" t="str">
        <f aca="false">IF(OR($A15="",AV$4=""),"",SUMPRODUCT(--(INDEX(Matrix!$C$5:$BJ$204,0,$B15)&gt;0),--(INDEX(Matrix!$C$5:$BJ$204,0,AV$3)&gt;0)))</f>
        <v/>
      </c>
      <c r="AW15" s="12" t="str">
        <f aca="false">IF(OR($A15="",AW$4=""),"",SUMPRODUCT(--(INDEX(Matrix!$C$5:$BJ$204,0,$B15)&gt;0),--(INDEX(Matrix!$C$5:$BJ$204,0,AW$3)&gt;0)))</f>
        <v/>
      </c>
      <c r="AX15" s="12" t="str">
        <f aca="false">IF(OR($A15="",AX$4=""),"",SUMPRODUCT(--(INDEX(Matrix!$C$5:$BJ$204,0,$B15)&gt;0),--(INDEX(Matrix!$C$5:$BJ$204,0,AX$3)&gt;0)))</f>
        <v/>
      </c>
      <c r="AY15" s="12" t="str">
        <f aca="false">IF(OR($A15="",AY$4=""),"",SUMPRODUCT(--(INDEX(Matrix!$C$5:$BJ$204,0,$B15)&gt;0),--(INDEX(Matrix!$C$5:$BJ$204,0,AY$3)&gt;0)))</f>
        <v/>
      </c>
      <c r="AZ15" s="12" t="str">
        <f aca="false">IF(OR($A15="",AZ$4=""),"",SUMPRODUCT(--(INDEX(Matrix!$C$5:$BJ$204,0,$B15)&gt;0),--(INDEX(Matrix!$C$5:$BJ$204,0,AZ$3)&gt;0)))</f>
        <v/>
      </c>
      <c r="BA15" s="12" t="str">
        <f aca="false">IF(OR($A15="",BA$4=""),"",SUMPRODUCT(--(INDEX(Matrix!$C$5:$BJ$204,0,$B15)&gt;0),--(INDEX(Matrix!$C$5:$BJ$204,0,BA$3)&gt;0)))</f>
        <v/>
      </c>
      <c r="BB15" s="12" t="str">
        <f aca="false">IF(OR($A15="",BB$4=""),"",SUMPRODUCT(--(INDEX(Matrix!$C$5:$BJ$204,0,$B15)&gt;0),--(INDEX(Matrix!$C$5:$BJ$204,0,BB$3)&gt;0)))</f>
        <v/>
      </c>
      <c r="BC15" s="12" t="str">
        <f aca="false">IF(OR($A15="",BC$4=""),"",SUMPRODUCT(--(INDEX(Matrix!$C$5:$BJ$204,0,$B15)&gt;0),--(INDEX(Matrix!$C$5:$BJ$204,0,BC$3)&gt;0)))</f>
        <v/>
      </c>
      <c r="BD15" s="12" t="str">
        <f aca="false">IF(OR($A15="",BD$4=""),"",SUMPRODUCT(--(INDEX(Matrix!$C$5:$BJ$204,0,$B15)&gt;0),--(INDEX(Matrix!$C$5:$BJ$204,0,BD$3)&gt;0)))</f>
        <v/>
      </c>
      <c r="BE15" s="12" t="str">
        <f aca="false">IF(OR($A15="",BE$4=""),"",SUMPRODUCT(--(INDEX(Matrix!$C$5:$BJ$204,0,$B15)&gt;0),--(INDEX(Matrix!$C$5:$BJ$204,0,BE$3)&gt;0)))</f>
        <v/>
      </c>
      <c r="BF15" s="12" t="str">
        <f aca="false">IF(OR($A15="",BF$4=""),"",SUMPRODUCT(--(INDEX(Matrix!$C$5:$BJ$204,0,$B15)&gt;0),--(INDEX(Matrix!$C$5:$BJ$204,0,BF$3)&gt;0)))</f>
        <v/>
      </c>
      <c r="BG15" s="12" t="str">
        <f aca="false">IF(OR($A15="",BG$4=""),"",SUMPRODUCT(--(INDEX(Matrix!$C$5:$BJ$204,0,$B15)&gt;0),--(INDEX(Matrix!$C$5:$BJ$204,0,BG$3)&gt;0)))</f>
        <v/>
      </c>
      <c r="BH15" s="12" t="str">
        <f aca="false">IF(OR($A15="",BH$4=""),"",SUMPRODUCT(--(INDEX(Matrix!$C$5:$BJ$204,0,$B15)&gt;0),--(INDEX(Matrix!$C$5:$BJ$204,0,BH$3)&gt;0)))</f>
        <v/>
      </c>
      <c r="BI15" s="12" t="str">
        <f aca="false">IF(OR($A15="",BI$4=""),"",SUMPRODUCT(--(INDEX(Matrix!$C$5:$BJ$204,0,$B15)&gt;0),--(INDEX(Matrix!$C$5:$BJ$204,0,BI$3)&gt;0)))</f>
        <v/>
      </c>
      <c r="BJ15" s="12" t="str">
        <f aca="false">IF(OR($A15="",BJ$4=""),"",SUMPRODUCT(--(INDEX(Matrix!$C$5:$BJ$204,0,$B15)&gt;0),--(INDEX(Matrix!$C$5:$BJ$204,0,BJ$3)&gt;0)))</f>
        <v/>
      </c>
    </row>
    <row r="16" customFormat="false" ht="15" hidden="false" customHeight="false" outlineLevel="0" collapsed="false">
      <c r="A16" s="6" t="str">
        <f aca="false">IF(INDEX(Products!$A$2:$A$61,$B16)="","",INDEX(Products!$A$2:$A$61,$B16))</f>
        <v/>
      </c>
      <c r="B16" s="23" t="n">
        <v>12</v>
      </c>
      <c r="C16" s="12" t="str">
        <f aca="false">IF(OR($A16="",C$4=""),"",SUMPRODUCT(--(INDEX(Matrix!$C$5:$BJ$204,0,$B16)&gt;0),--(INDEX(Matrix!$C$5:$BJ$204,0,C$3)&gt;0)))</f>
        <v/>
      </c>
      <c r="D16" s="12" t="str">
        <f aca="false">IF(OR($A16="",D$4=""),"",SUMPRODUCT(--(INDEX(Matrix!$C$5:$BJ$204,0,$B16)&gt;0),--(INDEX(Matrix!$C$5:$BJ$204,0,D$3)&gt;0)))</f>
        <v/>
      </c>
      <c r="E16" s="12" t="str">
        <f aca="false">IF(OR($A16="",E$4=""),"",SUMPRODUCT(--(INDEX(Matrix!$C$5:$BJ$204,0,$B16)&gt;0),--(INDEX(Matrix!$C$5:$BJ$204,0,E$3)&gt;0)))</f>
        <v/>
      </c>
      <c r="F16" s="12" t="str">
        <f aca="false">IF(OR($A16="",F$4=""),"",SUMPRODUCT(--(INDEX(Matrix!$C$5:$BJ$204,0,$B16)&gt;0),--(INDEX(Matrix!$C$5:$BJ$204,0,F$3)&gt;0)))</f>
        <v/>
      </c>
      <c r="G16" s="12" t="str">
        <f aca="false">IF(OR($A16="",G$4=""),"",SUMPRODUCT(--(INDEX(Matrix!$C$5:$BJ$204,0,$B16)&gt;0),--(INDEX(Matrix!$C$5:$BJ$204,0,G$3)&gt;0)))</f>
        <v/>
      </c>
      <c r="H16" s="12" t="str">
        <f aca="false">IF(OR($A16="",H$4=""),"",SUMPRODUCT(--(INDEX(Matrix!$C$5:$BJ$204,0,$B16)&gt;0),--(INDEX(Matrix!$C$5:$BJ$204,0,H$3)&gt;0)))</f>
        <v/>
      </c>
      <c r="I16" s="12" t="str">
        <f aca="false">IF(OR($A16="",I$4=""),"",SUMPRODUCT(--(INDEX(Matrix!$C$5:$BJ$204,0,$B16)&gt;0),--(INDEX(Matrix!$C$5:$BJ$204,0,I$3)&gt;0)))</f>
        <v/>
      </c>
      <c r="J16" s="12" t="str">
        <f aca="false">IF(OR($A16="",J$4=""),"",SUMPRODUCT(--(INDEX(Matrix!$C$5:$BJ$204,0,$B16)&gt;0),--(INDEX(Matrix!$C$5:$BJ$204,0,J$3)&gt;0)))</f>
        <v/>
      </c>
      <c r="K16" s="12" t="str">
        <f aca="false">IF(OR($A16="",K$4=""),"",SUMPRODUCT(--(INDEX(Matrix!$C$5:$BJ$204,0,$B16)&gt;0),--(INDEX(Matrix!$C$5:$BJ$204,0,K$3)&gt;0)))</f>
        <v/>
      </c>
      <c r="L16" s="12" t="str">
        <f aca="false">IF(OR($A16="",L$4=""),"",SUMPRODUCT(--(INDEX(Matrix!$C$5:$BJ$204,0,$B16)&gt;0),--(INDEX(Matrix!$C$5:$BJ$204,0,L$3)&gt;0)))</f>
        <v/>
      </c>
      <c r="M16" s="12" t="str">
        <f aca="false">IF(OR($A16="",M$4=""),"",SUMPRODUCT(--(INDEX(Matrix!$C$5:$BJ$204,0,$B16)&gt;0),--(INDEX(Matrix!$C$5:$BJ$204,0,M$3)&gt;0)))</f>
        <v/>
      </c>
      <c r="N16" s="12" t="str">
        <f aca="false">IF(OR($A16="",N$4=""),"",SUMPRODUCT(--(INDEX(Matrix!$C$5:$BJ$204,0,$B16)&gt;0),--(INDEX(Matrix!$C$5:$BJ$204,0,N$3)&gt;0)))</f>
        <v/>
      </c>
      <c r="O16" s="12" t="str">
        <f aca="false">IF(OR($A16="",O$4=""),"",SUMPRODUCT(--(INDEX(Matrix!$C$5:$BJ$204,0,$B16)&gt;0),--(INDEX(Matrix!$C$5:$BJ$204,0,O$3)&gt;0)))</f>
        <v/>
      </c>
      <c r="P16" s="12" t="str">
        <f aca="false">IF(OR($A16="",P$4=""),"",SUMPRODUCT(--(INDEX(Matrix!$C$5:$BJ$204,0,$B16)&gt;0),--(INDEX(Matrix!$C$5:$BJ$204,0,P$3)&gt;0)))</f>
        <v/>
      </c>
      <c r="Q16" s="12" t="str">
        <f aca="false">IF(OR($A16="",Q$4=""),"",SUMPRODUCT(--(INDEX(Matrix!$C$5:$BJ$204,0,$B16)&gt;0),--(INDEX(Matrix!$C$5:$BJ$204,0,Q$3)&gt;0)))</f>
        <v/>
      </c>
      <c r="R16" s="12" t="str">
        <f aca="false">IF(OR($A16="",R$4=""),"",SUMPRODUCT(--(INDEX(Matrix!$C$5:$BJ$204,0,$B16)&gt;0),--(INDEX(Matrix!$C$5:$BJ$204,0,R$3)&gt;0)))</f>
        <v/>
      </c>
      <c r="S16" s="12" t="str">
        <f aca="false">IF(OR($A16="",S$4=""),"",SUMPRODUCT(--(INDEX(Matrix!$C$5:$BJ$204,0,$B16)&gt;0),--(INDEX(Matrix!$C$5:$BJ$204,0,S$3)&gt;0)))</f>
        <v/>
      </c>
      <c r="T16" s="12" t="str">
        <f aca="false">IF(OR($A16="",T$4=""),"",SUMPRODUCT(--(INDEX(Matrix!$C$5:$BJ$204,0,$B16)&gt;0),--(INDEX(Matrix!$C$5:$BJ$204,0,T$3)&gt;0)))</f>
        <v/>
      </c>
      <c r="U16" s="12" t="str">
        <f aca="false">IF(OR($A16="",U$4=""),"",SUMPRODUCT(--(INDEX(Matrix!$C$5:$BJ$204,0,$B16)&gt;0),--(INDEX(Matrix!$C$5:$BJ$204,0,U$3)&gt;0)))</f>
        <v/>
      </c>
      <c r="V16" s="12" t="str">
        <f aca="false">IF(OR($A16="",V$4=""),"",SUMPRODUCT(--(INDEX(Matrix!$C$5:$BJ$204,0,$B16)&gt;0),--(INDEX(Matrix!$C$5:$BJ$204,0,V$3)&gt;0)))</f>
        <v/>
      </c>
      <c r="W16" s="12" t="str">
        <f aca="false">IF(OR($A16="",W$4=""),"",SUMPRODUCT(--(INDEX(Matrix!$C$5:$BJ$204,0,$B16)&gt;0),--(INDEX(Matrix!$C$5:$BJ$204,0,W$3)&gt;0)))</f>
        <v/>
      </c>
      <c r="X16" s="12" t="str">
        <f aca="false">IF(OR($A16="",X$4=""),"",SUMPRODUCT(--(INDEX(Matrix!$C$5:$BJ$204,0,$B16)&gt;0),--(INDEX(Matrix!$C$5:$BJ$204,0,X$3)&gt;0)))</f>
        <v/>
      </c>
      <c r="Y16" s="12" t="str">
        <f aca="false">IF(OR($A16="",Y$4=""),"",SUMPRODUCT(--(INDEX(Matrix!$C$5:$BJ$204,0,$B16)&gt;0),--(INDEX(Matrix!$C$5:$BJ$204,0,Y$3)&gt;0)))</f>
        <v/>
      </c>
      <c r="Z16" s="12" t="str">
        <f aca="false">IF(OR($A16="",Z$4=""),"",SUMPRODUCT(--(INDEX(Matrix!$C$5:$BJ$204,0,$B16)&gt;0),--(INDEX(Matrix!$C$5:$BJ$204,0,Z$3)&gt;0)))</f>
        <v/>
      </c>
      <c r="AA16" s="12" t="str">
        <f aca="false">IF(OR($A16="",AA$4=""),"",SUMPRODUCT(--(INDEX(Matrix!$C$5:$BJ$204,0,$B16)&gt;0),--(INDEX(Matrix!$C$5:$BJ$204,0,AA$3)&gt;0)))</f>
        <v/>
      </c>
      <c r="AB16" s="12" t="str">
        <f aca="false">IF(OR($A16="",AB$4=""),"",SUMPRODUCT(--(INDEX(Matrix!$C$5:$BJ$204,0,$B16)&gt;0),--(INDEX(Matrix!$C$5:$BJ$204,0,AB$3)&gt;0)))</f>
        <v/>
      </c>
      <c r="AC16" s="12" t="str">
        <f aca="false">IF(OR($A16="",AC$4=""),"",SUMPRODUCT(--(INDEX(Matrix!$C$5:$BJ$204,0,$B16)&gt;0),--(INDEX(Matrix!$C$5:$BJ$204,0,AC$3)&gt;0)))</f>
        <v/>
      </c>
      <c r="AD16" s="12" t="str">
        <f aca="false">IF(OR($A16="",AD$4=""),"",SUMPRODUCT(--(INDEX(Matrix!$C$5:$BJ$204,0,$B16)&gt;0),--(INDEX(Matrix!$C$5:$BJ$204,0,AD$3)&gt;0)))</f>
        <v/>
      </c>
      <c r="AE16" s="12" t="str">
        <f aca="false">IF(OR($A16="",AE$4=""),"",SUMPRODUCT(--(INDEX(Matrix!$C$5:$BJ$204,0,$B16)&gt;0),--(INDEX(Matrix!$C$5:$BJ$204,0,AE$3)&gt;0)))</f>
        <v/>
      </c>
      <c r="AF16" s="12" t="str">
        <f aca="false">IF(OR($A16="",AF$4=""),"",SUMPRODUCT(--(INDEX(Matrix!$C$5:$BJ$204,0,$B16)&gt;0),--(INDEX(Matrix!$C$5:$BJ$204,0,AF$3)&gt;0)))</f>
        <v/>
      </c>
      <c r="AG16" s="12" t="str">
        <f aca="false">IF(OR($A16="",AG$4=""),"",SUMPRODUCT(--(INDEX(Matrix!$C$5:$BJ$204,0,$B16)&gt;0),--(INDEX(Matrix!$C$5:$BJ$204,0,AG$3)&gt;0)))</f>
        <v/>
      </c>
      <c r="AH16" s="12" t="str">
        <f aca="false">IF(OR($A16="",AH$4=""),"",SUMPRODUCT(--(INDEX(Matrix!$C$5:$BJ$204,0,$B16)&gt;0),--(INDEX(Matrix!$C$5:$BJ$204,0,AH$3)&gt;0)))</f>
        <v/>
      </c>
      <c r="AI16" s="12" t="str">
        <f aca="false">IF(OR($A16="",AI$4=""),"",SUMPRODUCT(--(INDEX(Matrix!$C$5:$BJ$204,0,$B16)&gt;0),--(INDEX(Matrix!$C$5:$BJ$204,0,AI$3)&gt;0)))</f>
        <v/>
      </c>
      <c r="AJ16" s="12" t="str">
        <f aca="false">IF(OR($A16="",AJ$4=""),"",SUMPRODUCT(--(INDEX(Matrix!$C$5:$BJ$204,0,$B16)&gt;0),--(INDEX(Matrix!$C$5:$BJ$204,0,AJ$3)&gt;0)))</f>
        <v/>
      </c>
      <c r="AK16" s="12" t="str">
        <f aca="false">IF(OR($A16="",AK$4=""),"",SUMPRODUCT(--(INDEX(Matrix!$C$5:$BJ$204,0,$B16)&gt;0),--(INDEX(Matrix!$C$5:$BJ$204,0,AK$3)&gt;0)))</f>
        <v/>
      </c>
      <c r="AL16" s="12" t="str">
        <f aca="false">IF(OR($A16="",AL$4=""),"",SUMPRODUCT(--(INDEX(Matrix!$C$5:$BJ$204,0,$B16)&gt;0),--(INDEX(Matrix!$C$5:$BJ$204,0,AL$3)&gt;0)))</f>
        <v/>
      </c>
      <c r="AM16" s="12" t="str">
        <f aca="false">IF(OR($A16="",AM$4=""),"",SUMPRODUCT(--(INDEX(Matrix!$C$5:$BJ$204,0,$B16)&gt;0),--(INDEX(Matrix!$C$5:$BJ$204,0,AM$3)&gt;0)))</f>
        <v/>
      </c>
      <c r="AN16" s="12" t="str">
        <f aca="false">IF(OR($A16="",AN$4=""),"",SUMPRODUCT(--(INDEX(Matrix!$C$5:$BJ$204,0,$B16)&gt;0),--(INDEX(Matrix!$C$5:$BJ$204,0,AN$3)&gt;0)))</f>
        <v/>
      </c>
      <c r="AO16" s="12" t="str">
        <f aca="false">IF(OR($A16="",AO$4=""),"",SUMPRODUCT(--(INDEX(Matrix!$C$5:$BJ$204,0,$B16)&gt;0),--(INDEX(Matrix!$C$5:$BJ$204,0,AO$3)&gt;0)))</f>
        <v/>
      </c>
      <c r="AP16" s="12" t="str">
        <f aca="false">IF(OR($A16="",AP$4=""),"",SUMPRODUCT(--(INDEX(Matrix!$C$5:$BJ$204,0,$B16)&gt;0),--(INDEX(Matrix!$C$5:$BJ$204,0,AP$3)&gt;0)))</f>
        <v/>
      </c>
      <c r="AQ16" s="12" t="str">
        <f aca="false">IF(OR($A16="",AQ$4=""),"",SUMPRODUCT(--(INDEX(Matrix!$C$5:$BJ$204,0,$B16)&gt;0),--(INDEX(Matrix!$C$5:$BJ$204,0,AQ$3)&gt;0)))</f>
        <v/>
      </c>
      <c r="AR16" s="12" t="str">
        <f aca="false">IF(OR($A16="",AR$4=""),"",SUMPRODUCT(--(INDEX(Matrix!$C$5:$BJ$204,0,$B16)&gt;0),--(INDEX(Matrix!$C$5:$BJ$204,0,AR$3)&gt;0)))</f>
        <v/>
      </c>
      <c r="AS16" s="12" t="str">
        <f aca="false">IF(OR($A16="",AS$4=""),"",SUMPRODUCT(--(INDEX(Matrix!$C$5:$BJ$204,0,$B16)&gt;0),--(INDEX(Matrix!$C$5:$BJ$204,0,AS$3)&gt;0)))</f>
        <v/>
      </c>
      <c r="AT16" s="12" t="str">
        <f aca="false">IF(OR($A16="",AT$4=""),"",SUMPRODUCT(--(INDEX(Matrix!$C$5:$BJ$204,0,$B16)&gt;0),--(INDEX(Matrix!$C$5:$BJ$204,0,AT$3)&gt;0)))</f>
        <v/>
      </c>
      <c r="AU16" s="12" t="str">
        <f aca="false">IF(OR($A16="",AU$4=""),"",SUMPRODUCT(--(INDEX(Matrix!$C$5:$BJ$204,0,$B16)&gt;0),--(INDEX(Matrix!$C$5:$BJ$204,0,AU$3)&gt;0)))</f>
        <v/>
      </c>
      <c r="AV16" s="12" t="str">
        <f aca="false">IF(OR($A16="",AV$4=""),"",SUMPRODUCT(--(INDEX(Matrix!$C$5:$BJ$204,0,$B16)&gt;0),--(INDEX(Matrix!$C$5:$BJ$204,0,AV$3)&gt;0)))</f>
        <v/>
      </c>
      <c r="AW16" s="12" t="str">
        <f aca="false">IF(OR($A16="",AW$4=""),"",SUMPRODUCT(--(INDEX(Matrix!$C$5:$BJ$204,0,$B16)&gt;0),--(INDEX(Matrix!$C$5:$BJ$204,0,AW$3)&gt;0)))</f>
        <v/>
      </c>
      <c r="AX16" s="12" t="str">
        <f aca="false">IF(OR($A16="",AX$4=""),"",SUMPRODUCT(--(INDEX(Matrix!$C$5:$BJ$204,0,$B16)&gt;0),--(INDEX(Matrix!$C$5:$BJ$204,0,AX$3)&gt;0)))</f>
        <v/>
      </c>
      <c r="AY16" s="12" t="str">
        <f aca="false">IF(OR($A16="",AY$4=""),"",SUMPRODUCT(--(INDEX(Matrix!$C$5:$BJ$204,0,$B16)&gt;0),--(INDEX(Matrix!$C$5:$BJ$204,0,AY$3)&gt;0)))</f>
        <v/>
      </c>
      <c r="AZ16" s="12" t="str">
        <f aca="false">IF(OR($A16="",AZ$4=""),"",SUMPRODUCT(--(INDEX(Matrix!$C$5:$BJ$204,0,$B16)&gt;0),--(INDEX(Matrix!$C$5:$BJ$204,0,AZ$3)&gt;0)))</f>
        <v/>
      </c>
      <c r="BA16" s="12" t="str">
        <f aca="false">IF(OR($A16="",BA$4=""),"",SUMPRODUCT(--(INDEX(Matrix!$C$5:$BJ$204,0,$B16)&gt;0),--(INDEX(Matrix!$C$5:$BJ$204,0,BA$3)&gt;0)))</f>
        <v/>
      </c>
      <c r="BB16" s="12" t="str">
        <f aca="false">IF(OR($A16="",BB$4=""),"",SUMPRODUCT(--(INDEX(Matrix!$C$5:$BJ$204,0,$B16)&gt;0),--(INDEX(Matrix!$C$5:$BJ$204,0,BB$3)&gt;0)))</f>
        <v/>
      </c>
      <c r="BC16" s="12" t="str">
        <f aca="false">IF(OR($A16="",BC$4=""),"",SUMPRODUCT(--(INDEX(Matrix!$C$5:$BJ$204,0,$B16)&gt;0),--(INDEX(Matrix!$C$5:$BJ$204,0,BC$3)&gt;0)))</f>
        <v/>
      </c>
      <c r="BD16" s="12" t="str">
        <f aca="false">IF(OR($A16="",BD$4=""),"",SUMPRODUCT(--(INDEX(Matrix!$C$5:$BJ$204,0,$B16)&gt;0),--(INDEX(Matrix!$C$5:$BJ$204,0,BD$3)&gt;0)))</f>
        <v/>
      </c>
      <c r="BE16" s="12" t="str">
        <f aca="false">IF(OR($A16="",BE$4=""),"",SUMPRODUCT(--(INDEX(Matrix!$C$5:$BJ$204,0,$B16)&gt;0),--(INDEX(Matrix!$C$5:$BJ$204,0,BE$3)&gt;0)))</f>
        <v/>
      </c>
      <c r="BF16" s="12" t="str">
        <f aca="false">IF(OR($A16="",BF$4=""),"",SUMPRODUCT(--(INDEX(Matrix!$C$5:$BJ$204,0,$B16)&gt;0),--(INDEX(Matrix!$C$5:$BJ$204,0,BF$3)&gt;0)))</f>
        <v/>
      </c>
      <c r="BG16" s="12" t="str">
        <f aca="false">IF(OR($A16="",BG$4=""),"",SUMPRODUCT(--(INDEX(Matrix!$C$5:$BJ$204,0,$B16)&gt;0),--(INDEX(Matrix!$C$5:$BJ$204,0,BG$3)&gt;0)))</f>
        <v/>
      </c>
      <c r="BH16" s="12" t="str">
        <f aca="false">IF(OR($A16="",BH$4=""),"",SUMPRODUCT(--(INDEX(Matrix!$C$5:$BJ$204,0,$B16)&gt;0),--(INDEX(Matrix!$C$5:$BJ$204,0,BH$3)&gt;0)))</f>
        <v/>
      </c>
      <c r="BI16" s="12" t="str">
        <f aca="false">IF(OR($A16="",BI$4=""),"",SUMPRODUCT(--(INDEX(Matrix!$C$5:$BJ$204,0,$B16)&gt;0),--(INDEX(Matrix!$C$5:$BJ$204,0,BI$3)&gt;0)))</f>
        <v/>
      </c>
      <c r="BJ16" s="12" t="str">
        <f aca="false">IF(OR($A16="",BJ$4=""),"",SUMPRODUCT(--(INDEX(Matrix!$C$5:$BJ$204,0,$B16)&gt;0),--(INDEX(Matrix!$C$5:$BJ$204,0,BJ$3)&gt;0)))</f>
        <v/>
      </c>
    </row>
    <row r="17" customFormat="false" ht="15" hidden="false" customHeight="false" outlineLevel="0" collapsed="false">
      <c r="A17" s="6" t="str">
        <f aca="false">IF(INDEX(Products!$A$2:$A$61,$B17)="","",INDEX(Products!$A$2:$A$61,$B17))</f>
        <v/>
      </c>
      <c r="B17" s="23" t="n">
        <v>13</v>
      </c>
      <c r="C17" s="12" t="str">
        <f aca="false">IF(OR($A17="",C$4=""),"",SUMPRODUCT(--(INDEX(Matrix!$C$5:$BJ$204,0,$B17)&gt;0),--(INDEX(Matrix!$C$5:$BJ$204,0,C$3)&gt;0)))</f>
        <v/>
      </c>
      <c r="D17" s="12" t="str">
        <f aca="false">IF(OR($A17="",D$4=""),"",SUMPRODUCT(--(INDEX(Matrix!$C$5:$BJ$204,0,$B17)&gt;0),--(INDEX(Matrix!$C$5:$BJ$204,0,D$3)&gt;0)))</f>
        <v/>
      </c>
      <c r="E17" s="12" t="str">
        <f aca="false">IF(OR($A17="",E$4=""),"",SUMPRODUCT(--(INDEX(Matrix!$C$5:$BJ$204,0,$B17)&gt;0),--(INDEX(Matrix!$C$5:$BJ$204,0,E$3)&gt;0)))</f>
        <v/>
      </c>
      <c r="F17" s="12" t="str">
        <f aca="false">IF(OR($A17="",F$4=""),"",SUMPRODUCT(--(INDEX(Matrix!$C$5:$BJ$204,0,$B17)&gt;0),--(INDEX(Matrix!$C$5:$BJ$204,0,F$3)&gt;0)))</f>
        <v/>
      </c>
      <c r="G17" s="12" t="str">
        <f aca="false">IF(OR($A17="",G$4=""),"",SUMPRODUCT(--(INDEX(Matrix!$C$5:$BJ$204,0,$B17)&gt;0),--(INDEX(Matrix!$C$5:$BJ$204,0,G$3)&gt;0)))</f>
        <v/>
      </c>
      <c r="H17" s="12" t="str">
        <f aca="false">IF(OR($A17="",H$4=""),"",SUMPRODUCT(--(INDEX(Matrix!$C$5:$BJ$204,0,$B17)&gt;0),--(INDEX(Matrix!$C$5:$BJ$204,0,H$3)&gt;0)))</f>
        <v/>
      </c>
      <c r="I17" s="12" t="str">
        <f aca="false">IF(OR($A17="",I$4=""),"",SUMPRODUCT(--(INDEX(Matrix!$C$5:$BJ$204,0,$B17)&gt;0),--(INDEX(Matrix!$C$5:$BJ$204,0,I$3)&gt;0)))</f>
        <v/>
      </c>
      <c r="J17" s="12" t="str">
        <f aca="false">IF(OR($A17="",J$4=""),"",SUMPRODUCT(--(INDEX(Matrix!$C$5:$BJ$204,0,$B17)&gt;0),--(INDEX(Matrix!$C$5:$BJ$204,0,J$3)&gt;0)))</f>
        <v/>
      </c>
      <c r="K17" s="12" t="str">
        <f aca="false">IF(OR($A17="",K$4=""),"",SUMPRODUCT(--(INDEX(Matrix!$C$5:$BJ$204,0,$B17)&gt;0),--(INDEX(Matrix!$C$5:$BJ$204,0,K$3)&gt;0)))</f>
        <v/>
      </c>
      <c r="L17" s="12" t="str">
        <f aca="false">IF(OR($A17="",L$4=""),"",SUMPRODUCT(--(INDEX(Matrix!$C$5:$BJ$204,0,$B17)&gt;0),--(INDEX(Matrix!$C$5:$BJ$204,0,L$3)&gt;0)))</f>
        <v/>
      </c>
      <c r="M17" s="12" t="str">
        <f aca="false">IF(OR($A17="",M$4=""),"",SUMPRODUCT(--(INDEX(Matrix!$C$5:$BJ$204,0,$B17)&gt;0),--(INDEX(Matrix!$C$5:$BJ$204,0,M$3)&gt;0)))</f>
        <v/>
      </c>
      <c r="N17" s="12" t="str">
        <f aca="false">IF(OR($A17="",N$4=""),"",SUMPRODUCT(--(INDEX(Matrix!$C$5:$BJ$204,0,$B17)&gt;0),--(INDEX(Matrix!$C$5:$BJ$204,0,N$3)&gt;0)))</f>
        <v/>
      </c>
      <c r="O17" s="12" t="str">
        <f aca="false">IF(OR($A17="",O$4=""),"",SUMPRODUCT(--(INDEX(Matrix!$C$5:$BJ$204,0,$B17)&gt;0),--(INDEX(Matrix!$C$5:$BJ$204,0,O$3)&gt;0)))</f>
        <v/>
      </c>
      <c r="P17" s="12" t="str">
        <f aca="false">IF(OR($A17="",P$4=""),"",SUMPRODUCT(--(INDEX(Matrix!$C$5:$BJ$204,0,$B17)&gt;0),--(INDEX(Matrix!$C$5:$BJ$204,0,P$3)&gt;0)))</f>
        <v/>
      </c>
      <c r="Q17" s="12" t="str">
        <f aca="false">IF(OR($A17="",Q$4=""),"",SUMPRODUCT(--(INDEX(Matrix!$C$5:$BJ$204,0,$B17)&gt;0),--(INDEX(Matrix!$C$5:$BJ$204,0,Q$3)&gt;0)))</f>
        <v/>
      </c>
      <c r="R17" s="12" t="str">
        <f aca="false">IF(OR($A17="",R$4=""),"",SUMPRODUCT(--(INDEX(Matrix!$C$5:$BJ$204,0,$B17)&gt;0),--(INDEX(Matrix!$C$5:$BJ$204,0,R$3)&gt;0)))</f>
        <v/>
      </c>
      <c r="S17" s="12" t="str">
        <f aca="false">IF(OR($A17="",S$4=""),"",SUMPRODUCT(--(INDEX(Matrix!$C$5:$BJ$204,0,$B17)&gt;0),--(INDEX(Matrix!$C$5:$BJ$204,0,S$3)&gt;0)))</f>
        <v/>
      </c>
      <c r="T17" s="12" t="str">
        <f aca="false">IF(OR($A17="",T$4=""),"",SUMPRODUCT(--(INDEX(Matrix!$C$5:$BJ$204,0,$B17)&gt;0),--(INDEX(Matrix!$C$5:$BJ$204,0,T$3)&gt;0)))</f>
        <v/>
      </c>
      <c r="U17" s="12" t="str">
        <f aca="false">IF(OR($A17="",U$4=""),"",SUMPRODUCT(--(INDEX(Matrix!$C$5:$BJ$204,0,$B17)&gt;0),--(INDEX(Matrix!$C$5:$BJ$204,0,U$3)&gt;0)))</f>
        <v/>
      </c>
      <c r="V17" s="12" t="str">
        <f aca="false">IF(OR($A17="",V$4=""),"",SUMPRODUCT(--(INDEX(Matrix!$C$5:$BJ$204,0,$B17)&gt;0),--(INDEX(Matrix!$C$5:$BJ$204,0,V$3)&gt;0)))</f>
        <v/>
      </c>
      <c r="W17" s="12" t="str">
        <f aca="false">IF(OR($A17="",W$4=""),"",SUMPRODUCT(--(INDEX(Matrix!$C$5:$BJ$204,0,$B17)&gt;0),--(INDEX(Matrix!$C$5:$BJ$204,0,W$3)&gt;0)))</f>
        <v/>
      </c>
      <c r="X17" s="12" t="str">
        <f aca="false">IF(OR($A17="",X$4=""),"",SUMPRODUCT(--(INDEX(Matrix!$C$5:$BJ$204,0,$B17)&gt;0),--(INDEX(Matrix!$C$5:$BJ$204,0,X$3)&gt;0)))</f>
        <v/>
      </c>
      <c r="Y17" s="12" t="str">
        <f aca="false">IF(OR($A17="",Y$4=""),"",SUMPRODUCT(--(INDEX(Matrix!$C$5:$BJ$204,0,$B17)&gt;0),--(INDEX(Matrix!$C$5:$BJ$204,0,Y$3)&gt;0)))</f>
        <v/>
      </c>
      <c r="Z17" s="12" t="str">
        <f aca="false">IF(OR($A17="",Z$4=""),"",SUMPRODUCT(--(INDEX(Matrix!$C$5:$BJ$204,0,$B17)&gt;0),--(INDEX(Matrix!$C$5:$BJ$204,0,Z$3)&gt;0)))</f>
        <v/>
      </c>
      <c r="AA17" s="12" t="str">
        <f aca="false">IF(OR($A17="",AA$4=""),"",SUMPRODUCT(--(INDEX(Matrix!$C$5:$BJ$204,0,$B17)&gt;0),--(INDEX(Matrix!$C$5:$BJ$204,0,AA$3)&gt;0)))</f>
        <v/>
      </c>
      <c r="AB17" s="12" t="str">
        <f aca="false">IF(OR($A17="",AB$4=""),"",SUMPRODUCT(--(INDEX(Matrix!$C$5:$BJ$204,0,$B17)&gt;0),--(INDEX(Matrix!$C$5:$BJ$204,0,AB$3)&gt;0)))</f>
        <v/>
      </c>
      <c r="AC17" s="12" t="str">
        <f aca="false">IF(OR($A17="",AC$4=""),"",SUMPRODUCT(--(INDEX(Matrix!$C$5:$BJ$204,0,$B17)&gt;0),--(INDEX(Matrix!$C$5:$BJ$204,0,AC$3)&gt;0)))</f>
        <v/>
      </c>
      <c r="AD17" s="12" t="str">
        <f aca="false">IF(OR($A17="",AD$4=""),"",SUMPRODUCT(--(INDEX(Matrix!$C$5:$BJ$204,0,$B17)&gt;0),--(INDEX(Matrix!$C$5:$BJ$204,0,AD$3)&gt;0)))</f>
        <v/>
      </c>
      <c r="AE17" s="12" t="str">
        <f aca="false">IF(OR($A17="",AE$4=""),"",SUMPRODUCT(--(INDEX(Matrix!$C$5:$BJ$204,0,$B17)&gt;0),--(INDEX(Matrix!$C$5:$BJ$204,0,AE$3)&gt;0)))</f>
        <v/>
      </c>
      <c r="AF17" s="12" t="str">
        <f aca="false">IF(OR($A17="",AF$4=""),"",SUMPRODUCT(--(INDEX(Matrix!$C$5:$BJ$204,0,$B17)&gt;0),--(INDEX(Matrix!$C$5:$BJ$204,0,AF$3)&gt;0)))</f>
        <v/>
      </c>
      <c r="AG17" s="12" t="str">
        <f aca="false">IF(OR($A17="",AG$4=""),"",SUMPRODUCT(--(INDEX(Matrix!$C$5:$BJ$204,0,$B17)&gt;0),--(INDEX(Matrix!$C$5:$BJ$204,0,AG$3)&gt;0)))</f>
        <v/>
      </c>
      <c r="AH17" s="12" t="str">
        <f aca="false">IF(OR($A17="",AH$4=""),"",SUMPRODUCT(--(INDEX(Matrix!$C$5:$BJ$204,0,$B17)&gt;0),--(INDEX(Matrix!$C$5:$BJ$204,0,AH$3)&gt;0)))</f>
        <v/>
      </c>
      <c r="AI17" s="12" t="str">
        <f aca="false">IF(OR($A17="",AI$4=""),"",SUMPRODUCT(--(INDEX(Matrix!$C$5:$BJ$204,0,$B17)&gt;0),--(INDEX(Matrix!$C$5:$BJ$204,0,AI$3)&gt;0)))</f>
        <v/>
      </c>
      <c r="AJ17" s="12" t="str">
        <f aca="false">IF(OR($A17="",AJ$4=""),"",SUMPRODUCT(--(INDEX(Matrix!$C$5:$BJ$204,0,$B17)&gt;0),--(INDEX(Matrix!$C$5:$BJ$204,0,AJ$3)&gt;0)))</f>
        <v/>
      </c>
      <c r="AK17" s="12" t="str">
        <f aca="false">IF(OR($A17="",AK$4=""),"",SUMPRODUCT(--(INDEX(Matrix!$C$5:$BJ$204,0,$B17)&gt;0),--(INDEX(Matrix!$C$5:$BJ$204,0,AK$3)&gt;0)))</f>
        <v/>
      </c>
      <c r="AL17" s="12" t="str">
        <f aca="false">IF(OR($A17="",AL$4=""),"",SUMPRODUCT(--(INDEX(Matrix!$C$5:$BJ$204,0,$B17)&gt;0),--(INDEX(Matrix!$C$5:$BJ$204,0,AL$3)&gt;0)))</f>
        <v/>
      </c>
      <c r="AM17" s="12" t="str">
        <f aca="false">IF(OR($A17="",AM$4=""),"",SUMPRODUCT(--(INDEX(Matrix!$C$5:$BJ$204,0,$B17)&gt;0),--(INDEX(Matrix!$C$5:$BJ$204,0,AM$3)&gt;0)))</f>
        <v/>
      </c>
      <c r="AN17" s="12" t="str">
        <f aca="false">IF(OR($A17="",AN$4=""),"",SUMPRODUCT(--(INDEX(Matrix!$C$5:$BJ$204,0,$B17)&gt;0),--(INDEX(Matrix!$C$5:$BJ$204,0,AN$3)&gt;0)))</f>
        <v/>
      </c>
      <c r="AO17" s="12" t="str">
        <f aca="false">IF(OR($A17="",AO$4=""),"",SUMPRODUCT(--(INDEX(Matrix!$C$5:$BJ$204,0,$B17)&gt;0),--(INDEX(Matrix!$C$5:$BJ$204,0,AO$3)&gt;0)))</f>
        <v/>
      </c>
      <c r="AP17" s="12" t="str">
        <f aca="false">IF(OR($A17="",AP$4=""),"",SUMPRODUCT(--(INDEX(Matrix!$C$5:$BJ$204,0,$B17)&gt;0),--(INDEX(Matrix!$C$5:$BJ$204,0,AP$3)&gt;0)))</f>
        <v/>
      </c>
      <c r="AQ17" s="12" t="str">
        <f aca="false">IF(OR($A17="",AQ$4=""),"",SUMPRODUCT(--(INDEX(Matrix!$C$5:$BJ$204,0,$B17)&gt;0),--(INDEX(Matrix!$C$5:$BJ$204,0,AQ$3)&gt;0)))</f>
        <v/>
      </c>
      <c r="AR17" s="12" t="str">
        <f aca="false">IF(OR($A17="",AR$4=""),"",SUMPRODUCT(--(INDEX(Matrix!$C$5:$BJ$204,0,$B17)&gt;0),--(INDEX(Matrix!$C$5:$BJ$204,0,AR$3)&gt;0)))</f>
        <v/>
      </c>
      <c r="AS17" s="12" t="str">
        <f aca="false">IF(OR($A17="",AS$4=""),"",SUMPRODUCT(--(INDEX(Matrix!$C$5:$BJ$204,0,$B17)&gt;0),--(INDEX(Matrix!$C$5:$BJ$204,0,AS$3)&gt;0)))</f>
        <v/>
      </c>
      <c r="AT17" s="12" t="str">
        <f aca="false">IF(OR($A17="",AT$4=""),"",SUMPRODUCT(--(INDEX(Matrix!$C$5:$BJ$204,0,$B17)&gt;0),--(INDEX(Matrix!$C$5:$BJ$204,0,AT$3)&gt;0)))</f>
        <v/>
      </c>
      <c r="AU17" s="12" t="str">
        <f aca="false">IF(OR($A17="",AU$4=""),"",SUMPRODUCT(--(INDEX(Matrix!$C$5:$BJ$204,0,$B17)&gt;0),--(INDEX(Matrix!$C$5:$BJ$204,0,AU$3)&gt;0)))</f>
        <v/>
      </c>
      <c r="AV17" s="12" t="str">
        <f aca="false">IF(OR($A17="",AV$4=""),"",SUMPRODUCT(--(INDEX(Matrix!$C$5:$BJ$204,0,$B17)&gt;0),--(INDEX(Matrix!$C$5:$BJ$204,0,AV$3)&gt;0)))</f>
        <v/>
      </c>
      <c r="AW17" s="12" t="str">
        <f aca="false">IF(OR($A17="",AW$4=""),"",SUMPRODUCT(--(INDEX(Matrix!$C$5:$BJ$204,0,$B17)&gt;0),--(INDEX(Matrix!$C$5:$BJ$204,0,AW$3)&gt;0)))</f>
        <v/>
      </c>
      <c r="AX17" s="12" t="str">
        <f aca="false">IF(OR($A17="",AX$4=""),"",SUMPRODUCT(--(INDEX(Matrix!$C$5:$BJ$204,0,$B17)&gt;0),--(INDEX(Matrix!$C$5:$BJ$204,0,AX$3)&gt;0)))</f>
        <v/>
      </c>
      <c r="AY17" s="12" t="str">
        <f aca="false">IF(OR($A17="",AY$4=""),"",SUMPRODUCT(--(INDEX(Matrix!$C$5:$BJ$204,0,$B17)&gt;0),--(INDEX(Matrix!$C$5:$BJ$204,0,AY$3)&gt;0)))</f>
        <v/>
      </c>
      <c r="AZ17" s="12" t="str">
        <f aca="false">IF(OR($A17="",AZ$4=""),"",SUMPRODUCT(--(INDEX(Matrix!$C$5:$BJ$204,0,$B17)&gt;0),--(INDEX(Matrix!$C$5:$BJ$204,0,AZ$3)&gt;0)))</f>
        <v/>
      </c>
      <c r="BA17" s="12" t="str">
        <f aca="false">IF(OR($A17="",BA$4=""),"",SUMPRODUCT(--(INDEX(Matrix!$C$5:$BJ$204,0,$B17)&gt;0),--(INDEX(Matrix!$C$5:$BJ$204,0,BA$3)&gt;0)))</f>
        <v/>
      </c>
      <c r="BB17" s="12" t="str">
        <f aca="false">IF(OR($A17="",BB$4=""),"",SUMPRODUCT(--(INDEX(Matrix!$C$5:$BJ$204,0,$B17)&gt;0),--(INDEX(Matrix!$C$5:$BJ$204,0,BB$3)&gt;0)))</f>
        <v/>
      </c>
      <c r="BC17" s="12" t="str">
        <f aca="false">IF(OR($A17="",BC$4=""),"",SUMPRODUCT(--(INDEX(Matrix!$C$5:$BJ$204,0,$B17)&gt;0),--(INDEX(Matrix!$C$5:$BJ$204,0,BC$3)&gt;0)))</f>
        <v/>
      </c>
      <c r="BD17" s="12" t="str">
        <f aca="false">IF(OR($A17="",BD$4=""),"",SUMPRODUCT(--(INDEX(Matrix!$C$5:$BJ$204,0,$B17)&gt;0),--(INDEX(Matrix!$C$5:$BJ$204,0,BD$3)&gt;0)))</f>
        <v/>
      </c>
      <c r="BE17" s="12" t="str">
        <f aca="false">IF(OR($A17="",BE$4=""),"",SUMPRODUCT(--(INDEX(Matrix!$C$5:$BJ$204,0,$B17)&gt;0),--(INDEX(Matrix!$C$5:$BJ$204,0,BE$3)&gt;0)))</f>
        <v/>
      </c>
      <c r="BF17" s="12" t="str">
        <f aca="false">IF(OR($A17="",BF$4=""),"",SUMPRODUCT(--(INDEX(Matrix!$C$5:$BJ$204,0,$B17)&gt;0),--(INDEX(Matrix!$C$5:$BJ$204,0,BF$3)&gt;0)))</f>
        <v/>
      </c>
      <c r="BG17" s="12" t="str">
        <f aca="false">IF(OR($A17="",BG$4=""),"",SUMPRODUCT(--(INDEX(Matrix!$C$5:$BJ$204,0,$B17)&gt;0),--(INDEX(Matrix!$C$5:$BJ$204,0,BG$3)&gt;0)))</f>
        <v/>
      </c>
      <c r="BH17" s="12" t="str">
        <f aca="false">IF(OR($A17="",BH$4=""),"",SUMPRODUCT(--(INDEX(Matrix!$C$5:$BJ$204,0,$B17)&gt;0),--(INDEX(Matrix!$C$5:$BJ$204,0,BH$3)&gt;0)))</f>
        <v/>
      </c>
      <c r="BI17" s="12" t="str">
        <f aca="false">IF(OR($A17="",BI$4=""),"",SUMPRODUCT(--(INDEX(Matrix!$C$5:$BJ$204,0,$B17)&gt;0),--(INDEX(Matrix!$C$5:$BJ$204,0,BI$3)&gt;0)))</f>
        <v/>
      </c>
      <c r="BJ17" s="12" t="str">
        <f aca="false">IF(OR($A17="",BJ$4=""),"",SUMPRODUCT(--(INDEX(Matrix!$C$5:$BJ$204,0,$B17)&gt;0),--(INDEX(Matrix!$C$5:$BJ$204,0,BJ$3)&gt;0)))</f>
        <v/>
      </c>
    </row>
    <row r="18" customFormat="false" ht="15" hidden="false" customHeight="false" outlineLevel="0" collapsed="false">
      <c r="A18" s="6" t="str">
        <f aca="false">IF(INDEX(Products!$A$2:$A$61,$B18)="","",INDEX(Products!$A$2:$A$61,$B18))</f>
        <v/>
      </c>
      <c r="B18" s="23" t="n">
        <v>14</v>
      </c>
      <c r="C18" s="12" t="str">
        <f aca="false">IF(OR($A18="",C$4=""),"",SUMPRODUCT(--(INDEX(Matrix!$C$5:$BJ$204,0,$B18)&gt;0),--(INDEX(Matrix!$C$5:$BJ$204,0,C$3)&gt;0)))</f>
        <v/>
      </c>
      <c r="D18" s="12" t="str">
        <f aca="false">IF(OR($A18="",D$4=""),"",SUMPRODUCT(--(INDEX(Matrix!$C$5:$BJ$204,0,$B18)&gt;0),--(INDEX(Matrix!$C$5:$BJ$204,0,D$3)&gt;0)))</f>
        <v/>
      </c>
      <c r="E18" s="12" t="str">
        <f aca="false">IF(OR($A18="",E$4=""),"",SUMPRODUCT(--(INDEX(Matrix!$C$5:$BJ$204,0,$B18)&gt;0),--(INDEX(Matrix!$C$5:$BJ$204,0,E$3)&gt;0)))</f>
        <v/>
      </c>
      <c r="F18" s="12" t="str">
        <f aca="false">IF(OR($A18="",F$4=""),"",SUMPRODUCT(--(INDEX(Matrix!$C$5:$BJ$204,0,$B18)&gt;0),--(INDEX(Matrix!$C$5:$BJ$204,0,F$3)&gt;0)))</f>
        <v/>
      </c>
      <c r="G18" s="12" t="str">
        <f aca="false">IF(OR($A18="",G$4=""),"",SUMPRODUCT(--(INDEX(Matrix!$C$5:$BJ$204,0,$B18)&gt;0),--(INDEX(Matrix!$C$5:$BJ$204,0,G$3)&gt;0)))</f>
        <v/>
      </c>
      <c r="H18" s="12" t="str">
        <f aca="false">IF(OR($A18="",H$4=""),"",SUMPRODUCT(--(INDEX(Matrix!$C$5:$BJ$204,0,$B18)&gt;0),--(INDEX(Matrix!$C$5:$BJ$204,0,H$3)&gt;0)))</f>
        <v/>
      </c>
      <c r="I18" s="12" t="str">
        <f aca="false">IF(OR($A18="",I$4=""),"",SUMPRODUCT(--(INDEX(Matrix!$C$5:$BJ$204,0,$B18)&gt;0),--(INDEX(Matrix!$C$5:$BJ$204,0,I$3)&gt;0)))</f>
        <v/>
      </c>
      <c r="J18" s="12" t="str">
        <f aca="false">IF(OR($A18="",J$4=""),"",SUMPRODUCT(--(INDEX(Matrix!$C$5:$BJ$204,0,$B18)&gt;0),--(INDEX(Matrix!$C$5:$BJ$204,0,J$3)&gt;0)))</f>
        <v/>
      </c>
      <c r="K18" s="12" t="str">
        <f aca="false">IF(OR($A18="",K$4=""),"",SUMPRODUCT(--(INDEX(Matrix!$C$5:$BJ$204,0,$B18)&gt;0),--(INDEX(Matrix!$C$5:$BJ$204,0,K$3)&gt;0)))</f>
        <v/>
      </c>
      <c r="L18" s="12" t="str">
        <f aca="false">IF(OR($A18="",L$4=""),"",SUMPRODUCT(--(INDEX(Matrix!$C$5:$BJ$204,0,$B18)&gt;0),--(INDEX(Matrix!$C$5:$BJ$204,0,L$3)&gt;0)))</f>
        <v/>
      </c>
      <c r="M18" s="12" t="str">
        <f aca="false">IF(OR($A18="",M$4=""),"",SUMPRODUCT(--(INDEX(Matrix!$C$5:$BJ$204,0,$B18)&gt;0),--(INDEX(Matrix!$C$5:$BJ$204,0,M$3)&gt;0)))</f>
        <v/>
      </c>
      <c r="N18" s="12" t="str">
        <f aca="false">IF(OR($A18="",N$4=""),"",SUMPRODUCT(--(INDEX(Matrix!$C$5:$BJ$204,0,$B18)&gt;0),--(INDEX(Matrix!$C$5:$BJ$204,0,N$3)&gt;0)))</f>
        <v/>
      </c>
      <c r="O18" s="12" t="str">
        <f aca="false">IF(OR($A18="",O$4=""),"",SUMPRODUCT(--(INDEX(Matrix!$C$5:$BJ$204,0,$B18)&gt;0),--(INDEX(Matrix!$C$5:$BJ$204,0,O$3)&gt;0)))</f>
        <v/>
      </c>
      <c r="P18" s="12" t="str">
        <f aca="false">IF(OR($A18="",P$4=""),"",SUMPRODUCT(--(INDEX(Matrix!$C$5:$BJ$204,0,$B18)&gt;0),--(INDEX(Matrix!$C$5:$BJ$204,0,P$3)&gt;0)))</f>
        <v/>
      </c>
      <c r="Q18" s="12" t="str">
        <f aca="false">IF(OR($A18="",Q$4=""),"",SUMPRODUCT(--(INDEX(Matrix!$C$5:$BJ$204,0,$B18)&gt;0),--(INDEX(Matrix!$C$5:$BJ$204,0,Q$3)&gt;0)))</f>
        <v/>
      </c>
      <c r="R18" s="12" t="str">
        <f aca="false">IF(OR($A18="",R$4=""),"",SUMPRODUCT(--(INDEX(Matrix!$C$5:$BJ$204,0,$B18)&gt;0),--(INDEX(Matrix!$C$5:$BJ$204,0,R$3)&gt;0)))</f>
        <v/>
      </c>
      <c r="S18" s="12" t="str">
        <f aca="false">IF(OR($A18="",S$4=""),"",SUMPRODUCT(--(INDEX(Matrix!$C$5:$BJ$204,0,$B18)&gt;0),--(INDEX(Matrix!$C$5:$BJ$204,0,S$3)&gt;0)))</f>
        <v/>
      </c>
      <c r="T18" s="12" t="str">
        <f aca="false">IF(OR($A18="",T$4=""),"",SUMPRODUCT(--(INDEX(Matrix!$C$5:$BJ$204,0,$B18)&gt;0),--(INDEX(Matrix!$C$5:$BJ$204,0,T$3)&gt;0)))</f>
        <v/>
      </c>
      <c r="U18" s="12" t="str">
        <f aca="false">IF(OR($A18="",U$4=""),"",SUMPRODUCT(--(INDEX(Matrix!$C$5:$BJ$204,0,$B18)&gt;0),--(INDEX(Matrix!$C$5:$BJ$204,0,U$3)&gt;0)))</f>
        <v/>
      </c>
      <c r="V18" s="12" t="str">
        <f aca="false">IF(OR($A18="",V$4=""),"",SUMPRODUCT(--(INDEX(Matrix!$C$5:$BJ$204,0,$B18)&gt;0),--(INDEX(Matrix!$C$5:$BJ$204,0,V$3)&gt;0)))</f>
        <v/>
      </c>
      <c r="W18" s="12" t="str">
        <f aca="false">IF(OR($A18="",W$4=""),"",SUMPRODUCT(--(INDEX(Matrix!$C$5:$BJ$204,0,$B18)&gt;0),--(INDEX(Matrix!$C$5:$BJ$204,0,W$3)&gt;0)))</f>
        <v/>
      </c>
      <c r="X18" s="12" t="str">
        <f aca="false">IF(OR($A18="",X$4=""),"",SUMPRODUCT(--(INDEX(Matrix!$C$5:$BJ$204,0,$B18)&gt;0),--(INDEX(Matrix!$C$5:$BJ$204,0,X$3)&gt;0)))</f>
        <v/>
      </c>
      <c r="Y18" s="12" t="str">
        <f aca="false">IF(OR($A18="",Y$4=""),"",SUMPRODUCT(--(INDEX(Matrix!$C$5:$BJ$204,0,$B18)&gt;0),--(INDEX(Matrix!$C$5:$BJ$204,0,Y$3)&gt;0)))</f>
        <v/>
      </c>
      <c r="Z18" s="12" t="str">
        <f aca="false">IF(OR($A18="",Z$4=""),"",SUMPRODUCT(--(INDEX(Matrix!$C$5:$BJ$204,0,$B18)&gt;0),--(INDEX(Matrix!$C$5:$BJ$204,0,Z$3)&gt;0)))</f>
        <v/>
      </c>
      <c r="AA18" s="12" t="str">
        <f aca="false">IF(OR($A18="",AA$4=""),"",SUMPRODUCT(--(INDEX(Matrix!$C$5:$BJ$204,0,$B18)&gt;0),--(INDEX(Matrix!$C$5:$BJ$204,0,AA$3)&gt;0)))</f>
        <v/>
      </c>
      <c r="AB18" s="12" t="str">
        <f aca="false">IF(OR($A18="",AB$4=""),"",SUMPRODUCT(--(INDEX(Matrix!$C$5:$BJ$204,0,$B18)&gt;0),--(INDEX(Matrix!$C$5:$BJ$204,0,AB$3)&gt;0)))</f>
        <v/>
      </c>
      <c r="AC18" s="12" t="str">
        <f aca="false">IF(OR($A18="",AC$4=""),"",SUMPRODUCT(--(INDEX(Matrix!$C$5:$BJ$204,0,$B18)&gt;0),--(INDEX(Matrix!$C$5:$BJ$204,0,AC$3)&gt;0)))</f>
        <v/>
      </c>
      <c r="AD18" s="12" t="str">
        <f aca="false">IF(OR($A18="",AD$4=""),"",SUMPRODUCT(--(INDEX(Matrix!$C$5:$BJ$204,0,$B18)&gt;0),--(INDEX(Matrix!$C$5:$BJ$204,0,AD$3)&gt;0)))</f>
        <v/>
      </c>
      <c r="AE18" s="12" t="str">
        <f aca="false">IF(OR($A18="",AE$4=""),"",SUMPRODUCT(--(INDEX(Matrix!$C$5:$BJ$204,0,$B18)&gt;0),--(INDEX(Matrix!$C$5:$BJ$204,0,AE$3)&gt;0)))</f>
        <v/>
      </c>
      <c r="AF18" s="12" t="str">
        <f aca="false">IF(OR($A18="",AF$4=""),"",SUMPRODUCT(--(INDEX(Matrix!$C$5:$BJ$204,0,$B18)&gt;0),--(INDEX(Matrix!$C$5:$BJ$204,0,AF$3)&gt;0)))</f>
        <v/>
      </c>
      <c r="AG18" s="12" t="str">
        <f aca="false">IF(OR($A18="",AG$4=""),"",SUMPRODUCT(--(INDEX(Matrix!$C$5:$BJ$204,0,$B18)&gt;0),--(INDEX(Matrix!$C$5:$BJ$204,0,AG$3)&gt;0)))</f>
        <v/>
      </c>
      <c r="AH18" s="12" t="str">
        <f aca="false">IF(OR($A18="",AH$4=""),"",SUMPRODUCT(--(INDEX(Matrix!$C$5:$BJ$204,0,$B18)&gt;0),--(INDEX(Matrix!$C$5:$BJ$204,0,AH$3)&gt;0)))</f>
        <v/>
      </c>
      <c r="AI18" s="12" t="str">
        <f aca="false">IF(OR($A18="",AI$4=""),"",SUMPRODUCT(--(INDEX(Matrix!$C$5:$BJ$204,0,$B18)&gt;0),--(INDEX(Matrix!$C$5:$BJ$204,0,AI$3)&gt;0)))</f>
        <v/>
      </c>
      <c r="AJ18" s="12" t="str">
        <f aca="false">IF(OR($A18="",AJ$4=""),"",SUMPRODUCT(--(INDEX(Matrix!$C$5:$BJ$204,0,$B18)&gt;0),--(INDEX(Matrix!$C$5:$BJ$204,0,AJ$3)&gt;0)))</f>
        <v/>
      </c>
      <c r="AK18" s="12" t="str">
        <f aca="false">IF(OR($A18="",AK$4=""),"",SUMPRODUCT(--(INDEX(Matrix!$C$5:$BJ$204,0,$B18)&gt;0),--(INDEX(Matrix!$C$5:$BJ$204,0,AK$3)&gt;0)))</f>
        <v/>
      </c>
      <c r="AL18" s="12" t="str">
        <f aca="false">IF(OR($A18="",AL$4=""),"",SUMPRODUCT(--(INDEX(Matrix!$C$5:$BJ$204,0,$B18)&gt;0),--(INDEX(Matrix!$C$5:$BJ$204,0,AL$3)&gt;0)))</f>
        <v/>
      </c>
      <c r="AM18" s="12" t="str">
        <f aca="false">IF(OR($A18="",AM$4=""),"",SUMPRODUCT(--(INDEX(Matrix!$C$5:$BJ$204,0,$B18)&gt;0),--(INDEX(Matrix!$C$5:$BJ$204,0,AM$3)&gt;0)))</f>
        <v/>
      </c>
      <c r="AN18" s="12" t="str">
        <f aca="false">IF(OR($A18="",AN$4=""),"",SUMPRODUCT(--(INDEX(Matrix!$C$5:$BJ$204,0,$B18)&gt;0),--(INDEX(Matrix!$C$5:$BJ$204,0,AN$3)&gt;0)))</f>
        <v/>
      </c>
      <c r="AO18" s="12" t="str">
        <f aca="false">IF(OR($A18="",AO$4=""),"",SUMPRODUCT(--(INDEX(Matrix!$C$5:$BJ$204,0,$B18)&gt;0),--(INDEX(Matrix!$C$5:$BJ$204,0,AO$3)&gt;0)))</f>
        <v/>
      </c>
      <c r="AP18" s="12" t="str">
        <f aca="false">IF(OR($A18="",AP$4=""),"",SUMPRODUCT(--(INDEX(Matrix!$C$5:$BJ$204,0,$B18)&gt;0),--(INDEX(Matrix!$C$5:$BJ$204,0,AP$3)&gt;0)))</f>
        <v/>
      </c>
      <c r="AQ18" s="12" t="str">
        <f aca="false">IF(OR($A18="",AQ$4=""),"",SUMPRODUCT(--(INDEX(Matrix!$C$5:$BJ$204,0,$B18)&gt;0),--(INDEX(Matrix!$C$5:$BJ$204,0,AQ$3)&gt;0)))</f>
        <v/>
      </c>
      <c r="AR18" s="12" t="str">
        <f aca="false">IF(OR($A18="",AR$4=""),"",SUMPRODUCT(--(INDEX(Matrix!$C$5:$BJ$204,0,$B18)&gt;0),--(INDEX(Matrix!$C$5:$BJ$204,0,AR$3)&gt;0)))</f>
        <v/>
      </c>
      <c r="AS18" s="12" t="str">
        <f aca="false">IF(OR($A18="",AS$4=""),"",SUMPRODUCT(--(INDEX(Matrix!$C$5:$BJ$204,0,$B18)&gt;0),--(INDEX(Matrix!$C$5:$BJ$204,0,AS$3)&gt;0)))</f>
        <v/>
      </c>
      <c r="AT18" s="12" t="str">
        <f aca="false">IF(OR($A18="",AT$4=""),"",SUMPRODUCT(--(INDEX(Matrix!$C$5:$BJ$204,0,$B18)&gt;0),--(INDEX(Matrix!$C$5:$BJ$204,0,AT$3)&gt;0)))</f>
        <v/>
      </c>
      <c r="AU18" s="12" t="str">
        <f aca="false">IF(OR($A18="",AU$4=""),"",SUMPRODUCT(--(INDEX(Matrix!$C$5:$BJ$204,0,$B18)&gt;0),--(INDEX(Matrix!$C$5:$BJ$204,0,AU$3)&gt;0)))</f>
        <v/>
      </c>
      <c r="AV18" s="12" t="str">
        <f aca="false">IF(OR($A18="",AV$4=""),"",SUMPRODUCT(--(INDEX(Matrix!$C$5:$BJ$204,0,$B18)&gt;0),--(INDEX(Matrix!$C$5:$BJ$204,0,AV$3)&gt;0)))</f>
        <v/>
      </c>
      <c r="AW18" s="12" t="str">
        <f aca="false">IF(OR($A18="",AW$4=""),"",SUMPRODUCT(--(INDEX(Matrix!$C$5:$BJ$204,0,$B18)&gt;0),--(INDEX(Matrix!$C$5:$BJ$204,0,AW$3)&gt;0)))</f>
        <v/>
      </c>
      <c r="AX18" s="12" t="str">
        <f aca="false">IF(OR($A18="",AX$4=""),"",SUMPRODUCT(--(INDEX(Matrix!$C$5:$BJ$204,0,$B18)&gt;0),--(INDEX(Matrix!$C$5:$BJ$204,0,AX$3)&gt;0)))</f>
        <v/>
      </c>
      <c r="AY18" s="12" t="str">
        <f aca="false">IF(OR($A18="",AY$4=""),"",SUMPRODUCT(--(INDEX(Matrix!$C$5:$BJ$204,0,$B18)&gt;0),--(INDEX(Matrix!$C$5:$BJ$204,0,AY$3)&gt;0)))</f>
        <v/>
      </c>
      <c r="AZ18" s="12" t="str">
        <f aca="false">IF(OR($A18="",AZ$4=""),"",SUMPRODUCT(--(INDEX(Matrix!$C$5:$BJ$204,0,$B18)&gt;0),--(INDEX(Matrix!$C$5:$BJ$204,0,AZ$3)&gt;0)))</f>
        <v/>
      </c>
      <c r="BA18" s="12" t="str">
        <f aca="false">IF(OR($A18="",BA$4=""),"",SUMPRODUCT(--(INDEX(Matrix!$C$5:$BJ$204,0,$B18)&gt;0),--(INDEX(Matrix!$C$5:$BJ$204,0,BA$3)&gt;0)))</f>
        <v/>
      </c>
      <c r="BB18" s="12" t="str">
        <f aca="false">IF(OR($A18="",BB$4=""),"",SUMPRODUCT(--(INDEX(Matrix!$C$5:$BJ$204,0,$B18)&gt;0),--(INDEX(Matrix!$C$5:$BJ$204,0,BB$3)&gt;0)))</f>
        <v/>
      </c>
      <c r="BC18" s="12" t="str">
        <f aca="false">IF(OR($A18="",BC$4=""),"",SUMPRODUCT(--(INDEX(Matrix!$C$5:$BJ$204,0,$B18)&gt;0),--(INDEX(Matrix!$C$5:$BJ$204,0,BC$3)&gt;0)))</f>
        <v/>
      </c>
      <c r="BD18" s="12" t="str">
        <f aca="false">IF(OR($A18="",BD$4=""),"",SUMPRODUCT(--(INDEX(Matrix!$C$5:$BJ$204,0,$B18)&gt;0),--(INDEX(Matrix!$C$5:$BJ$204,0,BD$3)&gt;0)))</f>
        <v/>
      </c>
      <c r="BE18" s="12" t="str">
        <f aca="false">IF(OR($A18="",BE$4=""),"",SUMPRODUCT(--(INDEX(Matrix!$C$5:$BJ$204,0,$B18)&gt;0),--(INDEX(Matrix!$C$5:$BJ$204,0,BE$3)&gt;0)))</f>
        <v/>
      </c>
      <c r="BF18" s="12" t="str">
        <f aca="false">IF(OR($A18="",BF$4=""),"",SUMPRODUCT(--(INDEX(Matrix!$C$5:$BJ$204,0,$B18)&gt;0),--(INDEX(Matrix!$C$5:$BJ$204,0,BF$3)&gt;0)))</f>
        <v/>
      </c>
      <c r="BG18" s="12" t="str">
        <f aca="false">IF(OR($A18="",BG$4=""),"",SUMPRODUCT(--(INDEX(Matrix!$C$5:$BJ$204,0,$B18)&gt;0),--(INDEX(Matrix!$C$5:$BJ$204,0,BG$3)&gt;0)))</f>
        <v/>
      </c>
      <c r="BH18" s="12" t="str">
        <f aca="false">IF(OR($A18="",BH$4=""),"",SUMPRODUCT(--(INDEX(Matrix!$C$5:$BJ$204,0,$B18)&gt;0),--(INDEX(Matrix!$C$5:$BJ$204,0,BH$3)&gt;0)))</f>
        <v/>
      </c>
      <c r="BI18" s="12" t="str">
        <f aca="false">IF(OR($A18="",BI$4=""),"",SUMPRODUCT(--(INDEX(Matrix!$C$5:$BJ$204,0,$B18)&gt;0),--(INDEX(Matrix!$C$5:$BJ$204,0,BI$3)&gt;0)))</f>
        <v/>
      </c>
      <c r="BJ18" s="12" t="str">
        <f aca="false">IF(OR($A18="",BJ$4=""),"",SUMPRODUCT(--(INDEX(Matrix!$C$5:$BJ$204,0,$B18)&gt;0),--(INDEX(Matrix!$C$5:$BJ$204,0,BJ$3)&gt;0)))</f>
        <v/>
      </c>
    </row>
    <row r="19" customFormat="false" ht="15" hidden="false" customHeight="false" outlineLevel="0" collapsed="false">
      <c r="A19" s="6" t="str">
        <f aca="false">IF(INDEX(Products!$A$2:$A$61,$B19)="","",INDEX(Products!$A$2:$A$61,$B19))</f>
        <v/>
      </c>
      <c r="B19" s="23" t="n">
        <v>15</v>
      </c>
      <c r="C19" s="12" t="str">
        <f aca="false">IF(OR($A19="",C$4=""),"",SUMPRODUCT(--(INDEX(Matrix!$C$5:$BJ$204,0,$B19)&gt;0),--(INDEX(Matrix!$C$5:$BJ$204,0,C$3)&gt;0)))</f>
        <v/>
      </c>
      <c r="D19" s="12" t="str">
        <f aca="false">IF(OR($A19="",D$4=""),"",SUMPRODUCT(--(INDEX(Matrix!$C$5:$BJ$204,0,$B19)&gt;0),--(INDEX(Matrix!$C$5:$BJ$204,0,D$3)&gt;0)))</f>
        <v/>
      </c>
      <c r="E19" s="12" t="str">
        <f aca="false">IF(OR($A19="",E$4=""),"",SUMPRODUCT(--(INDEX(Matrix!$C$5:$BJ$204,0,$B19)&gt;0),--(INDEX(Matrix!$C$5:$BJ$204,0,E$3)&gt;0)))</f>
        <v/>
      </c>
      <c r="F19" s="12" t="str">
        <f aca="false">IF(OR($A19="",F$4=""),"",SUMPRODUCT(--(INDEX(Matrix!$C$5:$BJ$204,0,$B19)&gt;0),--(INDEX(Matrix!$C$5:$BJ$204,0,F$3)&gt;0)))</f>
        <v/>
      </c>
      <c r="G19" s="12" t="str">
        <f aca="false">IF(OR($A19="",G$4=""),"",SUMPRODUCT(--(INDEX(Matrix!$C$5:$BJ$204,0,$B19)&gt;0),--(INDEX(Matrix!$C$5:$BJ$204,0,G$3)&gt;0)))</f>
        <v/>
      </c>
      <c r="H19" s="12" t="str">
        <f aca="false">IF(OR($A19="",H$4=""),"",SUMPRODUCT(--(INDEX(Matrix!$C$5:$BJ$204,0,$B19)&gt;0),--(INDEX(Matrix!$C$5:$BJ$204,0,H$3)&gt;0)))</f>
        <v/>
      </c>
      <c r="I19" s="12" t="str">
        <f aca="false">IF(OR($A19="",I$4=""),"",SUMPRODUCT(--(INDEX(Matrix!$C$5:$BJ$204,0,$B19)&gt;0),--(INDEX(Matrix!$C$5:$BJ$204,0,I$3)&gt;0)))</f>
        <v/>
      </c>
      <c r="J19" s="12" t="str">
        <f aca="false">IF(OR($A19="",J$4=""),"",SUMPRODUCT(--(INDEX(Matrix!$C$5:$BJ$204,0,$B19)&gt;0),--(INDEX(Matrix!$C$5:$BJ$204,0,J$3)&gt;0)))</f>
        <v/>
      </c>
      <c r="K19" s="12" t="str">
        <f aca="false">IF(OR($A19="",K$4=""),"",SUMPRODUCT(--(INDEX(Matrix!$C$5:$BJ$204,0,$B19)&gt;0),--(INDEX(Matrix!$C$5:$BJ$204,0,K$3)&gt;0)))</f>
        <v/>
      </c>
      <c r="L19" s="12" t="str">
        <f aca="false">IF(OR($A19="",L$4=""),"",SUMPRODUCT(--(INDEX(Matrix!$C$5:$BJ$204,0,$B19)&gt;0),--(INDEX(Matrix!$C$5:$BJ$204,0,L$3)&gt;0)))</f>
        <v/>
      </c>
      <c r="M19" s="12" t="str">
        <f aca="false">IF(OR($A19="",M$4=""),"",SUMPRODUCT(--(INDEX(Matrix!$C$5:$BJ$204,0,$B19)&gt;0),--(INDEX(Matrix!$C$5:$BJ$204,0,M$3)&gt;0)))</f>
        <v/>
      </c>
      <c r="N19" s="12" t="str">
        <f aca="false">IF(OR($A19="",N$4=""),"",SUMPRODUCT(--(INDEX(Matrix!$C$5:$BJ$204,0,$B19)&gt;0),--(INDEX(Matrix!$C$5:$BJ$204,0,N$3)&gt;0)))</f>
        <v/>
      </c>
      <c r="O19" s="12" t="str">
        <f aca="false">IF(OR($A19="",O$4=""),"",SUMPRODUCT(--(INDEX(Matrix!$C$5:$BJ$204,0,$B19)&gt;0),--(INDEX(Matrix!$C$5:$BJ$204,0,O$3)&gt;0)))</f>
        <v/>
      </c>
      <c r="P19" s="12" t="str">
        <f aca="false">IF(OR($A19="",P$4=""),"",SUMPRODUCT(--(INDEX(Matrix!$C$5:$BJ$204,0,$B19)&gt;0),--(INDEX(Matrix!$C$5:$BJ$204,0,P$3)&gt;0)))</f>
        <v/>
      </c>
      <c r="Q19" s="12" t="str">
        <f aca="false">IF(OR($A19="",Q$4=""),"",SUMPRODUCT(--(INDEX(Matrix!$C$5:$BJ$204,0,$B19)&gt;0),--(INDEX(Matrix!$C$5:$BJ$204,0,Q$3)&gt;0)))</f>
        <v/>
      </c>
      <c r="R19" s="12" t="str">
        <f aca="false">IF(OR($A19="",R$4=""),"",SUMPRODUCT(--(INDEX(Matrix!$C$5:$BJ$204,0,$B19)&gt;0),--(INDEX(Matrix!$C$5:$BJ$204,0,R$3)&gt;0)))</f>
        <v/>
      </c>
      <c r="S19" s="12" t="str">
        <f aca="false">IF(OR($A19="",S$4=""),"",SUMPRODUCT(--(INDEX(Matrix!$C$5:$BJ$204,0,$B19)&gt;0),--(INDEX(Matrix!$C$5:$BJ$204,0,S$3)&gt;0)))</f>
        <v/>
      </c>
      <c r="T19" s="12" t="str">
        <f aca="false">IF(OR($A19="",T$4=""),"",SUMPRODUCT(--(INDEX(Matrix!$C$5:$BJ$204,0,$B19)&gt;0),--(INDEX(Matrix!$C$5:$BJ$204,0,T$3)&gt;0)))</f>
        <v/>
      </c>
      <c r="U19" s="12" t="str">
        <f aca="false">IF(OR($A19="",U$4=""),"",SUMPRODUCT(--(INDEX(Matrix!$C$5:$BJ$204,0,$B19)&gt;0),--(INDEX(Matrix!$C$5:$BJ$204,0,U$3)&gt;0)))</f>
        <v/>
      </c>
      <c r="V19" s="12" t="str">
        <f aca="false">IF(OR($A19="",V$4=""),"",SUMPRODUCT(--(INDEX(Matrix!$C$5:$BJ$204,0,$B19)&gt;0),--(INDEX(Matrix!$C$5:$BJ$204,0,V$3)&gt;0)))</f>
        <v/>
      </c>
      <c r="W19" s="12" t="str">
        <f aca="false">IF(OR($A19="",W$4=""),"",SUMPRODUCT(--(INDEX(Matrix!$C$5:$BJ$204,0,$B19)&gt;0),--(INDEX(Matrix!$C$5:$BJ$204,0,W$3)&gt;0)))</f>
        <v/>
      </c>
      <c r="X19" s="12" t="str">
        <f aca="false">IF(OR($A19="",X$4=""),"",SUMPRODUCT(--(INDEX(Matrix!$C$5:$BJ$204,0,$B19)&gt;0),--(INDEX(Matrix!$C$5:$BJ$204,0,X$3)&gt;0)))</f>
        <v/>
      </c>
      <c r="Y19" s="12" t="str">
        <f aca="false">IF(OR($A19="",Y$4=""),"",SUMPRODUCT(--(INDEX(Matrix!$C$5:$BJ$204,0,$B19)&gt;0),--(INDEX(Matrix!$C$5:$BJ$204,0,Y$3)&gt;0)))</f>
        <v/>
      </c>
      <c r="Z19" s="12" t="str">
        <f aca="false">IF(OR($A19="",Z$4=""),"",SUMPRODUCT(--(INDEX(Matrix!$C$5:$BJ$204,0,$B19)&gt;0),--(INDEX(Matrix!$C$5:$BJ$204,0,Z$3)&gt;0)))</f>
        <v/>
      </c>
      <c r="AA19" s="12" t="str">
        <f aca="false">IF(OR($A19="",AA$4=""),"",SUMPRODUCT(--(INDEX(Matrix!$C$5:$BJ$204,0,$B19)&gt;0),--(INDEX(Matrix!$C$5:$BJ$204,0,AA$3)&gt;0)))</f>
        <v/>
      </c>
      <c r="AB19" s="12" t="str">
        <f aca="false">IF(OR($A19="",AB$4=""),"",SUMPRODUCT(--(INDEX(Matrix!$C$5:$BJ$204,0,$B19)&gt;0),--(INDEX(Matrix!$C$5:$BJ$204,0,AB$3)&gt;0)))</f>
        <v/>
      </c>
      <c r="AC19" s="12" t="str">
        <f aca="false">IF(OR($A19="",AC$4=""),"",SUMPRODUCT(--(INDEX(Matrix!$C$5:$BJ$204,0,$B19)&gt;0),--(INDEX(Matrix!$C$5:$BJ$204,0,AC$3)&gt;0)))</f>
        <v/>
      </c>
      <c r="AD19" s="12" t="str">
        <f aca="false">IF(OR($A19="",AD$4=""),"",SUMPRODUCT(--(INDEX(Matrix!$C$5:$BJ$204,0,$B19)&gt;0),--(INDEX(Matrix!$C$5:$BJ$204,0,AD$3)&gt;0)))</f>
        <v/>
      </c>
      <c r="AE19" s="12" t="str">
        <f aca="false">IF(OR($A19="",AE$4=""),"",SUMPRODUCT(--(INDEX(Matrix!$C$5:$BJ$204,0,$B19)&gt;0),--(INDEX(Matrix!$C$5:$BJ$204,0,AE$3)&gt;0)))</f>
        <v/>
      </c>
      <c r="AF19" s="12" t="str">
        <f aca="false">IF(OR($A19="",AF$4=""),"",SUMPRODUCT(--(INDEX(Matrix!$C$5:$BJ$204,0,$B19)&gt;0),--(INDEX(Matrix!$C$5:$BJ$204,0,AF$3)&gt;0)))</f>
        <v/>
      </c>
      <c r="AG19" s="12" t="str">
        <f aca="false">IF(OR($A19="",AG$4=""),"",SUMPRODUCT(--(INDEX(Matrix!$C$5:$BJ$204,0,$B19)&gt;0),--(INDEX(Matrix!$C$5:$BJ$204,0,AG$3)&gt;0)))</f>
        <v/>
      </c>
      <c r="AH19" s="12" t="str">
        <f aca="false">IF(OR($A19="",AH$4=""),"",SUMPRODUCT(--(INDEX(Matrix!$C$5:$BJ$204,0,$B19)&gt;0),--(INDEX(Matrix!$C$5:$BJ$204,0,AH$3)&gt;0)))</f>
        <v/>
      </c>
      <c r="AI19" s="12" t="str">
        <f aca="false">IF(OR($A19="",AI$4=""),"",SUMPRODUCT(--(INDEX(Matrix!$C$5:$BJ$204,0,$B19)&gt;0),--(INDEX(Matrix!$C$5:$BJ$204,0,AI$3)&gt;0)))</f>
        <v/>
      </c>
      <c r="AJ19" s="12" t="str">
        <f aca="false">IF(OR($A19="",AJ$4=""),"",SUMPRODUCT(--(INDEX(Matrix!$C$5:$BJ$204,0,$B19)&gt;0),--(INDEX(Matrix!$C$5:$BJ$204,0,AJ$3)&gt;0)))</f>
        <v/>
      </c>
      <c r="AK19" s="12" t="str">
        <f aca="false">IF(OR($A19="",AK$4=""),"",SUMPRODUCT(--(INDEX(Matrix!$C$5:$BJ$204,0,$B19)&gt;0),--(INDEX(Matrix!$C$5:$BJ$204,0,AK$3)&gt;0)))</f>
        <v/>
      </c>
      <c r="AL19" s="12" t="str">
        <f aca="false">IF(OR($A19="",AL$4=""),"",SUMPRODUCT(--(INDEX(Matrix!$C$5:$BJ$204,0,$B19)&gt;0),--(INDEX(Matrix!$C$5:$BJ$204,0,AL$3)&gt;0)))</f>
        <v/>
      </c>
      <c r="AM19" s="12" t="str">
        <f aca="false">IF(OR($A19="",AM$4=""),"",SUMPRODUCT(--(INDEX(Matrix!$C$5:$BJ$204,0,$B19)&gt;0),--(INDEX(Matrix!$C$5:$BJ$204,0,AM$3)&gt;0)))</f>
        <v/>
      </c>
      <c r="AN19" s="12" t="str">
        <f aca="false">IF(OR($A19="",AN$4=""),"",SUMPRODUCT(--(INDEX(Matrix!$C$5:$BJ$204,0,$B19)&gt;0),--(INDEX(Matrix!$C$5:$BJ$204,0,AN$3)&gt;0)))</f>
        <v/>
      </c>
      <c r="AO19" s="12" t="str">
        <f aca="false">IF(OR($A19="",AO$4=""),"",SUMPRODUCT(--(INDEX(Matrix!$C$5:$BJ$204,0,$B19)&gt;0),--(INDEX(Matrix!$C$5:$BJ$204,0,AO$3)&gt;0)))</f>
        <v/>
      </c>
      <c r="AP19" s="12" t="str">
        <f aca="false">IF(OR($A19="",AP$4=""),"",SUMPRODUCT(--(INDEX(Matrix!$C$5:$BJ$204,0,$B19)&gt;0),--(INDEX(Matrix!$C$5:$BJ$204,0,AP$3)&gt;0)))</f>
        <v/>
      </c>
      <c r="AQ19" s="12" t="str">
        <f aca="false">IF(OR($A19="",AQ$4=""),"",SUMPRODUCT(--(INDEX(Matrix!$C$5:$BJ$204,0,$B19)&gt;0),--(INDEX(Matrix!$C$5:$BJ$204,0,AQ$3)&gt;0)))</f>
        <v/>
      </c>
      <c r="AR19" s="12" t="str">
        <f aca="false">IF(OR($A19="",AR$4=""),"",SUMPRODUCT(--(INDEX(Matrix!$C$5:$BJ$204,0,$B19)&gt;0),--(INDEX(Matrix!$C$5:$BJ$204,0,AR$3)&gt;0)))</f>
        <v/>
      </c>
      <c r="AS19" s="12" t="str">
        <f aca="false">IF(OR($A19="",AS$4=""),"",SUMPRODUCT(--(INDEX(Matrix!$C$5:$BJ$204,0,$B19)&gt;0),--(INDEX(Matrix!$C$5:$BJ$204,0,AS$3)&gt;0)))</f>
        <v/>
      </c>
      <c r="AT19" s="12" t="str">
        <f aca="false">IF(OR($A19="",AT$4=""),"",SUMPRODUCT(--(INDEX(Matrix!$C$5:$BJ$204,0,$B19)&gt;0),--(INDEX(Matrix!$C$5:$BJ$204,0,AT$3)&gt;0)))</f>
        <v/>
      </c>
      <c r="AU19" s="12" t="str">
        <f aca="false">IF(OR($A19="",AU$4=""),"",SUMPRODUCT(--(INDEX(Matrix!$C$5:$BJ$204,0,$B19)&gt;0),--(INDEX(Matrix!$C$5:$BJ$204,0,AU$3)&gt;0)))</f>
        <v/>
      </c>
      <c r="AV19" s="12" t="str">
        <f aca="false">IF(OR($A19="",AV$4=""),"",SUMPRODUCT(--(INDEX(Matrix!$C$5:$BJ$204,0,$B19)&gt;0),--(INDEX(Matrix!$C$5:$BJ$204,0,AV$3)&gt;0)))</f>
        <v/>
      </c>
      <c r="AW19" s="12" t="str">
        <f aca="false">IF(OR($A19="",AW$4=""),"",SUMPRODUCT(--(INDEX(Matrix!$C$5:$BJ$204,0,$B19)&gt;0),--(INDEX(Matrix!$C$5:$BJ$204,0,AW$3)&gt;0)))</f>
        <v/>
      </c>
      <c r="AX19" s="12" t="str">
        <f aca="false">IF(OR($A19="",AX$4=""),"",SUMPRODUCT(--(INDEX(Matrix!$C$5:$BJ$204,0,$B19)&gt;0),--(INDEX(Matrix!$C$5:$BJ$204,0,AX$3)&gt;0)))</f>
        <v/>
      </c>
      <c r="AY19" s="12" t="str">
        <f aca="false">IF(OR($A19="",AY$4=""),"",SUMPRODUCT(--(INDEX(Matrix!$C$5:$BJ$204,0,$B19)&gt;0),--(INDEX(Matrix!$C$5:$BJ$204,0,AY$3)&gt;0)))</f>
        <v/>
      </c>
      <c r="AZ19" s="12" t="str">
        <f aca="false">IF(OR($A19="",AZ$4=""),"",SUMPRODUCT(--(INDEX(Matrix!$C$5:$BJ$204,0,$B19)&gt;0),--(INDEX(Matrix!$C$5:$BJ$204,0,AZ$3)&gt;0)))</f>
        <v/>
      </c>
      <c r="BA19" s="12" t="str">
        <f aca="false">IF(OR($A19="",BA$4=""),"",SUMPRODUCT(--(INDEX(Matrix!$C$5:$BJ$204,0,$B19)&gt;0),--(INDEX(Matrix!$C$5:$BJ$204,0,BA$3)&gt;0)))</f>
        <v/>
      </c>
      <c r="BB19" s="12" t="str">
        <f aca="false">IF(OR($A19="",BB$4=""),"",SUMPRODUCT(--(INDEX(Matrix!$C$5:$BJ$204,0,$B19)&gt;0),--(INDEX(Matrix!$C$5:$BJ$204,0,BB$3)&gt;0)))</f>
        <v/>
      </c>
      <c r="BC19" s="12" t="str">
        <f aca="false">IF(OR($A19="",BC$4=""),"",SUMPRODUCT(--(INDEX(Matrix!$C$5:$BJ$204,0,$B19)&gt;0),--(INDEX(Matrix!$C$5:$BJ$204,0,BC$3)&gt;0)))</f>
        <v/>
      </c>
      <c r="BD19" s="12" t="str">
        <f aca="false">IF(OR($A19="",BD$4=""),"",SUMPRODUCT(--(INDEX(Matrix!$C$5:$BJ$204,0,$B19)&gt;0),--(INDEX(Matrix!$C$5:$BJ$204,0,BD$3)&gt;0)))</f>
        <v/>
      </c>
      <c r="BE19" s="12" t="str">
        <f aca="false">IF(OR($A19="",BE$4=""),"",SUMPRODUCT(--(INDEX(Matrix!$C$5:$BJ$204,0,$B19)&gt;0),--(INDEX(Matrix!$C$5:$BJ$204,0,BE$3)&gt;0)))</f>
        <v/>
      </c>
      <c r="BF19" s="12" t="str">
        <f aca="false">IF(OR($A19="",BF$4=""),"",SUMPRODUCT(--(INDEX(Matrix!$C$5:$BJ$204,0,$B19)&gt;0),--(INDEX(Matrix!$C$5:$BJ$204,0,BF$3)&gt;0)))</f>
        <v/>
      </c>
      <c r="BG19" s="12" t="str">
        <f aca="false">IF(OR($A19="",BG$4=""),"",SUMPRODUCT(--(INDEX(Matrix!$C$5:$BJ$204,0,$B19)&gt;0),--(INDEX(Matrix!$C$5:$BJ$204,0,BG$3)&gt;0)))</f>
        <v/>
      </c>
      <c r="BH19" s="12" t="str">
        <f aca="false">IF(OR($A19="",BH$4=""),"",SUMPRODUCT(--(INDEX(Matrix!$C$5:$BJ$204,0,$B19)&gt;0),--(INDEX(Matrix!$C$5:$BJ$204,0,BH$3)&gt;0)))</f>
        <v/>
      </c>
      <c r="BI19" s="12" t="str">
        <f aca="false">IF(OR($A19="",BI$4=""),"",SUMPRODUCT(--(INDEX(Matrix!$C$5:$BJ$204,0,$B19)&gt;0),--(INDEX(Matrix!$C$5:$BJ$204,0,BI$3)&gt;0)))</f>
        <v/>
      </c>
      <c r="BJ19" s="12" t="str">
        <f aca="false">IF(OR($A19="",BJ$4=""),"",SUMPRODUCT(--(INDEX(Matrix!$C$5:$BJ$204,0,$B19)&gt;0),--(INDEX(Matrix!$C$5:$BJ$204,0,BJ$3)&gt;0)))</f>
        <v/>
      </c>
    </row>
    <row r="20" customFormat="false" ht="15" hidden="false" customHeight="false" outlineLevel="0" collapsed="false">
      <c r="A20" s="6" t="str">
        <f aca="false">IF(INDEX(Products!$A$2:$A$61,$B20)="","",INDEX(Products!$A$2:$A$61,$B20))</f>
        <v/>
      </c>
      <c r="B20" s="23" t="n">
        <v>16</v>
      </c>
      <c r="C20" s="12" t="str">
        <f aca="false">IF(OR($A20="",C$4=""),"",SUMPRODUCT(--(INDEX(Matrix!$C$5:$BJ$204,0,$B20)&gt;0),--(INDEX(Matrix!$C$5:$BJ$204,0,C$3)&gt;0)))</f>
        <v/>
      </c>
      <c r="D20" s="12" t="str">
        <f aca="false">IF(OR($A20="",D$4=""),"",SUMPRODUCT(--(INDEX(Matrix!$C$5:$BJ$204,0,$B20)&gt;0),--(INDEX(Matrix!$C$5:$BJ$204,0,D$3)&gt;0)))</f>
        <v/>
      </c>
      <c r="E20" s="12" t="str">
        <f aca="false">IF(OR($A20="",E$4=""),"",SUMPRODUCT(--(INDEX(Matrix!$C$5:$BJ$204,0,$B20)&gt;0),--(INDEX(Matrix!$C$5:$BJ$204,0,E$3)&gt;0)))</f>
        <v/>
      </c>
      <c r="F20" s="12" t="str">
        <f aca="false">IF(OR($A20="",F$4=""),"",SUMPRODUCT(--(INDEX(Matrix!$C$5:$BJ$204,0,$B20)&gt;0),--(INDEX(Matrix!$C$5:$BJ$204,0,F$3)&gt;0)))</f>
        <v/>
      </c>
      <c r="G20" s="12" t="str">
        <f aca="false">IF(OR($A20="",G$4=""),"",SUMPRODUCT(--(INDEX(Matrix!$C$5:$BJ$204,0,$B20)&gt;0),--(INDEX(Matrix!$C$5:$BJ$204,0,G$3)&gt;0)))</f>
        <v/>
      </c>
      <c r="H20" s="12" t="str">
        <f aca="false">IF(OR($A20="",H$4=""),"",SUMPRODUCT(--(INDEX(Matrix!$C$5:$BJ$204,0,$B20)&gt;0),--(INDEX(Matrix!$C$5:$BJ$204,0,H$3)&gt;0)))</f>
        <v/>
      </c>
      <c r="I20" s="12" t="str">
        <f aca="false">IF(OR($A20="",I$4=""),"",SUMPRODUCT(--(INDEX(Matrix!$C$5:$BJ$204,0,$B20)&gt;0),--(INDEX(Matrix!$C$5:$BJ$204,0,I$3)&gt;0)))</f>
        <v/>
      </c>
      <c r="J20" s="12" t="str">
        <f aca="false">IF(OR($A20="",J$4=""),"",SUMPRODUCT(--(INDEX(Matrix!$C$5:$BJ$204,0,$B20)&gt;0),--(INDEX(Matrix!$C$5:$BJ$204,0,J$3)&gt;0)))</f>
        <v/>
      </c>
      <c r="K20" s="12" t="str">
        <f aca="false">IF(OR($A20="",K$4=""),"",SUMPRODUCT(--(INDEX(Matrix!$C$5:$BJ$204,0,$B20)&gt;0),--(INDEX(Matrix!$C$5:$BJ$204,0,K$3)&gt;0)))</f>
        <v/>
      </c>
      <c r="L20" s="12" t="str">
        <f aca="false">IF(OR($A20="",L$4=""),"",SUMPRODUCT(--(INDEX(Matrix!$C$5:$BJ$204,0,$B20)&gt;0),--(INDEX(Matrix!$C$5:$BJ$204,0,L$3)&gt;0)))</f>
        <v/>
      </c>
      <c r="M20" s="12" t="str">
        <f aca="false">IF(OR($A20="",M$4=""),"",SUMPRODUCT(--(INDEX(Matrix!$C$5:$BJ$204,0,$B20)&gt;0),--(INDEX(Matrix!$C$5:$BJ$204,0,M$3)&gt;0)))</f>
        <v/>
      </c>
      <c r="N20" s="12" t="str">
        <f aca="false">IF(OR($A20="",N$4=""),"",SUMPRODUCT(--(INDEX(Matrix!$C$5:$BJ$204,0,$B20)&gt;0),--(INDEX(Matrix!$C$5:$BJ$204,0,N$3)&gt;0)))</f>
        <v/>
      </c>
      <c r="O20" s="12" t="str">
        <f aca="false">IF(OR($A20="",O$4=""),"",SUMPRODUCT(--(INDEX(Matrix!$C$5:$BJ$204,0,$B20)&gt;0),--(INDEX(Matrix!$C$5:$BJ$204,0,O$3)&gt;0)))</f>
        <v/>
      </c>
      <c r="P20" s="12" t="str">
        <f aca="false">IF(OR($A20="",P$4=""),"",SUMPRODUCT(--(INDEX(Matrix!$C$5:$BJ$204,0,$B20)&gt;0),--(INDEX(Matrix!$C$5:$BJ$204,0,P$3)&gt;0)))</f>
        <v/>
      </c>
      <c r="Q20" s="12" t="str">
        <f aca="false">IF(OR($A20="",Q$4=""),"",SUMPRODUCT(--(INDEX(Matrix!$C$5:$BJ$204,0,$B20)&gt;0),--(INDEX(Matrix!$C$5:$BJ$204,0,Q$3)&gt;0)))</f>
        <v/>
      </c>
      <c r="R20" s="12" t="str">
        <f aca="false">IF(OR($A20="",R$4=""),"",SUMPRODUCT(--(INDEX(Matrix!$C$5:$BJ$204,0,$B20)&gt;0),--(INDEX(Matrix!$C$5:$BJ$204,0,R$3)&gt;0)))</f>
        <v/>
      </c>
      <c r="S20" s="12" t="str">
        <f aca="false">IF(OR($A20="",S$4=""),"",SUMPRODUCT(--(INDEX(Matrix!$C$5:$BJ$204,0,$B20)&gt;0),--(INDEX(Matrix!$C$5:$BJ$204,0,S$3)&gt;0)))</f>
        <v/>
      </c>
      <c r="T20" s="12" t="str">
        <f aca="false">IF(OR($A20="",T$4=""),"",SUMPRODUCT(--(INDEX(Matrix!$C$5:$BJ$204,0,$B20)&gt;0),--(INDEX(Matrix!$C$5:$BJ$204,0,T$3)&gt;0)))</f>
        <v/>
      </c>
      <c r="U20" s="12" t="str">
        <f aca="false">IF(OR($A20="",U$4=""),"",SUMPRODUCT(--(INDEX(Matrix!$C$5:$BJ$204,0,$B20)&gt;0),--(INDEX(Matrix!$C$5:$BJ$204,0,U$3)&gt;0)))</f>
        <v/>
      </c>
      <c r="V20" s="12" t="str">
        <f aca="false">IF(OR($A20="",V$4=""),"",SUMPRODUCT(--(INDEX(Matrix!$C$5:$BJ$204,0,$B20)&gt;0),--(INDEX(Matrix!$C$5:$BJ$204,0,V$3)&gt;0)))</f>
        <v/>
      </c>
      <c r="W20" s="12" t="str">
        <f aca="false">IF(OR($A20="",W$4=""),"",SUMPRODUCT(--(INDEX(Matrix!$C$5:$BJ$204,0,$B20)&gt;0),--(INDEX(Matrix!$C$5:$BJ$204,0,W$3)&gt;0)))</f>
        <v/>
      </c>
      <c r="X20" s="12" t="str">
        <f aca="false">IF(OR($A20="",X$4=""),"",SUMPRODUCT(--(INDEX(Matrix!$C$5:$BJ$204,0,$B20)&gt;0),--(INDEX(Matrix!$C$5:$BJ$204,0,X$3)&gt;0)))</f>
        <v/>
      </c>
      <c r="Y20" s="12" t="str">
        <f aca="false">IF(OR($A20="",Y$4=""),"",SUMPRODUCT(--(INDEX(Matrix!$C$5:$BJ$204,0,$B20)&gt;0),--(INDEX(Matrix!$C$5:$BJ$204,0,Y$3)&gt;0)))</f>
        <v/>
      </c>
      <c r="Z20" s="12" t="str">
        <f aca="false">IF(OR($A20="",Z$4=""),"",SUMPRODUCT(--(INDEX(Matrix!$C$5:$BJ$204,0,$B20)&gt;0),--(INDEX(Matrix!$C$5:$BJ$204,0,Z$3)&gt;0)))</f>
        <v/>
      </c>
      <c r="AA20" s="12" t="str">
        <f aca="false">IF(OR($A20="",AA$4=""),"",SUMPRODUCT(--(INDEX(Matrix!$C$5:$BJ$204,0,$B20)&gt;0),--(INDEX(Matrix!$C$5:$BJ$204,0,AA$3)&gt;0)))</f>
        <v/>
      </c>
      <c r="AB20" s="12" t="str">
        <f aca="false">IF(OR($A20="",AB$4=""),"",SUMPRODUCT(--(INDEX(Matrix!$C$5:$BJ$204,0,$B20)&gt;0),--(INDEX(Matrix!$C$5:$BJ$204,0,AB$3)&gt;0)))</f>
        <v/>
      </c>
      <c r="AC20" s="12" t="str">
        <f aca="false">IF(OR($A20="",AC$4=""),"",SUMPRODUCT(--(INDEX(Matrix!$C$5:$BJ$204,0,$B20)&gt;0),--(INDEX(Matrix!$C$5:$BJ$204,0,AC$3)&gt;0)))</f>
        <v/>
      </c>
      <c r="AD20" s="12" t="str">
        <f aca="false">IF(OR($A20="",AD$4=""),"",SUMPRODUCT(--(INDEX(Matrix!$C$5:$BJ$204,0,$B20)&gt;0),--(INDEX(Matrix!$C$5:$BJ$204,0,AD$3)&gt;0)))</f>
        <v/>
      </c>
      <c r="AE20" s="12" t="str">
        <f aca="false">IF(OR($A20="",AE$4=""),"",SUMPRODUCT(--(INDEX(Matrix!$C$5:$BJ$204,0,$B20)&gt;0),--(INDEX(Matrix!$C$5:$BJ$204,0,AE$3)&gt;0)))</f>
        <v/>
      </c>
      <c r="AF20" s="12" t="str">
        <f aca="false">IF(OR($A20="",AF$4=""),"",SUMPRODUCT(--(INDEX(Matrix!$C$5:$BJ$204,0,$B20)&gt;0),--(INDEX(Matrix!$C$5:$BJ$204,0,AF$3)&gt;0)))</f>
        <v/>
      </c>
      <c r="AG20" s="12" t="str">
        <f aca="false">IF(OR($A20="",AG$4=""),"",SUMPRODUCT(--(INDEX(Matrix!$C$5:$BJ$204,0,$B20)&gt;0),--(INDEX(Matrix!$C$5:$BJ$204,0,AG$3)&gt;0)))</f>
        <v/>
      </c>
      <c r="AH20" s="12" t="str">
        <f aca="false">IF(OR($A20="",AH$4=""),"",SUMPRODUCT(--(INDEX(Matrix!$C$5:$BJ$204,0,$B20)&gt;0),--(INDEX(Matrix!$C$5:$BJ$204,0,AH$3)&gt;0)))</f>
        <v/>
      </c>
      <c r="AI20" s="12" t="str">
        <f aca="false">IF(OR($A20="",AI$4=""),"",SUMPRODUCT(--(INDEX(Matrix!$C$5:$BJ$204,0,$B20)&gt;0),--(INDEX(Matrix!$C$5:$BJ$204,0,AI$3)&gt;0)))</f>
        <v/>
      </c>
      <c r="AJ20" s="12" t="str">
        <f aca="false">IF(OR($A20="",AJ$4=""),"",SUMPRODUCT(--(INDEX(Matrix!$C$5:$BJ$204,0,$B20)&gt;0),--(INDEX(Matrix!$C$5:$BJ$204,0,AJ$3)&gt;0)))</f>
        <v/>
      </c>
      <c r="AK20" s="12" t="str">
        <f aca="false">IF(OR($A20="",AK$4=""),"",SUMPRODUCT(--(INDEX(Matrix!$C$5:$BJ$204,0,$B20)&gt;0),--(INDEX(Matrix!$C$5:$BJ$204,0,AK$3)&gt;0)))</f>
        <v/>
      </c>
      <c r="AL20" s="12" t="str">
        <f aca="false">IF(OR($A20="",AL$4=""),"",SUMPRODUCT(--(INDEX(Matrix!$C$5:$BJ$204,0,$B20)&gt;0),--(INDEX(Matrix!$C$5:$BJ$204,0,AL$3)&gt;0)))</f>
        <v/>
      </c>
      <c r="AM20" s="12" t="str">
        <f aca="false">IF(OR($A20="",AM$4=""),"",SUMPRODUCT(--(INDEX(Matrix!$C$5:$BJ$204,0,$B20)&gt;0),--(INDEX(Matrix!$C$5:$BJ$204,0,AM$3)&gt;0)))</f>
        <v/>
      </c>
      <c r="AN20" s="12" t="str">
        <f aca="false">IF(OR($A20="",AN$4=""),"",SUMPRODUCT(--(INDEX(Matrix!$C$5:$BJ$204,0,$B20)&gt;0),--(INDEX(Matrix!$C$5:$BJ$204,0,AN$3)&gt;0)))</f>
        <v/>
      </c>
      <c r="AO20" s="12" t="str">
        <f aca="false">IF(OR($A20="",AO$4=""),"",SUMPRODUCT(--(INDEX(Matrix!$C$5:$BJ$204,0,$B20)&gt;0),--(INDEX(Matrix!$C$5:$BJ$204,0,AO$3)&gt;0)))</f>
        <v/>
      </c>
      <c r="AP20" s="12" t="str">
        <f aca="false">IF(OR($A20="",AP$4=""),"",SUMPRODUCT(--(INDEX(Matrix!$C$5:$BJ$204,0,$B20)&gt;0),--(INDEX(Matrix!$C$5:$BJ$204,0,AP$3)&gt;0)))</f>
        <v/>
      </c>
      <c r="AQ20" s="12" t="str">
        <f aca="false">IF(OR($A20="",AQ$4=""),"",SUMPRODUCT(--(INDEX(Matrix!$C$5:$BJ$204,0,$B20)&gt;0),--(INDEX(Matrix!$C$5:$BJ$204,0,AQ$3)&gt;0)))</f>
        <v/>
      </c>
      <c r="AR20" s="12" t="str">
        <f aca="false">IF(OR($A20="",AR$4=""),"",SUMPRODUCT(--(INDEX(Matrix!$C$5:$BJ$204,0,$B20)&gt;0),--(INDEX(Matrix!$C$5:$BJ$204,0,AR$3)&gt;0)))</f>
        <v/>
      </c>
      <c r="AS20" s="12" t="str">
        <f aca="false">IF(OR($A20="",AS$4=""),"",SUMPRODUCT(--(INDEX(Matrix!$C$5:$BJ$204,0,$B20)&gt;0),--(INDEX(Matrix!$C$5:$BJ$204,0,AS$3)&gt;0)))</f>
        <v/>
      </c>
      <c r="AT20" s="12" t="str">
        <f aca="false">IF(OR($A20="",AT$4=""),"",SUMPRODUCT(--(INDEX(Matrix!$C$5:$BJ$204,0,$B20)&gt;0),--(INDEX(Matrix!$C$5:$BJ$204,0,AT$3)&gt;0)))</f>
        <v/>
      </c>
      <c r="AU20" s="12" t="str">
        <f aca="false">IF(OR($A20="",AU$4=""),"",SUMPRODUCT(--(INDEX(Matrix!$C$5:$BJ$204,0,$B20)&gt;0),--(INDEX(Matrix!$C$5:$BJ$204,0,AU$3)&gt;0)))</f>
        <v/>
      </c>
      <c r="AV20" s="12" t="str">
        <f aca="false">IF(OR($A20="",AV$4=""),"",SUMPRODUCT(--(INDEX(Matrix!$C$5:$BJ$204,0,$B20)&gt;0),--(INDEX(Matrix!$C$5:$BJ$204,0,AV$3)&gt;0)))</f>
        <v/>
      </c>
      <c r="AW20" s="12" t="str">
        <f aca="false">IF(OR($A20="",AW$4=""),"",SUMPRODUCT(--(INDEX(Matrix!$C$5:$BJ$204,0,$B20)&gt;0),--(INDEX(Matrix!$C$5:$BJ$204,0,AW$3)&gt;0)))</f>
        <v/>
      </c>
      <c r="AX20" s="12" t="str">
        <f aca="false">IF(OR($A20="",AX$4=""),"",SUMPRODUCT(--(INDEX(Matrix!$C$5:$BJ$204,0,$B20)&gt;0),--(INDEX(Matrix!$C$5:$BJ$204,0,AX$3)&gt;0)))</f>
        <v/>
      </c>
      <c r="AY20" s="12" t="str">
        <f aca="false">IF(OR($A20="",AY$4=""),"",SUMPRODUCT(--(INDEX(Matrix!$C$5:$BJ$204,0,$B20)&gt;0),--(INDEX(Matrix!$C$5:$BJ$204,0,AY$3)&gt;0)))</f>
        <v/>
      </c>
      <c r="AZ20" s="12" t="str">
        <f aca="false">IF(OR($A20="",AZ$4=""),"",SUMPRODUCT(--(INDEX(Matrix!$C$5:$BJ$204,0,$B20)&gt;0),--(INDEX(Matrix!$C$5:$BJ$204,0,AZ$3)&gt;0)))</f>
        <v/>
      </c>
      <c r="BA20" s="12" t="str">
        <f aca="false">IF(OR($A20="",BA$4=""),"",SUMPRODUCT(--(INDEX(Matrix!$C$5:$BJ$204,0,$B20)&gt;0),--(INDEX(Matrix!$C$5:$BJ$204,0,BA$3)&gt;0)))</f>
        <v/>
      </c>
      <c r="BB20" s="12" t="str">
        <f aca="false">IF(OR($A20="",BB$4=""),"",SUMPRODUCT(--(INDEX(Matrix!$C$5:$BJ$204,0,$B20)&gt;0),--(INDEX(Matrix!$C$5:$BJ$204,0,BB$3)&gt;0)))</f>
        <v/>
      </c>
      <c r="BC20" s="12" t="str">
        <f aca="false">IF(OR($A20="",BC$4=""),"",SUMPRODUCT(--(INDEX(Matrix!$C$5:$BJ$204,0,$B20)&gt;0),--(INDEX(Matrix!$C$5:$BJ$204,0,BC$3)&gt;0)))</f>
        <v/>
      </c>
      <c r="BD20" s="12" t="str">
        <f aca="false">IF(OR($A20="",BD$4=""),"",SUMPRODUCT(--(INDEX(Matrix!$C$5:$BJ$204,0,$B20)&gt;0),--(INDEX(Matrix!$C$5:$BJ$204,0,BD$3)&gt;0)))</f>
        <v/>
      </c>
      <c r="BE20" s="12" t="str">
        <f aca="false">IF(OR($A20="",BE$4=""),"",SUMPRODUCT(--(INDEX(Matrix!$C$5:$BJ$204,0,$B20)&gt;0),--(INDEX(Matrix!$C$5:$BJ$204,0,BE$3)&gt;0)))</f>
        <v/>
      </c>
      <c r="BF20" s="12" t="str">
        <f aca="false">IF(OR($A20="",BF$4=""),"",SUMPRODUCT(--(INDEX(Matrix!$C$5:$BJ$204,0,$B20)&gt;0),--(INDEX(Matrix!$C$5:$BJ$204,0,BF$3)&gt;0)))</f>
        <v/>
      </c>
      <c r="BG20" s="12" t="str">
        <f aca="false">IF(OR($A20="",BG$4=""),"",SUMPRODUCT(--(INDEX(Matrix!$C$5:$BJ$204,0,$B20)&gt;0),--(INDEX(Matrix!$C$5:$BJ$204,0,BG$3)&gt;0)))</f>
        <v/>
      </c>
      <c r="BH20" s="12" t="str">
        <f aca="false">IF(OR($A20="",BH$4=""),"",SUMPRODUCT(--(INDEX(Matrix!$C$5:$BJ$204,0,$B20)&gt;0),--(INDEX(Matrix!$C$5:$BJ$204,0,BH$3)&gt;0)))</f>
        <v/>
      </c>
      <c r="BI20" s="12" t="str">
        <f aca="false">IF(OR($A20="",BI$4=""),"",SUMPRODUCT(--(INDEX(Matrix!$C$5:$BJ$204,0,$B20)&gt;0),--(INDEX(Matrix!$C$5:$BJ$204,0,BI$3)&gt;0)))</f>
        <v/>
      </c>
      <c r="BJ20" s="12" t="str">
        <f aca="false">IF(OR($A20="",BJ$4=""),"",SUMPRODUCT(--(INDEX(Matrix!$C$5:$BJ$204,0,$B20)&gt;0),--(INDEX(Matrix!$C$5:$BJ$204,0,BJ$3)&gt;0)))</f>
        <v/>
      </c>
    </row>
    <row r="21" customFormat="false" ht="15" hidden="false" customHeight="false" outlineLevel="0" collapsed="false">
      <c r="A21" s="6" t="str">
        <f aca="false">IF(INDEX(Products!$A$2:$A$61,$B21)="","",INDEX(Products!$A$2:$A$61,$B21))</f>
        <v/>
      </c>
      <c r="B21" s="23" t="n">
        <v>17</v>
      </c>
      <c r="C21" s="12" t="str">
        <f aca="false">IF(OR($A21="",C$4=""),"",SUMPRODUCT(--(INDEX(Matrix!$C$5:$BJ$204,0,$B21)&gt;0),--(INDEX(Matrix!$C$5:$BJ$204,0,C$3)&gt;0)))</f>
        <v/>
      </c>
      <c r="D21" s="12" t="str">
        <f aca="false">IF(OR($A21="",D$4=""),"",SUMPRODUCT(--(INDEX(Matrix!$C$5:$BJ$204,0,$B21)&gt;0),--(INDEX(Matrix!$C$5:$BJ$204,0,D$3)&gt;0)))</f>
        <v/>
      </c>
      <c r="E21" s="12" t="str">
        <f aca="false">IF(OR($A21="",E$4=""),"",SUMPRODUCT(--(INDEX(Matrix!$C$5:$BJ$204,0,$B21)&gt;0),--(INDEX(Matrix!$C$5:$BJ$204,0,E$3)&gt;0)))</f>
        <v/>
      </c>
      <c r="F21" s="12" t="str">
        <f aca="false">IF(OR($A21="",F$4=""),"",SUMPRODUCT(--(INDEX(Matrix!$C$5:$BJ$204,0,$B21)&gt;0),--(INDEX(Matrix!$C$5:$BJ$204,0,F$3)&gt;0)))</f>
        <v/>
      </c>
      <c r="G21" s="12" t="str">
        <f aca="false">IF(OR($A21="",G$4=""),"",SUMPRODUCT(--(INDEX(Matrix!$C$5:$BJ$204,0,$B21)&gt;0),--(INDEX(Matrix!$C$5:$BJ$204,0,G$3)&gt;0)))</f>
        <v/>
      </c>
      <c r="H21" s="12" t="str">
        <f aca="false">IF(OR($A21="",H$4=""),"",SUMPRODUCT(--(INDEX(Matrix!$C$5:$BJ$204,0,$B21)&gt;0),--(INDEX(Matrix!$C$5:$BJ$204,0,H$3)&gt;0)))</f>
        <v/>
      </c>
      <c r="I21" s="12" t="str">
        <f aca="false">IF(OR($A21="",I$4=""),"",SUMPRODUCT(--(INDEX(Matrix!$C$5:$BJ$204,0,$B21)&gt;0),--(INDEX(Matrix!$C$5:$BJ$204,0,I$3)&gt;0)))</f>
        <v/>
      </c>
      <c r="J21" s="12" t="str">
        <f aca="false">IF(OR($A21="",J$4=""),"",SUMPRODUCT(--(INDEX(Matrix!$C$5:$BJ$204,0,$B21)&gt;0),--(INDEX(Matrix!$C$5:$BJ$204,0,J$3)&gt;0)))</f>
        <v/>
      </c>
      <c r="K21" s="12" t="str">
        <f aca="false">IF(OR($A21="",K$4=""),"",SUMPRODUCT(--(INDEX(Matrix!$C$5:$BJ$204,0,$B21)&gt;0),--(INDEX(Matrix!$C$5:$BJ$204,0,K$3)&gt;0)))</f>
        <v/>
      </c>
      <c r="L21" s="12" t="str">
        <f aca="false">IF(OR($A21="",L$4=""),"",SUMPRODUCT(--(INDEX(Matrix!$C$5:$BJ$204,0,$B21)&gt;0),--(INDEX(Matrix!$C$5:$BJ$204,0,L$3)&gt;0)))</f>
        <v/>
      </c>
      <c r="M21" s="12" t="str">
        <f aca="false">IF(OR($A21="",M$4=""),"",SUMPRODUCT(--(INDEX(Matrix!$C$5:$BJ$204,0,$B21)&gt;0),--(INDEX(Matrix!$C$5:$BJ$204,0,M$3)&gt;0)))</f>
        <v/>
      </c>
      <c r="N21" s="12" t="str">
        <f aca="false">IF(OR($A21="",N$4=""),"",SUMPRODUCT(--(INDEX(Matrix!$C$5:$BJ$204,0,$B21)&gt;0),--(INDEX(Matrix!$C$5:$BJ$204,0,N$3)&gt;0)))</f>
        <v/>
      </c>
      <c r="O21" s="12" t="str">
        <f aca="false">IF(OR($A21="",O$4=""),"",SUMPRODUCT(--(INDEX(Matrix!$C$5:$BJ$204,0,$B21)&gt;0),--(INDEX(Matrix!$C$5:$BJ$204,0,O$3)&gt;0)))</f>
        <v/>
      </c>
      <c r="P21" s="12" t="str">
        <f aca="false">IF(OR($A21="",P$4=""),"",SUMPRODUCT(--(INDEX(Matrix!$C$5:$BJ$204,0,$B21)&gt;0),--(INDEX(Matrix!$C$5:$BJ$204,0,P$3)&gt;0)))</f>
        <v/>
      </c>
      <c r="Q21" s="12" t="str">
        <f aca="false">IF(OR($A21="",Q$4=""),"",SUMPRODUCT(--(INDEX(Matrix!$C$5:$BJ$204,0,$B21)&gt;0),--(INDEX(Matrix!$C$5:$BJ$204,0,Q$3)&gt;0)))</f>
        <v/>
      </c>
      <c r="R21" s="12" t="str">
        <f aca="false">IF(OR($A21="",R$4=""),"",SUMPRODUCT(--(INDEX(Matrix!$C$5:$BJ$204,0,$B21)&gt;0),--(INDEX(Matrix!$C$5:$BJ$204,0,R$3)&gt;0)))</f>
        <v/>
      </c>
      <c r="S21" s="12" t="str">
        <f aca="false">IF(OR($A21="",S$4=""),"",SUMPRODUCT(--(INDEX(Matrix!$C$5:$BJ$204,0,$B21)&gt;0),--(INDEX(Matrix!$C$5:$BJ$204,0,S$3)&gt;0)))</f>
        <v/>
      </c>
      <c r="T21" s="12" t="str">
        <f aca="false">IF(OR($A21="",T$4=""),"",SUMPRODUCT(--(INDEX(Matrix!$C$5:$BJ$204,0,$B21)&gt;0),--(INDEX(Matrix!$C$5:$BJ$204,0,T$3)&gt;0)))</f>
        <v/>
      </c>
      <c r="U21" s="12" t="str">
        <f aca="false">IF(OR($A21="",U$4=""),"",SUMPRODUCT(--(INDEX(Matrix!$C$5:$BJ$204,0,$B21)&gt;0),--(INDEX(Matrix!$C$5:$BJ$204,0,U$3)&gt;0)))</f>
        <v/>
      </c>
      <c r="V21" s="12" t="str">
        <f aca="false">IF(OR($A21="",V$4=""),"",SUMPRODUCT(--(INDEX(Matrix!$C$5:$BJ$204,0,$B21)&gt;0),--(INDEX(Matrix!$C$5:$BJ$204,0,V$3)&gt;0)))</f>
        <v/>
      </c>
      <c r="W21" s="12" t="str">
        <f aca="false">IF(OR($A21="",W$4=""),"",SUMPRODUCT(--(INDEX(Matrix!$C$5:$BJ$204,0,$B21)&gt;0),--(INDEX(Matrix!$C$5:$BJ$204,0,W$3)&gt;0)))</f>
        <v/>
      </c>
      <c r="X21" s="12" t="str">
        <f aca="false">IF(OR($A21="",X$4=""),"",SUMPRODUCT(--(INDEX(Matrix!$C$5:$BJ$204,0,$B21)&gt;0),--(INDEX(Matrix!$C$5:$BJ$204,0,X$3)&gt;0)))</f>
        <v/>
      </c>
      <c r="Y21" s="12" t="str">
        <f aca="false">IF(OR($A21="",Y$4=""),"",SUMPRODUCT(--(INDEX(Matrix!$C$5:$BJ$204,0,$B21)&gt;0),--(INDEX(Matrix!$C$5:$BJ$204,0,Y$3)&gt;0)))</f>
        <v/>
      </c>
      <c r="Z21" s="12" t="str">
        <f aca="false">IF(OR($A21="",Z$4=""),"",SUMPRODUCT(--(INDEX(Matrix!$C$5:$BJ$204,0,$B21)&gt;0),--(INDEX(Matrix!$C$5:$BJ$204,0,Z$3)&gt;0)))</f>
        <v/>
      </c>
      <c r="AA21" s="12" t="str">
        <f aca="false">IF(OR($A21="",AA$4=""),"",SUMPRODUCT(--(INDEX(Matrix!$C$5:$BJ$204,0,$B21)&gt;0),--(INDEX(Matrix!$C$5:$BJ$204,0,AA$3)&gt;0)))</f>
        <v/>
      </c>
      <c r="AB21" s="12" t="str">
        <f aca="false">IF(OR($A21="",AB$4=""),"",SUMPRODUCT(--(INDEX(Matrix!$C$5:$BJ$204,0,$B21)&gt;0),--(INDEX(Matrix!$C$5:$BJ$204,0,AB$3)&gt;0)))</f>
        <v/>
      </c>
      <c r="AC21" s="12" t="str">
        <f aca="false">IF(OR($A21="",AC$4=""),"",SUMPRODUCT(--(INDEX(Matrix!$C$5:$BJ$204,0,$B21)&gt;0),--(INDEX(Matrix!$C$5:$BJ$204,0,AC$3)&gt;0)))</f>
        <v/>
      </c>
      <c r="AD21" s="12" t="str">
        <f aca="false">IF(OR($A21="",AD$4=""),"",SUMPRODUCT(--(INDEX(Matrix!$C$5:$BJ$204,0,$B21)&gt;0),--(INDEX(Matrix!$C$5:$BJ$204,0,AD$3)&gt;0)))</f>
        <v/>
      </c>
      <c r="AE21" s="12" t="str">
        <f aca="false">IF(OR($A21="",AE$4=""),"",SUMPRODUCT(--(INDEX(Matrix!$C$5:$BJ$204,0,$B21)&gt;0),--(INDEX(Matrix!$C$5:$BJ$204,0,AE$3)&gt;0)))</f>
        <v/>
      </c>
      <c r="AF21" s="12" t="str">
        <f aca="false">IF(OR($A21="",AF$4=""),"",SUMPRODUCT(--(INDEX(Matrix!$C$5:$BJ$204,0,$B21)&gt;0),--(INDEX(Matrix!$C$5:$BJ$204,0,AF$3)&gt;0)))</f>
        <v/>
      </c>
      <c r="AG21" s="12" t="str">
        <f aca="false">IF(OR($A21="",AG$4=""),"",SUMPRODUCT(--(INDEX(Matrix!$C$5:$BJ$204,0,$B21)&gt;0),--(INDEX(Matrix!$C$5:$BJ$204,0,AG$3)&gt;0)))</f>
        <v/>
      </c>
      <c r="AH21" s="12" t="str">
        <f aca="false">IF(OR($A21="",AH$4=""),"",SUMPRODUCT(--(INDEX(Matrix!$C$5:$BJ$204,0,$B21)&gt;0),--(INDEX(Matrix!$C$5:$BJ$204,0,AH$3)&gt;0)))</f>
        <v/>
      </c>
      <c r="AI21" s="12" t="str">
        <f aca="false">IF(OR($A21="",AI$4=""),"",SUMPRODUCT(--(INDEX(Matrix!$C$5:$BJ$204,0,$B21)&gt;0),--(INDEX(Matrix!$C$5:$BJ$204,0,AI$3)&gt;0)))</f>
        <v/>
      </c>
      <c r="AJ21" s="12" t="str">
        <f aca="false">IF(OR($A21="",AJ$4=""),"",SUMPRODUCT(--(INDEX(Matrix!$C$5:$BJ$204,0,$B21)&gt;0),--(INDEX(Matrix!$C$5:$BJ$204,0,AJ$3)&gt;0)))</f>
        <v/>
      </c>
      <c r="AK21" s="12" t="str">
        <f aca="false">IF(OR($A21="",AK$4=""),"",SUMPRODUCT(--(INDEX(Matrix!$C$5:$BJ$204,0,$B21)&gt;0),--(INDEX(Matrix!$C$5:$BJ$204,0,AK$3)&gt;0)))</f>
        <v/>
      </c>
      <c r="AL21" s="12" t="str">
        <f aca="false">IF(OR($A21="",AL$4=""),"",SUMPRODUCT(--(INDEX(Matrix!$C$5:$BJ$204,0,$B21)&gt;0),--(INDEX(Matrix!$C$5:$BJ$204,0,AL$3)&gt;0)))</f>
        <v/>
      </c>
      <c r="AM21" s="12" t="str">
        <f aca="false">IF(OR($A21="",AM$4=""),"",SUMPRODUCT(--(INDEX(Matrix!$C$5:$BJ$204,0,$B21)&gt;0),--(INDEX(Matrix!$C$5:$BJ$204,0,AM$3)&gt;0)))</f>
        <v/>
      </c>
      <c r="AN21" s="12" t="str">
        <f aca="false">IF(OR($A21="",AN$4=""),"",SUMPRODUCT(--(INDEX(Matrix!$C$5:$BJ$204,0,$B21)&gt;0),--(INDEX(Matrix!$C$5:$BJ$204,0,AN$3)&gt;0)))</f>
        <v/>
      </c>
      <c r="AO21" s="12" t="str">
        <f aca="false">IF(OR($A21="",AO$4=""),"",SUMPRODUCT(--(INDEX(Matrix!$C$5:$BJ$204,0,$B21)&gt;0),--(INDEX(Matrix!$C$5:$BJ$204,0,AO$3)&gt;0)))</f>
        <v/>
      </c>
      <c r="AP21" s="12" t="str">
        <f aca="false">IF(OR($A21="",AP$4=""),"",SUMPRODUCT(--(INDEX(Matrix!$C$5:$BJ$204,0,$B21)&gt;0),--(INDEX(Matrix!$C$5:$BJ$204,0,AP$3)&gt;0)))</f>
        <v/>
      </c>
      <c r="AQ21" s="12" t="str">
        <f aca="false">IF(OR($A21="",AQ$4=""),"",SUMPRODUCT(--(INDEX(Matrix!$C$5:$BJ$204,0,$B21)&gt;0),--(INDEX(Matrix!$C$5:$BJ$204,0,AQ$3)&gt;0)))</f>
        <v/>
      </c>
      <c r="AR21" s="12" t="str">
        <f aca="false">IF(OR($A21="",AR$4=""),"",SUMPRODUCT(--(INDEX(Matrix!$C$5:$BJ$204,0,$B21)&gt;0),--(INDEX(Matrix!$C$5:$BJ$204,0,AR$3)&gt;0)))</f>
        <v/>
      </c>
      <c r="AS21" s="12" t="str">
        <f aca="false">IF(OR($A21="",AS$4=""),"",SUMPRODUCT(--(INDEX(Matrix!$C$5:$BJ$204,0,$B21)&gt;0),--(INDEX(Matrix!$C$5:$BJ$204,0,AS$3)&gt;0)))</f>
        <v/>
      </c>
      <c r="AT21" s="12" t="str">
        <f aca="false">IF(OR($A21="",AT$4=""),"",SUMPRODUCT(--(INDEX(Matrix!$C$5:$BJ$204,0,$B21)&gt;0),--(INDEX(Matrix!$C$5:$BJ$204,0,AT$3)&gt;0)))</f>
        <v/>
      </c>
      <c r="AU21" s="12" t="str">
        <f aca="false">IF(OR($A21="",AU$4=""),"",SUMPRODUCT(--(INDEX(Matrix!$C$5:$BJ$204,0,$B21)&gt;0),--(INDEX(Matrix!$C$5:$BJ$204,0,AU$3)&gt;0)))</f>
        <v/>
      </c>
      <c r="AV21" s="12" t="str">
        <f aca="false">IF(OR($A21="",AV$4=""),"",SUMPRODUCT(--(INDEX(Matrix!$C$5:$BJ$204,0,$B21)&gt;0),--(INDEX(Matrix!$C$5:$BJ$204,0,AV$3)&gt;0)))</f>
        <v/>
      </c>
      <c r="AW21" s="12" t="str">
        <f aca="false">IF(OR($A21="",AW$4=""),"",SUMPRODUCT(--(INDEX(Matrix!$C$5:$BJ$204,0,$B21)&gt;0),--(INDEX(Matrix!$C$5:$BJ$204,0,AW$3)&gt;0)))</f>
        <v/>
      </c>
      <c r="AX21" s="12" t="str">
        <f aca="false">IF(OR($A21="",AX$4=""),"",SUMPRODUCT(--(INDEX(Matrix!$C$5:$BJ$204,0,$B21)&gt;0),--(INDEX(Matrix!$C$5:$BJ$204,0,AX$3)&gt;0)))</f>
        <v/>
      </c>
      <c r="AY21" s="12" t="str">
        <f aca="false">IF(OR($A21="",AY$4=""),"",SUMPRODUCT(--(INDEX(Matrix!$C$5:$BJ$204,0,$B21)&gt;0),--(INDEX(Matrix!$C$5:$BJ$204,0,AY$3)&gt;0)))</f>
        <v/>
      </c>
      <c r="AZ21" s="12" t="str">
        <f aca="false">IF(OR($A21="",AZ$4=""),"",SUMPRODUCT(--(INDEX(Matrix!$C$5:$BJ$204,0,$B21)&gt;0),--(INDEX(Matrix!$C$5:$BJ$204,0,AZ$3)&gt;0)))</f>
        <v/>
      </c>
      <c r="BA21" s="12" t="str">
        <f aca="false">IF(OR($A21="",BA$4=""),"",SUMPRODUCT(--(INDEX(Matrix!$C$5:$BJ$204,0,$B21)&gt;0),--(INDEX(Matrix!$C$5:$BJ$204,0,BA$3)&gt;0)))</f>
        <v/>
      </c>
      <c r="BB21" s="12" t="str">
        <f aca="false">IF(OR($A21="",BB$4=""),"",SUMPRODUCT(--(INDEX(Matrix!$C$5:$BJ$204,0,$B21)&gt;0),--(INDEX(Matrix!$C$5:$BJ$204,0,BB$3)&gt;0)))</f>
        <v/>
      </c>
      <c r="BC21" s="12" t="str">
        <f aca="false">IF(OR($A21="",BC$4=""),"",SUMPRODUCT(--(INDEX(Matrix!$C$5:$BJ$204,0,$B21)&gt;0),--(INDEX(Matrix!$C$5:$BJ$204,0,BC$3)&gt;0)))</f>
        <v/>
      </c>
      <c r="BD21" s="12" t="str">
        <f aca="false">IF(OR($A21="",BD$4=""),"",SUMPRODUCT(--(INDEX(Matrix!$C$5:$BJ$204,0,$B21)&gt;0),--(INDEX(Matrix!$C$5:$BJ$204,0,BD$3)&gt;0)))</f>
        <v/>
      </c>
      <c r="BE21" s="12" t="str">
        <f aca="false">IF(OR($A21="",BE$4=""),"",SUMPRODUCT(--(INDEX(Matrix!$C$5:$BJ$204,0,$B21)&gt;0),--(INDEX(Matrix!$C$5:$BJ$204,0,BE$3)&gt;0)))</f>
        <v/>
      </c>
      <c r="BF21" s="12" t="str">
        <f aca="false">IF(OR($A21="",BF$4=""),"",SUMPRODUCT(--(INDEX(Matrix!$C$5:$BJ$204,0,$B21)&gt;0),--(INDEX(Matrix!$C$5:$BJ$204,0,BF$3)&gt;0)))</f>
        <v/>
      </c>
      <c r="BG21" s="12" t="str">
        <f aca="false">IF(OR($A21="",BG$4=""),"",SUMPRODUCT(--(INDEX(Matrix!$C$5:$BJ$204,0,$B21)&gt;0),--(INDEX(Matrix!$C$5:$BJ$204,0,BG$3)&gt;0)))</f>
        <v/>
      </c>
      <c r="BH21" s="12" t="str">
        <f aca="false">IF(OR($A21="",BH$4=""),"",SUMPRODUCT(--(INDEX(Matrix!$C$5:$BJ$204,0,$B21)&gt;0),--(INDEX(Matrix!$C$5:$BJ$204,0,BH$3)&gt;0)))</f>
        <v/>
      </c>
      <c r="BI21" s="12" t="str">
        <f aca="false">IF(OR($A21="",BI$4=""),"",SUMPRODUCT(--(INDEX(Matrix!$C$5:$BJ$204,0,$B21)&gt;0),--(INDEX(Matrix!$C$5:$BJ$204,0,BI$3)&gt;0)))</f>
        <v/>
      </c>
      <c r="BJ21" s="12" t="str">
        <f aca="false">IF(OR($A21="",BJ$4=""),"",SUMPRODUCT(--(INDEX(Matrix!$C$5:$BJ$204,0,$B21)&gt;0),--(INDEX(Matrix!$C$5:$BJ$204,0,BJ$3)&gt;0)))</f>
        <v/>
      </c>
    </row>
    <row r="22" customFormat="false" ht="15" hidden="false" customHeight="false" outlineLevel="0" collapsed="false">
      <c r="A22" s="6" t="str">
        <f aca="false">IF(INDEX(Products!$A$2:$A$61,$B22)="","",INDEX(Products!$A$2:$A$61,$B22))</f>
        <v/>
      </c>
      <c r="B22" s="23" t="n">
        <v>18</v>
      </c>
      <c r="C22" s="12" t="str">
        <f aca="false">IF(OR($A22="",C$4=""),"",SUMPRODUCT(--(INDEX(Matrix!$C$5:$BJ$204,0,$B22)&gt;0),--(INDEX(Matrix!$C$5:$BJ$204,0,C$3)&gt;0)))</f>
        <v/>
      </c>
      <c r="D22" s="12" t="str">
        <f aca="false">IF(OR($A22="",D$4=""),"",SUMPRODUCT(--(INDEX(Matrix!$C$5:$BJ$204,0,$B22)&gt;0),--(INDEX(Matrix!$C$5:$BJ$204,0,D$3)&gt;0)))</f>
        <v/>
      </c>
      <c r="E22" s="12" t="str">
        <f aca="false">IF(OR($A22="",E$4=""),"",SUMPRODUCT(--(INDEX(Matrix!$C$5:$BJ$204,0,$B22)&gt;0),--(INDEX(Matrix!$C$5:$BJ$204,0,E$3)&gt;0)))</f>
        <v/>
      </c>
      <c r="F22" s="12" t="str">
        <f aca="false">IF(OR($A22="",F$4=""),"",SUMPRODUCT(--(INDEX(Matrix!$C$5:$BJ$204,0,$B22)&gt;0),--(INDEX(Matrix!$C$5:$BJ$204,0,F$3)&gt;0)))</f>
        <v/>
      </c>
      <c r="G22" s="12" t="str">
        <f aca="false">IF(OR($A22="",G$4=""),"",SUMPRODUCT(--(INDEX(Matrix!$C$5:$BJ$204,0,$B22)&gt;0),--(INDEX(Matrix!$C$5:$BJ$204,0,G$3)&gt;0)))</f>
        <v/>
      </c>
      <c r="H22" s="12" t="str">
        <f aca="false">IF(OR($A22="",H$4=""),"",SUMPRODUCT(--(INDEX(Matrix!$C$5:$BJ$204,0,$B22)&gt;0),--(INDEX(Matrix!$C$5:$BJ$204,0,H$3)&gt;0)))</f>
        <v/>
      </c>
      <c r="I22" s="12" t="str">
        <f aca="false">IF(OR($A22="",I$4=""),"",SUMPRODUCT(--(INDEX(Matrix!$C$5:$BJ$204,0,$B22)&gt;0),--(INDEX(Matrix!$C$5:$BJ$204,0,I$3)&gt;0)))</f>
        <v/>
      </c>
      <c r="J22" s="12" t="str">
        <f aca="false">IF(OR($A22="",J$4=""),"",SUMPRODUCT(--(INDEX(Matrix!$C$5:$BJ$204,0,$B22)&gt;0),--(INDEX(Matrix!$C$5:$BJ$204,0,J$3)&gt;0)))</f>
        <v/>
      </c>
      <c r="K22" s="12" t="str">
        <f aca="false">IF(OR($A22="",K$4=""),"",SUMPRODUCT(--(INDEX(Matrix!$C$5:$BJ$204,0,$B22)&gt;0),--(INDEX(Matrix!$C$5:$BJ$204,0,K$3)&gt;0)))</f>
        <v/>
      </c>
      <c r="L22" s="12" t="str">
        <f aca="false">IF(OR($A22="",L$4=""),"",SUMPRODUCT(--(INDEX(Matrix!$C$5:$BJ$204,0,$B22)&gt;0),--(INDEX(Matrix!$C$5:$BJ$204,0,L$3)&gt;0)))</f>
        <v/>
      </c>
      <c r="M22" s="12" t="str">
        <f aca="false">IF(OR($A22="",M$4=""),"",SUMPRODUCT(--(INDEX(Matrix!$C$5:$BJ$204,0,$B22)&gt;0),--(INDEX(Matrix!$C$5:$BJ$204,0,M$3)&gt;0)))</f>
        <v/>
      </c>
      <c r="N22" s="12" t="str">
        <f aca="false">IF(OR($A22="",N$4=""),"",SUMPRODUCT(--(INDEX(Matrix!$C$5:$BJ$204,0,$B22)&gt;0),--(INDEX(Matrix!$C$5:$BJ$204,0,N$3)&gt;0)))</f>
        <v/>
      </c>
      <c r="O22" s="12" t="str">
        <f aca="false">IF(OR($A22="",O$4=""),"",SUMPRODUCT(--(INDEX(Matrix!$C$5:$BJ$204,0,$B22)&gt;0),--(INDEX(Matrix!$C$5:$BJ$204,0,O$3)&gt;0)))</f>
        <v/>
      </c>
      <c r="P22" s="12" t="str">
        <f aca="false">IF(OR($A22="",P$4=""),"",SUMPRODUCT(--(INDEX(Matrix!$C$5:$BJ$204,0,$B22)&gt;0),--(INDEX(Matrix!$C$5:$BJ$204,0,P$3)&gt;0)))</f>
        <v/>
      </c>
      <c r="Q22" s="12" t="str">
        <f aca="false">IF(OR($A22="",Q$4=""),"",SUMPRODUCT(--(INDEX(Matrix!$C$5:$BJ$204,0,$B22)&gt;0),--(INDEX(Matrix!$C$5:$BJ$204,0,Q$3)&gt;0)))</f>
        <v/>
      </c>
      <c r="R22" s="12" t="str">
        <f aca="false">IF(OR($A22="",R$4=""),"",SUMPRODUCT(--(INDEX(Matrix!$C$5:$BJ$204,0,$B22)&gt;0),--(INDEX(Matrix!$C$5:$BJ$204,0,R$3)&gt;0)))</f>
        <v/>
      </c>
      <c r="S22" s="12" t="str">
        <f aca="false">IF(OR($A22="",S$4=""),"",SUMPRODUCT(--(INDEX(Matrix!$C$5:$BJ$204,0,$B22)&gt;0),--(INDEX(Matrix!$C$5:$BJ$204,0,S$3)&gt;0)))</f>
        <v/>
      </c>
      <c r="T22" s="12" t="str">
        <f aca="false">IF(OR($A22="",T$4=""),"",SUMPRODUCT(--(INDEX(Matrix!$C$5:$BJ$204,0,$B22)&gt;0),--(INDEX(Matrix!$C$5:$BJ$204,0,T$3)&gt;0)))</f>
        <v/>
      </c>
      <c r="U22" s="12" t="str">
        <f aca="false">IF(OR($A22="",U$4=""),"",SUMPRODUCT(--(INDEX(Matrix!$C$5:$BJ$204,0,$B22)&gt;0),--(INDEX(Matrix!$C$5:$BJ$204,0,U$3)&gt;0)))</f>
        <v/>
      </c>
      <c r="V22" s="12" t="str">
        <f aca="false">IF(OR($A22="",V$4=""),"",SUMPRODUCT(--(INDEX(Matrix!$C$5:$BJ$204,0,$B22)&gt;0),--(INDEX(Matrix!$C$5:$BJ$204,0,V$3)&gt;0)))</f>
        <v/>
      </c>
      <c r="W22" s="12" t="str">
        <f aca="false">IF(OR($A22="",W$4=""),"",SUMPRODUCT(--(INDEX(Matrix!$C$5:$BJ$204,0,$B22)&gt;0),--(INDEX(Matrix!$C$5:$BJ$204,0,W$3)&gt;0)))</f>
        <v/>
      </c>
      <c r="X22" s="12" t="str">
        <f aca="false">IF(OR($A22="",X$4=""),"",SUMPRODUCT(--(INDEX(Matrix!$C$5:$BJ$204,0,$B22)&gt;0),--(INDEX(Matrix!$C$5:$BJ$204,0,X$3)&gt;0)))</f>
        <v/>
      </c>
      <c r="Y22" s="12" t="str">
        <f aca="false">IF(OR($A22="",Y$4=""),"",SUMPRODUCT(--(INDEX(Matrix!$C$5:$BJ$204,0,$B22)&gt;0),--(INDEX(Matrix!$C$5:$BJ$204,0,Y$3)&gt;0)))</f>
        <v/>
      </c>
      <c r="Z22" s="12" t="str">
        <f aca="false">IF(OR($A22="",Z$4=""),"",SUMPRODUCT(--(INDEX(Matrix!$C$5:$BJ$204,0,$B22)&gt;0),--(INDEX(Matrix!$C$5:$BJ$204,0,Z$3)&gt;0)))</f>
        <v/>
      </c>
      <c r="AA22" s="12" t="str">
        <f aca="false">IF(OR($A22="",AA$4=""),"",SUMPRODUCT(--(INDEX(Matrix!$C$5:$BJ$204,0,$B22)&gt;0),--(INDEX(Matrix!$C$5:$BJ$204,0,AA$3)&gt;0)))</f>
        <v/>
      </c>
      <c r="AB22" s="12" t="str">
        <f aca="false">IF(OR($A22="",AB$4=""),"",SUMPRODUCT(--(INDEX(Matrix!$C$5:$BJ$204,0,$B22)&gt;0),--(INDEX(Matrix!$C$5:$BJ$204,0,AB$3)&gt;0)))</f>
        <v/>
      </c>
      <c r="AC22" s="12" t="str">
        <f aca="false">IF(OR($A22="",AC$4=""),"",SUMPRODUCT(--(INDEX(Matrix!$C$5:$BJ$204,0,$B22)&gt;0),--(INDEX(Matrix!$C$5:$BJ$204,0,AC$3)&gt;0)))</f>
        <v/>
      </c>
      <c r="AD22" s="12" t="str">
        <f aca="false">IF(OR($A22="",AD$4=""),"",SUMPRODUCT(--(INDEX(Matrix!$C$5:$BJ$204,0,$B22)&gt;0),--(INDEX(Matrix!$C$5:$BJ$204,0,AD$3)&gt;0)))</f>
        <v/>
      </c>
      <c r="AE22" s="12" t="str">
        <f aca="false">IF(OR($A22="",AE$4=""),"",SUMPRODUCT(--(INDEX(Matrix!$C$5:$BJ$204,0,$B22)&gt;0),--(INDEX(Matrix!$C$5:$BJ$204,0,AE$3)&gt;0)))</f>
        <v/>
      </c>
      <c r="AF22" s="12" t="str">
        <f aca="false">IF(OR($A22="",AF$4=""),"",SUMPRODUCT(--(INDEX(Matrix!$C$5:$BJ$204,0,$B22)&gt;0),--(INDEX(Matrix!$C$5:$BJ$204,0,AF$3)&gt;0)))</f>
        <v/>
      </c>
      <c r="AG22" s="12" t="str">
        <f aca="false">IF(OR($A22="",AG$4=""),"",SUMPRODUCT(--(INDEX(Matrix!$C$5:$BJ$204,0,$B22)&gt;0),--(INDEX(Matrix!$C$5:$BJ$204,0,AG$3)&gt;0)))</f>
        <v/>
      </c>
      <c r="AH22" s="12" t="str">
        <f aca="false">IF(OR($A22="",AH$4=""),"",SUMPRODUCT(--(INDEX(Matrix!$C$5:$BJ$204,0,$B22)&gt;0),--(INDEX(Matrix!$C$5:$BJ$204,0,AH$3)&gt;0)))</f>
        <v/>
      </c>
      <c r="AI22" s="12" t="str">
        <f aca="false">IF(OR($A22="",AI$4=""),"",SUMPRODUCT(--(INDEX(Matrix!$C$5:$BJ$204,0,$B22)&gt;0),--(INDEX(Matrix!$C$5:$BJ$204,0,AI$3)&gt;0)))</f>
        <v/>
      </c>
      <c r="AJ22" s="12" t="str">
        <f aca="false">IF(OR($A22="",AJ$4=""),"",SUMPRODUCT(--(INDEX(Matrix!$C$5:$BJ$204,0,$B22)&gt;0),--(INDEX(Matrix!$C$5:$BJ$204,0,AJ$3)&gt;0)))</f>
        <v/>
      </c>
      <c r="AK22" s="12" t="str">
        <f aca="false">IF(OR($A22="",AK$4=""),"",SUMPRODUCT(--(INDEX(Matrix!$C$5:$BJ$204,0,$B22)&gt;0),--(INDEX(Matrix!$C$5:$BJ$204,0,AK$3)&gt;0)))</f>
        <v/>
      </c>
      <c r="AL22" s="12" t="str">
        <f aca="false">IF(OR($A22="",AL$4=""),"",SUMPRODUCT(--(INDEX(Matrix!$C$5:$BJ$204,0,$B22)&gt;0),--(INDEX(Matrix!$C$5:$BJ$204,0,AL$3)&gt;0)))</f>
        <v/>
      </c>
      <c r="AM22" s="12" t="str">
        <f aca="false">IF(OR($A22="",AM$4=""),"",SUMPRODUCT(--(INDEX(Matrix!$C$5:$BJ$204,0,$B22)&gt;0),--(INDEX(Matrix!$C$5:$BJ$204,0,AM$3)&gt;0)))</f>
        <v/>
      </c>
      <c r="AN22" s="12" t="str">
        <f aca="false">IF(OR($A22="",AN$4=""),"",SUMPRODUCT(--(INDEX(Matrix!$C$5:$BJ$204,0,$B22)&gt;0),--(INDEX(Matrix!$C$5:$BJ$204,0,AN$3)&gt;0)))</f>
        <v/>
      </c>
      <c r="AO22" s="12" t="str">
        <f aca="false">IF(OR($A22="",AO$4=""),"",SUMPRODUCT(--(INDEX(Matrix!$C$5:$BJ$204,0,$B22)&gt;0),--(INDEX(Matrix!$C$5:$BJ$204,0,AO$3)&gt;0)))</f>
        <v/>
      </c>
      <c r="AP22" s="12" t="str">
        <f aca="false">IF(OR($A22="",AP$4=""),"",SUMPRODUCT(--(INDEX(Matrix!$C$5:$BJ$204,0,$B22)&gt;0),--(INDEX(Matrix!$C$5:$BJ$204,0,AP$3)&gt;0)))</f>
        <v/>
      </c>
      <c r="AQ22" s="12" t="str">
        <f aca="false">IF(OR($A22="",AQ$4=""),"",SUMPRODUCT(--(INDEX(Matrix!$C$5:$BJ$204,0,$B22)&gt;0),--(INDEX(Matrix!$C$5:$BJ$204,0,AQ$3)&gt;0)))</f>
        <v/>
      </c>
      <c r="AR22" s="12" t="str">
        <f aca="false">IF(OR($A22="",AR$4=""),"",SUMPRODUCT(--(INDEX(Matrix!$C$5:$BJ$204,0,$B22)&gt;0),--(INDEX(Matrix!$C$5:$BJ$204,0,AR$3)&gt;0)))</f>
        <v/>
      </c>
      <c r="AS22" s="12" t="str">
        <f aca="false">IF(OR($A22="",AS$4=""),"",SUMPRODUCT(--(INDEX(Matrix!$C$5:$BJ$204,0,$B22)&gt;0),--(INDEX(Matrix!$C$5:$BJ$204,0,AS$3)&gt;0)))</f>
        <v/>
      </c>
      <c r="AT22" s="12" t="str">
        <f aca="false">IF(OR($A22="",AT$4=""),"",SUMPRODUCT(--(INDEX(Matrix!$C$5:$BJ$204,0,$B22)&gt;0),--(INDEX(Matrix!$C$5:$BJ$204,0,AT$3)&gt;0)))</f>
        <v/>
      </c>
      <c r="AU22" s="12" t="str">
        <f aca="false">IF(OR($A22="",AU$4=""),"",SUMPRODUCT(--(INDEX(Matrix!$C$5:$BJ$204,0,$B22)&gt;0),--(INDEX(Matrix!$C$5:$BJ$204,0,AU$3)&gt;0)))</f>
        <v/>
      </c>
      <c r="AV22" s="12" t="str">
        <f aca="false">IF(OR($A22="",AV$4=""),"",SUMPRODUCT(--(INDEX(Matrix!$C$5:$BJ$204,0,$B22)&gt;0),--(INDEX(Matrix!$C$5:$BJ$204,0,AV$3)&gt;0)))</f>
        <v/>
      </c>
      <c r="AW22" s="12" t="str">
        <f aca="false">IF(OR($A22="",AW$4=""),"",SUMPRODUCT(--(INDEX(Matrix!$C$5:$BJ$204,0,$B22)&gt;0),--(INDEX(Matrix!$C$5:$BJ$204,0,AW$3)&gt;0)))</f>
        <v/>
      </c>
      <c r="AX22" s="12" t="str">
        <f aca="false">IF(OR($A22="",AX$4=""),"",SUMPRODUCT(--(INDEX(Matrix!$C$5:$BJ$204,0,$B22)&gt;0),--(INDEX(Matrix!$C$5:$BJ$204,0,AX$3)&gt;0)))</f>
        <v/>
      </c>
      <c r="AY22" s="12" t="str">
        <f aca="false">IF(OR($A22="",AY$4=""),"",SUMPRODUCT(--(INDEX(Matrix!$C$5:$BJ$204,0,$B22)&gt;0),--(INDEX(Matrix!$C$5:$BJ$204,0,AY$3)&gt;0)))</f>
        <v/>
      </c>
      <c r="AZ22" s="12" t="str">
        <f aca="false">IF(OR($A22="",AZ$4=""),"",SUMPRODUCT(--(INDEX(Matrix!$C$5:$BJ$204,0,$B22)&gt;0),--(INDEX(Matrix!$C$5:$BJ$204,0,AZ$3)&gt;0)))</f>
        <v/>
      </c>
      <c r="BA22" s="12" t="str">
        <f aca="false">IF(OR($A22="",BA$4=""),"",SUMPRODUCT(--(INDEX(Matrix!$C$5:$BJ$204,0,$B22)&gt;0),--(INDEX(Matrix!$C$5:$BJ$204,0,BA$3)&gt;0)))</f>
        <v/>
      </c>
      <c r="BB22" s="12" t="str">
        <f aca="false">IF(OR($A22="",BB$4=""),"",SUMPRODUCT(--(INDEX(Matrix!$C$5:$BJ$204,0,$B22)&gt;0),--(INDEX(Matrix!$C$5:$BJ$204,0,BB$3)&gt;0)))</f>
        <v/>
      </c>
      <c r="BC22" s="12" t="str">
        <f aca="false">IF(OR($A22="",BC$4=""),"",SUMPRODUCT(--(INDEX(Matrix!$C$5:$BJ$204,0,$B22)&gt;0),--(INDEX(Matrix!$C$5:$BJ$204,0,BC$3)&gt;0)))</f>
        <v/>
      </c>
      <c r="BD22" s="12" t="str">
        <f aca="false">IF(OR($A22="",BD$4=""),"",SUMPRODUCT(--(INDEX(Matrix!$C$5:$BJ$204,0,$B22)&gt;0),--(INDEX(Matrix!$C$5:$BJ$204,0,BD$3)&gt;0)))</f>
        <v/>
      </c>
      <c r="BE22" s="12" t="str">
        <f aca="false">IF(OR($A22="",BE$4=""),"",SUMPRODUCT(--(INDEX(Matrix!$C$5:$BJ$204,0,$B22)&gt;0),--(INDEX(Matrix!$C$5:$BJ$204,0,BE$3)&gt;0)))</f>
        <v/>
      </c>
      <c r="BF22" s="12" t="str">
        <f aca="false">IF(OR($A22="",BF$4=""),"",SUMPRODUCT(--(INDEX(Matrix!$C$5:$BJ$204,0,$B22)&gt;0),--(INDEX(Matrix!$C$5:$BJ$204,0,BF$3)&gt;0)))</f>
        <v/>
      </c>
      <c r="BG22" s="12" t="str">
        <f aca="false">IF(OR($A22="",BG$4=""),"",SUMPRODUCT(--(INDEX(Matrix!$C$5:$BJ$204,0,$B22)&gt;0),--(INDEX(Matrix!$C$5:$BJ$204,0,BG$3)&gt;0)))</f>
        <v/>
      </c>
      <c r="BH22" s="12" t="str">
        <f aca="false">IF(OR($A22="",BH$4=""),"",SUMPRODUCT(--(INDEX(Matrix!$C$5:$BJ$204,0,$B22)&gt;0),--(INDEX(Matrix!$C$5:$BJ$204,0,BH$3)&gt;0)))</f>
        <v/>
      </c>
      <c r="BI22" s="12" t="str">
        <f aca="false">IF(OR($A22="",BI$4=""),"",SUMPRODUCT(--(INDEX(Matrix!$C$5:$BJ$204,0,$B22)&gt;0),--(INDEX(Matrix!$C$5:$BJ$204,0,BI$3)&gt;0)))</f>
        <v/>
      </c>
      <c r="BJ22" s="12" t="str">
        <f aca="false">IF(OR($A22="",BJ$4=""),"",SUMPRODUCT(--(INDEX(Matrix!$C$5:$BJ$204,0,$B22)&gt;0),--(INDEX(Matrix!$C$5:$BJ$204,0,BJ$3)&gt;0)))</f>
        <v/>
      </c>
    </row>
    <row r="23" customFormat="false" ht="15" hidden="false" customHeight="false" outlineLevel="0" collapsed="false">
      <c r="A23" s="6" t="str">
        <f aca="false">IF(INDEX(Products!$A$2:$A$61,$B23)="","",INDEX(Products!$A$2:$A$61,$B23))</f>
        <v/>
      </c>
      <c r="B23" s="23" t="n">
        <v>19</v>
      </c>
      <c r="C23" s="12" t="str">
        <f aca="false">IF(OR($A23="",C$4=""),"",SUMPRODUCT(--(INDEX(Matrix!$C$5:$BJ$204,0,$B23)&gt;0),--(INDEX(Matrix!$C$5:$BJ$204,0,C$3)&gt;0)))</f>
        <v/>
      </c>
      <c r="D23" s="12" t="str">
        <f aca="false">IF(OR($A23="",D$4=""),"",SUMPRODUCT(--(INDEX(Matrix!$C$5:$BJ$204,0,$B23)&gt;0),--(INDEX(Matrix!$C$5:$BJ$204,0,D$3)&gt;0)))</f>
        <v/>
      </c>
      <c r="E23" s="12" t="str">
        <f aca="false">IF(OR($A23="",E$4=""),"",SUMPRODUCT(--(INDEX(Matrix!$C$5:$BJ$204,0,$B23)&gt;0),--(INDEX(Matrix!$C$5:$BJ$204,0,E$3)&gt;0)))</f>
        <v/>
      </c>
      <c r="F23" s="12" t="str">
        <f aca="false">IF(OR($A23="",F$4=""),"",SUMPRODUCT(--(INDEX(Matrix!$C$5:$BJ$204,0,$B23)&gt;0),--(INDEX(Matrix!$C$5:$BJ$204,0,F$3)&gt;0)))</f>
        <v/>
      </c>
      <c r="G23" s="12" t="str">
        <f aca="false">IF(OR($A23="",G$4=""),"",SUMPRODUCT(--(INDEX(Matrix!$C$5:$BJ$204,0,$B23)&gt;0),--(INDEX(Matrix!$C$5:$BJ$204,0,G$3)&gt;0)))</f>
        <v/>
      </c>
      <c r="H23" s="12" t="str">
        <f aca="false">IF(OR($A23="",H$4=""),"",SUMPRODUCT(--(INDEX(Matrix!$C$5:$BJ$204,0,$B23)&gt;0),--(INDEX(Matrix!$C$5:$BJ$204,0,H$3)&gt;0)))</f>
        <v/>
      </c>
      <c r="I23" s="12" t="str">
        <f aca="false">IF(OR($A23="",I$4=""),"",SUMPRODUCT(--(INDEX(Matrix!$C$5:$BJ$204,0,$B23)&gt;0),--(INDEX(Matrix!$C$5:$BJ$204,0,I$3)&gt;0)))</f>
        <v/>
      </c>
      <c r="J23" s="12" t="str">
        <f aca="false">IF(OR($A23="",J$4=""),"",SUMPRODUCT(--(INDEX(Matrix!$C$5:$BJ$204,0,$B23)&gt;0),--(INDEX(Matrix!$C$5:$BJ$204,0,J$3)&gt;0)))</f>
        <v/>
      </c>
      <c r="K23" s="12" t="str">
        <f aca="false">IF(OR($A23="",K$4=""),"",SUMPRODUCT(--(INDEX(Matrix!$C$5:$BJ$204,0,$B23)&gt;0),--(INDEX(Matrix!$C$5:$BJ$204,0,K$3)&gt;0)))</f>
        <v/>
      </c>
      <c r="L23" s="12" t="str">
        <f aca="false">IF(OR($A23="",L$4=""),"",SUMPRODUCT(--(INDEX(Matrix!$C$5:$BJ$204,0,$B23)&gt;0),--(INDEX(Matrix!$C$5:$BJ$204,0,L$3)&gt;0)))</f>
        <v/>
      </c>
      <c r="M23" s="12" t="str">
        <f aca="false">IF(OR($A23="",M$4=""),"",SUMPRODUCT(--(INDEX(Matrix!$C$5:$BJ$204,0,$B23)&gt;0),--(INDEX(Matrix!$C$5:$BJ$204,0,M$3)&gt;0)))</f>
        <v/>
      </c>
      <c r="N23" s="12" t="str">
        <f aca="false">IF(OR($A23="",N$4=""),"",SUMPRODUCT(--(INDEX(Matrix!$C$5:$BJ$204,0,$B23)&gt;0),--(INDEX(Matrix!$C$5:$BJ$204,0,N$3)&gt;0)))</f>
        <v/>
      </c>
      <c r="O23" s="12" t="str">
        <f aca="false">IF(OR($A23="",O$4=""),"",SUMPRODUCT(--(INDEX(Matrix!$C$5:$BJ$204,0,$B23)&gt;0),--(INDEX(Matrix!$C$5:$BJ$204,0,O$3)&gt;0)))</f>
        <v/>
      </c>
      <c r="P23" s="12" t="str">
        <f aca="false">IF(OR($A23="",P$4=""),"",SUMPRODUCT(--(INDEX(Matrix!$C$5:$BJ$204,0,$B23)&gt;0),--(INDEX(Matrix!$C$5:$BJ$204,0,P$3)&gt;0)))</f>
        <v/>
      </c>
      <c r="Q23" s="12" t="str">
        <f aca="false">IF(OR($A23="",Q$4=""),"",SUMPRODUCT(--(INDEX(Matrix!$C$5:$BJ$204,0,$B23)&gt;0),--(INDEX(Matrix!$C$5:$BJ$204,0,Q$3)&gt;0)))</f>
        <v/>
      </c>
      <c r="R23" s="12" t="str">
        <f aca="false">IF(OR($A23="",R$4=""),"",SUMPRODUCT(--(INDEX(Matrix!$C$5:$BJ$204,0,$B23)&gt;0),--(INDEX(Matrix!$C$5:$BJ$204,0,R$3)&gt;0)))</f>
        <v/>
      </c>
      <c r="S23" s="12" t="str">
        <f aca="false">IF(OR($A23="",S$4=""),"",SUMPRODUCT(--(INDEX(Matrix!$C$5:$BJ$204,0,$B23)&gt;0),--(INDEX(Matrix!$C$5:$BJ$204,0,S$3)&gt;0)))</f>
        <v/>
      </c>
      <c r="T23" s="12" t="str">
        <f aca="false">IF(OR($A23="",T$4=""),"",SUMPRODUCT(--(INDEX(Matrix!$C$5:$BJ$204,0,$B23)&gt;0),--(INDEX(Matrix!$C$5:$BJ$204,0,T$3)&gt;0)))</f>
        <v/>
      </c>
      <c r="U23" s="12" t="str">
        <f aca="false">IF(OR($A23="",U$4=""),"",SUMPRODUCT(--(INDEX(Matrix!$C$5:$BJ$204,0,$B23)&gt;0),--(INDEX(Matrix!$C$5:$BJ$204,0,U$3)&gt;0)))</f>
        <v/>
      </c>
      <c r="V23" s="12" t="str">
        <f aca="false">IF(OR($A23="",V$4=""),"",SUMPRODUCT(--(INDEX(Matrix!$C$5:$BJ$204,0,$B23)&gt;0),--(INDEX(Matrix!$C$5:$BJ$204,0,V$3)&gt;0)))</f>
        <v/>
      </c>
      <c r="W23" s="12" t="str">
        <f aca="false">IF(OR($A23="",W$4=""),"",SUMPRODUCT(--(INDEX(Matrix!$C$5:$BJ$204,0,$B23)&gt;0),--(INDEX(Matrix!$C$5:$BJ$204,0,W$3)&gt;0)))</f>
        <v/>
      </c>
      <c r="X23" s="12" t="str">
        <f aca="false">IF(OR($A23="",X$4=""),"",SUMPRODUCT(--(INDEX(Matrix!$C$5:$BJ$204,0,$B23)&gt;0),--(INDEX(Matrix!$C$5:$BJ$204,0,X$3)&gt;0)))</f>
        <v/>
      </c>
      <c r="Y23" s="12" t="str">
        <f aca="false">IF(OR($A23="",Y$4=""),"",SUMPRODUCT(--(INDEX(Matrix!$C$5:$BJ$204,0,$B23)&gt;0),--(INDEX(Matrix!$C$5:$BJ$204,0,Y$3)&gt;0)))</f>
        <v/>
      </c>
      <c r="Z23" s="12" t="str">
        <f aca="false">IF(OR($A23="",Z$4=""),"",SUMPRODUCT(--(INDEX(Matrix!$C$5:$BJ$204,0,$B23)&gt;0),--(INDEX(Matrix!$C$5:$BJ$204,0,Z$3)&gt;0)))</f>
        <v/>
      </c>
      <c r="AA23" s="12" t="str">
        <f aca="false">IF(OR($A23="",AA$4=""),"",SUMPRODUCT(--(INDEX(Matrix!$C$5:$BJ$204,0,$B23)&gt;0),--(INDEX(Matrix!$C$5:$BJ$204,0,AA$3)&gt;0)))</f>
        <v/>
      </c>
      <c r="AB23" s="12" t="str">
        <f aca="false">IF(OR($A23="",AB$4=""),"",SUMPRODUCT(--(INDEX(Matrix!$C$5:$BJ$204,0,$B23)&gt;0),--(INDEX(Matrix!$C$5:$BJ$204,0,AB$3)&gt;0)))</f>
        <v/>
      </c>
      <c r="AC23" s="12" t="str">
        <f aca="false">IF(OR($A23="",AC$4=""),"",SUMPRODUCT(--(INDEX(Matrix!$C$5:$BJ$204,0,$B23)&gt;0),--(INDEX(Matrix!$C$5:$BJ$204,0,AC$3)&gt;0)))</f>
        <v/>
      </c>
      <c r="AD23" s="12" t="str">
        <f aca="false">IF(OR($A23="",AD$4=""),"",SUMPRODUCT(--(INDEX(Matrix!$C$5:$BJ$204,0,$B23)&gt;0),--(INDEX(Matrix!$C$5:$BJ$204,0,AD$3)&gt;0)))</f>
        <v/>
      </c>
      <c r="AE23" s="12" t="str">
        <f aca="false">IF(OR($A23="",AE$4=""),"",SUMPRODUCT(--(INDEX(Matrix!$C$5:$BJ$204,0,$B23)&gt;0),--(INDEX(Matrix!$C$5:$BJ$204,0,AE$3)&gt;0)))</f>
        <v/>
      </c>
      <c r="AF23" s="12" t="str">
        <f aca="false">IF(OR($A23="",AF$4=""),"",SUMPRODUCT(--(INDEX(Matrix!$C$5:$BJ$204,0,$B23)&gt;0),--(INDEX(Matrix!$C$5:$BJ$204,0,AF$3)&gt;0)))</f>
        <v/>
      </c>
      <c r="AG23" s="12" t="str">
        <f aca="false">IF(OR($A23="",AG$4=""),"",SUMPRODUCT(--(INDEX(Matrix!$C$5:$BJ$204,0,$B23)&gt;0),--(INDEX(Matrix!$C$5:$BJ$204,0,AG$3)&gt;0)))</f>
        <v/>
      </c>
      <c r="AH23" s="12" t="str">
        <f aca="false">IF(OR($A23="",AH$4=""),"",SUMPRODUCT(--(INDEX(Matrix!$C$5:$BJ$204,0,$B23)&gt;0),--(INDEX(Matrix!$C$5:$BJ$204,0,AH$3)&gt;0)))</f>
        <v/>
      </c>
      <c r="AI23" s="12" t="str">
        <f aca="false">IF(OR($A23="",AI$4=""),"",SUMPRODUCT(--(INDEX(Matrix!$C$5:$BJ$204,0,$B23)&gt;0),--(INDEX(Matrix!$C$5:$BJ$204,0,AI$3)&gt;0)))</f>
        <v/>
      </c>
      <c r="AJ23" s="12" t="str">
        <f aca="false">IF(OR($A23="",AJ$4=""),"",SUMPRODUCT(--(INDEX(Matrix!$C$5:$BJ$204,0,$B23)&gt;0),--(INDEX(Matrix!$C$5:$BJ$204,0,AJ$3)&gt;0)))</f>
        <v/>
      </c>
      <c r="AK23" s="12" t="str">
        <f aca="false">IF(OR($A23="",AK$4=""),"",SUMPRODUCT(--(INDEX(Matrix!$C$5:$BJ$204,0,$B23)&gt;0),--(INDEX(Matrix!$C$5:$BJ$204,0,AK$3)&gt;0)))</f>
        <v/>
      </c>
      <c r="AL23" s="12" t="str">
        <f aca="false">IF(OR($A23="",AL$4=""),"",SUMPRODUCT(--(INDEX(Matrix!$C$5:$BJ$204,0,$B23)&gt;0),--(INDEX(Matrix!$C$5:$BJ$204,0,AL$3)&gt;0)))</f>
        <v/>
      </c>
      <c r="AM23" s="12" t="str">
        <f aca="false">IF(OR($A23="",AM$4=""),"",SUMPRODUCT(--(INDEX(Matrix!$C$5:$BJ$204,0,$B23)&gt;0),--(INDEX(Matrix!$C$5:$BJ$204,0,AM$3)&gt;0)))</f>
        <v/>
      </c>
      <c r="AN23" s="12" t="str">
        <f aca="false">IF(OR($A23="",AN$4=""),"",SUMPRODUCT(--(INDEX(Matrix!$C$5:$BJ$204,0,$B23)&gt;0),--(INDEX(Matrix!$C$5:$BJ$204,0,AN$3)&gt;0)))</f>
        <v/>
      </c>
      <c r="AO23" s="12" t="str">
        <f aca="false">IF(OR($A23="",AO$4=""),"",SUMPRODUCT(--(INDEX(Matrix!$C$5:$BJ$204,0,$B23)&gt;0),--(INDEX(Matrix!$C$5:$BJ$204,0,AO$3)&gt;0)))</f>
        <v/>
      </c>
      <c r="AP23" s="12" t="str">
        <f aca="false">IF(OR($A23="",AP$4=""),"",SUMPRODUCT(--(INDEX(Matrix!$C$5:$BJ$204,0,$B23)&gt;0),--(INDEX(Matrix!$C$5:$BJ$204,0,AP$3)&gt;0)))</f>
        <v/>
      </c>
      <c r="AQ23" s="12" t="str">
        <f aca="false">IF(OR($A23="",AQ$4=""),"",SUMPRODUCT(--(INDEX(Matrix!$C$5:$BJ$204,0,$B23)&gt;0),--(INDEX(Matrix!$C$5:$BJ$204,0,AQ$3)&gt;0)))</f>
        <v/>
      </c>
      <c r="AR23" s="12" t="str">
        <f aca="false">IF(OR($A23="",AR$4=""),"",SUMPRODUCT(--(INDEX(Matrix!$C$5:$BJ$204,0,$B23)&gt;0),--(INDEX(Matrix!$C$5:$BJ$204,0,AR$3)&gt;0)))</f>
        <v/>
      </c>
      <c r="AS23" s="12" t="str">
        <f aca="false">IF(OR($A23="",AS$4=""),"",SUMPRODUCT(--(INDEX(Matrix!$C$5:$BJ$204,0,$B23)&gt;0),--(INDEX(Matrix!$C$5:$BJ$204,0,AS$3)&gt;0)))</f>
        <v/>
      </c>
      <c r="AT23" s="12" t="str">
        <f aca="false">IF(OR($A23="",AT$4=""),"",SUMPRODUCT(--(INDEX(Matrix!$C$5:$BJ$204,0,$B23)&gt;0),--(INDEX(Matrix!$C$5:$BJ$204,0,AT$3)&gt;0)))</f>
        <v/>
      </c>
      <c r="AU23" s="12" t="str">
        <f aca="false">IF(OR($A23="",AU$4=""),"",SUMPRODUCT(--(INDEX(Matrix!$C$5:$BJ$204,0,$B23)&gt;0),--(INDEX(Matrix!$C$5:$BJ$204,0,AU$3)&gt;0)))</f>
        <v/>
      </c>
      <c r="AV23" s="12" t="str">
        <f aca="false">IF(OR($A23="",AV$4=""),"",SUMPRODUCT(--(INDEX(Matrix!$C$5:$BJ$204,0,$B23)&gt;0),--(INDEX(Matrix!$C$5:$BJ$204,0,AV$3)&gt;0)))</f>
        <v/>
      </c>
      <c r="AW23" s="12" t="str">
        <f aca="false">IF(OR($A23="",AW$4=""),"",SUMPRODUCT(--(INDEX(Matrix!$C$5:$BJ$204,0,$B23)&gt;0),--(INDEX(Matrix!$C$5:$BJ$204,0,AW$3)&gt;0)))</f>
        <v/>
      </c>
      <c r="AX23" s="12" t="str">
        <f aca="false">IF(OR($A23="",AX$4=""),"",SUMPRODUCT(--(INDEX(Matrix!$C$5:$BJ$204,0,$B23)&gt;0),--(INDEX(Matrix!$C$5:$BJ$204,0,AX$3)&gt;0)))</f>
        <v/>
      </c>
      <c r="AY23" s="12" t="str">
        <f aca="false">IF(OR($A23="",AY$4=""),"",SUMPRODUCT(--(INDEX(Matrix!$C$5:$BJ$204,0,$B23)&gt;0),--(INDEX(Matrix!$C$5:$BJ$204,0,AY$3)&gt;0)))</f>
        <v/>
      </c>
      <c r="AZ23" s="12" t="str">
        <f aca="false">IF(OR($A23="",AZ$4=""),"",SUMPRODUCT(--(INDEX(Matrix!$C$5:$BJ$204,0,$B23)&gt;0),--(INDEX(Matrix!$C$5:$BJ$204,0,AZ$3)&gt;0)))</f>
        <v/>
      </c>
      <c r="BA23" s="12" t="str">
        <f aca="false">IF(OR($A23="",BA$4=""),"",SUMPRODUCT(--(INDEX(Matrix!$C$5:$BJ$204,0,$B23)&gt;0),--(INDEX(Matrix!$C$5:$BJ$204,0,BA$3)&gt;0)))</f>
        <v/>
      </c>
      <c r="BB23" s="12" t="str">
        <f aca="false">IF(OR($A23="",BB$4=""),"",SUMPRODUCT(--(INDEX(Matrix!$C$5:$BJ$204,0,$B23)&gt;0),--(INDEX(Matrix!$C$5:$BJ$204,0,BB$3)&gt;0)))</f>
        <v/>
      </c>
      <c r="BC23" s="12" t="str">
        <f aca="false">IF(OR($A23="",BC$4=""),"",SUMPRODUCT(--(INDEX(Matrix!$C$5:$BJ$204,0,$B23)&gt;0),--(INDEX(Matrix!$C$5:$BJ$204,0,BC$3)&gt;0)))</f>
        <v/>
      </c>
      <c r="BD23" s="12" t="str">
        <f aca="false">IF(OR($A23="",BD$4=""),"",SUMPRODUCT(--(INDEX(Matrix!$C$5:$BJ$204,0,$B23)&gt;0),--(INDEX(Matrix!$C$5:$BJ$204,0,BD$3)&gt;0)))</f>
        <v/>
      </c>
      <c r="BE23" s="12" t="str">
        <f aca="false">IF(OR($A23="",BE$4=""),"",SUMPRODUCT(--(INDEX(Matrix!$C$5:$BJ$204,0,$B23)&gt;0),--(INDEX(Matrix!$C$5:$BJ$204,0,BE$3)&gt;0)))</f>
        <v/>
      </c>
      <c r="BF23" s="12" t="str">
        <f aca="false">IF(OR($A23="",BF$4=""),"",SUMPRODUCT(--(INDEX(Matrix!$C$5:$BJ$204,0,$B23)&gt;0),--(INDEX(Matrix!$C$5:$BJ$204,0,BF$3)&gt;0)))</f>
        <v/>
      </c>
      <c r="BG23" s="12" t="str">
        <f aca="false">IF(OR($A23="",BG$4=""),"",SUMPRODUCT(--(INDEX(Matrix!$C$5:$BJ$204,0,$B23)&gt;0),--(INDEX(Matrix!$C$5:$BJ$204,0,BG$3)&gt;0)))</f>
        <v/>
      </c>
      <c r="BH23" s="12" t="str">
        <f aca="false">IF(OR($A23="",BH$4=""),"",SUMPRODUCT(--(INDEX(Matrix!$C$5:$BJ$204,0,$B23)&gt;0),--(INDEX(Matrix!$C$5:$BJ$204,0,BH$3)&gt;0)))</f>
        <v/>
      </c>
      <c r="BI23" s="12" t="str">
        <f aca="false">IF(OR($A23="",BI$4=""),"",SUMPRODUCT(--(INDEX(Matrix!$C$5:$BJ$204,0,$B23)&gt;0),--(INDEX(Matrix!$C$5:$BJ$204,0,BI$3)&gt;0)))</f>
        <v/>
      </c>
      <c r="BJ23" s="12" t="str">
        <f aca="false">IF(OR($A23="",BJ$4=""),"",SUMPRODUCT(--(INDEX(Matrix!$C$5:$BJ$204,0,$B23)&gt;0),--(INDEX(Matrix!$C$5:$BJ$204,0,BJ$3)&gt;0)))</f>
        <v/>
      </c>
    </row>
    <row r="24" customFormat="false" ht="15" hidden="false" customHeight="false" outlineLevel="0" collapsed="false">
      <c r="A24" s="6" t="str">
        <f aca="false">IF(INDEX(Products!$A$2:$A$61,$B24)="","",INDEX(Products!$A$2:$A$61,$B24))</f>
        <v/>
      </c>
      <c r="B24" s="23" t="n">
        <v>20</v>
      </c>
      <c r="C24" s="12" t="str">
        <f aca="false">IF(OR($A24="",C$4=""),"",SUMPRODUCT(--(INDEX(Matrix!$C$5:$BJ$204,0,$B24)&gt;0),--(INDEX(Matrix!$C$5:$BJ$204,0,C$3)&gt;0)))</f>
        <v/>
      </c>
      <c r="D24" s="12" t="str">
        <f aca="false">IF(OR($A24="",D$4=""),"",SUMPRODUCT(--(INDEX(Matrix!$C$5:$BJ$204,0,$B24)&gt;0),--(INDEX(Matrix!$C$5:$BJ$204,0,D$3)&gt;0)))</f>
        <v/>
      </c>
      <c r="E24" s="12" t="str">
        <f aca="false">IF(OR($A24="",E$4=""),"",SUMPRODUCT(--(INDEX(Matrix!$C$5:$BJ$204,0,$B24)&gt;0),--(INDEX(Matrix!$C$5:$BJ$204,0,E$3)&gt;0)))</f>
        <v/>
      </c>
      <c r="F24" s="12" t="str">
        <f aca="false">IF(OR($A24="",F$4=""),"",SUMPRODUCT(--(INDEX(Matrix!$C$5:$BJ$204,0,$B24)&gt;0),--(INDEX(Matrix!$C$5:$BJ$204,0,F$3)&gt;0)))</f>
        <v/>
      </c>
      <c r="G24" s="12" t="str">
        <f aca="false">IF(OR($A24="",G$4=""),"",SUMPRODUCT(--(INDEX(Matrix!$C$5:$BJ$204,0,$B24)&gt;0),--(INDEX(Matrix!$C$5:$BJ$204,0,G$3)&gt;0)))</f>
        <v/>
      </c>
      <c r="H24" s="12" t="str">
        <f aca="false">IF(OR($A24="",H$4=""),"",SUMPRODUCT(--(INDEX(Matrix!$C$5:$BJ$204,0,$B24)&gt;0),--(INDEX(Matrix!$C$5:$BJ$204,0,H$3)&gt;0)))</f>
        <v/>
      </c>
      <c r="I24" s="12" t="str">
        <f aca="false">IF(OR($A24="",I$4=""),"",SUMPRODUCT(--(INDEX(Matrix!$C$5:$BJ$204,0,$B24)&gt;0),--(INDEX(Matrix!$C$5:$BJ$204,0,I$3)&gt;0)))</f>
        <v/>
      </c>
      <c r="J24" s="12" t="str">
        <f aca="false">IF(OR($A24="",J$4=""),"",SUMPRODUCT(--(INDEX(Matrix!$C$5:$BJ$204,0,$B24)&gt;0),--(INDEX(Matrix!$C$5:$BJ$204,0,J$3)&gt;0)))</f>
        <v/>
      </c>
      <c r="K24" s="12" t="str">
        <f aca="false">IF(OR($A24="",K$4=""),"",SUMPRODUCT(--(INDEX(Matrix!$C$5:$BJ$204,0,$B24)&gt;0),--(INDEX(Matrix!$C$5:$BJ$204,0,K$3)&gt;0)))</f>
        <v/>
      </c>
      <c r="L24" s="12" t="str">
        <f aca="false">IF(OR($A24="",L$4=""),"",SUMPRODUCT(--(INDEX(Matrix!$C$5:$BJ$204,0,$B24)&gt;0),--(INDEX(Matrix!$C$5:$BJ$204,0,L$3)&gt;0)))</f>
        <v/>
      </c>
      <c r="M24" s="12" t="str">
        <f aca="false">IF(OR($A24="",M$4=""),"",SUMPRODUCT(--(INDEX(Matrix!$C$5:$BJ$204,0,$B24)&gt;0),--(INDEX(Matrix!$C$5:$BJ$204,0,M$3)&gt;0)))</f>
        <v/>
      </c>
      <c r="N24" s="12" t="str">
        <f aca="false">IF(OR($A24="",N$4=""),"",SUMPRODUCT(--(INDEX(Matrix!$C$5:$BJ$204,0,$B24)&gt;0),--(INDEX(Matrix!$C$5:$BJ$204,0,N$3)&gt;0)))</f>
        <v/>
      </c>
      <c r="O24" s="12" t="str">
        <f aca="false">IF(OR($A24="",O$4=""),"",SUMPRODUCT(--(INDEX(Matrix!$C$5:$BJ$204,0,$B24)&gt;0),--(INDEX(Matrix!$C$5:$BJ$204,0,O$3)&gt;0)))</f>
        <v/>
      </c>
      <c r="P24" s="12" t="str">
        <f aca="false">IF(OR($A24="",P$4=""),"",SUMPRODUCT(--(INDEX(Matrix!$C$5:$BJ$204,0,$B24)&gt;0),--(INDEX(Matrix!$C$5:$BJ$204,0,P$3)&gt;0)))</f>
        <v/>
      </c>
      <c r="Q24" s="12" t="str">
        <f aca="false">IF(OR($A24="",Q$4=""),"",SUMPRODUCT(--(INDEX(Matrix!$C$5:$BJ$204,0,$B24)&gt;0),--(INDEX(Matrix!$C$5:$BJ$204,0,Q$3)&gt;0)))</f>
        <v/>
      </c>
      <c r="R24" s="12" t="str">
        <f aca="false">IF(OR($A24="",R$4=""),"",SUMPRODUCT(--(INDEX(Matrix!$C$5:$BJ$204,0,$B24)&gt;0),--(INDEX(Matrix!$C$5:$BJ$204,0,R$3)&gt;0)))</f>
        <v/>
      </c>
      <c r="S24" s="12" t="str">
        <f aca="false">IF(OR($A24="",S$4=""),"",SUMPRODUCT(--(INDEX(Matrix!$C$5:$BJ$204,0,$B24)&gt;0),--(INDEX(Matrix!$C$5:$BJ$204,0,S$3)&gt;0)))</f>
        <v/>
      </c>
      <c r="T24" s="12" t="str">
        <f aca="false">IF(OR($A24="",T$4=""),"",SUMPRODUCT(--(INDEX(Matrix!$C$5:$BJ$204,0,$B24)&gt;0),--(INDEX(Matrix!$C$5:$BJ$204,0,T$3)&gt;0)))</f>
        <v/>
      </c>
      <c r="U24" s="12" t="str">
        <f aca="false">IF(OR($A24="",U$4=""),"",SUMPRODUCT(--(INDEX(Matrix!$C$5:$BJ$204,0,$B24)&gt;0),--(INDEX(Matrix!$C$5:$BJ$204,0,U$3)&gt;0)))</f>
        <v/>
      </c>
      <c r="V24" s="12" t="str">
        <f aca="false">IF(OR($A24="",V$4=""),"",SUMPRODUCT(--(INDEX(Matrix!$C$5:$BJ$204,0,$B24)&gt;0),--(INDEX(Matrix!$C$5:$BJ$204,0,V$3)&gt;0)))</f>
        <v/>
      </c>
      <c r="W24" s="12" t="str">
        <f aca="false">IF(OR($A24="",W$4=""),"",SUMPRODUCT(--(INDEX(Matrix!$C$5:$BJ$204,0,$B24)&gt;0),--(INDEX(Matrix!$C$5:$BJ$204,0,W$3)&gt;0)))</f>
        <v/>
      </c>
      <c r="X24" s="12" t="str">
        <f aca="false">IF(OR($A24="",X$4=""),"",SUMPRODUCT(--(INDEX(Matrix!$C$5:$BJ$204,0,$B24)&gt;0),--(INDEX(Matrix!$C$5:$BJ$204,0,X$3)&gt;0)))</f>
        <v/>
      </c>
      <c r="Y24" s="12" t="str">
        <f aca="false">IF(OR($A24="",Y$4=""),"",SUMPRODUCT(--(INDEX(Matrix!$C$5:$BJ$204,0,$B24)&gt;0),--(INDEX(Matrix!$C$5:$BJ$204,0,Y$3)&gt;0)))</f>
        <v/>
      </c>
      <c r="Z24" s="12" t="str">
        <f aca="false">IF(OR($A24="",Z$4=""),"",SUMPRODUCT(--(INDEX(Matrix!$C$5:$BJ$204,0,$B24)&gt;0),--(INDEX(Matrix!$C$5:$BJ$204,0,Z$3)&gt;0)))</f>
        <v/>
      </c>
      <c r="AA24" s="12" t="str">
        <f aca="false">IF(OR($A24="",AA$4=""),"",SUMPRODUCT(--(INDEX(Matrix!$C$5:$BJ$204,0,$B24)&gt;0),--(INDEX(Matrix!$C$5:$BJ$204,0,AA$3)&gt;0)))</f>
        <v/>
      </c>
      <c r="AB24" s="12" t="str">
        <f aca="false">IF(OR($A24="",AB$4=""),"",SUMPRODUCT(--(INDEX(Matrix!$C$5:$BJ$204,0,$B24)&gt;0),--(INDEX(Matrix!$C$5:$BJ$204,0,AB$3)&gt;0)))</f>
        <v/>
      </c>
      <c r="AC24" s="12" t="str">
        <f aca="false">IF(OR($A24="",AC$4=""),"",SUMPRODUCT(--(INDEX(Matrix!$C$5:$BJ$204,0,$B24)&gt;0),--(INDEX(Matrix!$C$5:$BJ$204,0,AC$3)&gt;0)))</f>
        <v/>
      </c>
      <c r="AD24" s="12" t="str">
        <f aca="false">IF(OR($A24="",AD$4=""),"",SUMPRODUCT(--(INDEX(Matrix!$C$5:$BJ$204,0,$B24)&gt;0),--(INDEX(Matrix!$C$5:$BJ$204,0,AD$3)&gt;0)))</f>
        <v/>
      </c>
      <c r="AE24" s="12" t="str">
        <f aca="false">IF(OR($A24="",AE$4=""),"",SUMPRODUCT(--(INDEX(Matrix!$C$5:$BJ$204,0,$B24)&gt;0),--(INDEX(Matrix!$C$5:$BJ$204,0,AE$3)&gt;0)))</f>
        <v/>
      </c>
      <c r="AF24" s="12" t="str">
        <f aca="false">IF(OR($A24="",AF$4=""),"",SUMPRODUCT(--(INDEX(Matrix!$C$5:$BJ$204,0,$B24)&gt;0),--(INDEX(Matrix!$C$5:$BJ$204,0,AF$3)&gt;0)))</f>
        <v/>
      </c>
      <c r="AG24" s="12" t="str">
        <f aca="false">IF(OR($A24="",AG$4=""),"",SUMPRODUCT(--(INDEX(Matrix!$C$5:$BJ$204,0,$B24)&gt;0),--(INDEX(Matrix!$C$5:$BJ$204,0,AG$3)&gt;0)))</f>
        <v/>
      </c>
      <c r="AH24" s="12" t="str">
        <f aca="false">IF(OR($A24="",AH$4=""),"",SUMPRODUCT(--(INDEX(Matrix!$C$5:$BJ$204,0,$B24)&gt;0),--(INDEX(Matrix!$C$5:$BJ$204,0,AH$3)&gt;0)))</f>
        <v/>
      </c>
      <c r="AI24" s="12" t="str">
        <f aca="false">IF(OR($A24="",AI$4=""),"",SUMPRODUCT(--(INDEX(Matrix!$C$5:$BJ$204,0,$B24)&gt;0),--(INDEX(Matrix!$C$5:$BJ$204,0,AI$3)&gt;0)))</f>
        <v/>
      </c>
      <c r="AJ24" s="12" t="str">
        <f aca="false">IF(OR($A24="",AJ$4=""),"",SUMPRODUCT(--(INDEX(Matrix!$C$5:$BJ$204,0,$B24)&gt;0),--(INDEX(Matrix!$C$5:$BJ$204,0,AJ$3)&gt;0)))</f>
        <v/>
      </c>
      <c r="AK24" s="12" t="str">
        <f aca="false">IF(OR($A24="",AK$4=""),"",SUMPRODUCT(--(INDEX(Matrix!$C$5:$BJ$204,0,$B24)&gt;0),--(INDEX(Matrix!$C$5:$BJ$204,0,AK$3)&gt;0)))</f>
        <v/>
      </c>
      <c r="AL24" s="12" t="str">
        <f aca="false">IF(OR($A24="",AL$4=""),"",SUMPRODUCT(--(INDEX(Matrix!$C$5:$BJ$204,0,$B24)&gt;0),--(INDEX(Matrix!$C$5:$BJ$204,0,AL$3)&gt;0)))</f>
        <v/>
      </c>
      <c r="AM24" s="12" t="str">
        <f aca="false">IF(OR($A24="",AM$4=""),"",SUMPRODUCT(--(INDEX(Matrix!$C$5:$BJ$204,0,$B24)&gt;0),--(INDEX(Matrix!$C$5:$BJ$204,0,AM$3)&gt;0)))</f>
        <v/>
      </c>
      <c r="AN24" s="12" t="str">
        <f aca="false">IF(OR($A24="",AN$4=""),"",SUMPRODUCT(--(INDEX(Matrix!$C$5:$BJ$204,0,$B24)&gt;0),--(INDEX(Matrix!$C$5:$BJ$204,0,AN$3)&gt;0)))</f>
        <v/>
      </c>
      <c r="AO24" s="12" t="str">
        <f aca="false">IF(OR($A24="",AO$4=""),"",SUMPRODUCT(--(INDEX(Matrix!$C$5:$BJ$204,0,$B24)&gt;0),--(INDEX(Matrix!$C$5:$BJ$204,0,AO$3)&gt;0)))</f>
        <v/>
      </c>
      <c r="AP24" s="12" t="str">
        <f aca="false">IF(OR($A24="",AP$4=""),"",SUMPRODUCT(--(INDEX(Matrix!$C$5:$BJ$204,0,$B24)&gt;0),--(INDEX(Matrix!$C$5:$BJ$204,0,AP$3)&gt;0)))</f>
        <v/>
      </c>
      <c r="AQ24" s="12" t="str">
        <f aca="false">IF(OR($A24="",AQ$4=""),"",SUMPRODUCT(--(INDEX(Matrix!$C$5:$BJ$204,0,$B24)&gt;0),--(INDEX(Matrix!$C$5:$BJ$204,0,AQ$3)&gt;0)))</f>
        <v/>
      </c>
      <c r="AR24" s="12" t="str">
        <f aca="false">IF(OR($A24="",AR$4=""),"",SUMPRODUCT(--(INDEX(Matrix!$C$5:$BJ$204,0,$B24)&gt;0),--(INDEX(Matrix!$C$5:$BJ$204,0,AR$3)&gt;0)))</f>
        <v/>
      </c>
      <c r="AS24" s="12" t="str">
        <f aca="false">IF(OR($A24="",AS$4=""),"",SUMPRODUCT(--(INDEX(Matrix!$C$5:$BJ$204,0,$B24)&gt;0),--(INDEX(Matrix!$C$5:$BJ$204,0,AS$3)&gt;0)))</f>
        <v/>
      </c>
      <c r="AT24" s="12" t="str">
        <f aca="false">IF(OR($A24="",AT$4=""),"",SUMPRODUCT(--(INDEX(Matrix!$C$5:$BJ$204,0,$B24)&gt;0),--(INDEX(Matrix!$C$5:$BJ$204,0,AT$3)&gt;0)))</f>
        <v/>
      </c>
      <c r="AU24" s="12" t="str">
        <f aca="false">IF(OR($A24="",AU$4=""),"",SUMPRODUCT(--(INDEX(Matrix!$C$5:$BJ$204,0,$B24)&gt;0),--(INDEX(Matrix!$C$5:$BJ$204,0,AU$3)&gt;0)))</f>
        <v/>
      </c>
      <c r="AV24" s="12" t="str">
        <f aca="false">IF(OR($A24="",AV$4=""),"",SUMPRODUCT(--(INDEX(Matrix!$C$5:$BJ$204,0,$B24)&gt;0),--(INDEX(Matrix!$C$5:$BJ$204,0,AV$3)&gt;0)))</f>
        <v/>
      </c>
      <c r="AW24" s="12" t="str">
        <f aca="false">IF(OR($A24="",AW$4=""),"",SUMPRODUCT(--(INDEX(Matrix!$C$5:$BJ$204,0,$B24)&gt;0),--(INDEX(Matrix!$C$5:$BJ$204,0,AW$3)&gt;0)))</f>
        <v/>
      </c>
      <c r="AX24" s="12" t="str">
        <f aca="false">IF(OR($A24="",AX$4=""),"",SUMPRODUCT(--(INDEX(Matrix!$C$5:$BJ$204,0,$B24)&gt;0),--(INDEX(Matrix!$C$5:$BJ$204,0,AX$3)&gt;0)))</f>
        <v/>
      </c>
      <c r="AY24" s="12" t="str">
        <f aca="false">IF(OR($A24="",AY$4=""),"",SUMPRODUCT(--(INDEX(Matrix!$C$5:$BJ$204,0,$B24)&gt;0),--(INDEX(Matrix!$C$5:$BJ$204,0,AY$3)&gt;0)))</f>
        <v/>
      </c>
      <c r="AZ24" s="12" t="str">
        <f aca="false">IF(OR($A24="",AZ$4=""),"",SUMPRODUCT(--(INDEX(Matrix!$C$5:$BJ$204,0,$B24)&gt;0),--(INDEX(Matrix!$C$5:$BJ$204,0,AZ$3)&gt;0)))</f>
        <v/>
      </c>
      <c r="BA24" s="12" t="str">
        <f aca="false">IF(OR($A24="",BA$4=""),"",SUMPRODUCT(--(INDEX(Matrix!$C$5:$BJ$204,0,$B24)&gt;0),--(INDEX(Matrix!$C$5:$BJ$204,0,BA$3)&gt;0)))</f>
        <v/>
      </c>
      <c r="BB24" s="12" t="str">
        <f aca="false">IF(OR($A24="",BB$4=""),"",SUMPRODUCT(--(INDEX(Matrix!$C$5:$BJ$204,0,$B24)&gt;0),--(INDEX(Matrix!$C$5:$BJ$204,0,BB$3)&gt;0)))</f>
        <v/>
      </c>
      <c r="BC24" s="12" t="str">
        <f aca="false">IF(OR($A24="",BC$4=""),"",SUMPRODUCT(--(INDEX(Matrix!$C$5:$BJ$204,0,$B24)&gt;0),--(INDEX(Matrix!$C$5:$BJ$204,0,BC$3)&gt;0)))</f>
        <v/>
      </c>
      <c r="BD24" s="12" t="str">
        <f aca="false">IF(OR($A24="",BD$4=""),"",SUMPRODUCT(--(INDEX(Matrix!$C$5:$BJ$204,0,$B24)&gt;0),--(INDEX(Matrix!$C$5:$BJ$204,0,BD$3)&gt;0)))</f>
        <v/>
      </c>
      <c r="BE24" s="12" t="str">
        <f aca="false">IF(OR($A24="",BE$4=""),"",SUMPRODUCT(--(INDEX(Matrix!$C$5:$BJ$204,0,$B24)&gt;0),--(INDEX(Matrix!$C$5:$BJ$204,0,BE$3)&gt;0)))</f>
        <v/>
      </c>
      <c r="BF24" s="12" t="str">
        <f aca="false">IF(OR($A24="",BF$4=""),"",SUMPRODUCT(--(INDEX(Matrix!$C$5:$BJ$204,0,$B24)&gt;0),--(INDEX(Matrix!$C$5:$BJ$204,0,BF$3)&gt;0)))</f>
        <v/>
      </c>
      <c r="BG24" s="12" t="str">
        <f aca="false">IF(OR($A24="",BG$4=""),"",SUMPRODUCT(--(INDEX(Matrix!$C$5:$BJ$204,0,$B24)&gt;0),--(INDEX(Matrix!$C$5:$BJ$204,0,BG$3)&gt;0)))</f>
        <v/>
      </c>
      <c r="BH24" s="12" t="str">
        <f aca="false">IF(OR($A24="",BH$4=""),"",SUMPRODUCT(--(INDEX(Matrix!$C$5:$BJ$204,0,$B24)&gt;0),--(INDEX(Matrix!$C$5:$BJ$204,0,BH$3)&gt;0)))</f>
        <v/>
      </c>
      <c r="BI24" s="12" t="str">
        <f aca="false">IF(OR($A24="",BI$4=""),"",SUMPRODUCT(--(INDEX(Matrix!$C$5:$BJ$204,0,$B24)&gt;0),--(INDEX(Matrix!$C$5:$BJ$204,0,BI$3)&gt;0)))</f>
        <v/>
      </c>
      <c r="BJ24" s="12" t="str">
        <f aca="false">IF(OR($A24="",BJ$4=""),"",SUMPRODUCT(--(INDEX(Matrix!$C$5:$BJ$204,0,$B24)&gt;0),--(INDEX(Matrix!$C$5:$BJ$204,0,BJ$3)&gt;0)))</f>
        <v/>
      </c>
    </row>
    <row r="25" customFormat="false" ht="15" hidden="false" customHeight="false" outlineLevel="0" collapsed="false">
      <c r="A25" s="6" t="str">
        <f aca="false">IF(INDEX(Products!$A$2:$A$61,$B25)="","",INDEX(Products!$A$2:$A$61,$B25))</f>
        <v/>
      </c>
      <c r="B25" s="23" t="n">
        <v>21</v>
      </c>
      <c r="C25" s="12" t="str">
        <f aca="false">IF(OR($A25="",C$4=""),"",SUMPRODUCT(--(INDEX(Matrix!$C$5:$BJ$204,0,$B25)&gt;0),--(INDEX(Matrix!$C$5:$BJ$204,0,C$3)&gt;0)))</f>
        <v/>
      </c>
      <c r="D25" s="12" t="str">
        <f aca="false">IF(OR($A25="",D$4=""),"",SUMPRODUCT(--(INDEX(Matrix!$C$5:$BJ$204,0,$B25)&gt;0),--(INDEX(Matrix!$C$5:$BJ$204,0,D$3)&gt;0)))</f>
        <v/>
      </c>
      <c r="E25" s="12" t="str">
        <f aca="false">IF(OR($A25="",E$4=""),"",SUMPRODUCT(--(INDEX(Matrix!$C$5:$BJ$204,0,$B25)&gt;0),--(INDEX(Matrix!$C$5:$BJ$204,0,E$3)&gt;0)))</f>
        <v/>
      </c>
      <c r="F25" s="12" t="str">
        <f aca="false">IF(OR($A25="",F$4=""),"",SUMPRODUCT(--(INDEX(Matrix!$C$5:$BJ$204,0,$B25)&gt;0),--(INDEX(Matrix!$C$5:$BJ$204,0,F$3)&gt;0)))</f>
        <v/>
      </c>
      <c r="G25" s="12" t="str">
        <f aca="false">IF(OR($A25="",G$4=""),"",SUMPRODUCT(--(INDEX(Matrix!$C$5:$BJ$204,0,$B25)&gt;0),--(INDEX(Matrix!$C$5:$BJ$204,0,G$3)&gt;0)))</f>
        <v/>
      </c>
      <c r="H25" s="12" t="str">
        <f aca="false">IF(OR($A25="",H$4=""),"",SUMPRODUCT(--(INDEX(Matrix!$C$5:$BJ$204,0,$B25)&gt;0),--(INDEX(Matrix!$C$5:$BJ$204,0,H$3)&gt;0)))</f>
        <v/>
      </c>
      <c r="I25" s="12" t="str">
        <f aca="false">IF(OR($A25="",I$4=""),"",SUMPRODUCT(--(INDEX(Matrix!$C$5:$BJ$204,0,$B25)&gt;0),--(INDEX(Matrix!$C$5:$BJ$204,0,I$3)&gt;0)))</f>
        <v/>
      </c>
      <c r="J25" s="12" t="str">
        <f aca="false">IF(OR($A25="",J$4=""),"",SUMPRODUCT(--(INDEX(Matrix!$C$5:$BJ$204,0,$B25)&gt;0),--(INDEX(Matrix!$C$5:$BJ$204,0,J$3)&gt;0)))</f>
        <v/>
      </c>
      <c r="K25" s="12" t="str">
        <f aca="false">IF(OR($A25="",K$4=""),"",SUMPRODUCT(--(INDEX(Matrix!$C$5:$BJ$204,0,$B25)&gt;0),--(INDEX(Matrix!$C$5:$BJ$204,0,K$3)&gt;0)))</f>
        <v/>
      </c>
      <c r="L25" s="12" t="str">
        <f aca="false">IF(OR($A25="",L$4=""),"",SUMPRODUCT(--(INDEX(Matrix!$C$5:$BJ$204,0,$B25)&gt;0),--(INDEX(Matrix!$C$5:$BJ$204,0,L$3)&gt;0)))</f>
        <v/>
      </c>
      <c r="M25" s="12" t="str">
        <f aca="false">IF(OR($A25="",M$4=""),"",SUMPRODUCT(--(INDEX(Matrix!$C$5:$BJ$204,0,$B25)&gt;0),--(INDEX(Matrix!$C$5:$BJ$204,0,M$3)&gt;0)))</f>
        <v/>
      </c>
      <c r="N25" s="12" t="str">
        <f aca="false">IF(OR($A25="",N$4=""),"",SUMPRODUCT(--(INDEX(Matrix!$C$5:$BJ$204,0,$B25)&gt;0),--(INDEX(Matrix!$C$5:$BJ$204,0,N$3)&gt;0)))</f>
        <v/>
      </c>
      <c r="O25" s="12" t="str">
        <f aca="false">IF(OR($A25="",O$4=""),"",SUMPRODUCT(--(INDEX(Matrix!$C$5:$BJ$204,0,$B25)&gt;0),--(INDEX(Matrix!$C$5:$BJ$204,0,O$3)&gt;0)))</f>
        <v/>
      </c>
      <c r="P25" s="12" t="str">
        <f aca="false">IF(OR($A25="",P$4=""),"",SUMPRODUCT(--(INDEX(Matrix!$C$5:$BJ$204,0,$B25)&gt;0),--(INDEX(Matrix!$C$5:$BJ$204,0,P$3)&gt;0)))</f>
        <v/>
      </c>
      <c r="Q25" s="12" t="str">
        <f aca="false">IF(OR($A25="",Q$4=""),"",SUMPRODUCT(--(INDEX(Matrix!$C$5:$BJ$204,0,$B25)&gt;0),--(INDEX(Matrix!$C$5:$BJ$204,0,Q$3)&gt;0)))</f>
        <v/>
      </c>
      <c r="R25" s="12" t="str">
        <f aca="false">IF(OR($A25="",R$4=""),"",SUMPRODUCT(--(INDEX(Matrix!$C$5:$BJ$204,0,$B25)&gt;0),--(INDEX(Matrix!$C$5:$BJ$204,0,R$3)&gt;0)))</f>
        <v/>
      </c>
      <c r="S25" s="12" t="str">
        <f aca="false">IF(OR($A25="",S$4=""),"",SUMPRODUCT(--(INDEX(Matrix!$C$5:$BJ$204,0,$B25)&gt;0),--(INDEX(Matrix!$C$5:$BJ$204,0,S$3)&gt;0)))</f>
        <v/>
      </c>
      <c r="T25" s="12" t="str">
        <f aca="false">IF(OR($A25="",T$4=""),"",SUMPRODUCT(--(INDEX(Matrix!$C$5:$BJ$204,0,$B25)&gt;0),--(INDEX(Matrix!$C$5:$BJ$204,0,T$3)&gt;0)))</f>
        <v/>
      </c>
      <c r="U25" s="12" t="str">
        <f aca="false">IF(OR($A25="",U$4=""),"",SUMPRODUCT(--(INDEX(Matrix!$C$5:$BJ$204,0,$B25)&gt;0),--(INDEX(Matrix!$C$5:$BJ$204,0,U$3)&gt;0)))</f>
        <v/>
      </c>
      <c r="V25" s="12" t="str">
        <f aca="false">IF(OR($A25="",V$4=""),"",SUMPRODUCT(--(INDEX(Matrix!$C$5:$BJ$204,0,$B25)&gt;0),--(INDEX(Matrix!$C$5:$BJ$204,0,V$3)&gt;0)))</f>
        <v/>
      </c>
      <c r="W25" s="12" t="str">
        <f aca="false">IF(OR($A25="",W$4=""),"",SUMPRODUCT(--(INDEX(Matrix!$C$5:$BJ$204,0,$B25)&gt;0),--(INDEX(Matrix!$C$5:$BJ$204,0,W$3)&gt;0)))</f>
        <v/>
      </c>
      <c r="X25" s="12" t="str">
        <f aca="false">IF(OR($A25="",X$4=""),"",SUMPRODUCT(--(INDEX(Matrix!$C$5:$BJ$204,0,$B25)&gt;0),--(INDEX(Matrix!$C$5:$BJ$204,0,X$3)&gt;0)))</f>
        <v/>
      </c>
      <c r="Y25" s="12" t="str">
        <f aca="false">IF(OR($A25="",Y$4=""),"",SUMPRODUCT(--(INDEX(Matrix!$C$5:$BJ$204,0,$B25)&gt;0),--(INDEX(Matrix!$C$5:$BJ$204,0,Y$3)&gt;0)))</f>
        <v/>
      </c>
      <c r="Z25" s="12" t="str">
        <f aca="false">IF(OR($A25="",Z$4=""),"",SUMPRODUCT(--(INDEX(Matrix!$C$5:$BJ$204,0,$B25)&gt;0),--(INDEX(Matrix!$C$5:$BJ$204,0,Z$3)&gt;0)))</f>
        <v/>
      </c>
      <c r="AA25" s="12" t="str">
        <f aca="false">IF(OR($A25="",AA$4=""),"",SUMPRODUCT(--(INDEX(Matrix!$C$5:$BJ$204,0,$B25)&gt;0),--(INDEX(Matrix!$C$5:$BJ$204,0,AA$3)&gt;0)))</f>
        <v/>
      </c>
      <c r="AB25" s="12" t="str">
        <f aca="false">IF(OR($A25="",AB$4=""),"",SUMPRODUCT(--(INDEX(Matrix!$C$5:$BJ$204,0,$B25)&gt;0),--(INDEX(Matrix!$C$5:$BJ$204,0,AB$3)&gt;0)))</f>
        <v/>
      </c>
      <c r="AC25" s="12" t="str">
        <f aca="false">IF(OR($A25="",AC$4=""),"",SUMPRODUCT(--(INDEX(Matrix!$C$5:$BJ$204,0,$B25)&gt;0),--(INDEX(Matrix!$C$5:$BJ$204,0,AC$3)&gt;0)))</f>
        <v/>
      </c>
      <c r="AD25" s="12" t="str">
        <f aca="false">IF(OR($A25="",AD$4=""),"",SUMPRODUCT(--(INDEX(Matrix!$C$5:$BJ$204,0,$B25)&gt;0),--(INDEX(Matrix!$C$5:$BJ$204,0,AD$3)&gt;0)))</f>
        <v/>
      </c>
      <c r="AE25" s="12" t="str">
        <f aca="false">IF(OR($A25="",AE$4=""),"",SUMPRODUCT(--(INDEX(Matrix!$C$5:$BJ$204,0,$B25)&gt;0),--(INDEX(Matrix!$C$5:$BJ$204,0,AE$3)&gt;0)))</f>
        <v/>
      </c>
      <c r="AF25" s="12" t="str">
        <f aca="false">IF(OR($A25="",AF$4=""),"",SUMPRODUCT(--(INDEX(Matrix!$C$5:$BJ$204,0,$B25)&gt;0),--(INDEX(Matrix!$C$5:$BJ$204,0,AF$3)&gt;0)))</f>
        <v/>
      </c>
      <c r="AG25" s="12" t="str">
        <f aca="false">IF(OR($A25="",AG$4=""),"",SUMPRODUCT(--(INDEX(Matrix!$C$5:$BJ$204,0,$B25)&gt;0),--(INDEX(Matrix!$C$5:$BJ$204,0,AG$3)&gt;0)))</f>
        <v/>
      </c>
      <c r="AH25" s="12" t="str">
        <f aca="false">IF(OR($A25="",AH$4=""),"",SUMPRODUCT(--(INDEX(Matrix!$C$5:$BJ$204,0,$B25)&gt;0),--(INDEX(Matrix!$C$5:$BJ$204,0,AH$3)&gt;0)))</f>
        <v/>
      </c>
      <c r="AI25" s="12" t="str">
        <f aca="false">IF(OR($A25="",AI$4=""),"",SUMPRODUCT(--(INDEX(Matrix!$C$5:$BJ$204,0,$B25)&gt;0),--(INDEX(Matrix!$C$5:$BJ$204,0,AI$3)&gt;0)))</f>
        <v/>
      </c>
      <c r="AJ25" s="12" t="str">
        <f aca="false">IF(OR($A25="",AJ$4=""),"",SUMPRODUCT(--(INDEX(Matrix!$C$5:$BJ$204,0,$B25)&gt;0),--(INDEX(Matrix!$C$5:$BJ$204,0,AJ$3)&gt;0)))</f>
        <v/>
      </c>
      <c r="AK25" s="12" t="str">
        <f aca="false">IF(OR($A25="",AK$4=""),"",SUMPRODUCT(--(INDEX(Matrix!$C$5:$BJ$204,0,$B25)&gt;0),--(INDEX(Matrix!$C$5:$BJ$204,0,AK$3)&gt;0)))</f>
        <v/>
      </c>
      <c r="AL25" s="12" t="str">
        <f aca="false">IF(OR($A25="",AL$4=""),"",SUMPRODUCT(--(INDEX(Matrix!$C$5:$BJ$204,0,$B25)&gt;0),--(INDEX(Matrix!$C$5:$BJ$204,0,AL$3)&gt;0)))</f>
        <v/>
      </c>
      <c r="AM25" s="12" t="str">
        <f aca="false">IF(OR($A25="",AM$4=""),"",SUMPRODUCT(--(INDEX(Matrix!$C$5:$BJ$204,0,$B25)&gt;0),--(INDEX(Matrix!$C$5:$BJ$204,0,AM$3)&gt;0)))</f>
        <v/>
      </c>
      <c r="AN25" s="12" t="str">
        <f aca="false">IF(OR($A25="",AN$4=""),"",SUMPRODUCT(--(INDEX(Matrix!$C$5:$BJ$204,0,$B25)&gt;0),--(INDEX(Matrix!$C$5:$BJ$204,0,AN$3)&gt;0)))</f>
        <v/>
      </c>
      <c r="AO25" s="12" t="str">
        <f aca="false">IF(OR($A25="",AO$4=""),"",SUMPRODUCT(--(INDEX(Matrix!$C$5:$BJ$204,0,$B25)&gt;0),--(INDEX(Matrix!$C$5:$BJ$204,0,AO$3)&gt;0)))</f>
        <v/>
      </c>
      <c r="AP25" s="12" t="str">
        <f aca="false">IF(OR($A25="",AP$4=""),"",SUMPRODUCT(--(INDEX(Matrix!$C$5:$BJ$204,0,$B25)&gt;0),--(INDEX(Matrix!$C$5:$BJ$204,0,AP$3)&gt;0)))</f>
        <v/>
      </c>
      <c r="AQ25" s="12" t="str">
        <f aca="false">IF(OR($A25="",AQ$4=""),"",SUMPRODUCT(--(INDEX(Matrix!$C$5:$BJ$204,0,$B25)&gt;0),--(INDEX(Matrix!$C$5:$BJ$204,0,AQ$3)&gt;0)))</f>
        <v/>
      </c>
      <c r="AR25" s="12" t="str">
        <f aca="false">IF(OR($A25="",AR$4=""),"",SUMPRODUCT(--(INDEX(Matrix!$C$5:$BJ$204,0,$B25)&gt;0),--(INDEX(Matrix!$C$5:$BJ$204,0,AR$3)&gt;0)))</f>
        <v/>
      </c>
      <c r="AS25" s="12" t="str">
        <f aca="false">IF(OR($A25="",AS$4=""),"",SUMPRODUCT(--(INDEX(Matrix!$C$5:$BJ$204,0,$B25)&gt;0),--(INDEX(Matrix!$C$5:$BJ$204,0,AS$3)&gt;0)))</f>
        <v/>
      </c>
      <c r="AT25" s="12" t="str">
        <f aca="false">IF(OR($A25="",AT$4=""),"",SUMPRODUCT(--(INDEX(Matrix!$C$5:$BJ$204,0,$B25)&gt;0),--(INDEX(Matrix!$C$5:$BJ$204,0,AT$3)&gt;0)))</f>
        <v/>
      </c>
      <c r="AU25" s="12" t="str">
        <f aca="false">IF(OR($A25="",AU$4=""),"",SUMPRODUCT(--(INDEX(Matrix!$C$5:$BJ$204,0,$B25)&gt;0),--(INDEX(Matrix!$C$5:$BJ$204,0,AU$3)&gt;0)))</f>
        <v/>
      </c>
      <c r="AV25" s="12" t="str">
        <f aca="false">IF(OR($A25="",AV$4=""),"",SUMPRODUCT(--(INDEX(Matrix!$C$5:$BJ$204,0,$B25)&gt;0),--(INDEX(Matrix!$C$5:$BJ$204,0,AV$3)&gt;0)))</f>
        <v/>
      </c>
      <c r="AW25" s="12" t="str">
        <f aca="false">IF(OR($A25="",AW$4=""),"",SUMPRODUCT(--(INDEX(Matrix!$C$5:$BJ$204,0,$B25)&gt;0),--(INDEX(Matrix!$C$5:$BJ$204,0,AW$3)&gt;0)))</f>
        <v/>
      </c>
      <c r="AX25" s="12" t="str">
        <f aca="false">IF(OR($A25="",AX$4=""),"",SUMPRODUCT(--(INDEX(Matrix!$C$5:$BJ$204,0,$B25)&gt;0),--(INDEX(Matrix!$C$5:$BJ$204,0,AX$3)&gt;0)))</f>
        <v/>
      </c>
      <c r="AY25" s="12" t="str">
        <f aca="false">IF(OR($A25="",AY$4=""),"",SUMPRODUCT(--(INDEX(Matrix!$C$5:$BJ$204,0,$B25)&gt;0),--(INDEX(Matrix!$C$5:$BJ$204,0,AY$3)&gt;0)))</f>
        <v/>
      </c>
      <c r="AZ25" s="12" t="str">
        <f aca="false">IF(OR($A25="",AZ$4=""),"",SUMPRODUCT(--(INDEX(Matrix!$C$5:$BJ$204,0,$B25)&gt;0),--(INDEX(Matrix!$C$5:$BJ$204,0,AZ$3)&gt;0)))</f>
        <v/>
      </c>
      <c r="BA25" s="12" t="str">
        <f aca="false">IF(OR($A25="",BA$4=""),"",SUMPRODUCT(--(INDEX(Matrix!$C$5:$BJ$204,0,$B25)&gt;0),--(INDEX(Matrix!$C$5:$BJ$204,0,BA$3)&gt;0)))</f>
        <v/>
      </c>
      <c r="BB25" s="12" t="str">
        <f aca="false">IF(OR($A25="",BB$4=""),"",SUMPRODUCT(--(INDEX(Matrix!$C$5:$BJ$204,0,$B25)&gt;0),--(INDEX(Matrix!$C$5:$BJ$204,0,BB$3)&gt;0)))</f>
        <v/>
      </c>
      <c r="BC25" s="12" t="str">
        <f aca="false">IF(OR($A25="",BC$4=""),"",SUMPRODUCT(--(INDEX(Matrix!$C$5:$BJ$204,0,$B25)&gt;0),--(INDEX(Matrix!$C$5:$BJ$204,0,BC$3)&gt;0)))</f>
        <v/>
      </c>
      <c r="BD25" s="12" t="str">
        <f aca="false">IF(OR($A25="",BD$4=""),"",SUMPRODUCT(--(INDEX(Matrix!$C$5:$BJ$204,0,$B25)&gt;0),--(INDEX(Matrix!$C$5:$BJ$204,0,BD$3)&gt;0)))</f>
        <v/>
      </c>
      <c r="BE25" s="12" t="str">
        <f aca="false">IF(OR($A25="",BE$4=""),"",SUMPRODUCT(--(INDEX(Matrix!$C$5:$BJ$204,0,$B25)&gt;0),--(INDEX(Matrix!$C$5:$BJ$204,0,BE$3)&gt;0)))</f>
        <v/>
      </c>
      <c r="BF25" s="12" t="str">
        <f aca="false">IF(OR($A25="",BF$4=""),"",SUMPRODUCT(--(INDEX(Matrix!$C$5:$BJ$204,0,$B25)&gt;0),--(INDEX(Matrix!$C$5:$BJ$204,0,BF$3)&gt;0)))</f>
        <v/>
      </c>
      <c r="BG25" s="12" t="str">
        <f aca="false">IF(OR($A25="",BG$4=""),"",SUMPRODUCT(--(INDEX(Matrix!$C$5:$BJ$204,0,$B25)&gt;0),--(INDEX(Matrix!$C$5:$BJ$204,0,BG$3)&gt;0)))</f>
        <v/>
      </c>
      <c r="BH25" s="12" t="str">
        <f aca="false">IF(OR($A25="",BH$4=""),"",SUMPRODUCT(--(INDEX(Matrix!$C$5:$BJ$204,0,$B25)&gt;0),--(INDEX(Matrix!$C$5:$BJ$204,0,BH$3)&gt;0)))</f>
        <v/>
      </c>
      <c r="BI25" s="12" t="str">
        <f aca="false">IF(OR($A25="",BI$4=""),"",SUMPRODUCT(--(INDEX(Matrix!$C$5:$BJ$204,0,$B25)&gt;0),--(INDEX(Matrix!$C$5:$BJ$204,0,BI$3)&gt;0)))</f>
        <v/>
      </c>
      <c r="BJ25" s="12" t="str">
        <f aca="false">IF(OR($A25="",BJ$4=""),"",SUMPRODUCT(--(INDEX(Matrix!$C$5:$BJ$204,0,$B25)&gt;0),--(INDEX(Matrix!$C$5:$BJ$204,0,BJ$3)&gt;0)))</f>
        <v/>
      </c>
    </row>
    <row r="26" customFormat="false" ht="15" hidden="false" customHeight="false" outlineLevel="0" collapsed="false">
      <c r="A26" s="6" t="str">
        <f aca="false">IF(INDEX(Products!$A$2:$A$61,$B26)="","",INDEX(Products!$A$2:$A$61,$B26))</f>
        <v/>
      </c>
      <c r="B26" s="23" t="n">
        <v>22</v>
      </c>
      <c r="C26" s="12" t="str">
        <f aca="false">IF(OR($A26="",C$4=""),"",SUMPRODUCT(--(INDEX(Matrix!$C$5:$BJ$204,0,$B26)&gt;0),--(INDEX(Matrix!$C$5:$BJ$204,0,C$3)&gt;0)))</f>
        <v/>
      </c>
      <c r="D26" s="12" t="str">
        <f aca="false">IF(OR($A26="",D$4=""),"",SUMPRODUCT(--(INDEX(Matrix!$C$5:$BJ$204,0,$B26)&gt;0),--(INDEX(Matrix!$C$5:$BJ$204,0,D$3)&gt;0)))</f>
        <v/>
      </c>
      <c r="E26" s="12" t="str">
        <f aca="false">IF(OR($A26="",E$4=""),"",SUMPRODUCT(--(INDEX(Matrix!$C$5:$BJ$204,0,$B26)&gt;0),--(INDEX(Matrix!$C$5:$BJ$204,0,E$3)&gt;0)))</f>
        <v/>
      </c>
      <c r="F26" s="12" t="str">
        <f aca="false">IF(OR($A26="",F$4=""),"",SUMPRODUCT(--(INDEX(Matrix!$C$5:$BJ$204,0,$B26)&gt;0),--(INDEX(Matrix!$C$5:$BJ$204,0,F$3)&gt;0)))</f>
        <v/>
      </c>
      <c r="G26" s="12" t="str">
        <f aca="false">IF(OR($A26="",G$4=""),"",SUMPRODUCT(--(INDEX(Matrix!$C$5:$BJ$204,0,$B26)&gt;0),--(INDEX(Matrix!$C$5:$BJ$204,0,G$3)&gt;0)))</f>
        <v/>
      </c>
      <c r="H26" s="12" t="str">
        <f aca="false">IF(OR($A26="",H$4=""),"",SUMPRODUCT(--(INDEX(Matrix!$C$5:$BJ$204,0,$B26)&gt;0),--(INDEX(Matrix!$C$5:$BJ$204,0,H$3)&gt;0)))</f>
        <v/>
      </c>
      <c r="I26" s="12" t="str">
        <f aca="false">IF(OR($A26="",I$4=""),"",SUMPRODUCT(--(INDEX(Matrix!$C$5:$BJ$204,0,$B26)&gt;0),--(INDEX(Matrix!$C$5:$BJ$204,0,I$3)&gt;0)))</f>
        <v/>
      </c>
      <c r="J26" s="12" t="str">
        <f aca="false">IF(OR($A26="",J$4=""),"",SUMPRODUCT(--(INDEX(Matrix!$C$5:$BJ$204,0,$B26)&gt;0),--(INDEX(Matrix!$C$5:$BJ$204,0,J$3)&gt;0)))</f>
        <v/>
      </c>
      <c r="K26" s="12" t="str">
        <f aca="false">IF(OR($A26="",K$4=""),"",SUMPRODUCT(--(INDEX(Matrix!$C$5:$BJ$204,0,$B26)&gt;0),--(INDEX(Matrix!$C$5:$BJ$204,0,K$3)&gt;0)))</f>
        <v/>
      </c>
      <c r="L26" s="12" t="str">
        <f aca="false">IF(OR($A26="",L$4=""),"",SUMPRODUCT(--(INDEX(Matrix!$C$5:$BJ$204,0,$B26)&gt;0),--(INDEX(Matrix!$C$5:$BJ$204,0,L$3)&gt;0)))</f>
        <v/>
      </c>
      <c r="M26" s="12" t="str">
        <f aca="false">IF(OR($A26="",M$4=""),"",SUMPRODUCT(--(INDEX(Matrix!$C$5:$BJ$204,0,$B26)&gt;0),--(INDEX(Matrix!$C$5:$BJ$204,0,M$3)&gt;0)))</f>
        <v/>
      </c>
      <c r="N26" s="12" t="str">
        <f aca="false">IF(OR($A26="",N$4=""),"",SUMPRODUCT(--(INDEX(Matrix!$C$5:$BJ$204,0,$B26)&gt;0),--(INDEX(Matrix!$C$5:$BJ$204,0,N$3)&gt;0)))</f>
        <v/>
      </c>
      <c r="O26" s="12" t="str">
        <f aca="false">IF(OR($A26="",O$4=""),"",SUMPRODUCT(--(INDEX(Matrix!$C$5:$BJ$204,0,$B26)&gt;0),--(INDEX(Matrix!$C$5:$BJ$204,0,O$3)&gt;0)))</f>
        <v/>
      </c>
      <c r="P26" s="12" t="str">
        <f aca="false">IF(OR($A26="",P$4=""),"",SUMPRODUCT(--(INDEX(Matrix!$C$5:$BJ$204,0,$B26)&gt;0),--(INDEX(Matrix!$C$5:$BJ$204,0,P$3)&gt;0)))</f>
        <v/>
      </c>
      <c r="Q26" s="12" t="str">
        <f aca="false">IF(OR($A26="",Q$4=""),"",SUMPRODUCT(--(INDEX(Matrix!$C$5:$BJ$204,0,$B26)&gt;0),--(INDEX(Matrix!$C$5:$BJ$204,0,Q$3)&gt;0)))</f>
        <v/>
      </c>
      <c r="R26" s="12" t="str">
        <f aca="false">IF(OR($A26="",R$4=""),"",SUMPRODUCT(--(INDEX(Matrix!$C$5:$BJ$204,0,$B26)&gt;0),--(INDEX(Matrix!$C$5:$BJ$204,0,R$3)&gt;0)))</f>
        <v/>
      </c>
      <c r="S26" s="12" t="str">
        <f aca="false">IF(OR($A26="",S$4=""),"",SUMPRODUCT(--(INDEX(Matrix!$C$5:$BJ$204,0,$B26)&gt;0),--(INDEX(Matrix!$C$5:$BJ$204,0,S$3)&gt;0)))</f>
        <v/>
      </c>
      <c r="T26" s="12" t="str">
        <f aca="false">IF(OR($A26="",T$4=""),"",SUMPRODUCT(--(INDEX(Matrix!$C$5:$BJ$204,0,$B26)&gt;0),--(INDEX(Matrix!$C$5:$BJ$204,0,T$3)&gt;0)))</f>
        <v/>
      </c>
      <c r="U26" s="12" t="str">
        <f aca="false">IF(OR($A26="",U$4=""),"",SUMPRODUCT(--(INDEX(Matrix!$C$5:$BJ$204,0,$B26)&gt;0),--(INDEX(Matrix!$C$5:$BJ$204,0,U$3)&gt;0)))</f>
        <v/>
      </c>
      <c r="V26" s="12" t="str">
        <f aca="false">IF(OR($A26="",V$4=""),"",SUMPRODUCT(--(INDEX(Matrix!$C$5:$BJ$204,0,$B26)&gt;0),--(INDEX(Matrix!$C$5:$BJ$204,0,V$3)&gt;0)))</f>
        <v/>
      </c>
      <c r="W26" s="12" t="str">
        <f aca="false">IF(OR($A26="",W$4=""),"",SUMPRODUCT(--(INDEX(Matrix!$C$5:$BJ$204,0,$B26)&gt;0),--(INDEX(Matrix!$C$5:$BJ$204,0,W$3)&gt;0)))</f>
        <v/>
      </c>
      <c r="X26" s="12" t="str">
        <f aca="false">IF(OR($A26="",X$4=""),"",SUMPRODUCT(--(INDEX(Matrix!$C$5:$BJ$204,0,$B26)&gt;0),--(INDEX(Matrix!$C$5:$BJ$204,0,X$3)&gt;0)))</f>
        <v/>
      </c>
      <c r="Y26" s="12" t="str">
        <f aca="false">IF(OR($A26="",Y$4=""),"",SUMPRODUCT(--(INDEX(Matrix!$C$5:$BJ$204,0,$B26)&gt;0),--(INDEX(Matrix!$C$5:$BJ$204,0,Y$3)&gt;0)))</f>
        <v/>
      </c>
      <c r="Z26" s="12" t="str">
        <f aca="false">IF(OR($A26="",Z$4=""),"",SUMPRODUCT(--(INDEX(Matrix!$C$5:$BJ$204,0,$B26)&gt;0),--(INDEX(Matrix!$C$5:$BJ$204,0,Z$3)&gt;0)))</f>
        <v/>
      </c>
      <c r="AA26" s="12" t="str">
        <f aca="false">IF(OR($A26="",AA$4=""),"",SUMPRODUCT(--(INDEX(Matrix!$C$5:$BJ$204,0,$B26)&gt;0),--(INDEX(Matrix!$C$5:$BJ$204,0,AA$3)&gt;0)))</f>
        <v/>
      </c>
      <c r="AB26" s="12" t="str">
        <f aca="false">IF(OR($A26="",AB$4=""),"",SUMPRODUCT(--(INDEX(Matrix!$C$5:$BJ$204,0,$B26)&gt;0),--(INDEX(Matrix!$C$5:$BJ$204,0,AB$3)&gt;0)))</f>
        <v/>
      </c>
      <c r="AC26" s="12" t="str">
        <f aca="false">IF(OR($A26="",AC$4=""),"",SUMPRODUCT(--(INDEX(Matrix!$C$5:$BJ$204,0,$B26)&gt;0),--(INDEX(Matrix!$C$5:$BJ$204,0,AC$3)&gt;0)))</f>
        <v/>
      </c>
      <c r="AD26" s="12" t="str">
        <f aca="false">IF(OR($A26="",AD$4=""),"",SUMPRODUCT(--(INDEX(Matrix!$C$5:$BJ$204,0,$B26)&gt;0),--(INDEX(Matrix!$C$5:$BJ$204,0,AD$3)&gt;0)))</f>
        <v/>
      </c>
      <c r="AE26" s="12" t="str">
        <f aca="false">IF(OR($A26="",AE$4=""),"",SUMPRODUCT(--(INDEX(Matrix!$C$5:$BJ$204,0,$B26)&gt;0),--(INDEX(Matrix!$C$5:$BJ$204,0,AE$3)&gt;0)))</f>
        <v/>
      </c>
      <c r="AF26" s="12" t="str">
        <f aca="false">IF(OR($A26="",AF$4=""),"",SUMPRODUCT(--(INDEX(Matrix!$C$5:$BJ$204,0,$B26)&gt;0),--(INDEX(Matrix!$C$5:$BJ$204,0,AF$3)&gt;0)))</f>
        <v/>
      </c>
      <c r="AG26" s="12" t="str">
        <f aca="false">IF(OR($A26="",AG$4=""),"",SUMPRODUCT(--(INDEX(Matrix!$C$5:$BJ$204,0,$B26)&gt;0),--(INDEX(Matrix!$C$5:$BJ$204,0,AG$3)&gt;0)))</f>
        <v/>
      </c>
      <c r="AH26" s="12" t="str">
        <f aca="false">IF(OR($A26="",AH$4=""),"",SUMPRODUCT(--(INDEX(Matrix!$C$5:$BJ$204,0,$B26)&gt;0),--(INDEX(Matrix!$C$5:$BJ$204,0,AH$3)&gt;0)))</f>
        <v/>
      </c>
      <c r="AI26" s="12" t="str">
        <f aca="false">IF(OR($A26="",AI$4=""),"",SUMPRODUCT(--(INDEX(Matrix!$C$5:$BJ$204,0,$B26)&gt;0),--(INDEX(Matrix!$C$5:$BJ$204,0,AI$3)&gt;0)))</f>
        <v/>
      </c>
      <c r="AJ26" s="12" t="str">
        <f aca="false">IF(OR($A26="",AJ$4=""),"",SUMPRODUCT(--(INDEX(Matrix!$C$5:$BJ$204,0,$B26)&gt;0),--(INDEX(Matrix!$C$5:$BJ$204,0,AJ$3)&gt;0)))</f>
        <v/>
      </c>
      <c r="AK26" s="12" t="str">
        <f aca="false">IF(OR($A26="",AK$4=""),"",SUMPRODUCT(--(INDEX(Matrix!$C$5:$BJ$204,0,$B26)&gt;0),--(INDEX(Matrix!$C$5:$BJ$204,0,AK$3)&gt;0)))</f>
        <v/>
      </c>
      <c r="AL26" s="12" t="str">
        <f aca="false">IF(OR($A26="",AL$4=""),"",SUMPRODUCT(--(INDEX(Matrix!$C$5:$BJ$204,0,$B26)&gt;0),--(INDEX(Matrix!$C$5:$BJ$204,0,AL$3)&gt;0)))</f>
        <v/>
      </c>
      <c r="AM26" s="12" t="str">
        <f aca="false">IF(OR($A26="",AM$4=""),"",SUMPRODUCT(--(INDEX(Matrix!$C$5:$BJ$204,0,$B26)&gt;0),--(INDEX(Matrix!$C$5:$BJ$204,0,AM$3)&gt;0)))</f>
        <v/>
      </c>
      <c r="AN26" s="12" t="str">
        <f aca="false">IF(OR($A26="",AN$4=""),"",SUMPRODUCT(--(INDEX(Matrix!$C$5:$BJ$204,0,$B26)&gt;0),--(INDEX(Matrix!$C$5:$BJ$204,0,AN$3)&gt;0)))</f>
        <v/>
      </c>
      <c r="AO26" s="12" t="str">
        <f aca="false">IF(OR($A26="",AO$4=""),"",SUMPRODUCT(--(INDEX(Matrix!$C$5:$BJ$204,0,$B26)&gt;0),--(INDEX(Matrix!$C$5:$BJ$204,0,AO$3)&gt;0)))</f>
        <v/>
      </c>
      <c r="AP26" s="12" t="str">
        <f aca="false">IF(OR($A26="",AP$4=""),"",SUMPRODUCT(--(INDEX(Matrix!$C$5:$BJ$204,0,$B26)&gt;0),--(INDEX(Matrix!$C$5:$BJ$204,0,AP$3)&gt;0)))</f>
        <v/>
      </c>
      <c r="AQ26" s="12" t="str">
        <f aca="false">IF(OR($A26="",AQ$4=""),"",SUMPRODUCT(--(INDEX(Matrix!$C$5:$BJ$204,0,$B26)&gt;0),--(INDEX(Matrix!$C$5:$BJ$204,0,AQ$3)&gt;0)))</f>
        <v/>
      </c>
      <c r="AR26" s="12" t="str">
        <f aca="false">IF(OR($A26="",AR$4=""),"",SUMPRODUCT(--(INDEX(Matrix!$C$5:$BJ$204,0,$B26)&gt;0),--(INDEX(Matrix!$C$5:$BJ$204,0,AR$3)&gt;0)))</f>
        <v/>
      </c>
      <c r="AS26" s="12" t="str">
        <f aca="false">IF(OR($A26="",AS$4=""),"",SUMPRODUCT(--(INDEX(Matrix!$C$5:$BJ$204,0,$B26)&gt;0),--(INDEX(Matrix!$C$5:$BJ$204,0,AS$3)&gt;0)))</f>
        <v/>
      </c>
      <c r="AT26" s="12" t="str">
        <f aca="false">IF(OR($A26="",AT$4=""),"",SUMPRODUCT(--(INDEX(Matrix!$C$5:$BJ$204,0,$B26)&gt;0),--(INDEX(Matrix!$C$5:$BJ$204,0,AT$3)&gt;0)))</f>
        <v/>
      </c>
      <c r="AU26" s="12" t="str">
        <f aca="false">IF(OR($A26="",AU$4=""),"",SUMPRODUCT(--(INDEX(Matrix!$C$5:$BJ$204,0,$B26)&gt;0),--(INDEX(Matrix!$C$5:$BJ$204,0,AU$3)&gt;0)))</f>
        <v/>
      </c>
      <c r="AV26" s="12" t="str">
        <f aca="false">IF(OR($A26="",AV$4=""),"",SUMPRODUCT(--(INDEX(Matrix!$C$5:$BJ$204,0,$B26)&gt;0),--(INDEX(Matrix!$C$5:$BJ$204,0,AV$3)&gt;0)))</f>
        <v/>
      </c>
      <c r="AW26" s="12" t="str">
        <f aca="false">IF(OR($A26="",AW$4=""),"",SUMPRODUCT(--(INDEX(Matrix!$C$5:$BJ$204,0,$B26)&gt;0),--(INDEX(Matrix!$C$5:$BJ$204,0,AW$3)&gt;0)))</f>
        <v/>
      </c>
      <c r="AX26" s="12" t="str">
        <f aca="false">IF(OR($A26="",AX$4=""),"",SUMPRODUCT(--(INDEX(Matrix!$C$5:$BJ$204,0,$B26)&gt;0),--(INDEX(Matrix!$C$5:$BJ$204,0,AX$3)&gt;0)))</f>
        <v/>
      </c>
      <c r="AY26" s="12" t="str">
        <f aca="false">IF(OR($A26="",AY$4=""),"",SUMPRODUCT(--(INDEX(Matrix!$C$5:$BJ$204,0,$B26)&gt;0),--(INDEX(Matrix!$C$5:$BJ$204,0,AY$3)&gt;0)))</f>
        <v/>
      </c>
      <c r="AZ26" s="12" t="str">
        <f aca="false">IF(OR($A26="",AZ$4=""),"",SUMPRODUCT(--(INDEX(Matrix!$C$5:$BJ$204,0,$B26)&gt;0),--(INDEX(Matrix!$C$5:$BJ$204,0,AZ$3)&gt;0)))</f>
        <v/>
      </c>
      <c r="BA26" s="12" t="str">
        <f aca="false">IF(OR($A26="",BA$4=""),"",SUMPRODUCT(--(INDEX(Matrix!$C$5:$BJ$204,0,$B26)&gt;0),--(INDEX(Matrix!$C$5:$BJ$204,0,BA$3)&gt;0)))</f>
        <v/>
      </c>
      <c r="BB26" s="12" t="str">
        <f aca="false">IF(OR($A26="",BB$4=""),"",SUMPRODUCT(--(INDEX(Matrix!$C$5:$BJ$204,0,$B26)&gt;0),--(INDEX(Matrix!$C$5:$BJ$204,0,BB$3)&gt;0)))</f>
        <v/>
      </c>
      <c r="BC26" s="12" t="str">
        <f aca="false">IF(OR($A26="",BC$4=""),"",SUMPRODUCT(--(INDEX(Matrix!$C$5:$BJ$204,0,$B26)&gt;0),--(INDEX(Matrix!$C$5:$BJ$204,0,BC$3)&gt;0)))</f>
        <v/>
      </c>
      <c r="BD26" s="12" t="str">
        <f aca="false">IF(OR($A26="",BD$4=""),"",SUMPRODUCT(--(INDEX(Matrix!$C$5:$BJ$204,0,$B26)&gt;0),--(INDEX(Matrix!$C$5:$BJ$204,0,BD$3)&gt;0)))</f>
        <v/>
      </c>
      <c r="BE26" s="12" t="str">
        <f aca="false">IF(OR($A26="",BE$4=""),"",SUMPRODUCT(--(INDEX(Matrix!$C$5:$BJ$204,0,$B26)&gt;0),--(INDEX(Matrix!$C$5:$BJ$204,0,BE$3)&gt;0)))</f>
        <v/>
      </c>
      <c r="BF26" s="12" t="str">
        <f aca="false">IF(OR($A26="",BF$4=""),"",SUMPRODUCT(--(INDEX(Matrix!$C$5:$BJ$204,0,$B26)&gt;0),--(INDEX(Matrix!$C$5:$BJ$204,0,BF$3)&gt;0)))</f>
        <v/>
      </c>
      <c r="BG26" s="12" t="str">
        <f aca="false">IF(OR($A26="",BG$4=""),"",SUMPRODUCT(--(INDEX(Matrix!$C$5:$BJ$204,0,$B26)&gt;0),--(INDEX(Matrix!$C$5:$BJ$204,0,BG$3)&gt;0)))</f>
        <v/>
      </c>
      <c r="BH26" s="12" t="str">
        <f aca="false">IF(OR($A26="",BH$4=""),"",SUMPRODUCT(--(INDEX(Matrix!$C$5:$BJ$204,0,$B26)&gt;0),--(INDEX(Matrix!$C$5:$BJ$204,0,BH$3)&gt;0)))</f>
        <v/>
      </c>
      <c r="BI26" s="12" t="str">
        <f aca="false">IF(OR($A26="",BI$4=""),"",SUMPRODUCT(--(INDEX(Matrix!$C$5:$BJ$204,0,$B26)&gt;0),--(INDEX(Matrix!$C$5:$BJ$204,0,BI$3)&gt;0)))</f>
        <v/>
      </c>
      <c r="BJ26" s="12" t="str">
        <f aca="false">IF(OR($A26="",BJ$4=""),"",SUMPRODUCT(--(INDEX(Matrix!$C$5:$BJ$204,0,$B26)&gt;0),--(INDEX(Matrix!$C$5:$BJ$204,0,BJ$3)&gt;0)))</f>
        <v/>
      </c>
    </row>
    <row r="27" customFormat="false" ht="15" hidden="false" customHeight="false" outlineLevel="0" collapsed="false">
      <c r="A27" s="6" t="str">
        <f aca="false">IF(INDEX(Products!$A$2:$A$61,$B27)="","",INDEX(Products!$A$2:$A$61,$B27))</f>
        <v/>
      </c>
      <c r="B27" s="23" t="n">
        <v>23</v>
      </c>
      <c r="C27" s="12" t="str">
        <f aca="false">IF(OR($A27="",C$4=""),"",SUMPRODUCT(--(INDEX(Matrix!$C$5:$BJ$204,0,$B27)&gt;0),--(INDEX(Matrix!$C$5:$BJ$204,0,C$3)&gt;0)))</f>
        <v/>
      </c>
      <c r="D27" s="12" t="str">
        <f aca="false">IF(OR($A27="",D$4=""),"",SUMPRODUCT(--(INDEX(Matrix!$C$5:$BJ$204,0,$B27)&gt;0),--(INDEX(Matrix!$C$5:$BJ$204,0,D$3)&gt;0)))</f>
        <v/>
      </c>
      <c r="E27" s="12" t="str">
        <f aca="false">IF(OR($A27="",E$4=""),"",SUMPRODUCT(--(INDEX(Matrix!$C$5:$BJ$204,0,$B27)&gt;0),--(INDEX(Matrix!$C$5:$BJ$204,0,E$3)&gt;0)))</f>
        <v/>
      </c>
      <c r="F27" s="12" t="str">
        <f aca="false">IF(OR($A27="",F$4=""),"",SUMPRODUCT(--(INDEX(Matrix!$C$5:$BJ$204,0,$B27)&gt;0),--(INDEX(Matrix!$C$5:$BJ$204,0,F$3)&gt;0)))</f>
        <v/>
      </c>
      <c r="G27" s="12" t="str">
        <f aca="false">IF(OR($A27="",G$4=""),"",SUMPRODUCT(--(INDEX(Matrix!$C$5:$BJ$204,0,$B27)&gt;0),--(INDEX(Matrix!$C$5:$BJ$204,0,G$3)&gt;0)))</f>
        <v/>
      </c>
      <c r="H27" s="12" t="str">
        <f aca="false">IF(OR($A27="",H$4=""),"",SUMPRODUCT(--(INDEX(Matrix!$C$5:$BJ$204,0,$B27)&gt;0),--(INDEX(Matrix!$C$5:$BJ$204,0,H$3)&gt;0)))</f>
        <v/>
      </c>
      <c r="I27" s="12" t="str">
        <f aca="false">IF(OR($A27="",I$4=""),"",SUMPRODUCT(--(INDEX(Matrix!$C$5:$BJ$204,0,$B27)&gt;0),--(INDEX(Matrix!$C$5:$BJ$204,0,I$3)&gt;0)))</f>
        <v/>
      </c>
      <c r="J27" s="12" t="str">
        <f aca="false">IF(OR($A27="",J$4=""),"",SUMPRODUCT(--(INDEX(Matrix!$C$5:$BJ$204,0,$B27)&gt;0),--(INDEX(Matrix!$C$5:$BJ$204,0,J$3)&gt;0)))</f>
        <v/>
      </c>
      <c r="K27" s="12" t="str">
        <f aca="false">IF(OR($A27="",K$4=""),"",SUMPRODUCT(--(INDEX(Matrix!$C$5:$BJ$204,0,$B27)&gt;0),--(INDEX(Matrix!$C$5:$BJ$204,0,K$3)&gt;0)))</f>
        <v/>
      </c>
      <c r="L27" s="12" t="str">
        <f aca="false">IF(OR($A27="",L$4=""),"",SUMPRODUCT(--(INDEX(Matrix!$C$5:$BJ$204,0,$B27)&gt;0),--(INDEX(Matrix!$C$5:$BJ$204,0,L$3)&gt;0)))</f>
        <v/>
      </c>
      <c r="M27" s="12" t="str">
        <f aca="false">IF(OR($A27="",M$4=""),"",SUMPRODUCT(--(INDEX(Matrix!$C$5:$BJ$204,0,$B27)&gt;0),--(INDEX(Matrix!$C$5:$BJ$204,0,M$3)&gt;0)))</f>
        <v/>
      </c>
      <c r="N27" s="12" t="str">
        <f aca="false">IF(OR($A27="",N$4=""),"",SUMPRODUCT(--(INDEX(Matrix!$C$5:$BJ$204,0,$B27)&gt;0),--(INDEX(Matrix!$C$5:$BJ$204,0,N$3)&gt;0)))</f>
        <v/>
      </c>
      <c r="O27" s="12" t="str">
        <f aca="false">IF(OR($A27="",O$4=""),"",SUMPRODUCT(--(INDEX(Matrix!$C$5:$BJ$204,0,$B27)&gt;0),--(INDEX(Matrix!$C$5:$BJ$204,0,O$3)&gt;0)))</f>
        <v/>
      </c>
      <c r="P27" s="12" t="str">
        <f aca="false">IF(OR($A27="",P$4=""),"",SUMPRODUCT(--(INDEX(Matrix!$C$5:$BJ$204,0,$B27)&gt;0),--(INDEX(Matrix!$C$5:$BJ$204,0,P$3)&gt;0)))</f>
        <v/>
      </c>
      <c r="Q27" s="12" t="str">
        <f aca="false">IF(OR($A27="",Q$4=""),"",SUMPRODUCT(--(INDEX(Matrix!$C$5:$BJ$204,0,$B27)&gt;0),--(INDEX(Matrix!$C$5:$BJ$204,0,Q$3)&gt;0)))</f>
        <v/>
      </c>
      <c r="R27" s="12" t="str">
        <f aca="false">IF(OR($A27="",R$4=""),"",SUMPRODUCT(--(INDEX(Matrix!$C$5:$BJ$204,0,$B27)&gt;0),--(INDEX(Matrix!$C$5:$BJ$204,0,R$3)&gt;0)))</f>
        <v/>
      </c>
      <c r="S27" s="12" t="str">
        <f aca="false">IF(OR($A27="",S$4=""),"",SUMPRODUCT(--(INDEX(Matrix!$C$5:$BJ$204,0,$B27)&gt;0),--(INDEX(Matrix!$C$5:$BJ$204,0,S$3)&gt;0)))</f>
        <v/>
      </c>
      <c r="T27" s="12" t="str">
        <f aca="false">IF(OR($A27="",T$4=""),"",SUMPRODUCT(--(INDEX(Matrix!$C$5:$BJ$204,0,$B27)&gt;0),--(INDEX(Matrix!$C$5:$BJ$204,0,T$3)&gt;0)))</f>
        <v/>
      </c>
      <c r="U27" s="12" t="str">
        <f aca="false">IF(OR($A27="",U$4=""),"",SUMPRODUCT(--(INDEX(Matrix!$C$5:$BJ$204,0,$B27)&gt;0),--(INDEX(Matrix!$C$5:$BJ$204,0,U$3)&gt;0)))</f>
        <v/>
      </c>
      <c r="V27" s="12" t="str">
        <f aca="false">IF(OR($A27="",V$4=""),"",SUMPRODUCT(--(INDEX(Matrix!$C$5:$BJ$204,0,$B27)&gt;0),--(INDEX(Matrix!$C$5:$BJ$204,0,V$3)&gt;0)))</f>
        <v/>
      </c>
      <c r="W27" s="12" t="str">
        <f aca="false">IF(OR($A27="",W$4=""),"",SUMPRODUCT(--(INDEX(Matrix!$C$5:$BJ$204,0,$B27)&gt;0),--(INDEX(Matrix!$C$5:$BJ$204,0,W$3)&gt;0)))</f>
        <v/>
      </c>
      <c r="X27" s="12" t="str">
        <f aca="false">IF(OR($A27="",X$4=""),"",SUMPRODUCT(--(INDEX(Matrix!$C$5:$BJ$204,0,$B27)&gt;0),--(INDEX(Matrix!$C$5:$BJ$204,0,X$3)&gt;0)))</f>
        <v/>
      </c>
      <c r="Y27" s="12" t="str">
        <f aca="false">IF(OR($A27="",Y$4=""),"",SUMPRODUCT(--(INDEX(Matrix!$C$5:$BJ$204,0,$B27)&gt;0),--(INDEX(Matrix!$C$5:$BJ$204,0,Y$3)&gt;0)))</f>
        <v/>
      </c>
      <c r="Z27" s="12" t="str">
        <f aca="false">IF(OR($A27="",Z$4=""),"",SUMPRODUCT(--(INDEX(Matrix!$C$5:$BJ$204,0,$B27)&gt;0),--(INDEX(Matrix!$C$5:$BJ$204,0,Z$3)&gt;0)))</f>
        <v/>
      </c>
      <c r="AA27" s="12" t="str">
        <f aca="false">IF(OR($A27="",AA$4=""),"",SUMPRODUCT(--(INDEX(Matrix!$C$5:$BJ$204,0,$B27)&gt;0),--(INDEX(Matrix!$C$5:$BJ$204,0,AA$3)&gt;0)))</f>
        <v/>
      </c>
      <c r="AB27" s="12" t="str">
        <f aca="false">IF(OR($A27="",AB$4=""),"",SUMPRODUCT(--(INDEX(Matrix!$C$5:$BJ$204,0,$B27)&gt;0),--(INDEX(Matrix!$C$5:$BJ$204,0,AB$3)&gt;0)))</f>
        <v/>
      </c>
      <c r="AC27" s="12" t="str">
        <f aca="false">IF(OR($A27="",AC$4=""),"",SUMPRODUCT(--(INDEX(Matrix!$C$5:$BJ$204,0,$B27)&gt;0),--(INDEX(Matrix!$C$5:$BJ$204,0,AC$3)&gt;0)))</f>
        <v/>
      </c>
      <c r="AD27" s="12" t="str">
        <f aca="false">IF(OR($A27="",AD$4=""),"",SUMPRODUCT(--(INDEX(Matrix!$C$5:$BJ$204,0,$B27)&gt;0),--(INDEX(Matrix!$C$5:$BJ$204,0,AD$3)&gt;0)))</f>
        <v/>
      </c>
      <c r="AE27" s="12" t="str">
        <f aca="false">IF(OR($A27="",AE$4=""),"",SUMPRODUCT(--(INDEX(Matrix!$C$5:$BJ$204,0,$B27)&gt;0),--(INDEX(Matrix!$C$5:$BJ$204,0,AE$3)&gt;0)))</f>
        <v/>
      </c>
      <c r="AF27" s="12" t="str">
        <f aca="false">IF(OR($A27="",AF$4=""),"",SUMPRODUCT(--(INDEX(Matrix!$C$5:$BJ$204,0,$B27)&gt;0),--(INDEX(Matrix!$C$5:$BJ$204,0,AF$3)&gt;0)))</f>
        <v/>
      </c>
      <c r="AG27" s="12" t="str">
        <f aca="false">IF(OR($A27="",AG$4=""),"",SUMPRODUCT(--(INDEX(Matrix!$C$5:$BJ$204,0,$B27)&gt;0),--(INDEX(Matrix!$C$5:$BJ$204,0,AG$3)&gt;0)))</f>
        <v/>
      </c>
      <c r="AH27" s="12" t="str">
        <f aca="false">IF(OR($A27="",AH$4=""),"",SUMPRODUCT(--(INDEX(Matrix!$C$5:$BJ$204,0,$B27)&gt;0),--(INDEX(Matrix!$C$5:$BJ$204,0,AH$3)&gt;0)))</f>
        <v/>
      </c>
      <c r="AI27" s="12" t="str">
        <f aca="false">IF(OR($A27="",AI$4=""),"",SUMPRODUCT(--(INDEX(Matrix!$C$5:$BJ$204,0,$B27)&gt;0),--(INDEX(Matrix!$C$5:$BJ$204,0,AI$3)&gt;0)))</f>
        <v/>
      </c>
      <c r="AJ27" s="12" t="str">
        <f aca="false">IF(OR($A27="",AJ$4=""),"",SUMPRODUCT(--(INDEX(Matrix!$C$5:$BJ$204,0,$B27)&gt;0),--(INDEX(Matrix!$C$5:$BJ$204,0,AJ$3)&gt;0)))</f>
        <v/>
      </c>
      <c r="AK27" s="12" t="str">
        <f aca="false">IF(OR($A27="",AK$4=""),"",SUMPRODUCT(--(INDEX(Matrix!$C$5:$BJ$204,0,$B27)&gt;0),--(INDEX(Matrix!$C$5:$BJ$204,0,AK$3)&gt;0)))</f>
        <v/>
      </c>
      <c r="AL27" s="12" t="str">
        <f aca="false">IF(OR($A27="",AL$4=""),"",SUMPRODUCT(--(INDEX(Matrix!$C$5:$BJ$204,0,$B27)&gt;0),--(INDEX(Matrix!$C$5:$BJ$204,0,AL$3)&gt;0)))</f>
        <v/>
      </c>
      <c r="AM27" s="12" t="str">
        <f aca="false">IF(OR($A27="",AM$4=""),"",SUMPRODUCT(--(INDEX(Matrix!$C$5:$BJ$204,0,$B27)&gt;0),--(INDEX(Matrix!$C$5:$BJ$204,0,AM$3)&gt;0)))</f>
        <v/>
      </c>
      <c r="AN27" s="12" t="str">
        <f aca="false">IF(OR($A27="",AN$4=""),"",SUMPRODUCT(--(INDEX(Matrix!$C$5:$BJ$204,0,$B27)&gt;0),--(INDEX(Matrix!$C$5:$BJ$204,0,AN$3)&gt;0)))</f>
        <v/>
      </c>
      <c r="AO27" s="12" t="str">
        <f aca="false">IF(OR($A27="",AO$4=""),"",SUMPRODUCT(--(INDEX(Matrix!$C$5:$BJ$204,0,$B27)&gt;0),--(INDEX(Matrix!$C$5:$BJ$204,0,AO$3)&gt;0)))</f>
        <v/>
      </c>
      <c r="AP27" s="12" t="str">
        <f aca="false">IF(OR($A27="",AP$4=""),"",SUMPRODUCT(--(INDEX(Matrix!$C$5:$BJ$204,0,$B27)&gt;0),--(INDEX(Matrix!$C$5:$BJ$204,0,AP$3)&gt;0)))</f>
        <v/>
      </c>
      <c r="AQ27" s="12" t="str">
        <f aca="false">IF(OR($A27="",AQ$4=""),"",SUMPRODUCT(--(INDEX(Matrix!$C$5:$BJ$204,0,$B27)&gt;0),--(INDEX(Matrix!$C$5:$BJ$204,0,AQ$3)&gt;0)))</f>
        <v/>
      </c>
      <c r="AR27" s="12" t="str">
        <f aca="false">IF(OR($A27="",AR$4=""),"",SUMPRODUCT(--(INDEX(Matrix!$C$5:$BJ$204,0,$B27)&gt;0),--(INDEX(Matrix!$C$5:$BJ$204,0,AR$3)&gt;0)))</f>
        <v/>
      </c>
      <c r="AS27" s="12" t="str">
        <f aca="false">IF(OR($A27="",AS$4=""),"",SUMPRODUCT(--(INDEX(Matrix!$C$5:$BJ$204,0,$B27)&gt;0),--(INDEX(Matrix!$C$5:$BJ$204,0,AS$3)&gt;0)))</f>
        <v/>
      </c>
      <c r="AT27" s="12" t="str">
        <f aca="false">IF(OR($A27="",AT$4=""),"",SUMPRODUCT(--(INDEX(Matrix!$C$5:$BJ$204,0,$B27)&gt;0),--(INDEX(Matrix!$C$5:$BJ$204,0,AT$3)&gt;0)))</f>
        <v/>
      </c>
      <c r="AU27" s="12" t="str">
        <f aca="false">IF(OR($A27="",AU$4=""),"",SUMPRODUCT(--(INDEX(Matrix!$C$5:$BJ$204,0,$B27)&gt;0),--(INDEX(Matrix!$C$5:$BJ$204,0,AU$3)&gt;0)))</f>
        <v/>
      </c>
      <c r="AV27" s="12" t="str">
        <f aca="false">IF(OR($A27="",AV$4=""),"",SUMPRODUCT(--(INDEX(Matrix!$C$5:$BJ$204,0,$B27)&gt;0),--(INDEX(Matrix!$C$5:$BJ$204,0,AV$3)&gt;0)))</f>
        <v/>
      </c>
      <c r="AW27" s="12" t="str">
        <f aca="false">IF(OR($A27="",AW$4=""),"",SUMPRODUCT(--(INDEX(Matrix!$C$5:$BJ$204,0,$B27)&gt;0),--(INDEX(Matrix!$C$5:$BJ$204,0,AW$3)&gt;0)))</f>
        <v/>
      </c>
      <c r="AX27" s="12" t="str">
        <f aca="false">IF(OR($A27="",AX$4=""),"",SUMPRODUCT(--(INDEX(Matrix!$C$5:$BJ$204,0,$B27)&gt;0),--(INDEX(Matrix!$C$5:$BJ$204,0,AX$3)&gt;0)))</f>
        <v/>
      </c>
      <c r="AY27" s="12" t="str">
        <f aca="false">IF(OR($A27="",AY$4=""),"",SUMPRODUCT(--(INDEX(Matrix!$C$5:$BJ$204,0,$B27)&gt;0),--(INDEX(Matrix!$C$5:$BJ$204,0,AY$3)&gt;0)))</f>
        <v/>
      </c>
      <c r="AZ27" s="12" t="str">
        <f aca="false">IF(OR($A27="",AZ$4=""),"",SUMPRODUCT(--(INDEX(Matrix!$C$5:$BJ$204,0,$B27)&gt;0),--(INDEX(Matrix!$C$5:$BJ$204,0,AZ$3)&gt;0)))</f>
        <v/>
      </c>
      <c r="BA27" s="12" t="str">
        <f aca="false">IF(OR($A27="",BA$4=""),"",SUMPRODUCT(--(INDEX(Matrix!$C$5:$BJ$204,0,$B27)&gt;0),--(INDEX(Matrix!$C$5:$BJ$204,0,BA$3)&gt;0)))</f>
        <v/>
      </c>
      <c r="BB27" s="12" t="str">
        <f aca="false">IF(OR($A27="",BB$4=""),"",SUMPRODUCT(--(INDEX(Matrix!$C$5:$BJ$204,0,$B27)&gt;0),--(INDEX(Matrix!$C$5:$BJ$204,0,BB$3)&gt;0)))</f>
        <v/>
      </c>
      <c r="BC27" s="12" t="str">
        <f aca="false">IF(OR($A27="",BC$4=""),"",SUMPRODUCT(--(INDEX(Matrix!$C$5:$BJ$204,0,$B27)&gt;0),--(INDEX(Matrix!$C$5:$BJ$204,0,BC$3)&gt;0)))</f>
        <v/>
      </c>
      <c r="BD27" s="12" t="str">
        <f aca="false">IF(OR($A27="",BD$4=""),"",SUMPRODUCT(--(INDEX(Matrix!$C$5:$BJ$204,0,$B27)&gt;0),--(INDEX(Matrix!$C$5:$BJ$204,0,BD$3)&gt;0)))</f>
        <v/>
      </c>
      <c r="BE27" s="12" t="str">
        <f aca="false">IF(OR($A27="",BE$4=""),"",SUMPRODUCT(--(INDEX(Matrix!$C$5:$BJ$204,0,$B27)&gt;0),--(INDEX(Matrix!$C$5:$BJ$204,0,BE$3)&gt;0)))</f>
        <v/>
      </c>
      <c r="BF27" s="12" t="str">
        <f aca="false">IF(OR($A27="",BF$4=""),"",SUMPRODUCT(--(INDEX(Matrix!$C$5:$BJ$204,0,$B27)&gt;0),--(INDEX(Matrix!$C$5:$BJ$204,0,BF$3)&gt;0)))</f>
        <v/>
      </c>
      <c r="BG27" s="12" t="str">
        <f aca="false">IF(OR($A27="",BG$4=""),"",SUMPRODUCT(--(INDEX(Matrix!$C$5:$BJ$204,0,$B27)&gt;0),--(INDEX(Matrix!$C$5:$BJ$204,0,BG$3)&gt;0)))</f>
        <v/>
      </c>
      <c r="BH27" s="12" t="str">
        <f aca="false">IF(OR($A27="",BH$4=""),"",SUMPRODUCT(--(INDEX(Matrix!$C$5:$BJ$204,0,$B27)&gt;0),--(INDEX(Matrix!$C$5:$BJ$204,0,BH$3)&gt;0)))</f>
        <v/>
      </c>
      <c r="BI27" s="12" t="str">
        <f aca="false">IF(OR($A27="",BI$4=""),"",SUMPRODUCT(--(INDEX(Matrix!$C$5:$BJ$204,0,$B27)&gt;0),--(INDEX(Matrix!$C$5:$BJ$204,0,BI$3)&gt;0)))</f>
        <v/>
      </c>
      <c r="BJ27" s="12" t="str">
        <f aca="false">IF(OR($A27="",BJ$4=""),"",SUMPRODUCT(--(INDEX(Matrix!$C$5:$BJ$204,0,$B27)&gt;0),--(INDEX(Matrix!$C$5:$BJ$204,0,BJ$3)&gt;0)))</f>
        <v/>
      </c>
    </row>
    <row r="28" customFormat="false" ht="15" hidden="false" customHeight="false" outlineLevel="0" collapsed="false">
      <c r="A28" s="6" t="str">
        <f aca="false">IF(INDEX(Products!$A$2:$A$61,$B28)="","",INDEX(Products!$A$2:$A$61,$B28))</f>
        <v/>
      </c>
      <c r="B28" s="23" t="n">
        <v>24</v>
      </c>
      <c r="C28" s="12" t="str">
        <f aca="false">IF(OR($A28="",C$4=""),"",SUMPRODUCT(--(INDEX(Matrix!$C$5:$BJ$204,0,$B28)&gt;0),--(INDEX(Matrix!$C$5:$BJ$204,0,C$3)&gt;0)))</f>
        <v/>
      </c>
      <c r="D28" s="12" t="str">
        <f aca="false">IF(OR($A28="",D$4=""),"",SUMPRODUCT(--(INDEX(Matrix!$C$5:$BJ$204,0,$B28)&gt;0),--(INDEX(Matrix!$C$5:$BJ$204,0,D$3)&gt;0)))</f>
        <v/>
      </c>
      <c r="E28" s="12" t="str">
        <f aca="false">IF(OR($A28="",E$4=""),"",SUMPRODUCT(--(INDEX(Matrix!$C$5:$BJ$204,0,$B28)&gt;0),--(INDEX(Matrix!$C$5:$BJ$204,0,E$3)&gt;0)))</f>
        <v/>
      </c>
      <c r="F28" s="12" t="str">
        <f aca="false">IF(OR($A28="",F$4=""),"",SUMPRODUCT(--(INDEX(Matrix!$C$5:$BJ$204,0,$B28)&gt;0),--(INDEX(Matrix!$C$5:$BJ$204,0,F$3)&gt;0)))</f>
        <v/>
      </c>
      <c r="G28" s="12" t="str">
        <f aca="false">IF(OR($A28="",G$4=""),"",SUMPRODUCT(--(INDEX(Matrix!$C$5:$BJ$204,0,$B28)&gt;0),--(INDEX(Matrix!$C$5:$BJ$204,0,G$3)&gt;0)))</f>
        <v/>
      </c>
      <c r="H28" s="12" t="str">
        <f aca="false">IF(OR($A28="",H$4=""),"",SUMPRODUCT(--(INDEX(Matrix!$C$5:$BJ$204,0,$B28)&gt;0),--(INDEX(Matrix!$C$5:$BJ$204,0,H$3)&gt;0)))</f>
        <v/>
      </c>
      <c r="I28" s="12" t="str">
        <f aca="false">IF(OR($A28="",I$4=""),"",SUMPRODUCT(--(INDEX(Matrix!$C$5:$BJ$204,0,$B28)&gt;0),--(INDEX(Matrix!$C$5:$BJ$204,0,I$3)&gt;0)))</f>
        <v/>
      </c>
      <c r="J28" s="12" t="str">
        <f aca="false">IF(OR($A28="",J$4=""),"",SUMPRODUCT(--(INDEX(Matrix!$C$5:$BJ$204,0,$B28)&gt;0),--(INDEX(Matrix!$C$5:$BJ$204,0,J$3)&gt;0)))</f>
        <v/>
      </c>
      <c r="K28" s="12" t="str">
        <f aca="false">IF(OR($A28="",K$4=""),"",SUMPRODUCT(--(INDEX(Matrix!$C$5:$BJ$204,0,$B28)&gt;0),--(INDEX(Matrix!$C$5:$BJ$204,0,K$3)&gt;0)))</f>
        <v/>
      </c>
      <c r="L28" s="12" t="str">
        <f aca="false">IF(OR($A28="",L$4=""),"",SUMPRODUCT(--(INDEX(Matrix!$C$5:$BJ$204,0,$B28)&gt;0),--(INDEX(Matrix!$C$5:$BJ$204,0,L$3)&gt;0)))</f>
        <v/>
      </c>
      <c r="M28" s="12" t="str">
        <f aca="false">IF(OR($A28="",M$4=""),"",SUMPRODUCT(--(INDEX(Matrix!$C$5:$BJ$204,0,$B28)&gt;0),--(INDEX(Matrix!$C$5:$BJ$204,0,M$3)&gt;0)))</f>
        <v/>
      </c>
      <c r="N28" s="12" t="str">
        <f aca="false">IF(OR($A28="",N$4=""),"",SUMPRODUCT(--(INDEX(Matrix!$C$5:$BJ$204,0,$B28)&gt;0),--(INDEX(Matrix!$C$5:$BJ$204,0,N$3)&gt;0)))</f>
        <v/>
      </c>
      <c r="O28" s="12" t="str">
        <f aca="false">IF(OR($A28="",O$4=""),"",SUMPRODUCT(--(INDEX(Matrix!$C$5:$BJ$204,0,$B28)&gt;0),--(INDEX(Matrix!$C$5:$BJ$204,0,O$3)&gt;0)))</f>
        <v/>
      </c>
      <c r="P28" s="12" t="str">
        <f aca="false">IF(OR($A28="",P$4=""),"",SUMPRODUCT(--(INDEX(Matrix!$C$5:$BJ$204,0,$B28)&gt;0),--(INDEX(Matrix!$C$5:$BJ$204,0,P$3)&gt;0)))</f>
        <v/>
      </c>
      <c r="Q28" s="12" t="str">
        <f aca="false">IF(OR($A28="",Q$4=""),"",SUMPRODUCT(--(INDEX(Matrix!$C$5:$BJ$204,0,$B28)&gt;0),--(INDEX(Matrix!$C$5:$BJ$204,0,Q$3)&gt;0)))</f>
        <v/>
      </c>
      <c r="R28" s="12" t="str">
        <f aca="false">IF(OR($A28="",R$4=""),"",SUMPRODUCT(--(INDEX(Matrix!$C$5:$BJ$204,0,$B28)&gt;0),--(INDEX(Matrix!$C$5:$BJ$204,0,R$3)&gt;0)))</f>
        <v/>
      </c>
      <c r="S28" s="12" t="str">
        <f aca="false">IF(OR($A28="",S$4=""),"",SUMPRODUCT(--(INDEX(Matrix!$C$5:$BJ$204,0,$B28)&gt;0),--(INDEX(Matrix!$C$5:$BJ$204,0,S$3)&gt;0)))</f>
        <v/>
      </c>
      <c r="T28" s="12" t="str">
        <f aca="false">IF(OR($A28="",T$4=""),"",SUMPRODUCT(--(INDEX(Matrix!$C$5:$BJ$204,0,$B28)&gt;0),--(INDEX(Matrix!$C$5:$BJ$204,0,T$3)&gt;0)))</f>
        <v/>
      </c>
      <c r="U28" s="12" t="str">
        <f aca="false">IF(OR($A28="",U$4=""),"",SUMPRODUCT(--(INDEX(Matrix!$C$5:$BJ$204,0,$B28)&gt;0),--(INDEX(Matrix!$C$5:$BJ$204,0,U$3)&gt;0)))</f>
        <v/>
      </c>
      <c r="V28" s="12" t="str">
        <f aca="false">IF(OR($A28="",V$4=""),"",SUMPRODUCT(--(INDEX(Matrix!$C$5:$BJ$204,0,$B28)&gt;0),--(INDEX(Matrix!$C$5:$BJ$204,0,V$3)&gt;0)))</f>
        <v/>
      </c>
      <c r="W28" s="12" t="str">
        <f aca="false">IF(OR($A28="",W$4=""),"",SUMPRODUCT(--(INDEX(Matrix!$C$5:$BJ$204,0,$B28)&gt;0),--(INDEX(Matrix!$C$5:$BJ$204,0,W$3)&gt;0)))</f>
        <v/>
      </c>
      <c r="X28" s="12" t="str">
        <f aca="false">IF(OR($A28="",X$4=""),"",SUMPRODUCT(--(INDEX(Matrix!$C$5:$BJ$204,0,$B28)&gt;0),--(INDEX(Matrix!$C$5:$BJ$204,0,X$3)&gt;0)))</f>
        <v/>
      </c>
      <c r="Y28" s="12" t="str">
        <f aca="false">IF(OR($A28="",Y$4=""),"",SUMPRODUCT(--(INDEX(Matrix!$C$5:$BJ$204,0,$B28)&gt;0),--(INDEX(Matrix!$C$5:$BJ$204,0,Y$3)&gt;0)))</f>
        <v/>
      </c>
      <c r="Z28" s="12" t="str">
        <f aca="false">IF(OR($A28="",Z$4=""),"",SUMPRODUCT(--(INDEX(Matrix!$C$5:$BJ$204,0,$B28)&gt;0),--(INDEX(Matrix!$C$5:$BJ$204,0,Z$3)&gt;0)))</f>
        <v/>
      </c>
      <c r="AA28" s="12" t="str">
        <f aca="false">IF(OR($A28="",AA$4=""),"",SUMPRODUCT(--(INDEX(Matrix!$C$5:$BJ$204,0,$B28)&gt;0),--(INDEX(Matrix!$C$5:$BJ$204,0,AA$3)&gt;0)))</f>
        <v/>
      </c>
      <c r="AB28" s="12" t="str">
        <f aca="false">IF(OR($A28="",AB$4=""),"",SUMPRODUCT(--(INDEX(Matrix!$C$5:$BJ$204,0,$B28)&gt;0),--(INDEX(Matrix!$C$5:$BJ$204,0,AB$3)&gt;0)))</f>
        <v/>
      </c>
      <c r="AC28" s="12" t="str">
        <f aca="false">IF(OR($A28="",AC$4=""),"",SUMPRODUCT(--(INDEX(Matrix!$C$5:$BJ$204,0,$B28)&gt;0),--(INDEX(Matrix!$C$5:$BJ$204,0,AC$3)&gt;0)))</f>
        <v/>
      </c>
      <c r="AD28" s="12" t="str">
        <f aca="false">IF(OR($A28="",AD$4=""),"",SUMPRODUCT(--(INDEX(Matrix!$C$5:$BJ$204,0,$B28)&gt;0),--(INDEX(Matrix!$C$5:$BJ$204,0,AD$3)&gt;0)))</f>
        <v/>
      </c>
      <c r="AE28" s="12" t="str">
        <f aca="false">IF(OR($A28="",AE$4=""),"",SUMPRODUCT(--(INDEX(Matrix!$C$5:$BJ$204,0,$B28)&gt;0),--(INDEX(Matrix!$C$5:$BJ$204,0,AE$3)&gt;0)))</f>
        <v/>
      </c>
      <c r="AF28" s="12" t="str">
        <f aca="false">IF(OR($A28="",AF$4=""),"",SUMPRODUCT(--(INDEX(Matrix!$C$5:$BJ$204,0,$B28)&gt;0),--(INDEX(Matrix!$C$5:$BJ$204,0,AF$3)&gt;0)))</f>
        <v/>
      </c>
      <c r="AG28" s="12" t="str">
        <f aca="false">IF(OR($A28="",AG$4=""),"",SUMPRODUCT(--(INDEX(Matrix!$C$5:$BJ$204,0,$B28)&gt;0),--(INDEX(Matrix!$C$5:$BJ$204,0,AG$3)&gt;0)))</f>
        <v/>
      </c>
      <c r="AH28" s="12" t="str">
        <f aca="false">IF(OR($A28="",AH$4=""),"",SUMPRODUCT(--(INDEX(Matrix!$C$5:$BJ$204,0,$B28)&gt;0),--(INDEX(Matrix!$C$5:$BJ$204,0,AH$3)&gt;0)))</f>
        <v/>
      </c>
      <c r="AI28" s="12" t="str">
        <f aca="false">IF(OR($A28="",AI$4=""),"",SUMPRODUCT(--(INDEX(Matrix!$C$5:$BJ$204,0,$B28)&gt;0),--(INDEX(Matrix!$C$5:$BJ$204,0,AI$3)&gt;0)))</f>
        <v/>
      </c>
      <c r="AJ28" s="12" t="str">
        <f aca="false">IF(OR($A28="",AJ$4=""),"",SUMPRODUCT(--(INDEX(Matrix!$C$5:$BJ$204,0,$B28)&gt;0),--(INDEX(Matrix!$C$5:$BJ$204,0,AJ$3)&gt;0)))</f>
        <v/>
      </c>
      <c r="AK28" s="12" t="str">
        <f aca="false">IF(OR($A28="",AK$4=""),"",SUMPRODUCT(--(INDEX(Matrix!$C$5:$BJ$204,0,$B28)&gt;0),--(INDEX(Matrix!$C$5:$BJ$204,0,AK$3)&gt;0)))</f>
        <v/>
      </c>
      <c r="AL28" s="12" t="str">
        <f aca="false">IF(OR($A28="",AL$4=""),"",SUMPRODUCT(--(INDEX(Matrix!$C$5:$BJ$204,0,$B28)&gt;0),--(INDEX(Matrix!$C$5:$BJ$204,0,AL$3)&gt;0)))</f>
        <v/>
      </c>
      <c r="AM28" s="12" t="str">
        <f aca="false">IF(OR($A28="",AM$4=""),"",SUMPRODUCT(--(INDEX(Matrix!$C$5:$BJ$204,0,$B28)&gt;0),--(INDEX(Matrix!$C$5:$BJ$204,0,AM$3)&gt;0)))</f>
        <v/>
      </c>
      <c r="AN28" s="12" t="str">
        <f aca="false">IF(OR($A28="",AN$4=""),"",SUMPRODUCT(--(INDEX(Matrix!$C$5:$BJ$204,0,$B28)&gt;0),--(INDEX(Matrix!$C$5:$BJ$204,0,AN$3)&gt;0)))</f>
        <v/>
      </c>
      <c r="AO28" s="12" t="str">
        <f aca="false">IF(OR($A28="",AO$4=""),"",SUMPRODUCT(--(INDEX(Matrix!$C$5:$BJ$204,0,$B28)&gt;0),--(INDEX(Matrix!$C$5:$BJ$204,0,AO$3)&gt;0)))</f>
        <v/>
      </c>
      <c r="AP28" s="12" t="str">
        <f aca="false">IF(OR($A28="",AP$4=""),"",SUMPRODUCT(--(INDEX(Matrix!$C$5:$BJ$204,0,$B28)&gt;0),--(INDEX(Matrix!$C$5:$BJ$204,0,AP$3)&gt;0)))</f>
        <v/>
      </c>
      <c r="AQ28" s="12" t="str">
        <f aca="false">IF(OR($A28="",AQ$4=""),"",SUMPRODUCT(--(INDEX(Matrix!$C$5:$BJ$204,0,$B28)&gt;0),--(INDEX(Matrix!$C$5:$BJ$204,0,AQ$3)&gt;0)))</f>
        <v/>
      </c>
      <c r="AR28" s="12" t="str">
        <f aca="false">IF(OR($A28="",AR$4=""),"",SUMPRODUCT(--(INDEX(Matrix!$C$5:$BJ$204,0,$B28)&gt;0),--(INDEX(Matrix!$C$5:$BJ$204,0,AR$3)&gt;0)))</f>
        <v/>
      </c>
      <c r="AS28" s="12" t="str">
        <f aca="false">IF(OR($A28="",AS$4=""),"",SUMPRODUCT(--(INDEX(Matrix!$C$5:$BJ$204,0,$B28)&gt;0),--(INDEX(Matrix!$C$5:$BJ$204,0,AS$3)&gt;0)))</f>
        <v/>
      </c>
      <c r="AT28" s="12" t="str">
        <f aca="false">IF(OR($A28="",AT$4=""),"",SUMPRODUCT(--(INDEX(Matrix!$C$5:$BJ$204,0,$B28)&gt;0),--(INDEX(Matrix!$C$5:$BJ$204,0,AT$3)&gt;0)))</f>
        <v/>
      </c>
      <c r="AU28" s="12" t="str">
        <f aca="false">IF(OR($A28="",AU$4=""),"",SUMPRODUCT(--(INDEX(Matrix!$C$5:$BJ$204,0,$B28)&gt;0),--(INDEX(Matrix!$C$5:$BJ$204,0,AU$3)&gt;0)))</f>
        <v/>
      </c>
      <c r="AV28" s="12" t="str">
        <f aca="false">IF(OR($A28="",AV$4=""),"",SUMPRODUCT(--(INDEX(Matrix!$C$5:$BJ$204,0,$B28)&gt;0),--(INDEX(Matrix!$C$5:$BJ$204,0,AV$3)&gt;0)))</f>
        <v/>
      </c>
      <c r="AW28" s="12" t="str">
        <f aca="false">IF(OR($A28="",AW$4=""),"",SUMPRODUCT(--(INDEX(Matrix!$C$5:$BJ$204,0,$B28)&gt;0),--(INDEX(Matrix!$C$5:$BJ$204,0,AW$3)&gt;0)))</f>
        <v/>
      </c>
      <c r="AX28" s="12" t="str">
        <f aca="false">IF(OR($A28="",AX$4=""),"",SUMPRODUCT(--(INDEX(Matrix!$C$5:$BJ$204,0,$B28)&gt;0),--(INDEX(Matrix!$C$5:$BJ$204,0,AX$3)&gt;0)))</f>
        <v/>
      </c>
      <c r="AY28" s="12" t="str">
        <f aca="false">IF(OR($A28="",AY$4=""),"",SUMPRODUCT(--(INDEX(Matrix!$C$5:$BJ$204,0,$B28)&gt;0),--(INDEX(Matrix!$C$5:$BJ$204,0,AY$3)&gt;0)))</f>
        <v/>
      </c>
      <c r="AZ28" s="12" t="str">
        <f aca="false">IF(OR($A28="",AZ$4=""),"",SUMPRODUCT(--(INDEX(Matrix!$C$5:$BJ$204,0,$B28)&gt;0),--(INDEX(Matrix!$C$5:$BJ$204,0,AZ$3)&gt;0)))</f>
        <v/>
      </c>
      <c r="BA28" s="12" t="str">
        <f aca="false">IF(OR($A28="",BA$4=""),"",SUMPRODUCT(--(INDEX(Matrix!$C$5:$BJ$204,0,$B28)&gt;0),--(INDEX(Matrix!$C$5:$BJ$204,0,BA$3)&gt;0)))</f>
        <v/>
      </c>
      <c r="BB28" s="12" t="str">
        <f aca="false">IF(OR($A28="",BB$4=""),"",SUMPRODUCT(--(INDEX(Matrix!$C$5:$BJ$204,0,$B28)&gt;0),--(INDEX(Matrix!$C$5:$BJ$204,0,BB$3)&gt;0)))</f>
        <v/>
      </c>
      <c r="BC28" s="12" t="str">
        <f aca="false">IF(OR($A28="",BC$4=""),"",SUMPRODUCT(--(INDEX(Matrix!$C$5:$BJ$204,0,$B28)&gt;0),--(INDEX(Matrix!$C$5:$BJ$204,0,BC$3)&gt;0)))</f>
        <v/>
      </c>
      <c r="BD28" s="12" t="str">
        <f aca="false">IF(OR($A28="",BD$4=""),"",SUMPRODUCT(--(INDEX(Matrix!$C$5:$BJ$204,0,$B28)&gt;0),--(INDEX(Matrix!$C$5:$BJ$204,0,BD$3)&gt;0)))</f>
        <v/>
      </c>
      <c r="BE28" s="12" t="str">
        <f aca="false">IF(OR($A28="",BE$4=""),"",SUMPRODUCT(--(INDEX(Matrix!$C$5:$BJ$204,0,$B28)&gt;0),--(INDEX(Matrix!$C$5:$BJ$204,0,BE$3)&gt;0)))</f>
        <v/>
      </c>
      <c r="BF28" s="12" t="str">
        <f aca="false">IF(OR($A28="",BF$4=""),"",SUMPRODUCT(--(INDEX(Matrix!$C$5:$BJ$204,0,$B28)&gt;0),--(INDEX(Matrix!$C$5:$BJ$204,0,BF$3)&gt;0)))</f>
        <v/>
      </c>
      <c r="BG28" s="12" t="str">
        <f aca="false">IF(OR($A28="",BG$4=""),"",SUMPRODUCT(--(INDEX(Matrix!$C$5:$BJ$204,0,$B28)&gt;0),--(INDEX(Matrix!$C$5:$BJ$204,0,BG$3)&gt;0)))</f>
        <v/>
      </c>
      <c r="BH28" s="12" t="str">
        <f aca="false">IF(OR($A28="",BH$4=""),"",SUMPRODUCT(--(INDEX(Matrix!$C$5:$BJ$204,0,$B28)&gt;0),--(INDEX(Matrix!$C$5:$BJ$204,0,BH$3)&gt;0)))</f>
        <v/>
      </c>
      <c r="BI28" s="12" t="str">
        <f aca="false">IF(OR($A28="",BI$4=""),"",SUMPRODUCT(--(INDEX(Matrix!$C$5:$BJ$204,0,$B28)&gt;0),--(INDEX(Matrix!$C$5:$BJ$204,0,BI$3)&gt;0)))</f>
        <v/>
      </c>
      <c r="BJ28" s="12" t="str">
        <f aca="false">IF(OR($A28="",BJ$4=""),"",SUMPRODUCT(--(INDEX(Matrix!$C$5:$BJ$204,0,$B28)&gt;0),--(INDEX(Matrix!$C$5:$BJ$204,0,BJ$3)&gt;0)))</f>
        <v/>
      </c>
    </row>
    <row r="29" customFormat="false" ht="15" hidden="false" customHeight="false" outlineLevel="0" collapsed="false">
      <c r="A29" s="6" t="str">
        <f aca="false">IF(INDEX(Products!$A$2:$A$61,$B29)="","",INDEX(Products!$A$2:$A$61,$B29))</f>
        <v/>
      </c>
      <c r="B29" s="23" t="n">
        <v>25</v>
      </c>
      <c r="C29" s="12" t="str">
        <f aca="false">IF(OR($A29="",C$4=""),"",SUMPRODUCT(--(INDEX(Matrix!$C$5:$BJ$204,0,$B29)&gt;0),--(INDEX(Matrix!$C$5:$BJ$204,0,C$3)&gt;0)))</f>
        <v/>
      </c>
      <c r="D29" s="12" t="str">
        <f aca="false">IF(OR($A29="",D$4=""),"",SUMPRODUCT(--(INDEX(Matrix!$C$5:$BJ$204,0,$B29)&gt;0),--(INDEX(Matrix!$C$5:$BJ$204,0,D$3)&gt;0)))</f>
        <v/>
      </c>
      <c r="E29" s="12" t="str">
        <f aca="false">IF(OR($A29="",E$4=""),"",SUMPRODUCT(--(INDEX(Matrix!$C$5:$BJ$204,0,$B29)&gt;0),--(INDEX(Matrix!$C$5:$BJ$204,0,E$3)&gt;0)))</f>
        <v/>
      </c>
      <c r="F29" s="12" t="str">
        <f aca="false">IF(OR($A29="",F$4=""),"",SUMPRODUCT(--(INDEX(Matrix!$C$5:$BJ$204,0,$B29)&gt;0),--(INDEX(Matrix!$C$5:$BJ$204,0,F$3)&gt;0)))</f>
        <v/>
      </c>
      <c r="G29" s="12" t="str">
        <f aca="false">IF(OR($A29="",G$4=""),"",SUMPRODUCT(--(INDEX(Matrix!$C$5:$BJ$204,0,$B29)&gt;0),--(INDEX(Matrix!$C$5:$BJ$204,0,G$3)&gt;0)))</f>
        <v/>
      </c>
      <c r="H29" s="12" t="str">
        <f aca="false">IF(OR($A29="",H$4=""),"",SUMPRODUCT(--(INDEX(Matrix!$C$5:$BJ$204,0,$B29)&gt;0),--(INDEX(Matrix!$C$5:$BJ$204,0,H$3)&gt;0)))</f>
        <v/>
      </c>
      <c r="I29" s="12" t="str">
        <f aca="false">IF(OR($A29="",I$4=""),"",SUMPRODUCT(--(INDEX(Matrix!$C$5:$BJ$204,0,$B29)&gt;0),--(INDEX(Matrix!$C$5:$BJ$204,0,I$3)&gt;0)))</f>
        <v/>
      </c>
      <c r="J29" s="12" t="str">
        <f aca="false">IF(OR($A29="",J$4=""),"",SUMPRODUCT(--(INDEX(Matrix!$C$5:$BJ$204,0,$B29)&gt;0),--(INDEX(Matrix!$C$5:$BJ$204,0,J$3)&gt;0)))</f>
        <v/>
      </c>
      <c r="K29" s="12" t="str">
        <f aca="false">IF(OR($A29="",K$4=""),"",SUMPRODUCT(--(INDEX(Matrix!$C$5:$BJ$204,0,$B29)&gt;0),--(INDEX(Matrix!$C$5:$BJ$204,0,K$3)&gt;0)))</f>
        <v/>
      </c>
      <c r="L29" s="12" t="str">
        <f aca="false">IF(OR($A29="",L$4=""),"",SUMPRODUCT(--(INDEX(Matrix!$C$5:$BJ$204,0,$B29)&gt;0),--(INDEX(Matrix!$C$5:$BJ$204,0,L$3)&gt;0)))</f>
        <v/>
      </c>
      <c r="M29" s="12" t="str">
        <f aca="false">IF(OR($A29="",M$4=""),"",SUMPRODUCT(--(INDEX(Matrix!$C$5:$BJ$204,0,$B29)&gt;0),--(INDEX(Matrix!$C$5:$BJ$204,0,M$3)&gt;0)))</f>
        <v/>
      </c>
      <c r="N29" s="12" t="str">
        <f aca="false">IF(OR($A29="",N$4=""),"",SUMPRODUCT(--(INDEX(Matrix!$C$5:$BJ$204,0,$B29)&gt;0),--(INDEX(Matrix!$C$5:$BJ$204,0,N$3)&gt;0)))</f>
        <v/>
      </c>
      <c r="O29" s="12" t="str">
        <f aca="false">IF(OR($A29="",O$4=""),"",SUMPRODUCT(--(INDEX(Matrix!$C$5:$BJ$204,0,$B29)&gt;0),--(INDEX(Matrix!$C$5:$BJ$204,0,O$3)&gt;0)))</f>
        <v/>
      </c>
      <c r="P29" s="12" t="str">
        <f aca="false">IF(OR($A29="",P$4=""),"",SUMPRODUCT(--(INDEX(Matrix!$C$5:$BJ$204,0,$B29)&gt;0),--(INDEX(Matrix!$C$5:$BJ$204,0,P$3)&gt;0)))</f>
        <v/>
      </c>
      <c r="Q29" s="12" t="str">
        <f aca="false">IF(OR($A29="",Q$4=""),"",SUMPRODUCT(--(INDEX(Matrix!$C$5:$BJ$204,0,$B29)&gt;0),--(INDEX(Matrix!$C$5:$BJ$204,0,Q$3)&gt;0)))</f>
        <v/>
      </c>
      <c r="R29" s="12" t="str">
        <f aca="false">IF(OR($A29="",R$4=""),"",SUMPRODUCT(--(INDEX(Matrix!$C$5:$BJ$204,0,$B29)&gt;0),--(INDEX(Matrix!$C$5:$BJ$204,0,R$3)&gt;0)))</f>
        <v/>
      </c>
      <c r="S29" s="12" t="str">
        <f aca="false">IF(OR($A29="",S$4=""),"",SUMPRODUCT(--(INDEX(Matrix!$C$5:$BJ$204,0,$B29)&gt;0),--(INDEX(Matrix!$C$5:$BJ$204,0,S$3)&gt;0)))</f>
        <v/>
      </c>
      <c r="T29" s="12" t="str">
        <f aca="false">IF(OR($A29="",T$4=""),"",SUMPRODUCT(--(INDEX(Matrix!$C$5:$BJ$204,0,$B29)&gt;0),--(INDEX(Matrix!$C$5:$BJ$204,0,T$3)&gt;0)))</f>
        <v/>
      </c>
      <c r="U29" s="12" t="str">
        <f aca="false">IF(OR($A29="",U$4=""),"",SUMPRODUCT(--(INDEX(Matrix!$C$5:$BJ$204,0,$B29)&gt;0),--(INDEX(Matrix!$C$5:$BJ$204,0,U$3)&gt;0)))</f>
        <v/>
      </c>
      <c r="V29" s="12" t="str">
        <f aca="false">IF(OR($A29="",V$4=""),"",SUMPRODUCT(--(INDEX(Matrix!$C$5:$BJ$204,0,$B29)&gt;0),--(INDEX(Matrix!$C$5:$BJ$204,0,V$3)&gt;0)))</f>
        <v/>
      </c>
      <c r="W29" s="12" t="str">
        <f aca="false">IF(OR($A29="",W$4=""),"",SUMPRODUCT(--(INDEX(Matrix!$C$5:$BJ$204,0,$B29)&gt;0),--(INDEX(Matrix!$C$5:$BJ$204,0,W$3)&gt;0)))</f>
        <v/>
      </c>
      <c r="X29" s="12" t="str">
        <f aca="false">IF(OR($A29="",X$4=""),"",SUMPRODUCT(--(INDEX(Matrix!$C$5:$BJ$204,0,$B29)&gt;0),--(INDEX(Matrix!$C$5:$BJ$204,0,X$3)&gt;0)))</f>
        <v/>
      </c>
      <c r="Y29" s="12" t="str">
        <f aca="false">IF(OR($A29="",Y$4=""),"",SUMPRODUCT(--(INDEX(Matrix!$C$5:$BJ$204,0,$B29)&gt;0),--(INDEX(Matrix!$C$5:$BJ$204,0,Y$3)&gt;0)))</f>
        <v/>
      </c>
      <c r="Z29" s="12" t="str">
        <f aca="false">IF(OR($A29="",Z$4=""),"",SUMPRODUCT(--(INDEX(Matrix!$C$5:$BJ$204,0,$B29)&gt;0),--(INDEX(Matrix!$C$5:$BJ$204,0,Z$3)&gt;0)))</f>
        <v/>
      </c>
      <c r="AA29" s="12" t="str">
        <f aca="false">IF(OR($A29="",AA$4=""),"",SUMPRODUCT(--(INDEX(Matrix!$C$5:$BJ$204,0,$B29)&gt;0),--(INDEX(Matrix!$C$5:$BJ$204,0,AA$3)&gt;0)))</f>
        <v/>
      </c>
      <c r="AB29" s="12" t="str">
        <f aca="false">IF(OR($A29="",AB$4=""),"",SUMPRODUCT(--(INDEX(Matrix!$C$5:$BJ$204,0,$B29)&gt;0),--(INDEX(Matrix!$C$5:$BJ$204,0,AB$3)&gt;0)))</f>
        <v/>
      </c>
      <c r="AC29" s="12" t="str">
        <f aca="false">IF(OR($A29="",AC$4=""),"",SUMPRODUCT(--(INDEX(Matrix!$C$5:$BJ$204,0,$B29)&gt;0),--(INDEX(Matrix!$C$5:$BJ$204,0,AC$3)&gt;0)))</f>
        <v/>
      </c>
      <c r="AD29" s="12" t="str">
        <f aca="false">IF(OR($A29="",AD$4=""),"",SUMPRODUCT(--(INDEX(Matrix!$C$5:$BJ$204,0,$B29)&gt;0),--(INDEX(Matrix!$C$5:$BJ$204,0,AD$3)&gt;0)))</f>
        <v/>
      </c>
      <c r="AE29" s="12" t="str">
        <f aca="false">IF(OR($A29="",AE$4=""),"",SUMPRODUCT(--(INDEX(Matrix!$C$5:$BJ$204,0,$B29)&gt;0),--(INDEX(Matrix!$C$5:$BJ$204,0,AE$3)&gt;0)))</f>
        <v/>
      </c>
      <c r="AF29" s="12" t="str">
        <f aca="false">IF(OR($A29="",AF$4=""),"",SUMPRODUCT(--(INDEX(Matrix!$C$5:$BJ$204,0,$B29)&gt;0),--(INDEX(Matrix!$C$5:$BJ$204,0,AF$3)&gt;0)))</f>
        <v/>
      </c>
      <c r="AG29" s="12" t="str">
        <f aca="false">IF(OR($A29="",AG$4=""),"",SUMPRODUCT(--(INDEX(Matrix!$C$5:$BJ$204,0,$B29)&gt;0),--(INDEX(Matrix!$C$5:$BJ$204,0,AG$3)&gt;0)))</f>
        <v/>
      </c>
      <c r="AH29" s="12" t="str">
        <f aca="false">IF(OR($A29="",AH$4=""),"",SUMPRODUCT(--(INDEX(Matrix!$C$5:$BJ$204,0,$B29)&gt;0),--(INDEX(Matrix!$C$5:$BJ$204,0,AH$3)&gt;0)))</f>
        <v/>
      </c>
      <c r="AI29" s="12" t="str">
        <f aca="false">IF(OR($A29="",AI$4=""),"",SUMPRODUCT(--(INDEX(Matrix!$C$5:$BJ$204,0,$B29)&gt;0),--(INDEX(Matrix!$C$5:$BJ$204,0,AI$3)&gt;0)))</f>
        <v/>
      </c>
      <c r="AJ29" s="12" t="str">
        <f aca="false">IF(OR($A29="",AJ$4=""),"",SUMPRODUCT(--(INDEX(Matrix!$C$5:$BJ$204,0,$B29)&gt;0),--(INDEX(Matrix!$C$5:$BJ$204,0,AJ$3)&gt;0)))</f>
        <v/>
      </c>
      <c r="AK29" s="12" t="str">
        <f aca="false">IF(OR($A29="",AK$4=""),"",SUMPRODUCT(--(INDEX(Matrix!$C$5:$BJ$204,0,$B29)&gt;0),--(INDEX(Matrix!$C$5:$BJ$204,0,AK$3)&gt;0)))</f>
        <v/>
      </c>
      <c r="AL29" s="12" t="str">
        <f aca="false">IF(OR($A29="",AL$4=""),"",SUMPRODUCT(--(INDEX(Matrix!$C$5:$BJ$204,0,$B29)&gt;0),--(INDEX(Matrix!$C$5:$BJ$204,0,AL$3)&gt;0)))</f>
        <v/>
      </c>
      <c r="AM29" s="12" t="str">
        <f aca="false">IF(OR($A29="",AM$4=""),"",SUMPRODUCT(--(INDEX(Matrix!$C$5:$BJ$204,0,$B29)&gt;0),--(INDEX(Matrix!$C$5:$BJ$204,0,AM$3)&gt;0)))</f>
        <v/>
      </c>
      <c r="AN29" s="12" t="str">
        <f aca="false">IF(OR($A29="",AN$4=""),"",SUMPRODUCT(--(INDEX(Matrix!$C$5:$BJ$204,0,$B29)&gt;0),--(INDEX(Matrix!$C$5:$BJ$204,0,AN$3)&gt;0)))</f>
        <v/>
      </c>
      <c r="AO29" s="12" t="str">
        <f aca="false">IF(OR($A29="",AO$4=""),"",SUMPRODUCT(--(INDEX(Matrix!$C$5:$BJ$204,0,$B29)&gt;0),--(INDEX(Matrix!$C$5:$BJ$204,0,AO$3)&gt;0)))</f>
        <v/>
      </c>
      <c r="AP29" s="12" t="str">
        <f aca="false">IF(OR($A29="",AP$4=""),"",SUMPRODUCT(--(INDEX(Matrix!$C$5:$BJ$204,0,$B29)&gt;0),--(INDEX(Matrix!$C$5:$BJ$204,0,AP$3)&gt;0)))</f>
        <v/>
      </c>
      <c r="AQ29" s="12" t="str">
        <f aca="false">IF(OR($A29="",AQ$4=""),"",SUMPRODUCT(--(INDEX(Matrix!$C$5:$BJ$204,0,$B29)&gt;0),--(INDEX(Matrix!$C$5:$BJ$204,0,AQ$3)&gt;0)))</f>
        <v/>
      </c>
      <c r="AR29" s="12" t="str">
        <f aca="false">IF(OR($A29="",AR$4=""),"",SUMPRODUCT(--(INDEX(Matrix!$C$5:$BJ$204,0,$B29)&gt;0),--(INDEX(Matrix!$C$5:$BJ$204,0,AR$3)&gt;0)))</f>
        <v/>
      </c>
      <c r="AS29" s="12" t="str">
        <f aca="false">IF(OR($A29="",AS$4=""),"",SUMPRODUCT(--(INDEX(Matrix!$C$5:$BJ$204,0,$B29)&gt;0),--(INDEX(Matrix!$C$5:$BJ$204,0,AS$3)&gt;0)))</f>
        <v/>
      </c>
      <c r="AT29" s="12" t="str">
        <f aca="false">IF(OR($A29="",AT$4=""),"",SUMPRODUCT(--(INDEX(Matrix!$C$5:$BJ$204,0,$B29)&gt;0),--(INDEX(Matrix!$C$5:$BJ$204,0,AT$3)&gt;0)))</f>
        <v/>
      </c>
      <c r="AU29" s="12" t="str">
        <f aca="false">IF(OR($A29="",AU$4=""),"",SUMPRODUCT(--(INDEX(Matrix!$C$5:$BJ$204,0,$B29)&gt;0),--(INDEX(Matrix!$C$5:$BJ$204,0,AU$3)&gt;0)))</f>
        <v/>
      </c>
      <c r="AV29" s="12" t="str">
        <f aca="false">IF(OR($A29="",AV$4=""),"",SUMPRODUCT(--(INDEX(Matrix!$C$5:$BJ$204,0,$B29)&gt;0),--(INDEX(Matrix!$C$5:$BJ$204,0,AV$3)&gt;0)))</f>
        <v/>
      </c>
      <c r="AW29" s="12" t="str">
        <f aca="false">IF(OR($A29="",AW$4=""),"",SUMPRODUCT(--(INDEX(Matrix!$C$5:$BJ$204,0,$B29)&gt;0),--(INDEX(Matrix!$C$5:$BJ$204,0,AW$3)&gt;0)))</f>
        <v/>
      </c>
      <c r="AX29" s="12" t="str">
        <f aca="false">IF(OR($A29="",AX$4=""),"",SUMPRODUCT(--(INDEX(Matrix!$C$5:$BJ$204,0,$B29)&gt;0),--(INDEX(Matrix!$C$5:$BJ$204,0,AX$3)&gt;0)))</f>
        <v/>
      </c>
      <c r="AY29" s="12" t="str">
        <f aca="false">IF(OR($A29="",AY$4=""),"",SUMPRODUCT(--(INDEX(Matrix!$C$5:$BJ$204,0,$B29)&gt;0),--(INDEX(Matrix!$C$5:$BJ$204,0,AY$3)&gt;0)))</f>
        <v/>
      </c>
      <c r="AZ29" s="12" t="str">
        <f aca="false">IF(OR($A29="",AZ$4=""),"",SUMPRODUCT(--(INDEX(Matrix!$C$5:$BJ$204,0,$B29)&gt;0),--(INDEX(Matrix!$C$5:$BJ$204,0,AZ$3)&gt;0)))</f>
        <v/>
      </c>
      <c r="BA29" s="12" t="str">
        <f aca="false">IF(OR($A29="",BA$4=""),"",SUMPRODUCT(--(INDEX(Matrix!$C$5:$BJ$204,0,$B29)&gt;0),--(INDEX(Matrix!$C$5:$BJ$204,0,BA$3)&gt;0)))</f>
        <v/>
      </c>
      <c r="BB29" s="12" t="str">
        <f aca="false">IF(OR($A29="",BB$4=""),"",SUMPRODUCT(--(INDEX(Matrix!$C$5:$BJ$204,0,$B29)&gt;0),--(INDEX(Matrix!$C$5:$BJ$204,0,BB$3)&gt;0)))</f>
        <v/>
      </c>
      <c r="BC29" s="12" t="str">
        <f aca="false">IF(OR($A29="",BC$4=""),"",SUMPRODUCT(--(INDEX(Matrix!$C$5:$BJ$204,0,$B29)&gt;0),--(INDEX(Matrix!$C$5:$BJ$204,0,BC$3)&gt;0)))</f>
        <v/>
      </c>
      <c r="BD29" s="12" t="str">
        <f aca="false">IF(OR($A29="",BD$4=""),"",SUMPRODUCT(--(INDEX(Matrix!$C$5:$BJ$204,0,$B29)&gt;0),--(INDEX(Matrix!$C$5:$BJ$204,0,BD$3)&gt;0)))</f>
        <v/>
      </c>
      <c r="BE29" s="12" t="str">
        <f aca="false">IF(OR($A29="",BE$4=""),"",SUMPRODUCT(--(INDEX(Matrix!$C$5:$BJ$204,0,$B29)&gt;0),--(INDEX(Matrix!$C$5:$BJ$204,0,BE$3)&gt;0)))</f>
        <v/>
      </c>
      <c r="BF29" s="12" t="str">
        <f aca="false">IF(OR($A29="",BF$4=""),"",SUMPRODUCT(--(INDEX(Matrix!$C$5:$BJ$204,0,$B29)&gt;0),--(INDEX(Matrix!$C$5:$BJ$204,0,BF$3)&gt;0)))</f>
        <v/>
      </c>
      <c r="BG29" s="12" t="str">
        <f aca="false">IF(OR($A29="",BG$4=""),"",SUMPRODUCT(--(INDEX(Matrix!$C$5:$BJ$204,0,$B29)&gt;0),--(INDEX(Matrix!$C$5:$BJ$204,0,BG$3)&gt;0)))</f>
        <v/>
      </c>
      <c r="BH29" s="12" t="str">
        <f aca="false">IF(OR($A29="",BH$4=""),"",SUMPRODUCT(--(INDEX(Matrix!$C$5:$BJ$204,0,$B29)&gt;0),--(INDEX(Matrix!$C$5:$BJ$204,0,BH$3)&gt;0)))</f>
        <v/>
      </c>
      <c r="BI29" s="12" t="str">
        <f aca="false">IF(OR($A29="",BI$4=""),"",SUMPRODUCT(--(INDEX(Matrix!$C$5:$BJ$204,0,$B29)&gt;0),--(INDEX(Matrix!$C$5:$BJ$204,0,BI$3)&gt;0)))</f>
        <v/>
      </c>
      <c r="BJ29" s="12" t="str">
        <f aca="false">IF(OR($A29="",BJ$4=""),"",SUMPRODUCT(--(INDEX(Matrix!$C$5:$BJ$204,0,$B29)&gt;0),--(INDEX(Matrix!$C$5:$BJ$204,0,BJ$3)&gt;0)))</f>
        <v/>
      </c>
    </row>
    <row r="30" customFormat="false" ht="15" hidden="false" customHeight="false" outlineLevel="0" collapsed="false">
      <c r="A30" s="6" t="str">
        <f aca="false">IF(INDEX(Products!$A$2:$A$61,$B30)="","",INDEX(Products!$A$2:$A$61,$B30))</f>
        <v/>
      </c>
      <c r="B30" s="23" t="n">
        <v>26</v>
      </c>
      <c r="C30" s="12" t="str">
        <f aca="false">IF(OR($A30="",C$4=""),"",SUMPRODUCT(--(INDEX(Matrix!$C$5:$BJ$204,0,$B30)&gt;0),--(INDEX(Matrix!$C$5:$BJ$204,0,C$3)&gt;0)))</f>
        <v/>
      </c>
      <c r="D30" s="12" t="str">
        <f aca="false">IF(OR($A30="",D$4=""),"",SUMPRODUCT(--(INDEX(Matrix!$C$5:$BJ$204,0,$B30)&gt;0),--(INDEX(Matrix!$C$5:$BJ$204,0,D$3)&gt;0)))</f>
        <v/>
      </c>
      <c r="E30" s="12" t="str">
        <f aca="false">IF(OR($A30="",E$4=""),"",SUMPRODUCT(--(INDEX(Matrix!$C$5:$BJ$204,0,$B30)&gt;0),--(INDEX(Matrix!$C$5:$BJ$204,0,E$3)&gt;0)))</f>
        <v/>
      </c>
      <c r="F30" s="12" t="str">
        <f aca="false">IF(OR($A30="",F$4=""),"",SUMPRODUCT(--(INDEX(Matrix!$C$5:$BJ$204,0,$B30)&gt;0),--(INDEX(Matrix!$C$5:$BJ$204,0,F$3)&gt;0)))</f>
        <v/>
      </c>
      <c r="G30" s="12" t="str">
        <f aca="false">IF(OR($A30="",G$4=""),"",SUMPRODUCT(--(INDEX(Matrix!$C$5:$BJ$204,0,$B30)&gt;0),--(INDEX(Matrix!$C$5:$BJ$204,0,G$3)&gt;0)))</f>
        <v/>
      </c>
      <c r="H30" s="12" t="str">
        <f aca="false">IF(OR($A30="",H$4=""),"",SUMPRODUCT(--(INDEX(Matrix!$C$5:$BJ$204,0,$B30)&gt;0),--(INDEX(Matrix!$C$5:$BJ$204,0,H$3)&gt;0)))</f>
        <v/>
      </c>
      <c r="I30" s="12" t="str">
        <f aca="false">IF(OR($A30="",I$4=""),"",SUMPRODUCT(--(INDEX(Matrix!$C$5:$BJ$204,0,$B30)&gt;0),--(INDEX(Matrix!$C$5:$BJ$204,0,I$3)&gt;0)))</f>
        <v/>
      </c>
      <c r="J30" s="12" t="str">
        <f aca="false">IF(OR($A30="",J$4=""),"",SUMPRODUCT(--(INDEX(Matrix!$C$5:$BJ$204,0,$B30)&gt;0),--(INDEX(Matrix!$C$5:$BJ$204,0,J$3)&gt;0)))</f>
        <v/>
      </c>
      <c r="K30" s="12" t="str">
        <f aca="false">IF(OR($A30="",K$4=""),"",SUMPRODUCT(--(INDEX(Matrix!$C$5:$BJ$204,0,$B30)&gt;0),--(INDEX(Matrix!$C$5:$BJ$204,0,K$3)&gt;0)))</f>
        <v/>
      </c>
      <c r="L30" s="12" t="str">
        <f aca="false">IF(OR($A30="",L$4=""),"",SUMPRODUCT(--(INDEX(Matrix!$C$5:$BJ$204,0,$B30)&gt;0),--(INDEX(Matrix!$C$5:$BJ$204,0,L$3)&gt;0)))</f>
        <v/>
      </c>
      <c r="M30" s="12" t="str">
        <f aca="false">IF(OR($A30="",M$4=""),"",SUMPRODUCT(--(INDEX(Matrix!$C$5:$BJ$204,0,$B30)&gt;0),--(INDEX(Matrix!$C$5:$BJ$204,0,M$3)&gt;0)))</f>
        <v/>
      </c>
      <c r="N30" s="12" t="str">
        <f aca="false">IF(OR($A30="",N$4=""),"",SUMPRODUCT(--(INDEX(Matrix!$C$5:$BJ$204,0,$B30)&gt;0),--(INDEX(Matrix!$C$5:$BJ$204,0,N$3)&gt;0)))</f>
        <v/>
      </c>
      <c r="O30" s="12" t="str">
        <f aca="false">IF(OR($A30="",O$4=""),"",SUMPRODUCT(--(INDEX(Matrix!$C$5:$BJ$204,0,$B30)&gt;0),--(INDEX(Matrix!$C$5:$BJ$204,0,O$3)&gt;0)))</f>
        <v/>
      </c>
      <c r="P30" s="12" t="str">
        <f aca="false">IF(OR($A30="",P$4=""),"",SUMPRODUCT(--(INDEX(Matrix!$C$5:$BJ$204,0,$B30)&gt;0),--(INDEX(Matrix!$C$5:$BJ$204,0,P$3)&gt;0)))</f>
        <v/>
      </c>
      <c r="Q30" s="12" t="str">
        <f aca="false">IF(OR($A30="",Q$4=""),"",SUMPRODUCT(--(INDEX(Matrix!$C$5:$BJ$204,0,$B30)&gt;0),--(INDEX(Matrix!$C$5:$BJ$204,0,Q$3)&gt;0)))</f>
        <v/>
      </c>
      <c r="R30" s="12" t="str">
        <f aca="false">IF(OR($A30="",R$4=""),"",SUMPRODUCT(--(INDEX(Matrix!$C$5:$BJ$204,0,$B30)&gt;0),--(INDEX(Matrix!$C$5:$BJ$204,0,R$3)&gt;0)))</f>
        <v/>
      </c>
      <c r="S30" s="12" t="str">
        <f aca="false">IF(OR($A30="",S$4=""),"",SUMPRODUCT(--(INDEX(Matrix!$C$5:$BJ$204,0,$B30)&gt;0),--(INDEX(Matrix!$C$5:$BJ$204,0,S$3)&gt;0)))</f>
        <v/>
      </c>
      <c r="T30" s="12" t="str">
        <f aca="false">IF(OR($A30="",T$4=""),"",SUMPRODUCT(--(INDEX(Matrix!$C$5:$BJ$204,0,$B30)&gt;0),--(INDEX(Matrix!$C$5:$BJ$204,0,T$3)&gt;0)))</f>
        <v/>
      </c>
      <c r="U30" s="12" t="str">
        <f aca="false">IF(OR($A30="",U$4=""),"",SUMPRODUCT(--(INDEX(Matrix!$C$5:$BJ$204,0,$B30)&gt;0),--(INDEX(Matrix!$C$5:$BJ$204,0,U$3)&gt;0)))</f>
        <v/>
      </c>
      <c r="V30" s="12" t="str">
        <f aca="false">IF(OR($A30="",V$4=""),"",SUMPRODUCT(--(INDEX(Matrix!$C$5:$BJ$204,0,$B30)&gt;0),--(INDEX(Matrix!$C$5:$BJ$204,0,V$3)&gt;0)))</f>
        <v/>
      </c>
      <c r="W30" s="12" t="str">
        <f aca="false">IF(OR($A30="",W$4=""),"",SUMPRODUCT(--(INDEX(Matrix!$C$5:$BJ$204,0,$B30)&gt;0),--(INDEX(Matrix!$C$5:$BJ$204,0,W$3)&gt;0)))</f>
        <v/>
      </c>
      <c r="X30" s="12" t="str">
        <f aca="false">IF(OR($A30="",X$4=""),"",SUMPRODUCT(--(INDEX(Matrix!$C$5:$BJ$204,0,$B30)&gt;0),--(INDEX(Matrix!$C$5:$BJ$204,0,X$3)&gt;0)))</f>
        <v/>
      </c>
      <c r="Y30" s="12" t="str">
        <f aca="false">IF(OR($A30="",Y$4=""),"",SUMPRODUCT(--(INDEX(Matrix!$C$5:$BJ$204,0,$B30)&gt;0),--(INDEX(Matrix!$C$5:$BJ$204,0,Y$3)&gt;0)))</f>
        <v/>
      </c>
      <c r="Z30" s="12" t="str">
        <f aca="false">IF(OR($A30="",Z$4=""),"",SUMPRODUCT(--(INDEX(Matrix!$C$5:$BJ$204,0,$B30)&gt;0),--(INDEX(Matrix!$C$5:$BJ$204,0,Z$3)&gt;0)))</f>
        <v/>
      </c>
      <c r="AA30" s="12" t="str">
        <f aca="false">IF(OR($A30="",AA$4=""),"",SUMPRODUCT(--(INDEX(Matrix!$C$5:$BJ$204,0,$B30)&gt;0),--(INDEX(Matrix!$C$5:$BJ$204,0,AA$3)&gt;0)))</f>
        <v/>
      </c>
      <c r="AB30" s="12" t="str">
        <f aca="false">IF(OR($A30="",AB$4=""),"",SUMPRODUCT(--(INDEX(Matrix!$C$5:$BJ$204,0,$B30)&gt;0),--(INDEX(Matrix!$C$5:$BJ$204,0,AB$3)&gt;0)))</f>
        <v/>
      </c>
      <c r="AC30" s="12" t="str">
        <f aca="false">IF(OR($A30="",AC$4=""),"",SUMPRODUCT(--(INDEX(Matrix!$C$5:$BJ$204,0,$B30)&gt;0),--(INDEX(Matrix!$C$5:$BJ$204,0,AC$3)&gt;0)))</f>
        <v/>
      </c>
      <c r="AD30" s="12" t="str">
        <f aca="false">IF(OR($A30="",AD$4=""),"",SUMPRODUCT(--(INDEX(Matrix!$C$5:$BJ$204,0,$B30)&gt;0),--(INDEX(Matrix!$C$5:$BJ$204,0,AD$3)&gt;0)))</f>
        <v/>
      </c>
      <c r="AE30" s="12" t="str">
        <f aca="false">IF(OR($A30="",AE$4=""),"",SUMPRODUCT(--(INDEX(Matrix!$C$5:$BJ$204,0,$B30)&gt;0),--(INDEX(Matrix!$C$5:$BJ$204,0,AE$3)&gt;0)))</f>
        <v/>
      </c>
      <c r="AF30" s="12" t="str">
        <f aca="false">IF(OR($A30="",AF$4=""),"",SUMPRODUCT(--(INDEX(Matrix!$C$5:$BJ$204,0,$B30)&gt;0),--(INDEX(Matrix!$C$5:$BJ$204,0,AF$3)&gt;0)))</f>
        <v/>
      </c>
      <c r="AG30" s="12" t="str">
        <f aca="false">IF(OR($A30="",AG$4=""),"",SUMPRODUCT(--(INDEX(Matrix!$C$5:$BJ$204,0,$B30)&gt;0),--(INDEX(Matrix!$C$5:$BJ$204,0,AG$3)&gt;0)))</f>
        <v/>
      </c>
      <c r="AH30" s="12" t="str">
        <f aca="false">IF(OR($A30="",AH$4=""),"",SUMPRODUCT(--(INDEX(Matrix!$C$5:$BJ$204,0,$B30)&gt;0),--(INDEX(Matrix!$C$5:$BJ$204,0,AH$3)&gt;0)))</f>
        <v/>
      </c>
      <c r="AI30" s="12" t="str">
        <f aca="false">IF(OR($A30="",AI$4=""),"",SUMPRODUCT(--(INDEX(Matrix!$C$5:$BJ$204,0,$B30)&gt;0),--(INDEX(Matrix!$C$5:$BJ$204,0,AI$3)&gt;0)))</f>
        <v/>
      </c>
      <c r="AJ30" s="12" t="str">
        <f aca="false">IF(OR($A30="",AJ$4=""),"",SUMPRODUCT(--(INDEX(Matrix!$C$5:$BJ$204,0,$B30)&gt;0),--(INDEX(Matrix!$C$5:$BJ$204,0,AJ$3)&gt;0)))</f>
        <v/>
      </c>
      <c r="AK30" s="12" t="str">
        <f aca="false">IF(OR($A30="",AK$4=""),"",SUMPRODUCT(--(INDEX(Matrix!$C$5:$BJ$204,0,$B30)&gt;0),--(INDEX(Matrix!$C$5:$BJ$204,0,AK$3)&gt;0)))</f>
        <v/>
      </c>
      <c r="AL30" s="12" t="str">
        <f aca="false">IF(OR($A30="",AL$4=""),"",SUMPRODUCT(--(INDEX(Matrix!$C$5:$BJ$204,0,$B30)&gt;0),--(INDEX(Matrix!$C$5:$BJ$204,0,AL$3)&gt;0)))</f>
        <v/>
      </c>
      <c r="AM30" s="12" t="str">
        <f aca="false">IF(OR($A30="",AM$4=""),"",SUMPRODUCT(--(INDEX(Matrix!$C$5:$BJ$204,0,$B30)&gt;0),--(INDEX(Matrix!$C$5:$BJ$204,0,AM$3)&gt;0)))</f>
        <v/>
      </c>
      <c r="AN30" s="12" t="str">
        <f aca="false">IF(OR($A30="",AN$4=""),"",SUMPRODUCT(--(INDEX(Matrix!$C$5:$BJ$204,0,$B30)&gt;0),--(INDEX(Matrix!$C$5:$BJ$204,0,AN$3)&gt;0)))</f>
        <v/>
      </c>
      <c r="AO30" s="12" t="str">
        <f aca="false">IF(OR($A30="",AO$4=""),"",SUMPRODUCT(--(INDEX(Matrix!$C$5:$BJ$204,0,$B30)&gt;0),--(INDEX(Matrix!$C$5:$BJ$204,0,AO$3)&gt;0)))</f>
        <v/>
      </c>
      <c r="AP30" s="12" t="str">
        <f aca="false">IF(OR($A30="",AP$4=""),"",SUMPRODUCT(--(INDEX(Matrix!$C$5:$BJ$204,0,$B30)&gt;0),--(INDEX(Matrix!$C$5:$BJ$204,0,AP$3)&gt;0)))</f>
        <v/>
      </c>
      <c r="AQ30" s="12" t="str">
        <f aca="false">IF(OR($A30="",AQ$4=""),"",SUMPRODUCT(--(INDEX(Matrix!$C$5:$BJ$204,0,$B30)&gt;0),--(INDEX(Matrix!$C$5:$BJ$204,0,AQ$3)&gt;0)))</f>
        <v/>
      </c>
      <c r="AR30" s="12" t="str">
        <f aca="false">IF(OR($A30="",AR$4=""),"",SUMPRODUCT(--(INDEX(Matrix!$C$5:$BJ$204,0,$B30)&gt;0),--(INDEX(Matrix!$C$5:$BJ$204,0,AR$3)&gt;0)))</f>
        <v/>
      </c>
      <c r="AS30" s="12" t="str">
        <f aca="false">IF(OR($A30="",AS$4=""),"",SUMPRODUCT(--(INDEX(Matrix!$C$5:$BJ$204,0,$B30)&gt;0),--(INDEX(Matrix!$C$5:$BJ$204,0,AS$3)&gt;0)))</f>
        <v/>
      </c>
      <c r="AT30" s="12" t="str">
        <f aca="false">IF(OR($A30="",AT$4=""),"",SUMPRODUCT(--(INDEX(Matrix!$C$5:$BJ$204,0,$B30)&gt;0),--(INDEX(Matrix!$C$5:$BJ$204,0,AT$3)&gt;0)))</f>
        <v/>
      </c>
      <c r="AU30" s="12" t="str">
        <f aca="false">IF(OR($A30="",AU$4=""),"",SUMPRODUCT(--(INDEX(Matrix!$C$5:$BJ$204,0,$B30)&gt;0),--(INDEX(Matrix!$C$5:$BJ$204,0,AU$3)&gt;0)))</f>
        <v/>
      </c>
      <c r="AV30" s="12" t="str">
        <f aca="false">IF(OR($A30="",AV$4=""),"",SUMPRODUCT(--(INDEX(Matrix!$C$5:$BJ$204,0,$B30)&gt;0),--(INDEX(Matrix!$C$5:$BJ$204,0,AV$3)&gt;0)))</f>
        <v/>
      </c>
      <c r="AW30" s="12" t="str">
        <f aca="false">IF(OR($A30="",AW$4=""),"",SUMPRODUCT(--(INDEX(Matrix!$C$5:$BJ$204,0,$B30)&gt;0),--(INDEX(Matrix!$C$5:$BJ$204,0,AW$3)&gt;0)))</f>
        <v/>
      </c>
      <c r="AX30" s="12" t="str">
        <f aca="false">IF(OR($A30="",AX$4=""),"",SUMPRODUCT(--(INDEX(Matrix!$C$5:$BJ$204,0,$B30)&gt;0),--(INDEX(Matrix!$C$5:$BJ$204,0,AX$3)&gt;0)))</f>
        <v/>
      </c>
      <c r="AY30" s="12" t="str">
        <f aca="false">IF(OR($A30="",AY$4=""),"",SUMPRODUCT(--(INDEX(Matrix!$C$5:$BJ$204,0,$B30)&gt;0),--(INDEX(Matrix!$C$5:$BJ$204,0,AY$3)&gt;0)))</f>
        <v/>
      </c>
      <c r="AZ30" s="12" t="str">
        <f aca="false">IF(OR($A30="",AZ$4=""),"",SUMPRODUCT(--(INDEX(Matrix!$C$5:$BJ$204,0,$B30)&gt;0),--(INDEX(Matrix!$C$5:$BJ$204,0,AZ$3)&gt;0)))</f>
        <v/>
      </c>
      <c r="BA30" s="12" t="str">
        <f aca="false">IF(OR($A30="",BA$4=""),"",SUMPRODUCT(--(INDEX(Matrix!$C$5:$BJ$204,0,$B30)&gt;0),--(INDEX(Matrix!$C$5:$BJ$204,0,BA$3)&gt;0)))</f>
        <v/>
      </c>
      <c r="BB30" s="12" t="str">
        <f aca="false">IF(OR($A30="",BB$4=""),"",SUMPRODUCT(--(INDEX(Matrix!$C$5:$BJ$204,0,$B30)&gt;0),--(INDEX(Matrix!$C$5:$BJ$204,0,BB$3)&gt;0)))</f>
        <v/>
      </c>
      <c r="BC30" s="12" t="str">
        <f aca="false">IF(OR($A30="",BC$4=""),"",SUMPRODUCT(--(INDEX(Matrix!$C$5:$BJ$204,0,$B30)&gt;0),--(INDEX(Matrix!$C$5:$BJ$204,0,BC$3)&gt;0)))</f>
        <v/>
      </c>
      <c r="BD30" s="12" t="str">
        <f aca="false">IF(OR($A30="",BD$4=""),"",SUMPRODUCT(--(INDEX(Matrix!$C$5:$BJ$204,0,$B30)&gt;0),--(INDEX(Matrix!$C$5:$BJ$204,0,BD$3)&gt;0)))</f>
        <v/>
      </c>
      <c r="BE30" s="12" t="str">
        <f aca="false">IF(OR($A30="",BE$4=""),"",SUMPRODUCT(--(INDEX(Matrix!$C$5:$BJ$204,0,$B30)&gt;0),--(INDEX(Matrix!$C$5:$BJ$204,0,BE$3)&gt;0)))</f>
        <v/>
      </c>
      <c r="BF30" s="12" t="str">
        <f aca="false">IF(OR($A30="",BF$4=""),"",SUMPRODUCT(--(INDEX(Matrix!$C$5:$BJ$204,0,$B30)&gt;0),--(INDEX(Matrix!$C$5:$BJ$204,0,BF$3)&gt;0)))</f>
        <v/>
      </c>
      <c r="BG30" s="12" t="str">
        <f aca="false">IF(OR($A30="",BG$4=""),"",SUMPRODUCT(--(INDEX(Matrix!$C$5:$BJ$204,0,$B30)&gt;0),--(INDEX(Matrix!$C$5:$BJ$204,0,BG$3)&gt;0)))</f>
        <v/>
      </c>
      <c r="BH30" s="12" t="str">
        <f aca="false">IF(OR($A30="",BH$4=""),"",SUMPRODUCT(--(INDEX(Matrix!$C$5:$BJ$204,0,$B30)&gt;0),--(INDEX(Matrix!$C$5:$BJ$204,0,BH$3)&gt;0)))</f>
        <v/>
      </c>
      <c r="BI30" s="12" t="str">
        <f aca="false">IF(OR($A30="",BI$4=""),"",SUMPRODUCT(--(INDEX(Matrix!$C$5:$BJ$204,0,$B30)&gt;0),--(INDEX(Matrix!$C$5:$BJ$204,0,BI$3)&gt;0)))</f>
        <v/>
      </c>
      <c r="BJ30" s="12" t="str">
        <f aca="false">IF(OR($A30="",BJ$4=""),"",SUMPRODUCT(--(INDEX(Matrix!$C$5:$BJ$204,0,$B30)&gt;0),--(INDEX(Matrix!$C$5:$BJ$204,0,BJ$3)&gt;0)))</f>
        <v/>
      </c>
    </row>
    <row r="31" customFormat="false" ht="15" hidden="false" customHeight="false" outlineLevel="0" collapsed="false">
      <c r="A31" s="6" t="str">
        <f aca="false">IF(INDEX(Products!$A$2:$A$61,$B31)="","",INDEX(Products!$A$2:$A$61,$B31))</f>
        <v/>
      </c>
      <c r="B31" s="23" t="n">
        <v>27</v>
      </c>
      <c r="C31" s="12" t="str">
        <f aca="false">IF(OR($A31="",C$4=""),"",SUMPRODUCT(--(INDEX(Matrix!$C$5:$BJ$204,0,$B31)&gt;0),--(INDEX(Matrix!$C$5:$BJ$204,0,C$3)&gt;0)))</f>
        <v/>
      </c>
      <c r="D31" s="12" t="str">
        <f aca="false">IF(OR($A31="",D$4=""),"",SUMPRODUCT(--(INDEX(Matrix!$C$5:$BJ$204,0,$B31)&gt;0),--(INDEX(Matrix!$C$5:$BJ$204,0,D$3)&gt;0)))</f>
        <v/>
      </c>
      <c r="E31" s="12" t="str">
        <f aca="false">IF(OR($A31="",E$4=""),"",SUMPRODUCT(--(INDEX(Matrix!$C$5:$BJ$204,0,$B31)&gt;0),--(INDEX(Matrix!$C$5:$BJ$204,0,E$3)&gt;0)))</f>
        <v/>
      </c>
      <c r="F31" s="12" t="str">
        <f aca="false">IF(OR($A31="",F$4=""),"",SUMPRODUCT(--(INDEX(Matrix!$C$5:$BJ$204,0,$B31)&gt;0),--(INDEX(Matrix!$C$5:$BJ$204,0,F$3)&gt;0)))</f>
        <v/>
      </c>
      <c r="G31" s="12" t="str">
        <f aca="false">IF(OR($A31="",G$4=""),"",SUMPRODUCT(--(INDEX(Matrix!$C$5:$BJ$204,0,$B31)&gt;0),--(INDEX(Matrix!$C$5:$BJ$204,0,G$3)&gt;0)))</f>
        <v/>
      </c>
      <c r="H31" s="12" t="str">
        <f aca="false">IF(OR($A31="",H$4=""),"",SUMPRODUCT(--(INDEX(Matrix!$C$5:$BJ$204,0,$B31)&gt;0),--(INDEX(Matrix!$C$5:$BJ$204,0,H$3)&gt;0)))</f>
        <v/>
      </c>
      <c r="I31" s="12" t="str">
        <f aca="false">IF(OR($A31="",I$4=""),"",SUMPRODUCT(--(INDEX(Matrix!$C$5:$BJ$204,0,$B31)&gt;0),--(INDEX(Matrix!$C$5:$BJ$204,0,I$3)&gt;0)))</f>
        <v/>
      </c>
      <c r="J31" s="12" t="str">
        <f aca="false">IF(OR($A31="",J$4=""),"",SUMPRODUCT(--(INDEX(Matrix!$C$5:$BJ$204,0,$B31)&gt;0),--(INDEX(Matrix!$C$5:$BJ$204,0,J$3)&gt;0)))</f>
        <v/>
      </c>
      <c r="K31" s="12" t="str">
        <f aca="false">IF(OR($A31="",K$4=""),"",SUMPRODUCT(--(INDEX(Matrix!$C$5:$BJ$204,0,$B31)&gt;0),--(INDEX(Matrix!$C$5:$BJ$204,0,K$3)&gt;0)))</f>
        <v/>
      </c>
      <c r="L31" s="12" t="str">
        <f aca="false">IF(OR($A31="",L$4=""),"",SUMPRODUCT(--(INDEX(Matrix!$C$5:$BJ$204,0,$B31)&gt;0),--(INDEX(Matrix!$C$5:$BJ$204,0,L$3)&gt;0)))</f>
        <v/>
      </c>
      <c r="M31" s="12" t="str">
        <f aca="false">IF(OR($A31="",M$4=""),"",SUMPRODUCT(--(INDEX(Matrix!$C$5:$BJ$204,0,$B31)&gt;0),--(INDEX(Matrix!$C$5:$BJ$204,0,M$3)&gt;0)))</f>
        <v/>
      </c>
      <c r="N31" s="12" t="str">
        <f aca="false">IF(OR($A31="",N$4=""),"",SUMPRODUCT(--(INDEX(Matrix!$C$5:$BJ$204,0,$B31)&gt;0),--(INDEX(Matrix!$C$5:$BJ$204,0,N$3)&gt;0)))</f>
        <v/>
      </c>
      <c r="O31" s="12" t="str">
        <f aca="false">IF(OR($A31="",O$4=""),"",SUMPRODUCT(--(INDEX(Matrix!$C$5:$BJ$204,0,$B31)&gt;0),--(INDEX(Matrix!$C$5:$BJ$204,0,O$3)&gt;0)))</f>
        <v/>
      </c>
      <c r="P31" s="12" t="str">
        <f aca="false">IF(OR($A31="",P$4=""),"",SUMPRODUCT(--(INDEX(Matrix!$C$5:$BJ$204,0,$B31)&gt;0),--(INDEX(Matrix!$C$5:$BJ$204,0,P$3)&gt;0)))</f>
        <v/>
      </c>
      <c r="Q31" s="12" t="str">
        <f aca="false">IF(OR($A31="",Q$4=""),"",SUMPRODUCT(--(INDEX(Matrix!$C$5:$BJ$204,0,$B31)&gt;0),--(INDEX(Matrix!$C$5:$BJ$204,0,Q$3)&gt;0)))</f>
        <v/>
      </c>
      <c r="R31" s="12" t="str">
        <f aca="false">IF(OR($A31="",R$4=""),"",SUMPRODUCT(--(INDEX(Matrix!$C$5:$BJ$204,0,$B31)&gt;0),--(INDEX(Matrix!$C$5:$BJ$204,0,R$3)&gt;0)))</f>
        <v/>
      </c>
      <c r="S31" s="12" t="str">
        <f aca="false">IF(OR($A31="",S$4=""),"",SUMPRODUCT(--(INDEX(Matrix!$C$5:$BJ$204,0,$B31)&gt;0),--(INDEX(Matrix!$C$5:$BJ$204,0,S$3)&gt;0)))</f>
        <v/>
      </c>
      <c r="T31" s="12" t="str">
        <f aca="false">IF(OR($A31="",T$4=""),"",SUMPRODUCT(--(INDEX(Matrix!$C$5:$BJ$204,0,$B31)&gt;0),--(INDEX(Matrix!$C$5:$BJ$204,0,T$3)&gt;0)))</f>
        <v/>
      </c>
      <c r="U31" s="12" t="str">
        <f aca="false">IF(OR($A31="",U$4=""),"",SUMPRODUCT(--(INDEX(Matrix!$C$5:$BJ$204,0,$B31)&gt;0),--(INDEX(Matrix!$C$5:$BJ$204,0,U$3)&gt;0)))</f>
        <v/>
      </c>
      <c r="V31" s="12" t="str">
        <f aca="false">IF(OR($A31="",V$4=""),"",SUMPRODUCT(--(INDEX(Matrix!$C$5:$BJ$204,0,$B31)&gt;0),--(INDEX(Matrix!$C$5:$BJ$204,0,V$3)&gt;0)))</f>
        <v/>
      </c>
      <c r="W31" s="12" t="str">
        <f aca="false">IF(OR($A31="",W$4=""),"",SUMPRODUCT(--(INDEX(Matrix!$C$5:$BJ$204,0,$B31)&gt;0),--(INDEX(Matrix!$C$5:$BJ$204,0,W$3)&gt;0)))</f>
        <v/>
      </c>
      <c r="X31" s="12" t="str">
        <f aca="false">IF(OR($A31="",X$4=""),"",SUMPRODUCT(--(INDEX(Matrix!$C$5:$BJ$204,0,$B31)&gt;0),--(INDEX(Matrix!$C$5:$BJ$204,0,X$3)&gt;0)))</f>
        <v/>
      </c>
      <c r="Y31" s="12" t="str">
        <f aca="false">IF(OR($A31="",Y$4=""),"",SUMPRODUCT(--(INDEX(Matrix!$C$5:$BJ$204,0,$B31)&gt;0),--(INDEX(Matrix!$C$5:$BJ$204,0,Y$3)&gt;0)))</f>
        <v/>
      </c>
      <c r="Z31" s="12" t="str">
        <f aca="false">IF(OR($A31="",Z$4=""),"",SUMPRODUCT(--(INDEX(Matrix!$C$5:$BJ$204,0,$B31)&gt;0),--(INDEX(Matrix!$C$5:$BJ$204,0,Z$3)&gt;0)))</f>
        <v/>
      </c>
      <c r="AA31" s="12" t="str">
        <f aca="false">IF(OR($A31="",AA$4=""),"",SUMPRODUCT(--(INDEX(Matrix!$C$5:$BJ$204,0,$B31)&gt;0),--(INDEX(Matrix!$C$5:$BJ$204,0,AA$3)&gt;0)))</f>
        <v/>
      </c>
      <c r="AB31" s="12" t="str">
        <f aca="false">IF(OR($A31="",AB$4=""),"",SUMPRODUCT(--(INDEX(Matrix!$C$5:$BJ$204,0,$B31)&gt;0),--(INDEX(Matrix!$C$5:$BJ$204,0,AB$3)&gt;0)))</f>
        <v/>
      </c>
      <c r="AC31" s="12" t="str">
        <f aca="false">IF(OR($A31="",AC$4=""),"",SUMPRODUCT(--(INDEX(Matrix!$C$5:$BJ$204,0,$B31)&gt;0),--(INDEX(Matrix!$C$5:$BJ$204,0,AC$3)&gt;0)))</f>
        <v/>
      </c>
      <c r="AD31" s="12" t="str">
        <f aca="false">IF(OR($A31="",AD$4=""),"",SUMPRODUCT(--(INDEX(Matrix!$C$5:$BJ$204,0,$B31)&gt;0),--(INDEX(Matrix!$C$5:$BJ$204,0,AD$3)&gt;0)))</f>
        <v/>
      </c>
      <c r="AE31" s="12" t="str">
        <f aca="false">IF(OR($A31="",AE$4=""),"",SUMPRODUCT(--(INDEX(Matrix!$C$5:$BJ$204,0,$B31)&gt;0),--(INDEX(Matrix!$C$5:$BJ$204,0,AE$3)&gt;0)))</f>
        <v/>
      </c>
      <c r="AF31" s="12" t="str">
        <f aca="false">IF(OR($A31="",AF$4=""),"",SUMPRODUCT(--(INDEX(Matrix!$C$5:$BJ$204,0,$B31)&gt;0),--(INDEX(Matrix!$C$5:$BJ$204,0,AF$3)&gt;0)))</f>
        <v/>
      </c>
      <c r="AG31" s="12" t="str">
        <f aca="false">IF(OR($A31="",AG$4=""),"",SUMPRODUCT(--(INDEX(Matrix!$C$5:$BJ$204,0,$B31)&gt;0),--(INDEX(Matrix!$C$5:$BJ$204,0,AG$3)&gt;0)))</f>
        <v/>
      </c>
      <c r="AH31" s="12" t="str">
        <f aca="false">IF(OR($A31="",AH$4=""),"",SUMPRODUCT(--(INDEX(Matrix!$C$5:$BJ$204,0,$B31)&gt;0),--(INDEX(Matrix!$C$5:$BJ$204,0,AH$3)&gt;0)))</f>
        <v/>
      </c>
      <c r="AI31" s="12" t="str">
        <f aca="false">IF(OR($A31="",AI$4=""),"",SUMPRODUCT(--(INDEX(Matrix!$C$5:$BJ$204,0,$B31)&gt;0),--(INDEX(Matrix!$C$5:$BJ$204,0,AI$3)&gt;0)))</f>
        <v/>
      </c>
      <c r="AJ31" s="12" t="str">
        <f aca="false">IF(OR($A31="",AJ$4=""),"",SUMPRODUCT(--(INDEX(Matrix!$C$5:$BJ$204,0,$B31)&gt;0),--(INDEX(Matrix!$C$5:$BJ$204,0,AJ$3)&gt;0)))</f>
        <v/>
      </c>
      <c r="AK31" s="12" t="str">
        <f aca="false">IF(OR($A31="",AK$4=""),"",SUMPRODUCT(--(INDEX(Matrix!$C$5:$BJ$204,0,$B31)&gt;0),--(INDEX(Matrix!$C$5:$BJ$204,0,AK$3)&gt;0)))</f>
        <v/>
      </c>
      <c r="AL31" s="12" t="str">
        <f aca="false">IF(OR($A31="",AL$4=""),"",SUMPRODUCT(--(INDEX(Matrix!$C$5:$BJ$204,0,$B31)&gt;0),--(INDEX(Matrix!$C$5:$BJ$204,0,AL$3)&gt;0)))</f>
        <v/>
      </c>
      <c r="AM31" s="12" t="str">
        <f aca="false">IF(OR($A31="",AM$4=""),"",SUMPRODUCT(--(INDEX(Matrix!$C$5:$BJ$204,0,$B31)&gt;0),--(INDEX(Matrix!$C$5:$BJ$204,0,AM$3)&gt;0)))</f>
        <v/>
      </c>
      <c r="AN31" s="12" t="str">
        <f aca="false">IF(OR($A31="",AN$4=""),"",SUMPRODUCT(--(INDEX(Matrix!$C$5:$BJ$204,0,$B31)&gt;0),--(INDEX(Matrix!$C$5:$BJ$204,0,AN$3)&gt;0)))</f>
        <v/>
      </c>
      <c r="AO31" s="12" t="str">
        <f aca="false">IF(OR($A31="",AO$4=""),"",SUMPRODUCT(--(INDEX(Matrix!$C$5:$BJ$204,0,$B31)&gt;0),--(INDEX(Matrix!$C$5:$BJ$204,0,AO$3)&gt;0)))</f>
        <v/>
      </c>
      <c r="AP31" s="12" t="str">
        <f aca="false">IF(OR($A31="",AP$4=""),"",SUMPRODUCT(--(INDEX(Matrix!$C$5:$BJ$204,0,$B31)&gt;0),--(INDEX(Matrix!$C$5:$BJ$204,0,AP$3)&gt;0)))</f>
        <v/>
      </c>
      <c r="AQ31" s="12" t="str">
        <f aca="false">IF(OR($A31="",AQ$4=""),"",SUMPRODUCT(--(INDEX(Matrix!$C$5:$BJ$204,0,$B31)&gt;0),--(INDEX(Matrix!$C$5:$BJ$204,0,AQ$3)&gt;0)))</f>
        <v/>
      </c>
      <c r="AR31" s="12" t="str">
        <f aca="false">IF(OR($A31="",AR$4=""),"",SUMPRODUCT(--(INDEX(Matrix!$C$5:$BJ$204,0,$B31)&gt;0),--(INDEX(Matrix!$C$5:$BJ$204,0,AR$3)&gt;0)))</f>
        <v/>
      </c>
      <c r="AS31" s="12" t="str">
        <f aca="false">IF(OR($A31="",AS$4=""),"",SUMPRODUCT(--(INDEX(Matrix!$C$5:$BJ$204,0,$B31)&gt;0),--(INDEX(Matrix!$C$5:$BJ$204,0,AS$3)&gt;0)))</f>
        <v/>
      </c>
      <c r="AT31" s="12" t="str">
        <f aca="false">IF(OR($A31="",AT$4=""),"",SUMPRODUCT(--(INDEX(Matrix!$C$5:$BJ$204,0,$B31)&gt;0),--(INDEX(Matrix!$C$5:$BJ$204,0,AT$3)&gt;0)))</f>
        <v/>
      </c>
      <c r="AU31" s="12" t="str">
        <f aca="false">IF(OR($A31="",AU$4=""),"",SUMPRODUCT(--(INDEX(Matrix!$C$5:$BJ$204,0,$B31)&gt;0),--(INDEX(Matrix!$C$5:$BJ$204,0,AU$3)&gt;0)))</f>
        <v/>
      </c>
      <c r="AV31" s="12" t="str">
        <f aca="false">IF(OR($A31="",AV$4=""),"",SUMPRODUCT(--(INDEX(Matrix!$C$5:$BJ$204,0,$B31)&gt;0),--(INDEX(Matrix!$C$5:$BJ$204,0,AV$3)&gt;0)))</f>
        <v/>
      </c>
      <c r="AW31" s="12" t="str">
        <f aca="false">IF(OR($A31="",AW$4=""),"",SUMPRODUCT(--(INDEX(Matrix!$C$5:$BJ$204,0,$B31)&gt;0),--(INDEX(Matrix!$C$5:$BJ$204,0,AW$3)&gt;0)))</f>
        <v/>
      </c>
      <c r="AX31" s="12" t="str">
        <f aca="false">IF(OR($A31="",AX$4=""),"",SUMPRODUCT(--(INDEX(Matrix!$C$5:$BJ$204,0,$B31)&gt;0),--(INDEX(Matrix!$C$5:$BJ$204,0,AX$3)&gt;0)))</f>
        <v/>
      </c>
      <c r="AY31" s="12" t="str">
        <f aca="false">IF(OR($A31="",AY$4=""),"",SUMPRODUCT(--(INDEX(Matrix!$C$5:$BJ$204,0,$B31)&gt;0),--(INDEX(Matrix!$C$5:$BJ$204,0,AY$3)&gt;0)))</f>
        <v/>
      </c>
      <c r="AZ31" s="12" t="str">
        <f aca="false">IF(OR($A31="",AZ$4=""),"",SUMPRODUCT(--(INDEX(Matrix!$C$5:$BJ$204,0,$B31)&gt;0),--(INDEX(Matrix!$C$5:$BJ$204,0,AZ$3)&gt;0)))</f>
        <v/>
      </c>
      <c r="BA31" s="12" t="str">
        <f aca="false">IF(OR($A31="",BA$4=""),"",SUMPRODUCT(--(INDEX(Matrix!$C$5:$BJ$204,0,$B31)&gt;0),--(INDEX(Matrix!$C$5:$BJ$204,0,BA$3)&gt;0)))</f>
        <v/>
      </c>
      <c r="BB31" s="12" t="str">
        <f aca="false">IF(OR($A31="",BB$4=""),"",SUMPRODUCT(--(INDEX(Matrix!$C$5:$BJ$204,0,$B31)&gt;0),--(INDEX(Matrix!$C$5:$BJ$204,0,BB$3)&gt;0)))</f>
        <v/>
      </c>
      <c r="BC31" s="12" t="str">
        <f aca="false">IF(OR($A31="",BC$4=""),"",SUMPRODUCT(--(INDEX(Matrix!$C$5:$BJ$204,0,$B31)&gt;0),--(INDEX(Matrix!$C$5:$BJ$204,0,BC$3)&gt;0)))</f>
        <v/>
      </c>
      <c r="BD31" s="12" t="str">
        <f aca="false">IF(OR($A31="",BD$4=""),"",SUMPRODUCT(--(INDEX(Matrix!$C$5:$BJ$204,0,$B31)&gt;0),--(INDEX(Matrix!$C$5:$BJ$204,0,BD$3)&gt;0)))</f>
        <v/>
      </c>
      <c r="BE31" s="12" t="str">
        <f aca="false">IF(OR($A31="",BE$4=""),"",SUMPRODUCT(--(INDEX(Matrix!$C$5:$BJ$204,0,$B31)&gt;0),--(INDEX(Matrix!$C$5:$BJ$204,0,BE$3)&gt;0)))</f>
        <v/>
      </c>
      <c r="BF31" s="12" t="str">
        <f aca="false">IF(OR($A31="",BF$4=""),"",SUMPRODUCT(--(INDEX(Matrix!$C$5:$BJ$204,0,$B31)&gt;0),--(INDEX(Matrix!$C$5:$BJ$204,0,BF$3)&gt;0)))</f>
        <v/>
      </c>
      <c r="BG31" s="12" t="str">
        <f aca="false">IF(OR($A31="",BG$4=""),"",SUMPRODUCT(--(INDEX(Matrix!$C$5:$BJ$204,0,$B31)&gt;0),--(INDEX(Matrix!$C$5:$BJ$204,0,BG$3)&gt;0)))</f>
        <v/>
      </c>
      <c r="BH31" s="12" t="str">
        <f aca="false">IF(OR($A31="",BH$4=""),"",SUMPRODUCT(--(INDEX(Matrix!$C$5:$BJ$204,0,$B31)&gt;0),--(INDEX(Matrix!$C$5:$BJ$204,0,BH$3)&gt;0)))</f>
        <v/>
      </c>
      <c r="BI31" s="12" t="str">
        <f aca="false">IF(OR($A31="",BI$4=""),"",SUMPRODUCT(--(INDEX(Matrix!$C$5:$BJ$204,0,$B31)&gt;0),--(INDEX(Matrix!$C$5:$BJ$204,0,BI$3)&gt;0)))</f>
        <v/>
      </c>
      <c r="BJ31" s="12" t="str">
        <f aca="false">IF(OR($A31="",BJ$4=""),"",SUMPRODUCT(--(INDEX(Matrix!$C$5:$BJ$204,0,$B31)&gt;0),--(INDEX(Matrix!$C$5:$BJ$204,0,BJ$3)&gt;0)))</f>
        <v/>
      </c>
    </row>
    <row r="32" customFormat="false" ht="15" hidden="false" customHeight="false" outlineLevel="0" collapsed="false">
      <c r="A32" s="6" t="str">
        <f aca="false">IF(INDEX(Products!$A$2:$A$61,$B32)="","",INDEX(Products!$A$2:$A$61,$B32))</f>
        <v/>
      </c>
      <c r="B32" s="23" t="n">
        <v>28</v>
      </c>
      <c r="C32" s="12" t="str">
        <f aca="false">IF(OR($A32="",C$4=""),"",SUMPRODUCT(--(INDEX(Matrix!$C$5:$BJ$204,0,$B32)&gt;0),--(INDEX(Matrix!$C$5:$BJ$204,0,C$3)&gt;0)))</f>
        <v/>
      </c>
      <c r="D32" s="12" t="str">
        <f aca="false">IF(OR($A32="",D$4=""),"",SUMPRODUCT(--(INDEX(Matrix!$C$5:$BJ$204,0,$B32)&gt;0),--(INDEX(Matrix!$C$5:$BJ$204,0,D$3)&gt;0)))</f>
        <v/>
      </c>
      <c r="E32" s="12" t="str">
        <f aca="false">IF(OR($A32="",E$4=""),"",SUMPRODUCT(--(INDEX(Matrix!$C$5:$BJ$204,0,$B32)&gt;0),--(INDEX(Matrix!$C$5:$BJ$204,0,E$3)&gt;0)))</f>
        <v/>
      </c>
      <c r="F32" s="12" t="str">
        <f aca="false">IF(OR($A32="",F$4=""),"",SUMPRODUCT(--(INDEX(Matrix!$C$5:$BJ$204,0,$B32)&gt;0),--(INDEX(Matrix!$C$5:$BJ$204,0,F$3)&gt;0)))</f>
        <v/>
      </c>
      <c r="G32" s="12" t="str">
        <f aca="false">IF(OR($A32="",G$4=""),"",SUMPRODUCT(--(INDEX(Matrix!$C$5:$BJ$204,0,$B32)&gt;0),--(INDEX(Matrix!$C$5:$BJ$204,0,G$3)&gt;0)))</f>
        <v/>
      </c>
      <c r="H32" s="12" t="str">
        <f aca="false">IF(OR($A32="",H$4=""),"",SUMPRODUCT(--(INDEX(Matrix!$C$5:$BJ$204,0,$B32)&gt;0),--(INDEX(Matrix!$C$5:$BJ$204,0,H$3)&gt;0)))</f>
        <v/>
      </c>
      <c r="I32" s="12" t="str">
        <f aca="false">IF(OR($A32="",I$4=""),"",SUMPRODUCT(--(INDEX(Matrix!$C$5:$BJ$204,0,$B32)&gt;0),--(INDEX(Matrix!$C$5:$BJ$204,0,I$3)&gt;0)))</f>
        <v/>
      </c>
      <c r="J32" s="12" t="str">
        <f aca="false">IF(OR($A32="",J$4=""),"",SUMPRODUCT(--(INDEX(Matrix!$C$5:$BJ$204,0,$B32)&gt;0),--(INDEX(Matrix!$C$5:$BJ$204,0,J$3)&gt;0)))</f>
        <v/>
      </c>
      <c r="K32" s="12" t="str">
        <f aca="false">IF(OR($A32="",K$4=""),"",SUMPRODUCT(--(INDEX(Matrix!$C$5:$BJ$204,0,$B32)&gt;0),--(INDEX(Matrix!$C$5:$BJ$204,0,K$3)&gt;0)))</f>
        <v/>
      </c>
      <c r="L32" s="12" t="str">
        <f aca="false">IF(OR($A32="",L$4=""),"",SUMPRODUCT(--(INDEX(Matrix!$C$5:$BJ$204,0,$B32)&gt;0),--(INDEX(Matrix!$C$5:$BJ$204,0,L$3)&gt;0)))</f>
        <v/>
      </c>
      <c r="M32" s="12" t="str">
        <f aca="false">IF(OR($A32="",M$4=""),"",SUMPRODUCT(--(INDEX(Matrix!$C$5:$BJ$204,0,$B32)&gt;0),--(INDEX(Matrix!$C$5:$BJ$204,0,M$3)&gt;0)))</f>
        <v/>
      </c>
      <c r="N32" s="12" t="str">
        <f aca="false">IF(OR($A32="",N$4=""),"",SUMPRODUCT(--(INDEX(Matrix!$C$5:$BJ$204,0,$B32)&gt;0),--(INDEX(Matrix!$C$5:$BJ$204,0,N$3)&gt;0)))</f>
        <v/>
      </c>
      <c r="O32" s="12" t="str">
        <f aca="false">IF(OR($A32="",O$4=""),"",SUMPRODUCT(--(INDEX(Matrix!$C$5:$BJ$204,0,$B32)&gt;0),--(INDEX(Matrix!$C$5:$BJ$204,0,O$3)&gt;0)))</f>
        <v/>
      </c>
      <c r="P32" s="12" t="str">
        <f aca="false">IF(OR($A32="",P$4=""),"",SUMPRODUCT(--(INDEX(Matrix!$C$5:$BJ$204,0,$B32)&gt;0),--(INDEX(Matrix!$C$5:$BJ$204,0,P$3)&gt;0)))</f>
        <v/>
      </c>
      <c r="Q32" s="12" t="str">
        <f aca="false">IF(OR($A32="",Q$4=""),"",SUMPRODUCT(--(INDEX(Matrix!$C$5:$BJ$204,0,$B32)&gt;0),--(INDEX(Matrix!$C$5:$BJ$204,0,Q$3)&gt;0)))</f>
        <v/>
      </c>
      <c r="R32" s="12" t="str">
        <f aca="false">IF(OR($A32="",R$4=""),"",SUMPRODUCT(--(INDEX(Matrix!$C$5:$BJ$204,0,$B32)&gt;0),--(INDEX(Matrix!$C$5:$BJ$204,0,R$3)&gt;0)))</f>
        <v/>
      </c>
      <c r="S32" s="12" t="str">
        <f aca="false">IF(OR($A32="",S$4=""),"",SUMPRODUCT(--(INDEX(Matrix!$C$5:$BJ$204,0,$B32)&gt;0),--(INDEX(Matrix!$C$5:$BJ$204,0,S$3)&gt;0)))</f>
        <v/>
      </c>
      <c r="T32" s="12" t="str">
        <f aca="false">IF(OR($A32="",T$4=""),"",SUMPRODUCT(--(INDEX(Matrix!$C$5:$BJ$204,0,$B32)&gt;0),--(INDEX(Matrix!$C$5:$BJ$204,0,T$3)&gt;0)))</f>
        <v/>
      </c>
      <c r="U32" s="12" t="str">
        <f aca="false">IF(OR($A32="",U$4=""),"",SUMPRODUCT(--(INDEX(Matrix!$C$5:$BJ$204,0,$B32)&gt;0),--(INDEX(Matrix!$C$5:$BJ$204,0,U$3)&gt;0)))</f>
        <v/>
      </c>
      <c r="V32" s="12" t="str">
        <f aca="false">IF(OR($A32="",V$4=""),"",SUMPRODUCT(--(INDEX(Matrix!$C$5:$BJ$204,0,$B32)&gt;0),--(INDEX(Matrix!$C$5:$BJ$204,0,V$3)&gt;0)))</f>
        <v/>
      </c>
      <c r="W32" s="12" t="str">
        <f aca="false">IF(OR($A32="",W$4=""),"",SUMPRODUCT(--(INDEX(Matrix!$C$5:$BJ$204,0,$B32)&gt;0),--(INDEX(Matrix!$C$5:$BJ$204,0,W$3)&gt;0)))</f>
        <v/>
      </c>
      <c r="X32" s="12" t="str">
        <f aca="false">IF(OR($A32="",X$4=""),"",SUMPRODUCT(--(INDEX(Matrix!$C$5:$BJ$204,0,$B32)&gt;0),--(INDEX(Matrix!$C$5:$BJ$204,0,X$3)&gt;0)))</f>
        <v/>
      </c>
      <c r="Y32" s="12" t="str">
        <f aca="false">IF(OR($A32="",Y$4=""),"",SUMPRODUCT(--(INDEX(Matrix!$C$5:$BJ$204,0,$B32)&gt;0),--(INDEX(Matrix!$C$5:$BJ$204,0,Y$3)&gt;0)))</f>
        <v/>
      </c>
      <c r="Z32" s="12" t="str">
        <f aca="false">IF(OR($A32="",Z$4=""),"",SUMPRODUCT(--(INDEX(Matrix!$C$5:$BJ$204,0,$B32)&gt;0),--(INDEX(Matrix!$C$5:$BJ$204,0,Z$3)&gt;0)))</f>
        <v/>
      </c>
      <c r="AA32" s="12" t="str">
        <f aca="false">IF(OR($A32="",AA$4=""),"",SUMPRODUCT(--(INDEX(Matrix!$C$5:$BJ$204,0,$B32)&gt;0),--(INDEX(Matrix!$C$5:$BJ$204,0,AA$3)&gt;0)))</f>
        <v/>
      </c>
      <c r="AB32" s="12" t="str">
        <f aca="false">IF(OR($A32="",AB$4=""),"",SUMPRODUCT(--(INDEX(Matrix!$C$5:$BJ$204,0,$B32)&gt;0),--(INDEX(Matrix!$C$5:$BJ$204,0,AB$3)&gt;0)))</f>
        <v/>
      </c>
      <c r="AC32" s="12" t="str">
        <f aca="false">IF(OR($A32="",AC$4=""),"",SUMPRODUCT(--(INDEX(Matrix!$C$5:$BJ$204,0,$B32)&gt;0),--(INDEX(Matrix!$C$5:$BJ$204,0,AC$3)&gt;0)))</f>
        <v/>
      </c>
      <c r="AD32" s="12" t="str">
        <f aca="false">IF(OR($A32="",AD$4=""),"",SUMPRODUCT(--(INDEX(Matrix!$C$5:$BJ$204,0,$B32)&gt;0),--(INDEX(Matrix!$C$5:$BJ$204,0,AD$3)&gt;0)))</f>
        <v/>
      </c>
      <c r="AE32" s="12" t="str">
        <f aca="false">IF(OR($A32="",AE$4=""),"",SUMPRODUCT(--(INDEX(Matrix!$C$5:$BJ$204,0,$B32)&gt;0),--(INDEX(Matrix!$C$5:$BJ$204,0,AE$3)&gt;0)))</f>
        <v/>
      </c>
      <c r="AF32" s="12" t="str">
        <f aca="false">IF(OR($A32="",AF$4=""),"",SUMPRODUCT(--(INDEX(Matrix!$C$5:$BJ$204,0,$B32)&gt;0),--(INDEX(Matrix!$C$5:$BJ$204,0,AF$3)&gt;0)))</f>
        <v/>
      </c>
      <c r="AG32" s="12" t="str">
        <f aca="false">IF(OR($A32="",AG$4=""),"",SUMPRODUCT(--(INDEX(Matrix!$C$5:$BJ$204,0,$B32)&gt;0),--(INDEX(Matrix!$C$5:$BJ$204,0,AG$3)&gt;0)))</f>
        <v/>
      </c>
      <c r="AH32" s="12" t="str">
        <f aca="false">IF(OR($A32="",AH$4=""),"",SUMPRODUCT(--(INDEX(Matrix!$C$5:$BJ$204,0,$B32)&gt;0),--(INDEX(Matrix!$C$5:$BJ$204,0,AH$3)&gt;0)))</f>
        <v/>
      </c>
      <c r="AI32" s="12" t="str">
        <f aca="false">IF(OR($A32="",AI$4=""),"",SUMPRODUCT(--(INDEX(Matrix!$C$5:$BJ$204,0,$B32)&gt;0),--(INDEX(Matrix!$C$5:$BJ$204,0,AI$3)&gt;0)))</f>
        <v/>
      </c>
      <c r="AJ32" s="12" t="str">
        <f aca="false">IF(OR($A32="",AJ$4=""),"",SUMPRODUCT(--(INDEX(Matrix!$C$5:$BJ$204,0,$B32)&gt;0),--(INDEX(Matrix!$C$5:$BJ$204,0,AJ$3)&gt;0)))</f>
        <v/>
      </c>
      <c r="AK32" s="12" t="str">
        <f aca="false">IF(OR($A32="",AK$4=""),"",SUMPRODUCT(--(INDEX(Matrix!$C$5:$BJ$204,0,$B32)&gt;0),--(INDEX(Matrix!$C$5:$BJ$204,0,AK$3)&gt;0)))</f>
        <v/>
      </c>
      <c r="AL32" s="12" t="str">
        <f aca="false">IF(OR($A32="",AL$4=""),"",SUMPRODUCT(--(INDEX(Matrix!$C$5:$BJ$204,0,$B32)&gt;0),--(INDEX(Matrix!$C$5:$BJ$204,0,AL$3)&gt;0)))</f>
        <v/>
      </c>
      <c r="AM32" s="12" t="str">
        <f aca="false">IF(OR($A32="",AM$4=""),"",SUMPRODUCT(--(INDEX(Matrix!$C$5:$BJ$204,0,$B32)&gt;0),--(INDEX(Matrix!$C$5:$BJ$204,0,AM$3)&gt;0)))</f>
        <v/>
      </c>
      <c r="AN32" s="12" t="str">
        <f aca="false">IF(OR($A32="",AN$4=""),"",SUMPRODUCT(--(INDEX(Matrix!$C$5:$BJ$204,0,$B32)&gt;0),--(INDEX(Matrix!$C$5:$BJ$204,0,AN$3)&gt;0)))</f>
        <v/>
      </c>
      <c r="AO32" s="12" t="str">
        <f aca="false">IF(OR($A32="",AO$4=""),"",SUMPRODUCT(--(INDEX(Matrix!$C$5:$BJ$204,0,$B32)&gt;0),--(INDEX(Matrix!$C$5:$BJ$204,0,AO$3)&gt;0)))</f>
        <v/>
      </c>
      <c r="AP32" s="12" t="str">
        <f aca="false">IF(OR($A32="",AP$4=""),"",SUMPRODUCT(--(INDEX(Matrix!$C$5:$BJ$204,0,$B32)&gt;0),--(INDEX(Matrix!$C$5:$BJ$204,0,AP$3)&gt;0)))</f>
        <v/>
      </c>
      <c r="AQ32" s="12" t="str">
        <f aca="false">IF(OR($A32="",AQ$4=""),"",SUMPRODUCT(--(INDEX(Matrix!$C$5:$BJ$204,0,$B32)&gt;0),--(INDEX(Matrix!$C$5:$BJ$204,0,AQ$3)&gt;0)))</f>
        <v/>
      </c>
      <c r="AR32" s="12" t="str">
        <f aca="false">IF(OR($A32="",AR$4=""),"",SUMPRODUCT(--(INDEX(Matrix!$C$5:$BJ$204,0,$B32)&gt;0),--(INDEX(Matrix!$C$5:$BJ$204,0,AR$3)&gt;0)))</f>
        <v/>
      </c>
      <c r="AS32" s="12" t="str">
        <f aca="false">IF(OR($A32="",AS$4=""),"",SUMPRODUCT(--(INDEX(Matrix!$C$5:$BJ$204,0,$B32)&gt;0),--(INDEX(Matrix!$C$5:$BJ$204,0,AS$3)&gt;0)))</f>
        <v/>
      </c>
      <c r="AT32" s="12" t="str">
        <f aca="false">IF(OR($A32="",AT$4=""),"",SUMPRODUCT(--(INDEX(Matrix!$C$5:$BJ$204,0,$B32)&gt;0),--(INDEX(Matrix!$C$5:$BJ$204,0,AT$3)&gt;0)))</f>
        <v/>
      </c>
      <c r="AU32" s="12" t="str">
        <f aca="false">IF(OR($A32="",AU$4=""),"",SUMPRODUCT(--(INDEX(Matrix!$C$5:$BJ$204,0,$B32)&gt;0),--(INDEX(Matrix!$C$5:$BJ$204,0,AU$3)&gt;0)))</f>
        <v/>
      </c>
      <c r="AV32" s="12" t="str">
        <f aca="false">IF(OR($A32="",AV$4=""),"",SUMPRODUCT(--(INDEX(Matrix!$C$5:$BJ$204,0,$B32)&gt;0),--(INDEX(Matrix!$C$5:$BJ$204,0,AV$3)&gt;0)))</f>
        <v/>
      </c>
      <c r="AW32" s="12" t="str">
        <f aca="false">IF(OR($A32="",AW$4=""),"",SUMPRODUCT(--(INDEX(Matrix!$C$5:$BJ$204,0,$B32)&gt;0),--(INDEX(Matrix!$C$5:$BJ$204,0,AW$3)&gt;0)))</f>
        <v/>
      </c>
      <c r="AX32" s="12" t="str">
        <f aca="false">IF(OR($A32="",AX$4=""),"",SUMPRODUCT(--(INDEX(Matrix!$C$5:$BJ$204,0,$B32)&gt;0),--(INDEX(Matrix!$C$5:$BJ$204,0,AX$3)&gt;0)))</f>
        <v/>
      </c>
      <c r="AY32" s="12" t="str">
        <f aca="false">IF(OR($A32="",AY$4=""),"",SUMPRODUCT(--(INDEX(Matrix!$C$5:$BJ$204,0,$B32)&gt;0),--(INDEX(Matrix!$C$5:$BJ$204,0,AY$3)&gt;0)))</f>
        <v/>
      </c>
      <c r="AZ32" s="12" t="str">
        <f aca="false">IF(OR($A32="",AZ$4=""),"",SUMPRODUCT(--(INDEX(Matrix!$C$5:$BJ$204,0,$B32)&gt;0),--(INDEX(Matrix!$C$5:$BJ$204,0,AZ$3)&gt;0)))</f>
        <v/>
      </c>
      <c r="BA32" s="12" t="str">
        <f aca="false">IF(OR($A32="",BA$4=""),"",SUMPRODUCT(--(INDEX(Matrix!$C$5:$BJ$204,0,$B32)&gt;0),--(INDEX(Matrix!$C$5:$BJ$204,0,BA$3)&gt;0)))</f>
        <v/>
      </c>
      <c r="BB32" s="12" t="str">
        <f aca="false">IF(OR($A32="",BB$4=""),"",SUMPRODUCT(--(INDEX(Matrix!$C$5:$BJ$204,0,$B32)&gt;0),--(INDEX(Matrix!$C$5:$BJ$204,0,BB$3)&gt;0)))</f>
        <v/>
      </c>
      <c r="BC32" s="12" t="str">
        <f aca="false">IF(OR($A32="",BC$4=""),"",SUMPRODUCT(--(INDEX(Matrix!$C$5:$BJ$204,0,$B32)&gt;0),--(INDEX(Matrix!$C$5:$BJ$204,0,BC$3)&gt;0)))</f>
        <v/>
      </c>
      <c r="BD32" s="12" t="str">
        <f aca="false">IF(OR($A32="",BD$4=""),"",SUMPRODUCT(--(INDEX(Matrix!$C$5:$BJ$204,0,$B32)&gt;0),--(INDEX(Matrix!$C$5:$BJ$204,0,BD$3)&gt;0)))</f>
        <v/>
      </c>
      <c r="BE32" s="12" t="str">
        <f aca="false">IF(OR($A32="",BE$4=""),"",SUMPRODUCT(--(INDEX(Matrix!$C$5:$BJ$204,0,$B32)&gt;0),--(INDEX(Matrix!$C$5:$BJ$204,0,BE$3)&gt;0)))</f>
        <v/>
      </c>
      <c r="BF32" s="12" t="str">
        <f aca="false">IF(OR($A32="",BF$4=""),"",SUMPRODUCT(--(INDEX(Matrix!$C$5:$BJ$204,0,$B32)&gt;0),--(INDEX(Matrix!$C$5:$BJ$204,0,BF$3)&gt;0)))</f>
        <v/>
      </c>
      <c r="BG32" s="12" t="str">
        <f aca="false">IF(OR($A32="",BG$4=""),"",SUMPRODUCT(--(INDEX(Matrix!$C$5:$BJ$204,0,$B32)&gt;0),--(INDEX(Matrix!$C$5:$BJ$204,0,BG$3)&gt;0)))</f>
        <v/>
      </c>
      <c r="BH32" s="12" t="str">
        <f aca="false">IF(OR($A32="",BH$4=""),"",SUMPRODUCT(--(INDEX(Matrix!$C$5:$BJ$204,0,$B32)&gt;0),--(INDEX(Matrix!$C$5:$BJ$204,0,BH$3)&gt;0)))</f>
        <v/>
      </c>
      <c r="BI32" s="12" t="str">
        <f aca="false">IF(OR($A32="",BI$4=""),"",SUMPRODUCT(--(INDEX(Matrix!$C$5:$BJ$204,0,$B32)&gt;0),--(INDEX(Matrix!$C$5:$BJ$204,0,BI$3)&gt;0)))</f>
        <v/>
      </c>
      <c r="BJ32" s="12" t="str">
        <f aca="false">IF(OR($A32="",BJ$4=""),"",SUMPRODUCT(--(INDEX(Matrix!$C$5:$BJ$204,0,$B32)&gt;0),--(INDEX(Matrix!$C$5:$BJ$204,0,BJ$3)&gt;0)))</f>
        <v/>
      </c>
    </row>
    <row r="33" customFormat="false" ht="15" hidden="false" customHeight="false" outlineLevel="0" collapsed="false">
      <c r="A33" s="6" t="str">
        <f aca="false">IF(INDEX(Products!$A$2:$A$61,$B33)="","",INDEX(Products!$A$2:$A$61,$B33))</f>
        <v/>
      </c>
      <c r="B33" s="23" t="n">
        <v>29</v>
      </c>
      <c r="C33" s="12" t="str">
        <f aca="false">IF(OR($A33="",C$4=""),"",SUMPRODUCT(--(INDEX(Matrix!$C$5:$BJ$204,0,$B33)&gt;0),--(INDEX(Matrix!$C$5:$BJ$204,0,C$3)&gt;0)))</f>
        <v/>
      </c>
      <c r="D33" s="12" t="str">
        <f aca="false">IF(OR($A33="",D$4=""),"",SUMPRODUCT(--(INDEX(Matrix!$C$5:$BJ$204,0,$B33)&gt;0),--(INDEX(Matrix!$C$5:$BJ$204,0,D$3)&gt;0)))</f>
        <v/>
      </c>
      <c r="E33" s="12" t="str">
        <f aca="false">IF(OR($A33="",E$4=""),"",SUMPRODUCT(--(INDEX(Matrix!$C$5:$BJ$204,0,$B33)&gt;0),--(INDEX(Matrix!$C$5:$BJ$204,0,E$3)&gt;0)))</f>
        <v/>
      </c>
      <c r="F33" s="12" t="str">
        <f aca="false">IF(OR($A33="",F$4=""),"",SUMPRODUCT(--(INDEX(Matrix!$C$5:$BJ$204,0,$B33)&gt;0),--(INDEX(Matrix!$C$5:$BJ$204,0,F$3)&gt;0)))</f>
        <v/>
      </c>
      <c r="G33" s="12" t="str">
        <f aca="false">IF(OR($A33="",G$4=""),"",SUMPRODUCT(--(INDEX(Matrix!$C$5:$BJ$204,0,$B33)&gt;0),--(INDEX(Matrix!$C$5:$BJ$204,0,G$3)&gt;0)))</f>
        <v/>
      </c>
      <c r="H33" s="12" t="str">
        <f aca="false">IF(OR($A33="",H$4=""),"",SUMPRODUCT(--(INDEX(Matrix!$C$5:$BJ$204,0,$B33)&gt;0),--(INDEX(Matrix!$C$5:$BJ$204,0,H$3)&gt;0)))</f>
        <v/>
      </c>
      <c r="I33" s="12" t="str">
        <f aca="false">IF(OR($A33="",I$4=""),"",SUMPRODUCT(--(INDEX(Matrix!$C$5:$BJ$204,0,$B33)&gt;0),--(INDEX(Matrix!$C$5:$BJ$204,0,I$3)&gt;0)))</f>
        <v/>
      </c>
      <c r="J33" s="12" t="str">
        <f aca="false">IF(OR($A33="",J$4=""),"",SUMPRODUCT(--(INDEX(Matrix!$C$5:$BJ$204,0,$B33)&gt;0),--(INDEX(Matrix!$C$5:$BJ$204,0,J$3)&gt;0)))</f>
        <v/>
      </c>
      <c r="K33" s="12" t="str">
        <f aca="false">IF(OR($A33="",K$4=""),"",SUMPRODUCT(--(INDEX(Matrix!$C$5:$BJ$204,0,$B33)&gt;0),--(INDEX(Matrix!$C$5:$BJ$204,0,K$3)&gt;0)))</f>
        <v/>
      </c>
      <c r="L33" s="12" t="str">
        <f aca="false">IF(OR($A33="",L$4=""),"",SUMPRODUCT(--(INDEX(Matrix!$C$5:$BJ$204,0,$B33)&gt;0),--(INDEX(Matrix!$C$5:$BJ$204,0,L$3)&gt;0)))</f>
        <v/>
      </c>
      <c r="M33" s="12" t="str">
        <f aca="false">IF(OR($A33="",M$4=""),"",SUMPRODUCT(--(INDEX(Matrix!$C$5:$BJ$204,0,$B33)&gt;0),--(INDEX(Matrix!$C$5:$BJ$204,0,M$3)&gt;0)))</f>
        <v/>
      </c>
      <c r="N33" s="12" t="str">
        <f aca="false">IF(OR($A33="",N$4=""),"",SUMPRODUCT(--(INDEX(Matrix!$C$5:$BJ$204,0,$B33)&gt;0),--(INDEX(Matrix!$C$5:$BJ$204,0,N$3)&gt;0)))</f>
        <v/>
      </c>
      <c r="O33" s="12" t="str">
        <f aca="false">IF(OR($A33="",O$4=""),"",SUMPRODUCT(--(INDEX(Matrix!$C$5:$BJ$204,0,$B33)&gt;0),--(INDEX(Matrix!$C$5:$BJ$204,0,O$3)&gt;0)))</f>
        <v/>
      </c>
      <c r="P33" s="12" t="str">
        <f aca="false">IF(OR($A33="",P$4=""),"",SUMPRODUCT(--(INDEX(Matrix!$C$5:$BJ$204,0,$B33)&gt;0),--(INDEX(Matrix!$C$5:$BJ$204,0,P$3)&gt;0)))</f>
        <v/>
      </c>
      <c r="Q33" s="12" t="str">
        <f aca="false">IF(OR($A33="",Q$4=""),"",SUMPRODUCT(--(INDEX(Matrix!$C$5:$BJ$204,0,$B33)&gt;0),--(INDEX(Matrix!$C$5:$BJ$204,0,Q$3)&gt;0)))</f>
        <v/>
      </c>
      <c r="R33" s="12" t="str">
        <f aca="false">IF(OR($A33="",R$4=""),"",SUMPRODUCT(--(INDEX(Matrix!$C$5:$BJ$204,0,$B33)&gt;0),--(INDEX(Matrix!$C$5:$BJ$204,0,R$3)&gt;0)))</f>
        <v/>
      </c>
      <c r="S33" s="12" t="str">
        <f aca="false">IF(OR($A33="",S$4=""),"",SUMPRODUCT(--(INDEX(Matrix!$C$5:$BJ$204,0,$B33)&gt;0),--(INDEX(Matrix!$C$5:$BJ$204,0,S$3)&gt;0)))</f>
        <v/>
      </c>
      <c r="T33" s="12" t="str">
        <f aca="false">IF(OR($A33="",T$4=""),"",SUMPRODUCT(--(INDEX(Matrix!$C$5:$BJ$204,0,$B33)&gt;0),--(INDEX(Matrix!$C$5:$BJ$204,0,T$3)&gt;0)))</f>
        <v/>
      </c>
      <c r="U33" s="12" t="str">
        <f aca="false">IF(OR($A33="",U$4=""),"",SUMPRODUCT(--(INDEX(Matrix!$C$5:$BJ$204,0,$B33)&gt;0),--(INDEX(Matrix!$C$5:$BJ$204,0,U$3)&gt;0)))</f>
        <v/>
      </c>
      <c r="V33" s="12" t="str">
        <f aca="false">IF(OR($A33="",V$4=""),"",SUMPRODUCT(--(INDEX(Matrix!$C$5:$BJ$204,0,$B33)&gt;0),--(INDEX(Matrix!$C$5:$BJ$204,0,V$3)&gt;0)))</f>
        <v/>
      </c>
      <c r="W33" s="12" t="str">
        <f aca="false">IF(OR($A33="",W$4=""),"",SUMPRODUCT(--(INDEX(Matrix!$C$5:$BJ$204,0,$B33)&gt;0),--(INDEX(Matrix!$C$5:$BJ$204,0,W$3)&gt;0)))</f>
        <v/>
      </c>
      <c r="X33" s="12" t="str">
        <f aca="false">IF(OR($A33="",X$4=""),"",SUMPRODUCT(--(INDEX(Matrix!$C$5:$BJ$204,0,$B33)&gt;0),--(INDEX(Matrix!$C$5:$BJ$204,0,X$3)&gt;0)))</f>
        <v/>
      </c>
      <c r="Y33" s="12" t="str">
        <f aca="false">IF(OR($A33="",Y$4=""),"",SUMPRODUCT(--(INDEX(Matrix!$C$5:$BJ$204,0,$B33)&gt;0),--(INDEX(Matrix!$C$5:$BJ$204,0,Y$3)&gt;0)))</f>
        <v/>
      </c>
      <c r="Z33" s="12" t="str">
        <f aca="false">IF(OR($A33="",Z$4=""),"",SUMPRODUCT(--(INDEX(Matrix!$C$5:$BJ$204,0,$B33)&gt;0),--(INDEX(Matrix!$C$5:$BJ$204,0,Z$3)&gt;0)))</f>
        <v/>
      </c>
      <c r="AA33" s="12" t="str">
        <f aca="false">IF(OR($A33="",AA$4=""),"",SUMPRODUCT(--(INDEX(Matrix!$C$5:$BJ$204,0,$B33)&gt;0),--(INDEX(Matrix!$C$5:$BJ$204,0,AA$3)&gt;0)))</f>
        <v/>
      </c>
      <c r="AB33" s="12" t="str">
        <f aca="false">IF(OR($A33="",AB$4=""),"",SUMPRODUCT(--(INDEX(Matrix!$C$5:$BJ$204,0,$B33)&gt;0),--(INDEX(Matrix!$C$5:$BJ$204,0,AB$3)&gt;0)))</f>
        <v/>
      </c>
      <c r="AC33" s="12" t="str">
        <f aca="false">IF(OR($A33="",AC$4=""),"",SUMPRODUCT(--(INDEX(Matrix!$C$5:$BJ$204,0,$B33)&gt;0),--(INDEX(Matrix!$C$5:$BJ$204,0,AC$3)&gt;0)))</f>
        <v/>
      </c>
      <c r="AD33" s="12" t="str">
        <f aca="false">IF(OR($A33="",AD$4=""),"",SUMPRODUCT(--(INDEX(Matrix!$C$5:$BJ$204,0,$B33)&gt;0),--(INDEX(Matrix!$C$5:$BJ$204,0,AD$3)&gt;0)))</f>
        <v/>
      </c>
      <c r="AE33" s="12" t="str">
        <f aca="false">IF(OR($A33="",AE$4=""),"",SUMPRODUCT(--(INDEX(Matrix!$C$5:$BJ$204,0,$B33)&gt;0),--(INDEX(Matrix!$C$5:$BJ$204,0,AE$3)&gt;0)))</f>
        <v/>
      </c>
      <c r="AF33" s="12" t="str">
        <f aca="false">IF(OR($A33="",AF$4=""),"",SUMPRODUCT(--(INDEX(Matrix!$C$5:$BJ$204,0,$B33)&gt;0),--(INDEX(Matrix!$C$5:$BJ$204,0,AF$3)&gt;0)))</f>
        <v/>
      </c>
      <c r="AG33" s="12" t="str">
        <f aca="false">IF(OR($A33="",AG$4=""),"",SUMPRODUCT(--(INDEX(Matrix!$C$5:$BJ$204,0,$B33)&gt;0),--(INDEX(Matrix!$C$5:$BJ$204,0,AG$3)&gt;0)))</f>
        <v/>
      </c>
      <c r="AH33" s="12" t="str">
        <f aca="false">IF(OR($A33="",AH$4=""),"",SUMPRODUCT(--(INDEX(Matrix!$C$5:$BJ$204,0,$B33)&gt;0),--(INDEX(Matrix!$C$5:$BJ$204,0,AH$3)&gt;0)))</f>
        <v/>
      </c>
      <c r="AI33" s="12" t="str">
        <f aca="false">IF(OR($A33="",AI$4=""),"",SUMPRODUCT(--(INDEX(Matrix!$C$5:$BJ$204,0,$B33)&gt;0),--(INDEX(Matrix!$C$5:$BJ$204,0,AI$3)&gt;0)))</f>
        <v/>
      </c>
      <c r="AJ33" s="12" t="str">
        <f aca="false">IF(OR($A33="",AJ$4=""),"",SUMPRODUCT(--(INDEX(Matrix!$C$5:$BJ$204,0,$B33)&gt;0),--(INDEX(Matrix!$C$5:$BJ$204,0,AJ$3)&gt;0)))</f>
        <v/>
      </c>
      <c r="AK33" s="12" t="str">
        <f aca="false">IF(OR($A33="",AK$4=""),"",SUMPRODUCT(--(INDEX(Matrix!$C$5:$BJ$204,0,$B33)&gt;0),--(INDEX(Matrix!$C$5:$BJ$204,0,AK$3)&gt;0)))</f>
        <v/>
      </c>
      <c r="AL33" s="12" t="str">
        <f aca="false">IF(OR($A33="",AL$4=""),"",SUMPRODUCT(--(INDEX(Matrix!$C$5:$BJ$204,0,$B33)&gt;0),--(INDEX(Matrix!$C$5:$BJ$204,0,AL$3)&gt;0)))</f>
        <v/>
      </c>
      <c r="AM33" s="12" t="str">
        <f aca="false">IF(OR($A33="",AM$4=""),"",SUMPRODUCT(--(INDEX(Matrix!$C$5:$BJ$204,0,$B33)&gt;0),--(INDEX(Matrix!$C$5:$BJ$204,0,AM$3)&gt;0)))</f>
        <v/>
      </c>
      <c r="AN33" s="12" t="str">
        <f aca="false">IF(OR($A33="",AN$4=""),"",SUMPRODUCT(--(INDEX(Matrix!$C$5:$BJ$204,0,$B33)&gt;0),--(INDEX(Matrix!$C$5:$BJ$204,0,AN$3)&gt;0)))</f>
        <v/>
      </c>
      <c r="AO33" s="12" t="str">
        <f aca="false">IF(OR($A33="",AO$4=""),"",SUMPRODUCT(--(INDEX(Matrix!$C$5:$BJ$204,0,$B33)&gt;0),--(INDEX(Matrix!$C$5:$BJ$204,0,AO$3)&gt;0)))</f>
        <v/>
      </c>
      <c r="AP33" s="12" t="str">
        <f aca="false">IF(OR($A33="",AP$4=""),"",SUMPRODUCT(--(INDEX(Matrix!$C$5:$BJ$204,0,$B33)&gt;0),--(INDEX(Matrix!$C$5:$BJ$204,0,AP$3)&gt;0)))</f>
        <v/>
      </c>
      <c r="AQ33" s="12" t="str">
        <f aca="false">IF(OR($A33="",AQ$4=""),"",SUMPRODUCT(--(INDEX(Matrix!$C$5:$BJ$204,0,$B33)&gt;0),--(INDEX(Matrix!$C$5:$BJ$204,0,AQ$3)&gt;0)))</f>
        <v/>
      </c>
      <c r="AR33" s="12" t="str">
        <f aca="false">IF(OR($A33="",AR$4=""),"",SUMPRODUCT(--(INDEX(Matrix!$C$5:$BJ$204,0,$B33)&gt;0),--(INDEX(Matrix!$C$5:$BJ$204,0,AR$3)&gt;0)))</f>
        <v/>
      </c>
      <c r="AS33" s="12" t="str">
        <f aca="false">IF(OR($A33="",AS$4=""),"",SUMPRODUCT(--(INDEX(Matrix!$C$5:$BJ$204,0,$B33)&gt;0),--(INDEX(Matrix!$C$5:$BJ$204,0,AS$3)&gt;0)))</f>
        <v/>
      </c>
      <c r="AT33" s="12" t="str">
        <f aca="false">IF(OR($A33="",AT$4=""),"",SUMPRODUCT(--(INDEX(Matrix!$C$5:$BJ$204,0,$B33)&gt;0),--(INDEX(Matrix!$C$5:$BJ$204,0,AT$3)&gt;0)))</f>
        <v/>
      </c>
      <c r="AU33" s="12" t="str">
        <f aca="false">IF(OR($A33="",AU$4=""),"",SUMPRODUCT(--(INDEX(Matrix!$C$5:$BJ$204,0,$B33)&gt;0),--(INDEX(Matrix!$C$5:$BJ$204,0,AU$3)&gt;0)))</f>
        <v/>
      </c>
      <c r="AV33" s="12" t="str">
        <f aca="false">IF(OR($A33="",AV$4=""),"",SUMPRODUCT(--(INDEX(Matrix!$C$5:$BJ$204,0,$B33)&gt;0),--(INDEX(Matrix!$C$5:$BJ$204,0,AV$3)&gt;0)))</f>
        <v/>
      </c>
      <c r="AW33" s="12" t="str">
        <f aca="false">IF(OR($A33="",AW$4=""),"",SUMPRODUCT(--(INDEX(Matrix!$C$5:$BJ$204,0,$B33)&gt;0),--(INDEX(Matrix!$C$5:$BJ$204,0,AW$3)&gt;0)))</f>
        <v/>
      </c>
      <c r="AX33" s="12" t="str">
        <f aca="false">IF(OR($A33="",AX$4=""),"",SUMPRODUCT(--(INDEX(Matrix!$C$5:$BJ$204,0,$B33)&gt;0),--(INDEX(Matrix!$C$5:$BJ$204,0,AX$3)&gt;0)))</f>
        <v/>
      </c>
      <c r="AY33" s="12" t="str">
        <f aca="false">IF(OR($A33="",AY$4=""),"",SUMPRODUCT(--(INDEX(Matrix!$C$5:$BJ$204,0,$B33)&gt;0),--(INDEX(Matrix!$C$5:$BJ$204,0,AY$3)&gt;0)))</f>
        <v/>
      </c>
      <c r="AZ33" s="12" t="str">
        <f aca="false">IF(OR($A33="",AZ$4=""),"",SUMPRODUCT(--(INDEX(Matrix!$C$5:$BJ$204,0,$B33)&gt;0),--(INDEX(Matrix!$C$5:$BJ$204,0,AZ$3)&gt;0)))</f>
        <v/>
      </c>
      <c r="BA33" s="12" t="str">
        <f aca="false">IF(OR($A33="",BA$4=""),"",SUMPRODUCT(--(INDEX(Matrix!$C$5:$BJ$204,0,$B33)&gt;0),--(INDEX(Matrix!$C$5:$BJ$204,0,BA$3)&gt;0)))</f>
        <v/>
      </c>
      <c r="BB33" s="12" t="str">
        <f aca="false">IF(OR($A33="",BB$4=""),"",SUMPRODUCT(--(INDEX(Matrix!$C$5:$BJ$204,0,$B33)&gt;0),--(INDEX(Matrix!$C$5:$BJ$204,0,BB$3)&gt;0)))</f>
        <v/>
      </c>
      <c r="BC33" s="12" t="str">
        <f aca="false">IF(OR($A33="",BC$4=""),"",SUMPRODUCT(--(INDEX(Matrix!$C$5:$BJ$204,0,$B33)&gt;0),--(INDEX(Matrix!$C$5:$BJ$204,0,BC$3)&gt;0)))</f>
        <v/>
      </c>
      <c r="BD33" s="12" t="str">
        <f aca="false">IF(OR($A33="",BD$4=""),"",SUMPRODUCT(--(INDEX(Matrix!$C$5:$BJ$204,0,$B33)&gt;0),--(INDEX(Matrix!$C$5:$BJ$204,0,BD$3)&gt;0)))</f>
        <v/>
      </c>
      <c r="BE33" s="12" t="str">
        <f aca="false">IF(OR($A33="",BE$4=""),"",SUMPRODUCT(--(INDEX(Matrix!$C$5:$BJ$204,0,$B33)&gt;0),--(INDEX(Matrix!$C$5:$BJ$204,0,BE$3)&gt;0)))</f>
        <v/>
      </c>
      <c r="BF33" s="12" t="str">
        <f aca="false">IF(OR($A33="",BF$4=""),"",SUMPRODUCT(--(INDEX(Matrix!$C$5:$BJ$204,0,$B33)&gt;0),--(INDEX(Matrix!$C$5:$BJ$204,0,BF$3)&gt;0)))</f>
        <v/>
      </c>
      <c r="BG33" s="12" t="str">
        <f aca="false">IF(OR($A33="",BG$4=""),"",SUMPRODUCT(--(INDEX(Matrix!$C$5:$BJ$204,0,$B33)&gt;0),--(INDEX(Matrix!$C$5:$BJ$204,0,BG$3)&gt;0)))</f>
        <v/>
      </c>
      <c r="BH33" s="12" t="str">
        <f aca="false">IF(OR($A33="",BH$4=""),"",SUMPRODUCT(--(INDEX(Matrix!$C$5:$BJ$204,0,$B33)&gt;0),--(INDEX(Matrix!$C$5:$BJ$204,0,BH$3)&gt;0)))</f>
        <v/>
      </c>
      <c r="BI33" s="12" t="str">
        <f aca="false">IF(OR($A33="",BI$4=""),"",SUMPRODUCT(--(INDEX(Matrix!$C$5:$BJ$204,0,$B33)&gt;0),--(INDEX(Matrix!$C$5:$BJ$204,0,BI$3)&gt;0)))</f>
        <v/>
      </c>
      <c r="BJ33" s="12" t="str">
        <f aca="false">IF(OR($A33="",BJ$4=""),"",SUMPRODUCT(--(INDEX(Matrix!$C$5:$BJ$204,0,$B33)&gt;0),--(INDEX(Matrix!$C$5:$BJ$204,0,BJ$3)&gt;0)))</f>
        <v/>
      </c>
    </row>
    <row r="34" customFormat="false" ht="15" hidden="false" customHeight="false" outlineLevel="0" collapsed="false">
      <c r="A34" s="6" t="str">
        <f aca="false">IF(INDEX(Products!$A$2:$A$61,$B34)="","",INDEX(Products!$A$2:$A$61,$B34))</f>
        <v/>
      </c>
      <c r="B34" s="23" t="n">
        <v>30</v>
      </c>
      <c r="C34" s="12" t="str">
        <f aca="false">IF(OR($A34="",C$4=""),"",SUMPRODUCT(--(INDEX(Matrix!$C$5:$BJ$204,0,$B34)&gt;0),--(INDEX(Matrix!$C$5:$BJ$204,0,C$3)&gt;0)))</f>
        <v/>
      </c>
      <c r="D34" s="12" t="str">
        <f aca="false">IF(OR($A34="",D$4=""),"",SUMPRODUCT(--(INDEX(Matrix!$C$5:$BJ$204,0,$B34)&gt;0),--(INDEX(Matrix!$C$5:$BJ$204,0,D$3)&gt;0)))</f>
        <v/>
      </c>
      <c r="E34" s="12" t="str">
        <f aca="false">IF(OR($A34="",E$4=""),"",SUMPRODUCT(--(INDEX(Matrix!$C$5:$BJ$204,0,$B34)&gt;0),--(INDEX(Matrix!$C$5:$BJ$204,0,E$3)&gt;0)))</f>
        <v/>
      </c>
      <c r="F34" s="12" t="str">
        <f aca="false">IF(OR($A34="",F$4=""),"",SUMPRODUCT(--(INDEX(Matrix!$C$5:$BJ$204,0,$B34)&gt;0),--(INDEX(Matrix!$C$5:$BJ$204,0,F$3)&gt;0)))</f>
        <v/>
      </c>
      <c r="G34" s="12" t="str">
        <f aca="false">IF(OR($A34="",G$4=""),"",SUMPRODUCT(--(INDEX(Matrix!$C$5:$BJ$204,0,$B34)&gt;0),--(INDEX(Matrix!$C$5:$BJ$204,0,G$3)&gt;0)))</f>
        <v/>
      </c>
      <c r="H34" s="12" t="str">
        <f aca="false">IF(OR($A34="",H$4=""),"",SUMPRODUCT(--(INDEX(Matrix!$C$5:$BJ$204,0,$B34)&gt;0),--(INDEX(Matrix!$C$5:$BJ$204,0,H$3)&gt;0)))</f>
        <v/>
      </c>
      <c r="I34" s="12" t="str">
        <f aca="false">IF(OR($A34="",I$4=""),"",SUMPRODUCT(--(INDEX(Matrix!$C$5:$BJ$204,0,$B34)&gt;0),--(INDEX(Matrix!$C$5:$BJ$204,0,I$3)&gt;0)))</f>
        <v/>
      </c>
      <c r="J34" s="12" t="str">
        <f aca="false">IF(OR($A34="",J$4=""),"",SUMPRODUCT(--(INDEX(Matrix!$C$5:$BJ$204,0,$B34)&gt;0),--(INDEX(Matrix!$C$5:$BJ$204,0,J$3)&gt;0)))</f>
        <v/>
      </c>
      <c r="K34" s="12" t="str">
        <f aca="false">IF(OR($A34="",K$4=""),"",SUMPRODUCT(--(INDEX(Matrix!$C$5:$BJ$204,0,$B34)&gt;0),--(INDEX(Matrix!$C$5:$BJ$204,0,K$3)&gt;0)))</f>
        <v/>
      </c>
      <c r="L34" s="12" t="str">
        <f aca="false">IF(OR($A34="",L$4=""),"",SUMPRODUCT(--(INDEX(Matrix!$C$5:$BJ$204,0,$B34)&gt;0),--(INDEX(Matrix!$C$5:$BJ$204,0,L$3)&gt;0)))</f>
        <v/>
      </c>
      <c r="M34" s="12" t="str">
        <f aca="false">IF(OR($A34="",M$4=""),"",SUMPRODUCT(--(INDEX(Matrix!$C$5:$BJ$204,0,$B34)&gt;0),--(INDEX(Matrix!$C$5:$BJ$204,0,M$3)&gt;0)))</f>
        <v/>
      </c>
      <c r="N34" s="12" t="str">
        <f aca="false">IF(OR($A34="",N$4=""),"",SUMPRODUCT(--(INDEX(Matrix!$C$5:$BJ$204,0,$B34)&gt;0),--(INDEX(Matrix!$C$5:$BJ$204,0,N$3)&gt;0)))</f>
        <v/>
      </c>
      <c r="O34" s="12" t="str">
        <f aca="false">IF(OR($A34="",O$4=""),"",SUMPRODUCT(--(INDEX(Matrix!$C$5:$BJ$204,0,$B34)&gt;0),--(INDEX(Matrix!$C$5:$BJ$204,0,O$3)&gt;0)))</f>
        <v/>
      </c>
      <c r="P34" s="12" t="str">
        <f aca="false">IF(OR($A34="",P$4=""),"",SUMPRODUCT(--(INDEX(Matrix!$C$5:$BJ$204,0,$B34)&gt;0),--(INDEX(Matrix!$C$5:$BJ$204,0,P$3)&gt;0)))</f>
        <v/>
      </c>
      <c r="Q34" s="12" t="str">
        <f aca="false">IF(OR($A34="",Q$4=""),"",SUMPRODUCT(--(INDEX(Matrix!$C$5:$BJ$204,0,$B34)&gt;0),--(INDEX(Matrix!$C$5:$BJ$204,0,Q$3)&gt;0)))</f>
        <v/>
      </c>
      <c r="R34" s="12" t="str">
        <f aca="false">IF(OR($A34="",R$4=""),"",SUMPRODUCT(--(INDEX(Matrix!$C$5:$BJ$204,0,$B34)&gt;0),--(INDEX(Matrix!$C$5:$BJ$204,0,R$3)&gt;0)))</f>
        <v/>
      </c>
      <c r="S34" s="12" t="str">
        <f aca="false">IF(OR($A34="",S$4=""),"",SUMPRODUCT(--(INDEX(Matrix!$C$5:$BJ$204,0,$B34)&gt;0),--(INDEX(Matrix!$C$5:$BJ$204,0,S$3)&gt;0)))</f>
        <v/>
      </c>
      <c r="T34" s="12" t="str">
        <f aca="false">IF(OR($A34="",T$4=""),"",SUMPRODUCT(--(INDEX(Matrix!$C$5:$BJ$204,0,$B34)&gt;0),--(INDEX(Matrix!$C$5:$BJ$204,0,T$3)&gt;0)))</f>
        <v/>
      </c>
      <c r="U34" s="12" t="str">
        <f aca="false">IF(OR($A34="",U$4=""),"",SUMPRODUCT(--(INDEX(Matrix!$C$5:$BJ$204,0,$B34)&gt;0),--(INDEX(Matrix!$C$5:$BJ$204,0,U$3)&gt;0)))</f>
        <v/>
      </c>
      <c r="V34" s="12" t="str">
        <f aca="false">IF(OR($A34="",V$4=""),"",SUMPRODUCT(--(INDEX(Matrix!$C$5:$BJ$204,0,$B34)&gt;0),--(INDEX(Matrix!$C$5:$BJ$204,0,V$3)&gt;0)))</f>
        <v/>
      </c>
      <c r="W34" s="12" t="str">
        <f aca="false">IF(OR($A34="",W$4=""),"",SUMPRODUCT(--(INDEX(Matrix!$C$5:$BJ$204,0,$B34)&gt;0),--(INDEX(Matrix!$C$5:$BJ$204,0,W$3)&gt;0)))</f>
        <v/>
      </c>
      <c r="X34" s="12" t="str">
        <f aca="false">IF(OR($A34="",X$4=""),"",SUMPRODUCT(--(INDEX(Matrix!$C$5:$BJ$204,0,$B34)&gt;0),--(INDEX(Matrix!$C$5:$BJ$204,0,X$3)&gt;0)))</f>
        <v/>
      </c>
      <c r="Y34" s="12" t="str">
        <f aca="false">IF(OR($A34="",Y$4=""),"",SUMPRODUCT(--(INDEX(Matrix!$C$5:$BJ$204,0,$B34)&gt;0),--(INDEX(Matrix!$C$5:$BJ$204,0,Y$3)&gt;0)))</f>
        <v/>
      </c>
      <c r="Z34" s="12" t="str">
        <f aca="false">IF(OR($A34="",Z$4=""),"",SUMPRODUCT(--(INDEX(Matrix!$C$5:$BJ$204,0,$B34)&gt;0),--(INDEX(Matrix!$C$5:$BJ$204,0,Z$3)&gt;0)))</f>
        <v/>
      </c>
      <c r="AA34" s="12" t="str">
        <f aca="false">IF(OR($A34="",AA$4=""),"",SUMPRODUCT(--(INDEX(Matrix!$C$5:$BJ$204,0,$B34)&gt;0),--(INDEX(Matrix!$C$5:$BJ$204,0,AA$3)&gt;0)))</f>
        <v/>
      </c>
      <c r="AB34" s="12" t="str">
        <f aca="false">IF(OR($A34="",AB$4=""),"",SUMPRODUCT(--(INDEX(Matrix!$C$5:$BJ$204,0,$B34)&gt;0),--(INDEX(Matrix!$C$5:$BJ$204,0,AB$3)&gt;0)))</f>
        <v/>
      </c>
      <c r="AC34" s="12" t="str">
        <f aca="false">IF(OR($A34="",AC$4=""),"",SUMPRODUCT(--(INDEX(Matrix!$C$5:$BJ$204,0,$B34)&gt;0),--(INDEX(Matrix!$C$5:$BJ$204,0,AC$3)&gt;0)))</f>
        <v/>
      </c>
      <c r="AD34" s="12" t="str">
        <f aca="false">IF(OR($A34="",AD$4=""),"",SUMPRODUCT(--(INDEX(Matrix!$C$5:$BJ$204,0,$B34)&gt;0),--(INDEX(Matrix!$C$5:$BJ$204,0,AD$3)&gt;0)))</f>
        <v/>
      </c>
      <c r="AE34" s="12" t="str">
        <f aca="false">IF(OR($A34="",AE$4=""),"",SUMPRODUCT(--(INDEX(Matrix!$C$5:$BJ$204,0,$B34)&gt;0),--(INDEX(Matrix!$C$5:$BJ$204,0,AE$3)&gt;0)))</f>
        <v/>
      </c>
      <c r="AF34" s="12" t="str">
        <f aca="false">IF(OR($A34="",AF$4=""),"",SUMPRODUCT(--(INDEX(Matrix!$C$5:$BJ$204,0,$B34)&gt;0),--(INDEX(Matrix!$C$5:$BJ$204,0,AF$3)&gt;0)))</f>
        <v/>
      </c>
      <c r="AG34" s="12" t="str">
        <f aca="false">IF(OR($A34="",AG$4=""),"",SUMPRODUCT(--(INDEX(Matrix!$C$5:$BJ$204,0,$B34)&gt;0),--(INDEX(Matrix!$C$5:$BJ$204,0,AG$3)&gt;0)))</f>
        <v/>
      </c>
      <c r="AH34" s="12" t="str">
        <f aca="false">IF(OR($A34="",AH$4=""),"",SUMPRODUCT(--(INDEX(Matrix!$C$5:$BJ$204,0,$B34)&gt;0),--(INDEX(Matrix!$C$5:$BJ$204,0,AH$3)&gt;0)))</f>
        <v/>
      </c>
      <c r="AI34" s="12" t="str">
        <f aca="false">IF(OR($A34="",AI$4=""),"",SUMPRODUCT(--(INDEX(Matrix!$C$5:$BJ$204,0,$B34)&gt;0),--(INDEX(Matrix!$C$5:$BJ$204,0,AI$3)&gt;0)))</f>
        <v/>
      </c>
      <c r="AJ34" s="12" t="str">
        <f aca="false">IF(OR($A34="",AJ$4=""),"",SUMPRODUCT(--(INDEX(Matrix!$C$5:$BJ$204,0,$B34)&gt;0),--(INDEX(Matrix!$C$5:$BJ$204,0,AJ$3)&gt;0)))</f>
        <v/>
      </c>
      <c r="AK34" s="12" t="str">
        <f aca="false">IF(OR($A34="",AK$4=""),"",SUMPRODUCT(--(INDEX(Matrix!$C$5:$BJ$204,0,$B34)&gt;0),--(INDEX(Matrix!$C$5:$BJ$204,0,AK$3)&gt;0)))</f>
        <v/>
      </c>
      <c r="AL34" s="12" t="str">
        <f aca="false">IF(OR($A34="",AL$4=""),"",SUMPRODUCT(--(INDEX(Matrix!$C$5:$BJ$204,0,$B34)&gt;0),--(INDEX(Matrix!$C$5:$BJ$204,0,AL$3)&gt;0)))</f>
        <v/>
      </c>
      <c r="AM34" s="12" t="str">
        <f aca="false">IF(OR($A34="",AM$4=""),"",SUMPRODUCT(--(INDEX(Matrix!$C$5:$BJ$204,0,$B34)&gt;0),--(INDEX(Matrix!$C$5:$BJ$204,0,AM$3)&gt;0)))</f>
        <v/>
      </c>
      <c r="AN34" s="12" t="str">
        <f aca="false">IF(OR($A34="",AN$4=""),"",SUMPRODUCT(--(INDEX(Matrix!$C$5:$BJ$204,0,$B34)&gt;0),--(INDEX(Matrix!$C$5:$BJ$204,0,AN$3)&gt;0)))</f>
        <v/>
      </c>
      <c r="AO34" s="12" t="str">
        <f aca="false">IF(OR($A34="",AO$4=""),"",SUMPRODUCT(--(INDEX(Matrix!$C$5:$BJ$204,0,$B34)&gt;0),--(INDEX(Matrix!$C$5:$BJ$204,0,AO$3)&gt;0)))</f>
        <v/>
      </c>
      <c r="AP34" s="12" t="str">
        <f aca="false">IF(OR($A34="",AP$4=""),"",SUMPRODUCT(--(INDEX(Matrix!$C$5:$BJ$204,0,$B34)&gt;0),--(INDEX(Matrix!$C$5:$BJ$204,0,AP$3)&gt;0)))</f>
        <v/>
      </c>
      <c r="AQ34" s="12" t="str">
        <f aca="false">IF(OR($A34="",AQ$4=""),"",SUMPRODUCT(--(INDEX(Matrix!$C$5:$BJ$204,0,$B34)&gt;0),--(INDEX(Matrix!$C$5:$BJ$204,0,AQ$3)&gt;0)))</f>
        <v/>
      </c>
      <c r="AR34" s="12" t="str">
        <f aca="false">IF(OR($A34="",AR$4=""),"",SUMPRODUCT(--(INDEX(Matrix!$C$5:$BJ$204,0,$B34)&gt;0),--(INDEX(Matrix!$C$5:$BJ$204,0,AR$3)&gt;0)))</f>
        <v/>
      </c>
      <c r="AS34" s="12" t="str">
        <f aca="false">IF(OR($A34="",AS$4=""),"",SUMPRODUCT(--(INDEX(Matrix!$C$5:$BJ$204,0,$B34)&gt;0),--(INDEX(Matrix!$C$5:$BJ$204,0,AS$3)&gt;0)))</f>
        <v/>
      </c>
      <c r="AT34" s="12" t="str">
        <f aca="false">IF(OR($A34="",AT$4=""),"",SUMPRODUCT(--(INDEX(Matrix!$C$5:$BJ$204,0,$B34)&gt;0),--(INDEX(Matrix!$C$5:$BJ$204,0,AT$3)&gt;0)))</f>
        <v/>
      </c>
      <c r="AU34" s="12" t="str">
        <f aca="false">IF(OR($A34="",AU$4=""),"",SUMPRODUCT(--(INDEX(Matrix!$C$5:$BJ$204,0,$B34)&gt;0),--(INDEX(Matrix!$C$5:$BJ$204,0,AU$3)&gt;0)))</f>
        <v/>
      </c>
      <c r="AV34" s="12" t="str">
        <f aca="false">IF(OR($A34="",AV$4=""),"",SUMPRODUCT(--(INDEX(Matrix!$C$5:$BJ$204,0,$B34)&gt;0),--(INDEX(Matrix!$C$5:$BJ$204,0,AV$3)&gt;0)))</f>
        <v/>
      </c>
      <c r="AW34" s="12" t="str">
        <f aca="false">IF(OR($A34="",AW$4=""),"",SUMPRODUCT(--(INDEX(Matrix!$C$5:$BJ$204,0,$B34)&gt;0),--(INDEX(Matrix!$C$5:$BJ$204,0,AW$3)&gt;0)))</f>
        <v/>
      </c>
      <c r="AX34" s="12" t="str">
        <f aca="false">IF(OR($A34="",AX$4=""),"",SUMPRODUCT(--(INDEX(Matrix!$C$5:$BJ$204,0,$B34)&gt;0),--(INDEX(Matrix!$C$5:$BJ$204,0,AX$3)&gt;0)))</f>
        <v/>
      </c>
      <c r="AY34" s="12" t="str">
        <f aca="false">IF(OR($A34="",AY$4=""),"",SUMPRODUCT(--(INDEX(Matrix!$C$5:$BJ$204,0,$B34)&gt;0),--(INDEX(Matrix!$C$5:$BJ$204,0,AY$3)&gt;0)))</f>
        <v/>
      </c>
      <c r="AZ34" s="12" t="str">
        <f aca="false">IF(OR($A34="",AZ$4=""),"",SUMPRODUCT(--(INDEX(Matrix!$C$5:$BJ$204,0,$B34)&gt;0),--(INDEX(Matrix!$C$5:$BJ$204,0,AZ$3)&gt;0)))</f>
        <v/>
      </c>
      <c r="BA34" s="12" t="str">
        <f aca="false">IF(OR($A34="",BA$4=""),"",SUMPRODUCT(--(INDEX(Matrix!$C$5:$BJ$204,0,$B34)&gt;0),--(INDEX(Matrix!$C$5:$BJ$204,0,BA$3)&gt;0)))</f>
        <v/>
      </c>
      <c r="BB34" s="12" t="str">
        <f aca="false">IF(OR($A34="",BB$4=""),"",SUMPRODUCT(--(INDEX(Matrix!$C$5:$BJ$204,0,$B34)&gt;0),--(INDEX(Matrix!$C$5:$BJ$204,0,BB$3)&gt;0)))</f>
        <v/>
      </c>
      <c r="BC34" s="12" t="str">
        <f aca="false">IF(OR($A34="",BC$4=""),"",SUMPRODUCT(--(INDEX(Matrix!$C$5:$BJ$204,0,$B34)&gt;0),--(INDEX(Matrix!$C$5:$BJ$204,0,BC$3)&gt;0)))</f>
        <v/>
      </c>
      <c r="BD34" s="12" t="str">
        <f aca="false">IF(OR($A34="",BD$4=""),"",SUMPRODUCT(--(INDEX(Matrix!$C$5:$BJ$204,0,$B34)&gt;0),--(INDEX(Matrix!$C$5:$BJ$204,0,BD$3)&gt;0)))</f>
        <v/>
      </c>
      <c r="BE34" s="12" t="str">
        <f aca="false">IF(OR($A34="",BE$4=""),"",SUMPRODUCT(--(INDEX(Matrix!$C$5:$BJ$204,0,$B34)&gt;0),--(INDEX(Matrix!$C$5:$BJ$204,0,BE$3)&gt;0)))</f>
        <v/>
      </c>
      <c r="BF34" s="12" t="str">
        <f aca="false">IF(OR($A34="",BF$4=""),"",SUMPRODUCT(--(INDEX(Matrix!$C$5:$BJ$204,0,$B34)&gt;0),--(INDEX(Matrix!$C$5:$BJ$204,0,BF$3)&gt;0)))</f>
        <v/>
      </c>
      <c r="BG34" s="12" t="str">
        <f aca="false">IF(OR($A34="",BG$4=""),"",SUMPRODUCT(--(INDEX(Matrix!$C$5:$BJ$204,0,$B34)&gt;0),--(INDEX(Matrix!$C$5:$BJ$204,0,BG$3)&gt;0)))</f>
        <v/>
      </c>
      <c r="BH34" s="12" t="str">
        <f aca="false">IF(OR($A34="",BH$4=""),"",SUMPRODUCT(--(INDEX(Matrix!$C$5:$BJ$204,0,$B34)&gt;0),--(INDEX(Matrix!$C$5:$BJ$204,0,BH$3)&gt;0)))</f>
        <v/>
      </c>
      <c r="BI34" s="12" t="str">
        <f aca="false">IF(OR($A34="",BI$4=""),"",SUMPRODUCT(--(INDEX(Matrix!$C$5:$BJ$204,0,$B34)&gt;0),--(INDEX(Matrix!$C$5:$BJ$204,0,BI$3)&gt;0)))</f>
        <v/>
      </c>
      <c r="BJ34" s="12" t="str">
        <f aca="false">IF(OR($A34="",BJ$4=""),"",SUMPRODUCT(--(INDEX(Matrix!$C$5:$BJ$204,0,$B34)&gt;0),--(INDEX(Matrix!$C$5:$BJ$204,0,BJ$3)&gt;0)))</f>
        <v/>
      </c>
    </row>
    <row r="35" customFormat="false" ht="15" hidden="false" customHeight="false" outlineLevel="0" collapsed="false">
      <c r="A35" s="6" t="str">
        <f aca="false">IF(INDEX(Products!$A$2:$A$61,$B35)="","",INDEX(Products!$A$2:$A$61,$B35))</f>
        <v/>
      </c>
      <c r="B35" s="23" t="n">
        <v>31</v>
      </c>
      <c r="C35" s="12" t="str">
        <f aca="false">IF(OR($A35="",C$4=""),"",SUMPRODUCT(--(INDEX(Matrix!$C$5:$BJ$204,0,$B35)&gt;0),--(INDEX(Matrix!$C$5:$BJ$204,0,C$3)&gt;0)))</f>
        <v/>
      </c>
      <c r="D35" s="12" t="str">
        <f aca="false">IF(OR($A35="",D$4=""),"",SUMPRODUCT(--(INDEX(Matrix!$C$5:$BJ$204,0,$B35)&gt;0),--(INDEX(Matrix!$C$5:$BJ$204,0,D$3)&gt;0)))</f>
        <v/>
      </c>
      <c r="E35" s="12" t="str">
        <f aca="false">IF(OR($A35="",E$4=""),"",SUMPRODUCT(--(INDEX(Matrix!$C$5:$BJ$204,0,$B35)&gt;0),--(INDEX(Matrix!$C$5:$BJ$204,0,E$3)&gt;0)))</f>
        <v/>
      </c>
      <c r="F35" s="12" t="str">
        <f aca="false">IF(OR($A35="",F$4=""),"",SUMPRODUCT(--(INDEX(Matrix!$C$5:$BJ$204,0,$B35)&gt;0),--(INDEX(Matrix!$C$5:$BJ$204,0,F$3)&gt;0)))</f>
        <v/>
      </c>
      <c r="G35" s="12" t="str">
        <f aca="false">IF(OR($A35="",G$4=""),"",SUMPRODUCT(--(INDEX(Matrix!$C$5:$BJ$204,0,$B35)&gt;0),--(INDEX(Matrix!$C$5:$BJ$204,0,G$3)&gt;0)))</f>
        <v/>
      </c>
      <c r="H35" s="12" t="str">
        <f aca="false">IF(OR($A35="",H$4=""),"",SUMPRODUCT(--(INDEX(Matrix!$C$5:$BJ$204,0,$B35)&gt;0),--(INDEX(Matrix!$C$5:$BJ$204,0,H$3)&gt;0)))</f>
        <v/>
      </c>
      <c r="I35" s="12" t="str">
        <f aca="false">IF(OR($A35="",I$4=""),"",SUMPRODUCT(--(INDEX(Matrix!$C$5:$BJ$204,0,$B35)&gt;0),--(INDEX(Matrix!$C$5:$BJ$204,0,I$3)&gt;0)))</f>
        <v/>
      </c>
      <c r="J35" s="12" t="str">
        <f aca="false">IF(OR($A35="",J$4=""),"",SUMPRODUCT(--(INDEX(Matrix!$C$5:$BJ$204,0,$B35)&gt;0),--(INDEX(Matrix!$C$5:$BJ$204,0,J$3)&gt;0)))</f>
        <v/>
      </c>
      <c r="K35" s="12" t="str">
        <f aca="false">IF(OR($A35="",K$4=""),"",SUMPRODUCT(--(INDEX(Matrix!$C$5:$BJ$204,0,$B35)&gt;0),--(INDEX(Matrix!$C$5:$BJ$204,0,K$3)&gt;0)))</f>
        <v/>
      </c>
      <c r="L35" s="12" t="str">
        <f aca="false">IF(OR($A35="",L$4=""),"",SUMPRODUCT(--(INDEX(Matrix!$C$5:$BJ$204,0,$B35)&gt;0),--(INDEX(Matrix!$C$5:$BJ$204,0,L$3)&gt;0)))</f>
        <v/>
      </c>
      <c r="M35" s="12" t="str">
        <f aca="false">IF(OR($A35="",M$4=""),"",SUMPRODUCT(--(INDEX(Matrix!$C$5:$BJ$204,0,$B35)&gt;0),--(INDEX(Matrix!$C$5:$BJ$204,0,M$3)&gt;0)))</f>
        <v/>
      </c>
      <c r="N35" s="12" t="str">
        <f aca="false">IF(OR($A35="",N$4=""),"",SUMPRODUCT(--(INDEX(Matrix!$C$5:$BJ$204,0,$B35)&gt;0),--(INDEX(Matrix!$C$5:$BJ$204,0,N$3)&gt;0)))</f>
        <v/>
      </c>
      <c r="O35" s="12" t="str">
        <f aca="false">IF(OR($A35="",O$4=""),"",SUMPRODUCT(--(INDEX(Matrix!$C$5:$BJ$204,0,$B35)&gt;0),--(INDEX(Matrix!$C$5:$BJ$204,0,O$3)&gt;0)))</f>
        <v/>
      </c>
      <c r="P35" s="12" t="str">
        <f aca="false">IF(OR($A35="",P$4=""),"",SUMPRODUCT(--(INDEX(Matrix!$C$5:$BJ$204,0,$B35)&gt;0),--(INDEX(Matrix!$C$5:$BJ$204,0,P$3)&gt;0)))</f>
        <v/>
      </c>
      <c r="Q35" s="12" t="str">
        <f aca="false">IF(OR($A35="",Q$4=""),"",SUMPRODUCT(--(INDEX(Matrix!$C$5:$BJ$204,0,$B35)&gt;0),--(INDEX(Matrix!$C$5:$BJ$204,0,Q$3)&gt;0)))</f>
        <v/>
      </c>
      <c r="R35" s="12" t="str">
        <f aca="false">IF(OR($A35="",R$4=""),"",SUMPRODUCT(--(INDEX(Matrix!$C$5:$BJ$204,0,$B35)&gt;0),--(INDEX(Matrix!$C$5:$BJ$204,0,R$3)&gt;0)))</f>
        <v/>
      </c>
      <c r="S35" s="12" t="str">
        <f aca="false">IF(OR($A35="",S$4=""),"",SUMPRODUCT(--(INDEX(Matrix!$C$5:$BJ$204,0,$B35)&gt;0),--(INDEX(Matrix!$C$5:$BJ$204,0,S$3)&gt;0)))</f>
        <v/>
      </c>
      <c r="T35" s="12" t="str">
        <f aca="false">IF(OR($A35="",T$4=""),"",SUMPRODUCT(--(INDEX(Matrix!$C$5:$BJ$204,0,$B35)&gt;0),--(INDEX(Matrix!$C$5:$BJ$204,0,T$3)&gt;0)))</f>
        <v/>
      </c>
      <c r="U35" s="12" t="str">
        <f aca="false">IF(OR($A35="",U$4=""),"",SUMPRODUCT(--(INDEX(Matrix!$C$5:$BJ$204,0,$B35)&gt;0),--(INDEX(Matrix!$C$5:$BJ$204,0,U$3)&gt;0)))</f>
        <v/>
      </c>
      <c r="V35" s="12" t="str">
        <f aca="false">IF(OR($A35="",V$4=""),"",SUMPRODUCT(--(INDEX(Matrix!$C$5:$BJ$204,0,$B35)&gt;0),--(INDEX(Matrix!$C$5:$BJ$204,0,V$3)&gt;0)))</f>
        <v/>
      </c>
      <c r="W35" s="12" t="str">
        <f aca="false">IF(OR($A35="",W$4=""),"",SUMPRODUCT(--(INDEX(Matrix!$C$5:$BJ$204,0,$B35)&gt;0),--(INDEX(Matrix!$C$5:$BJ$204,0,W$3)&gt;0)))</f>
        <v/>
      </c>
      <c r="X35" s="12" t="str">
        <f aca="false">IF(OR($A35="",X$4=""),"",SUMPRODUCT(--(INDEX(Matrix!$C$5:$BJ$204,0,$B35)&gt;0),--(INDEX(Matrix!$C$5:$BJ$204,0,X$3)&gt;0)))</f>
        <v/>
      </c>
      <c r="Y35" s="12" t="str">
        <f aca="false">IF(OR($A35="",Y$4=""),"",SUMPRODUCT(--(INDEX(Matrix!$C$5:$BJ$204,0,$B35)&gt;0),--(INDEX(Matrix!$C$5:$BJ$204,0,Y$3)&gt;0)))</f>
        <v/>
      </c>
      <c r="Z35" s="12" t="str">
        <f aca="false">IF(OR($A35="",Z$4=""),"",SUMPRODUCT(--(INDEX(Matrix!$C$5:$BJ$204,0,$B35)&gt;0),--(INDEX(Matrix!$C$5:$BJ$204,0,Z$3)&gt;0)))</f>
        <v/>
      </c>
      <c r="AA35" s="12" t="str">
        <f aca="false">IF(OR($A35="",AA$4=""),"",SUMPRODUCT(--(INDEX(Matrix!$C$5:$BJ$204,0,$B35)&gt;0),--(INDEX(Matrix!$C$5:$BJ$204,0,AA$3)&gt;0)))</f>
        <v/>
      </c>
      <c r="AB35" s="12" t="str">
        <f aca="false">IF(OR($A35="",AB$4=""),"",SUMPRODUCT(--(INDEX(Matrix!$C$5:$BJ$204,0,$B35)&gt;0),--(INDEX(Matrix!$C$5:$BJ$204,0,AB$3)&gt;0)))</f>
        <v/>
      </c>
      <c r="AC35" s="12" t="str">
        <f aca="false">IF(OR($A35="",AC$4=""),"",SUMPRODUCT(--(INDEX(Matrix!$C$5:$BJ$204,0,$B35)&gt;0),--(INDEX(Matrix!$C$5:$BJ$204,0,AC$3)&gt;0)))</f>
        <v/>
      </c>
      <c r="AD35" s="12" t="str">
        <f aca="false">IF(OR($A35="",AD$4=""),"",SUMPRODUCT(--(INDEX(Matrix!$C$5:$BJ$204,0,$B35)&gt;0),--(INDEX(Matrix!$C$5:$BJ$204,0,AD$3)&gt;0)))</f>
        <v/>
      </c>
      <c r="AE35" s="12" t="str">
        <f aca="false">IF(OR($A35="",AE$4=""),"",SUMPRODUCT(--(INDEX(Matrix!$C$5:$BJ$204,0,$B35)&gt;0),--(INDEX(Matrix!$C$5:$BJ$204,0,AE$3)&gt;0)))</f>
        <v/>
      </c>
      <c r="AF35" s="12" t="str">
        <f aca="false">IF(OR($A35="",AF$4=""),"",SUMPRODUCT(--(INDEX(Matrix!$C$5:$BJ$204,0,$B35)&gt;0),--(INDEX(Matrix!$C$5:$BJ$204,0,AF$3)&gt;0)))</f>
        <v/>
      </c>
      <c r="AG35" s="12" t="str">
        <f aca="false">IF(OR($A35="",AG$4=""),"",SUMPRODUCT(--(INDEX(Matrix!$C$5:$BJ$204,0,$B35)&gt;0),--(INDEX(Matrix!$C$5:$BJ$204,0,AG$3)&gt;0)))</f>
        <v/>
      </c>
      <c r="AH35" s="12" t="str">
        <f aca="false">IF(OR($A35="",AH$4=""),"",SUMPRODUCT(--(INDEX(Matrix!$C$5:$BJ$204,0,$B35)&gt;0),--(INDEX(Matrix!$C$5:$BJ$204,0,AH$3)&gt;0)))</f>
        <v/>
      </c>
      <c r="AI35" s="12" t="str">
        <f aca="false">IF(OR($A35="",AI$4=""),"",SUMPRODUCT(--(INDEX(Matrix!$C$5:$BJ$204,0,$B35)&gt;0),--(INDEX(Matrix!$C$5:$BJ$204,0,AI$3)&gt;0)))</f>
        <v/>
      </c>
      <c r="AJ35" s="12" t="str">
        <f aca="false">IF(OR($A35="",AJ$4=""),"",SUMPRODUCT(--(INDEX(Matrix!$C$5:$BJ$204,0,$B35)&gt;0),--(INDEX(Matrix!$C$5:$BJ$204,0,AJ$3)&gt;0)))</f>
        <v/>
      </c>
      <c r="AK35" s="12" t="str">
        <f aca="false">IF(OR($A35="",AK$4=""),"",SUMPRODUCT(--(INDEX(Matrix!$C$5:$BJ$204,0,$B35)&gt;0),--(INDEX(Matrix!$C$5:$BJ$204,0,AK$3)&gt;0)))</f>
        <v/>
      </c>
      <c r="AL35" s="12" t="str">
        <f aca="false">IF(OR($A35="",AL$4=""),"",SUMPRODUCT(--(INDEX(Matrix!$C$5:$BJ$204,0,$B35)&gt;0),--(INDEX(Matrix!$C$5:$BJ$204,0,AL$3)&gt;0)))</f>
        <v/>
      </c>
      <c r="AM35" s="12" t="str">
        <f aca="false">IF(OR($A35="",AM$4=""),"",SUMPRODUCT(--(INDEX(Matrix!$C$5:$BJ$204,0,$B35)&gt;0),--(INDEX(Matrix!$C$5:$BJ$204,0,AM$3)&gt;0)))</f>
        <v/>
      </c>
      <c r="AN35" s="12" t="str">
        <f aca="false">IF(OR($A35="",AN$4=""),"",SUMPRODUCT(--(INDEX(Matrix!$C$5:$BJ$204,0,$B35)&gt;0),--(INDEX(Matrix!$C$5:$BJ$204,0,AN$3)&gt;0)))</f>
        <v/>
      </c>
      <c r="AO35" s="12" t="str">
        <f aca="false">IF(OR($A35="",AO$4=""),"",SUMPRODUCT(--(INDEX(Matrix!$C$5:$BJ$204,0,$B35)&gt;0),--(INDEX(Matrix!$C$5:$BJ$204,0,AO$3)&gt;0)))</f>
        <v/>
      </c>
      <c r="AP35" s="12" t="str">
        <f aca="false">IF(OR($A35="",AP$4=""),"",SUMPRODUCT(--(INDEX(Matrix!$C$5:$BJ$204,0,$B35)&gt;0),--(INDEX(Matrix!$C$5:$BJ$204,0,AP$3)&gt;0)))</f>
        <v/>
      </c>
      <c r="AQ35" s="12" t="str">
        <f aca="false">IF(OR($A35="",AQ$4=""),"",SUMPRODUCT(--(INDEX(Matrix!$C$5:$BJ$204,0,$B35)&gt;0),--(INDEX(Matrix!$C$5:$BJ$204,0,AQ$3)&gt;0)))</f>
        <v/>
      </c>
      <c r="AR35" s="12" t="str">
        <f aca="false">IF(OR($A35="",AR$4=""),"",SUMPRODUCT(--(INDEX(Matrix!$C$5:$BJ$204,0,$B35)&gt;0),--(INDEX(Matrix!$C$5:$BJ$204,0,AR$3)&gt;0)))</f>
        <v/>
      </c>
      <c r="AS35" s="12" t="str">
        <f aca="false">IF(OR($A35="",AS$4=""),"",SUMPRODUCT(--(INDEX(Matrix!$C$5:$BJ$204,0,$B35)&gt;0),--(INDEX(Matrix!$C$5:$BJ$204,0,AS$3)&gt;0)))</f>
        <v/>
      </c>
      <c r="AT35" s="12" t="str">
        <f aca="false">IF(OR($A35="",AT$4=""),"",SUMPRODUCT(--(INDEX(Matrix!$C$5:$BJ$204,0,$B35)&gt;0),--(INDEX(Matrix!$C$5:$BJ$204,0,AT$3)&gt;0)))</f>
        <v/>
      </c>
      <c r="AU35" s="12" t="str">
        <f aca="false">IF(OR($A35="",AU$4=""),"",SUMPRODUCT(--(INDEX(Matrix!$C$5:$BJ$204,0,$B35)&gt;0),--(INDEX(Matrix!$C$5:$BJ$204,0,AU$3)&gt;0)))</f>
        <v/>
      </c>
      <c r="AV35" s="12" t="str">
        <f aca="false">IF(OR($A35="",AV$4=""),"",SUMPRODUCT(--(INDEX(Matrix!$C$5:$BJ$204,0,$B35)&gt;0),--(INDEX(Matrix!$C$5:$BJ$204,0,AV$3)&gt;0)))</f>
        <v/>
      </c>
      <c r="AW35" s="12" t="str">
        <f aca="false">IF(OR($A35="",AW$4=""),"",SUMPRODUCT(--(INDEX(Matrix!$C$5:$BJ$204,0,$B35)&gt;0),--(INDEX(Matrix!$C$5:$BJ$204,0,AW$3)&gt;0)))</f>
        <v/>
      </c>
      <c r="AX35" s="12" t="str">
        <f aca="false">IF(OR($A35="",AX$4=""),"",SUMPRODUCT(--(INDEX(Matrix!$C$5:$BJ$204,0,$B35)&gt;0),--(INDEX(Matrix!$C$5:$BJ$204,0,AX$3)&gt;0)))</f>
        <v/>
      </c>
      <c r="AY35" s="12" t="str">
        <f aca="false">IF(OR($A35="",AY$4=""),"",SUMPRODUCT(--(INDEX(Matrix!$C$5:$BJ$204,0,$B35)&gt;0),--(INDEX(Matrix!$C$5:$BJ$204,0,AY$3)&gt;0)))</f>
        <v/>
      </c>
      <c r="AZ35" s="12" t="str">
        <f aca="false">IF(OR($A35="",AZ$4=""),"",SUMPRODUCT(--(INDEX(Matrix!$C$5:$BJ$204,0,$B35)&gt;0),--(INDEX(Matrix!$C$5:$BJ$204,0,AZ$3)&gt;0)))</f>
        <v/>
      </c>
      <c r="BA35" s="12" t="str">
        <f aca="false">IF(OR($A35="",BA$4=""),"",SUMPRODUCT(--(INDEX(Matrix!$C$5:$BJ$204,0,$B35)&gt;0),--(INDEX(Matrix!$C$5:$BJ$204,0,BA$3)&gt;0)))</f>
        <v/>
      </c>
      <c r="BB35" s="12" t="str">
        <f aca="false">IF(OR($A35="",BB$4=""),"",SUMPRODUCT(--(INDEX(Matrix!$C$5:$BJ$204,0,$B35)&gt;0),--(INDEX(Matrix!$C$5:$BJ$204,0,BB$3)&gt;0)))</f>
        <v/>
      </c>
      <c r="BC35" s="12" t="str">
        <f aca="false">IF(OR($A35="",BC$4=""),"",SUMPRODUCT(--(INDEX(Matrix!$C$5:$BJ$204,0,$B35)&gt;0),--(INDEX(Matrix!$C$5:$BJ$204,0,BC$3)&gt;0)))</f>
        <v/>
      </c>
      <c r="BD35" s="12" t="str">
        <f aca="false">IF(OR($A35="",BD$4=""),"",SUMPRODUCT(--(INDEX(Matrix!$C$5:$BJ$204,0,$B35)&gt;0),--(INDEX(Matrix!$C$5:$BJ$204,0,BD$3)&gt;0)))</f>
        <v/>
      </c>
      <c r="BE35" s="12" t="str">
        <f aca="false">IF(OR($A35="",BE$4=""),"",SUMPRODUCT(--(INDEX(Matrix!$C$5:$BJ$204,0,$B35)&gt;0),--(INDEX(Matrix!$C$5:$BJ$204,0,BE$3)&gt;0)))</f>
        <v/>
      </c>
      <c r="BF35" s="12" t="str">
        <f aca="false">IF(OR($A35="",BF$4=""),"",SUMPRODUCT(--(INDEX(Matrix!$C$5:$BJ$204,0,$B35)&gt;0),--(INDEX(Matrix!$C$5:$BJ$204,0,BF$3)&gt;0)))</f>
        <v/>
      </c>
      <c r="BG35" s="12" t="str">
        <f aca="false">IF(OR($A35="",BG$4=""),"",SUMPRODUCT(--(INDEX(Matrix!$C$5:$BJ$204,0,$B35)&gt;0),--(INDEX(Matrix!$C$5:$BJ$204,0,BG$3)&gt;0)))</f>
        <v/>
      </c>
      <c r="BH35" s="12" t="str">
        <f aca="false">IF(OR($A35="",BH$4=""),"",SUMPRODUCT(--(INDEX(Matrix!$C$5:$BJ$204,0,$B35)&gt;0),--(INDEX(Matrix!$C$5:$BJ$204,0,BH$3)&gt;0)))</f>
        <v/>
      </c>
      <c r="BI35" s="12" t="str">
        <f aca="false">IF(OR($A35="",BI$4=""),"",SUMPRODUCT(--(INDEX(Matrix!$C$5:$BJ$204,0,$B35)&gt;0),--(INDEX(Matrix!$C$5:$BJ$204,0,BI$3)&gt;0)))</f>
        <v/>
      </c>
      <c r="BJ35" s="12" t="str">
        <f aca="false">IF(OR($A35="",BJ$4=""),"",SUMPRODUCT(--(INDEX(Matrix!$C$5:$BJ$204,0,$B35)&gt;0),--(INDEX(Matrix!$C$5:$BJ$204,0,BJ$3)&gt;0)))</f>
        <v/>
      </c>
    </row>
    <row r="36" customFormat="false" ht="15" hidden="false" customHeight="false" outlineLevel="0" collapsed="false">
      <c r="A36" s="6" t="str">
        <f aca="false">IF(INDEX(Products!$A$2:$A$61,$B36)="","",INDEX(Products!$A$2:$A$61,$B36))</f>
        <v/>
      </c>
      <c r="B36" s="23" t="n">
        <v>32</v>
      </c>
      <c r="C36" s="12" t="str">
        <f aca="false">IF(OR($A36="",C$4=""),"",SUMPRODUCT(--(INDEX(Matrix!$C$5:$BJ$204,0,$B36)&gt;0),--(INDEX(Matrix!$C$5:$BJ$204,0,C$3)&gt;0)))</f>
        <v/>
      </c>
      <c r="D36" s="12" t="str">
        <f aca="false">IF(OR($A36="",D$4=""),"",SUMPRODUCT(--(INDEX(Matrix!$C$5:$BJ$204,0,$B36)&gt;0),--(INDEX(Matrix!$C$5:$BJ$204,0,D$3)&gt;0)))</f>
        <v/>
      </c>
      <c r="E36" s="12" t="str">
        <f aca="false">IF(OR($A36="",E$4=""),"",SUMPRODUCT(--(INDEX(Matrix!$C$5:$BJ$204,0,$B36)&gt;0),--(INDEX(Matrix!$C$5:$BJ$204,0,E$3)&gt;0)))</f>
        <v/>
      </c>
      <c r="F36" s="12" t="str">
        <f aca="false">IF(OR($A36="",F$4=""),"",SUMPRODUCT(--(INDEX(Matrix!$C$5:$BJ$204,0,$B36)&gt;0),--(INDEX(Matrix!$C$5:$BJ$204,0,F$3)&gt;0)))</f>
        <v/>
      </c>
      <c r="G36" s="12" t="str">
        <f aca="false">IF(OR($A36="",G$4=""),"",SUMPRODUCT(--(INDEX(Matrix!$C$5:$BJ$204,0,$B36)&gt;0),--(INDEX(Matrix!$C$5:$BJ$204,0,G$3)&gt;0)))</f>
        <v/>
      </c>
      <c r="H36" s="12" t="str">
        <f aca="false">IF(OR($A36="",H$4=""),"",SUMPRODUCT(--(INDEX(Matrix!$C$5:$BJ$204,0,$B36)&gt;0),--(INDEX(Matrix!$C$5:$BJ$204,0,H$3)&gt;0)))</f>
        <v/>
      </c>
      <c r="I36" s="12" t="str">
        <f aca="false">IF(OR($A36="",I$4=""),"",SUMPRODUCT(--(INDEX(Matrix!$C$5:$BJ$204,0,$B36)&gt;0),--(INDEX(Matrix!$C$5:$BJ$204,0,I$3)&gt;0)))</f>
        <v/>
      </c>
      <c r="J36" s="12" t="str">
        <f aca="false">IF(OR($A36="",J$4=""),"",SUMPRODUCT(--(INDEX(Matrix!$C$5:$BJ$204,0,$B36)&gt;0),--(INDEX(Matrix!$C$5:$BJ$204,0,J$3)&gt;0)))</f>
        <v/>
      </c>
      <c r="K36" s="12" t="str">
        <f aca="false">IF(OR($A36="",K$4=""),"",SUMPRODUCT(--(INDEX(Matrix!$C$5:$BJ$204,0,$B36)&gt;0),--(INDEX(Matrix!$C$5:$BJ$204,0,K$3)&gt;0)))</f>
        <v/>
      </c>
      <c r="L36" s="12" t="str">
        <f aca="false">IF(OR($A36="",L$4=""),"",SUMPRODUCT(--(INDEX(Matrix!$C$5:$BJ$204,0,$B36)&gt;0),--(INDEX(Matrix!$C$5:$BJ$204,0,L$3)&gt;0)))</f>
        <v/>
      </c>
      <c r="M36" s="12" t="str">
        <f aca="false">IF(OR($A36="",M$4=""),"",SUMPRODUCT(--(INDEX(Matrix!$C$5:$BJ$204,0,$B36)&gt;0),--(INDEX(Matrix!$C$5:$BJ$204,0,M$3)&gt;0)))</f>
        <v/>
      </c>
      <c r="N36" s="12" t="str">
        <f aca="false">IF(OR($A36="",N$4=""),"",SUMPRODUCT(--(INDEX(Matrix!$C$5:$BJ$204,0,$B36)&gt;0),--(INDEX(Matrix!$C$5:$BJ$204,0,N$3)&gt;0)))</f>
        <v/>
      </c>
      <c r="O36" s="12" t="str">
        <f aca="false">IF(OR($A36="",O$4=""),"",SUMPRODUCT(--(INDEX(Matrix!$C$5:$BJ$204,0,$B36)&gt;0),--(INDEX(Matrix!$C$5:$BJ$204,0,O$3)&gt;0)))</f>
        <v/>
      </c>
      <c r="P36" s="12" t="str">
        <f aca="false">IF(OR($A36="",P$4=""),"",SUMPRODUCT(--(INDEX(Matrix!$C$5:$BJ$204,0,$B36)&gt;0),--(INDEX(Matrix!$C$5:$BJ$204,0,P$3)&gt;0)))</f>
        <v/>
      </c>
      <c r="Q36" s="12" t="str">
        <f aca="false">IF(OR($A36="",Q$4=""),"",SUMPRODUCT(--(INDEX(Matrix!$C$5:$BJ$204,0,$B36)&gt;0),--(INDEX(Matrix!$C$5:$BJ$204,0,Q$3)&gt;0)))</f>
        <v/>
      </c>
      <c r="R36" s="12" t="str">
        <f aca="false">IF(OR($A36="",R$4=""),"",SUMPRODUCT(--(INDEX(Matrix!$C$5:$BJ$204,0,$B36)&gt;0),--(INDEX(Matrix!$C$5:$BJ$204,0,R$3)&gt;0)))</f>
        <v/>
      </c>
      <c r="S36" s="12" t="str">
        <f aca="false">IF(OR($A36="",S$4=""),"",SUMPRODUCT(--(INDEX(Matrix!$C$5:$BJ$204,0,$B36)&gt;0),--(INDEX(Matrix!$C$5:$BJ$204,0,S$3)&gt;0)))</f>
        <v/>
      </c>
      <c r="T36" s="12" t="str">
        <f aca="false">IF(OR($A36="",T$4=""),"",SUMPRODUCT(--(INDEX(Matrix!$C$5:$BJ$204,0,$B36)&gt;0),--(INDEX(Matrix!$C$5:$BJ$204,0,T$3)&gt;0)))</f>
        <v/>
      </c>
      <c r="U36" s="12" t="str">
        <f aca="false">IF(OR($A36="",U$4=""),"",SUMPRODUCT(--(INDEX(Matrix!$C$5:$BJ$204,0,$B36)&gt;0),--(INDEX(Matrix!$C$5:$BJ$204,0,U$3)&gt;0)))</f>
        <v/>
      </c>
      <c r="V36" s="12" t="str">
        <f aca="false">IF(OR($A36="",V$4=""),"",SUMPRODUCT(--(INDEX(Matrix!$C$5:$BJ$204,0,$B36)&gt;0),--(INDEX(Matrix!$C$5:$BJ$204,0,V$3)&gt;0)))</f>
        <v/>
      </c>
      <c r="W36" s="12" t="str">
        <f aca="false">IF(OR($A36="",W$4=""),"",SUMPRODUCT(--(INDEX(Matrix!$C$5:$BJ$204,0,$B36)&gt;0),--(INDEX(Matrix!$C$5:$BJ$204,0,W$3)&gt;0)))</f>
        <v/>
      </c>
      <c r="X36" s="12" t="str">
        <f aca="false">IF(OR($A36="",X$4=""),"",SUMPRODUCT(--(INDEX(Matrix!$C$5:$BJ$204,0,$B36)&gt;0),--(INDEX(Matrix!$C$5:$BJ$204,0,X$3)&gt;0)))</f>
        <v/>
      </c>
      <c r="Y36" s="12" t="str">
        <f aca="false">IF(OR($A36="",Y$4=""),"",SUMPRODUCT(--(INDEX(Matrix!$C$5:$BJ$204,0,$B36)&gt;0),--(INDEX(Matrix!$C$5:$BJ$204,0,Y$3)&gt;0)))</f>
        <v/>
      </c>
      <c r="Z36" s="12" t="str">
        <f aca="false">IF(OR($A36="",Z$4=""),"",SUMPRODUCT(--(INDEX(Matrix!$C$5:$BJ$204,0,$B36)&gt;0),--(INDEX(Matrix!$C$5:$BJ$204,0,Z$3)&gt;0)))</f>
        <v/>
      </c>
      <c r="AA36" s="12" t="str">
        <f aca="false">IF(OR($A36="",AA$4=""),"",SUMPRODUCT(--(INDEX(Matrix!$C$5:$BJ$204,0,$B36)&gt;0),--(INDEX(Matrix!$C$5:$BJ$204,0,AA$3)&gt;0)))</f>
        <v/>
      </c>
      <c r="AB36" s="12" t="str">
        <f aca="false">IF(OR($A36="",AB$4=""),"",SUMPRODUCT(--(INDEX(Matrix!$C$5:$BJ$204,0,$B36)&gt;0),--(INDEX(Matrix!$C$5:$BJ$204,0,AB$3)&gt;0)))</f>
        <v/>
      </c>
      <c r="AC36" s="12" t="str">
        <f aca="false">IF(OR($A36="",AC$4=""),"",SUMPRODUCT(--(INDEX(Matrix!$C$5:$BJ$204,0,$B36)&gt;0),--(INDEX(Matrix!$C$5:$BJ$204,0,AC$3)&gt;0)))</f>
        <v/>
      </c>
      <c r="AD36" s="12" t="str">
        <f aca="false">IF(OR($A36="",AD$4=""),"",SUMPRODUCT(--(INDEX(Matrix!$C$5:$BJ$204,0,$B36)&gt;0),--(INDEX(Matrix!$C$5:$BJ$204,0,AD$3)&gt;0)))</f>
        <v/>
      </c>
      <c r="AE36" s="12" t="str">
        <f aca="false">IF(OR($A36="",AE$4=""),"",SUMPRODUCT(--(INDEX(Matrix!$C$5:$BJ$204,0,$B36)&gt;0),--(INDEX(Matrix!$C$5:$BJ$204,0,AE$3)&gt;0)))</f>
        <v/>
      </c>
      <c r="AF36" s="12" t="str">
        <f aca="false">IF(OR($A36="",AF$4=""),"",SUMPRODUCT(--(INDEX(Matrix!$C$5:$BJ$204,0,$B36)&gt;0),--(INDEX(Matrix!$C$5:$BJ$204,0,AF$3)&gt;0)))</f>
        <v/>
      </c>
      <c r="AG36" s="12" t="str">
        <f aca="false">IF(OR($A36="",AG$4=""),"",SUMPRODUCT(--(INDEX(Matrix!$C$5:$BJ$204,0,$B36)&gt;0),--(INDEX(Matrix!$C$5:$BJ$204,0,AG$3)&gt;0)))</f>
        <v/>
      </c>
      <c r="AH36" s="12" t="str">
        <f aca="false">IF(OR($A36="",AH$4=""),"",SUMPRODUCT(--(INDEX(Matrix!$C$5:$BJ$204,0,$B36)&gt;0),--(INDEX(Matrix!$C$5:$BJ$204,0,AH$3)&gt;0)))</f>
        <v/>
      </c>
      <c r="AI36" s="12" t="str">
        <f aca="false">IF(OR($A36="",AI$4=""),"",SUMPRODUCT(--(INDEX(Matrix!$C$5:$BJ$204,0,$B36)&gt;0),--(INDEX(Matrix!$C$5:$BJ$204,0,AI$3)&gt;0)))</f>
        <v/>
      </c>
      <c r="AJ36" s="12" t="str">
        <f aca="false">IF(OR($A36="",AJ$4=""),"",SUMPRODUCT(--(INDEX(Matrix!$C$5:$BJ$204,0,$B36)&gt;0),--(INDEX(Matrix!$C$5:$BJ$204,0,AJ$3)&gt;0)))</f>
        <v/>
      </c>
      <c r="AK36" s="12" t="str">
        <f aca="false">IF(OR($A36="",AK$4=""),"",SUMPRODUCT(--(INDEX(Matrix!$C$5:$BJ$204,0,$B36)&gt;0),--(INDEX(Matrix!$C$5:$BJ$204,0,AK$3)&gt;0)))</f>
        <v/>
      </c>
      <c r="AL36" s="12" t="str">
        <f aca="false">IF(OR($A36="",AL$4=""),"",SUMPRODUCT(--(INDEX(Matrix!$C$5:$BJ$204,0,$B36)&gt;0),--(INDEX(Matrix!$C$5:$BJ$204,0,AL$3)&gt;0)))</f>
        <v/>
      </c>
      <c r="AM36" s="12" t="str">
        <f aca="false">IF(OR($A36="",AM$4=""),"",SUMPRODUCT(--(INDEX(Matrix!$C$5:$BJ$204,0,$B36)&gt;0),--(INDEX(Matrix!$C$5:$BJ$204,0,AM$3)&gt;0)))</f>
        <v/>
      </c>
      <c r="AN36" s="12" t="str">
        <f aca="false">IF(OR($A36="",AN$4=""),"",SUMPRODUCT(--(INDEX(Matrix!$C$5:$BJ$204,0,$B36)&gt;0),--(INDEX(Matrix!$C$5:$BJ$204,0,AN$3)&gt;0)))</f>
        <v/>
      </c>
      <c r="AO36" s="12" t="str">
        <f aca="false">IF(OR($A36="",AO$4=""),"",SUMPRODUCT(--(INDEX(Matrix!$C$5:$BJ$204,0,$B36)&gt;0),--(INDEX(Matrix!$C$5:$BJ$204,0,AO$3)&gt;0)))</f>
        <v/>
      </c>
      <c r="AP36" s="12" t="str">
        <f aca="false">IF(OR($A36="",AP$4=""),"",SUMPRODUCT(--(INDEX(Matrix!$C$5:$BJ$204,0,$B36)&gt;0),--(INDEX(Matrix!$C$5:$BJ$204,0,AP$3)&gt;0)))</f>
        <v/>
      </c>
      <c r="AQ36" s="12" t="str">
        <f aca="false">IF(OR($A36="",AQ$4=""),"",SUMPRODUCT(--(INDEX(Matrix!$C$5:$BJ$204,0,$B36)&gt;0),--(INDEX(Matrix!$C$5:$BJ$204,0,AQ$3)&gt;0)))</f>
        <v/>
      </c>
      <c r="AR36" s="12" t="str">
        <f aca="false">IF(OR($A36="",AR$4=""),"",SUMPRODUCT(--(INDEX(Matrix!$C$5:$BJ$204,0,$B36)&gt;0),--(INDEX(Matrix!$C$5:$BJ$204,0,AR$3)&gt;0)))</f>
        <v/>
      </c>
      <c r="AS36" s="12" t="str">
        <f aca="false">IF(OR($A36="",AS$4=""),"",SUMPRODUCT(--(INDEX(Matrix!$C$5:$BJ$204,0,$B36)&gt;0),--(INDEX(Matrix!$C$5:$BJ$204,0,AS$3)&gt;0)))</f>
        <v/>
      </c>
      <c r="AT36" s="12" t="str">
        <f aca="false">IF(OR($A36="",AT$4=""),"",SUMPRODUCT(--(INDEX(Matrix!$C$5:$BJ$204,0,$B36)&gt;0),--(INDEX(Matrix!$C$5:$BJ$204,0,AT$3)&gt;0)))</f>
        <v/>
      </c>
      <c r="AU36" s="12" t="str">
        <f aca="false">IF(OR($A36="",AU$4=""),"",SUMPRODUCT(--(INDEX(Matrix!$C$5:$BJ$204,0,$B36)&gt;0),--(INDEX(Matrix!$C$5:$BJ$204,0,AU$3)&gt;0)))</f>
        <v/>
      </c>
      <c r="AV36" s="12" t="str">
        <f aca="false">IF(OR($A36="",AV$4=""),"",SUMPRODUCT(--(INDEX(Matrix!$C$5:$BJ$204,0,$B36)&gt;0),--(INDEX(Matrix!$C$5:$BJ$204,0,AV$3)&gt;0)))</f>
        <v/>
      </c>
      <c r="AW36" s="12" t="str">
        <f aca="false">IF(OR($A36="",AW$4=""),"",SUMPRODUCT(--(INDEX(Matrix!$C$5:$BJ$204,0,$B36)&gt;0),--(INDEX(Matrix!$C$5:$BJ$204,0,AW$3)&gt;0)))</f>
        <v/>
      </c>
      <c r="AX36" s="12" t="str">
        <f aca="false">IF(OR($A36="",AX$4=""),"",SUMPRODUCT(--(INDEX(Matrix!$C$5:$BJ$204,0,$B36)&gt;0),--(INDEX(Matrix!$C$5:$BJ$204,0,AX$3)&gt;0)))</f>
        <v/>
      </c>
      <c r="AY36" s="12" t="str">
        <f aca="false">IF(OR($A36="",AY$4=""),"",SUMPRODUCT(--(INDEX(Matrix!$C$5:$BJ$204,0,$B36)&gt;0),--(INDEX(Matrix!$C$5:$BJ$204,0,AY$3)&gt;0)))</f>
        <v/>
      </c>
      <c r="AZ36" s="12" t="str">
        <f aca="false">IF(OR($A36="",AZ$4=""),"",SUMPRODUCT(--(INDEX(Matrix!$C$5:$BJ$204,0,$B36)&gt;0),--(INDEX(Matrix!$C$5:$BJ$204,0,AZ$3)&gt;0)))</f>
        <v/>
      </c>
      <c r="BA36" s="12" t="str">
        <f aca="false">IF(OR($A36="",BA$4=""),"",SUMPRODUCT(--(INDEX(Matrix!$C$5:$BJ$204,0,$B36)&gt;0),--(INDEX(Matrix!$C$5:$BJ$204,0,BA$3)&gt;0)))</f>
        <v/>
      </c>
      <c r="BB36" s="12" t="str">
        <f aca="false">IF(OR($A36="",BB$4=""),"",SUMPRODUCT(--(INDEX(Matrix!$C$5:$BJ$204,0,$B36)&gt;0),--(INDEX(Matrix!$C$5:$BJ$204,0,BB$3)&gt;0)))</f>
        <v/>
      </c>
      <c r="BC36" s="12" t="str">
        <f aca="false">IF(OR($A36="",BC$4=""),"",SUMPRODUCT(--(INDEX(Matrix!$C$5:$BJ$204,0,$B36)&gt;0),--(INDEX(Matrix!$C$5:$BJ$204,0,BC$3)&gt;0)))</f>
        <v/>
      </c>
      <c r="BD36" s="12" t="str">
        <f aca="false">IF(OR($A36="",BD$4=""),"",SUMPRODUCT(--(INDEX(Matrix!$C$5:$BJ$204,0,$B36)&gt;0),--(INDEX(Matrix!$C$5:$BJ$204,0,BD$3)&gt;0)))</f>
        <v/>
      </c>
      <c r="BE36" s="12" t="str">
        <f aca="false">IF(OR($A36="",BE$4=""),"",SUMPRODUCT(--(INDEX(Matrix!$C$5:$BJ$204,0,$B36)&gt;0),--(INDEX(Matrix!$C$5:$BJ$204,0,BE$3)&gt;0)))</f>
        <v/>
      </c>
      <c r="BF36" s="12" t="str">
        <f aca="false">IF(OR($A36="",BF$4=""),"",SUMPRODUCT(--(INDEX(Matrix!$C$5:$BJ$204,0,$B36)&gt;0),--(INDEX(Matrix!$C$5:$BJ$204,0,BF$3)&gt;0)))</f>
        <v/>
      </c>
      <c r="BG36" s="12" t="str">
        <f aca="false">IF(OR($A36="",BG$4=""),"",SUMPRODUCT(--(INDEX(Matrix!$C$5:$BJ$204,0,$B36)&gt;0),--(INDEX(Matrix!$C$5:$BJ$204,0,BG$3)&gt;0)))</f>
        <v/>
      </c>
      <c r="BH36" s="12" t="str">
        <f aca="false">IF(OR($A36="",BH$4=""),"",SUMPRODUCT(--(INDEX(Matrix!$C$5:$BJ$204,0,$B36)&gt;0),--(INDEX(Matrix!$C$5:$BJ$204,0,BH$3)&gt;0)))</f>
        <v/>
      </c>
      <c r="BI36" s="12" t="str">
        <f aca="false">IF(OR($A36="",BI$4=""),"",SUMPRODUCT(--(INDEX(Matrix!$C$5:$BJ$204,0,$B36)&gt;0),--(INDEX(Matrix!$C$5:$BJ$204,0,BI$3)&gt;0)))</f>
        <v/>
      </c>
      <c r="BJ36" s="12" t="str">
        <f aca="false">IF(OR($A36="",BJ$4=""),"",SUMPRODUCT(--(INDEX(Matrix!$C$5:$BJ$204,0,$B36)&gt;0),--(INDEX(Matrix!$C$5:$BJ$204,0,BJ$3)&gt;0)))</f>
        <v/>
      </c>
    </row>
    <row r="37" customFormat="false" ht="15" hidden="false" customHeight="false" outlineLevel="0" collapsed="false">
      <c r="A37" s="6" t="str">
        <f aca="false">IF(INDEX(Products!$A$2:$A$61,$B37)="","",INDEX(Products!$A$2:$A$61,$B37))</f>
        <v/>
      </c>
      <c r="B37" s="23" t="n">
        <v>33</v>
      </c>
      <c r="C37" s="12" t="str">
        <f aca="false">IF(OR($A37="",C$4=""),"",SUMPRODUCT(--(INDEX(Matrix!$C$5:$BJ$204,0,$B37)&gt;0),--(INDEX(Matrix!$C$5:$BJ$204,0,C$3)&gt;0)))</f>
        <v/>
      </c>
      <c r="D37" s="12" t="str">
        <f aca="false">IF(OR($A37="",D$4=""),"",SUMPRODUCT(--(INDEX(Matrix!$C$5:$BJ$204,0,$B37)&gt;0),--(INDEX(Matrix!$C$5:$BJ$204,0,D$3)&gt;0)))</f>
        <v/>
      </c>
      <c r="E37" s="12" t="str">
        <f aca="false">IF(OR($A37="",E$4=""),"",SUMPRODUCT(--(INDEX(Matrix!$C$5:$BJ$204,0,$B37)&gt;0),--(INDEX(Matrix!$C$5:$BJ$204,0,E$3)&gt;0)))</f>
        <v/>
      </c>
      <c r="F37" s="12" t="str">
        <f aca="false">IF(OR($A37="",F$4=""),"",SUMPRODUCT(--(INDEX(Matrix!$C$5:$BJ$204,0,$B37)&gt;0),--(INDEX(Matrix!$C$5:$BJ$204,0,F$3)&gt;0)))</f>
        <v/>
      </c>
      <c r="G37" s="12" t="str">
        <f aca="false">IF(OR($A37="",G$4=""),"",SUMPRODUCT(--(INDEX(Matrix!$C$5:$BJ$204,0,$B37)&gt;0),--(INDEX(Matrix!$C$5:$BJ$204,0,G$3)&gt;0)))</f>
        <v/>
      </c>
      <c r="H37" s="12" t="str">
        <f aca="false">IF(OR($A37="",H$4=""),"",SUMPRODUCT(--(INDEX(Matrix!$C$5:$BJ$204,0,$B37)&gt;0),--(INDEX(Matrix!$C$5:$BJ$204,0,H$3)&gt;0)))</f>
        <v/>
      </c>
      <c r="I37" s="12" t="str">
        <f aca="false">IF(OR($A37="",I$4=""),"",SUMPRODUCT(--(INDEX(Matrix!$C$5:$BJ$204,0,$B37)&gt;0),--(INDEX(Matrix!$C$5:$BJ$204,0,I$3)&gt;0)))</f>
        <v/>
      </c>
      <c r="J37" s="12" t="str">
        <f aca="false">IF(OR($A37="",J$4=""),"",SUMPRODUCT(--(INDEX(Matrix!$C$5:$BJ$204,0,$B37)&gt;0),--(INDEX(Matrix!$C$5:$BJ$204,0,J$3)&gt;0)))</f>
        <v/>
      </c>
      <c r="K37" s="12" t="str">
        <f aca="false">IF(OR($A37="",K$4=""),"",SUMPRODUCT(--(INDEX(Matrix!$C$5:$BJ$204,0,$B37)&gt;0),--(INDEX(Matrix!$C$5:$BJ$204,0,K$3)&gt;0)))</f>
        <v/>
      </c>
      <c r="L37" s="12" t="str">
        <f aca="false">IF(OR($A37="",L$4=""),"",SUMPRODUCT(--(INDEX(Matrix!$C$5:$BJ$204,0,$B37)&gt;0),--(INDEX(Matrix!$C$5:$BJ$204,0,L$3)&gt;0)))</f>
        <v/>
      </c>
      <c r="M37" s="12" t="str">
        <f aca="false">IF(OR($A37="",M$4=""),"",SUMPRODUCT(--(INDEX(Matrix!$C$5:$BJ$204,0,$B37)&gt;0),--(INDEX(Matrix!$C$5:$BJ$204,0,M$3)&gt;0)))</f>
        <v/>
      </c>
      <c r="N37" s="12" t="str">
        <f aca="false">IF(OR($A37="",N$4=""),"",SUMPRODUCT(--(INDEX(Matrix!$C$5:$BJ$204,0,$B37)&gt;0),--(INDEX(Matrix!$C$5:$BJ$204,0,N$3)&gt;0)))</f>
        <v/>
      </c>
      <c r="O37" s="12" t="str">
        <f aca="false">IF(OR($A37="",O$4=""),"",SUMPRODUCT(--(INDEX(Matrix!$C$5:$BJ$204,0,$B37)&gt;0),--(INDEX(Matrix!$C$5:$BJ$204,0,O$3)&gt;0)))</f>
        <v/>
      </c>
      <c r="P37" s="12" t="str">
        <f aca="false">IF(OR($A37="",P$4=""),"",SUMPRODUCT(--(INDEX(Matrix!$C$5:$BJ$204,0,$B37)&gt;0),--(INDEX(Matrix!$C$5:$BJ$204,0,P$3)&gt;0)))</f>
        <v/>
      </c>
      <c r="Q37" s="12" t="str">
        <f aca="false">IF(OR($A37="",Q$4=""),"",SUMPRODUCT(--(INDEX(Matrix!$C$5:$BJ$204,0,$B37)&gt;0),--(INDEX(Matrix!$C$5:$BJ$204,0,Q$3)&gt;0)))</f>
        <v/>
      </c>
      <c r="R37" s="12" t="str">
        <f aca="false">IF(OR($A37="",R$4=""),"",SUMPRODUCT(--(INDEX(Matrix!$C$5:$BJ$204,0,$B37)&gt;0),--(INDEX(Matrix!$C$5:$BJ$204,0,R$3)&gt;0)))</f>
        <v/>
      </c>
      <c r="S37" s="12" t="str">
        <f aca="false">IF(OR($A37="",S$4=""),"",SUMPRODUCT(--(INDEX(Matrix!$C$5:$BJ$204,0,$B37)&gt;0),--(INDEX(Matrix!$C$5:$BJ$204,0,S$3)&gt;0)))</f>
        <v/>
      </c>
      <c r="T37" s="12" t="str">
        <f aca="false">IF(OR($A37="",T$4=""),"",SUMPRODUCT(--(INDEX(Matrix!$C$5:$BJ$204,0,$B37)&gt;0),--(INDEX(Matrix!$C$5:$BJ$204,0,T$3)&gt;0)))</f>
        <v/>
      </c>
      <c r="U37" s="12" t="str">
        <f aca="false">IF(OR($A37="",U$4=""),"",SUMPRODUCT(--(INDEX(Matrix!$C$5:$BJ$204,0,$B37)&gt;0),--(INDEX(Matrix!$C$5:$BJ$204,0,U$3)&gt;0)))</f>
        <v/>
      </c>
      <c r="V37" s="12" t="str">
        <f aca="false">IF(OR($A37="",V$4=""),"",SUMPRODUCT(--(INDEX(Matrix!$C$5:$BJ$204,0,$B37)&gt;0),--(INDEX(Matrix!$C$5:$BJ$204,0,V$3)&gt;0)))</f>
        <v/>
      </c>
      <c r="W37" s="12" t="str">
        <f aca="false">IF(OR($A37="",W$4=""),"",SUMPRODUCT(--(INDEX(Matrix!$C$5:$BJ$204,0,$B37)&gt;0),--(INDEX(Matrix!$C$5:$BJ$204,0,W$3)&gt;0)))</f>
        <v/>
      </c>
      <c r="X37" s="12" t="str">
        <f aca="false">IF(OR($A37="",X$4=""),"",SUMPRODUCT(--(INDEX(Matrix!$C$5:$BJ$204,0,$B37)&gt;0),--(INDEX(Matrix!$C$5:$BJ$204,0,X$3)&gt;0)))</f>
        <v/>
      </c>
      <c r="Y37" s="12" t="str">
        <f aca="false">IF(OR($A37="",Y$4=""),"",SUMPRODUCT(--(INDEX(Matrix!$C$5:$BJ$204,0,$B37)&gt;0),--(INDEX(Matrix!$C$5:$BJ$204,0,Y$3)&gt;0)))</f>
        <v/>
      </c>
      <c r="Z37" s="12" t="str">
        <f aca="false">IF(OR($A37="",Z$4=""),"",SUMPRODUCT(--(INDEX(Matrix!$C$5:$BJ$204,0,$B37)&gt;0),--(INDEX(Matrix!$C$5:$BJ$204,0,Z$3)&gt;0)))</f>
        <v/>
      </c>
      <c r="AA37" s="12" t="str">
        <f aca="false">IF(OR($A37="",AA$4=""),"",SUMPRODUCT(--(INDEX(Matrix!$C$5:$BJ$204,0,$B37)&gt;0),--(INDEX(Matrix!$C$5:$BJ$204,0,AA$3)&gt;0)))</f>
        <v/>
      </c>
      <c r="AB37" s="12" t="str">
        <f aca="false">IF(OR($A37="",AB$4=""),"",SUMPRODUCT(--(INDEX(Matrix!$C$5:$BJ$204,0,$B37)&gt;0),--(INDEX(Matrix!$C$5:$BJ$204,0,AB$3)&gt;0)))</f>
        <v/>
      </c>
      <c r="AC37" s="12" t="str">
        <f aca="false">IF(OR($A37="",AC$4=""),"",SUMPRODUCT(--(INDEX(Matrix!$C$5:$BJ$204,0,$B37)&gt;0),--(INDEX(Matrix!$C$5:$BJ$204,0,AC$3)&gt;0)))</f>
        <v/>
      </c>
      <c r="AD37" s="12" t="str">
        <f aca="false">IF(OR($A37="",AD$4=""),"",SUMPRODUCT(--(INDEX(Matrix!$C$5:$BJ$204,0,$B37)&gt;0),--(INDEX(Matrix!$C$5:$BJ$204,0,AD$3)&gt;0)))</f>
        <v/>
      </c>
      <c r="AE37" s="12" t="str">
        <f aca="false">IF(OR($A37="",AE$4=""),"",SUMPRODUCT(--(INDEX(Matrix!$C$5:$BJ$204,0,$B37)&gt;0),--(INDEX(Matrix!$C$5:$BJ$204,0,AE$3)&gt;0)))</f>
        <v/>
      </c>
      <c r="AF37" s="12" t="str">
        <f aca="false">IF(OR($A37="",AF$4=""),"",SUMPRODUCT(--(INDEX(Matrix!$C$5:$BJ$204,0,$B37)&gt;0),--(INDEX(Matrix!$C$5:$BJ$204,0,AF$3)&gt;0)))</f>
        <v/>
      </c>
      <c r="AG37" s="12" t="str">
        <f aca="false">IF(OR($A37="",AG$4=""),"",SUMPRODUCT(--(INDEX(Matrix!$C$5:$BJ$204,0,$B37)&gt;0),--(INDEX(Matrix!$C$5:$BJ$204,0,AG$3)&gt;0)))</f>
        <v/>
      </c>
      <c r="AH37" s="12" t="str">
        <f aca="false">IF(OR($A37="",AH$4=""),"",SUMPRODUCT(--(INDEX(Matrix!$C$5:$BJ$204,0,$B37)&gt;0),--(INDEX(Matrix!$C$5:$BJ$204,0,AH$3)&gt;0)))</f>
        <v/>
      </c>
      <c r="AI37" s="12" t="str">
        <f aca="false">IF(OR($A37="",AI$4=""),"",SUMPRODUCT(--(INDEX(Matrix!$C$5:$BJ$204,0,$B37)&gt;0),--(INDEX(Matrix!$C$5:$BJ$204,0,AI$3)&gt;0)))</f>
        <v/>
      </c>
      <c r="AJ37" s="12" t="str">
        <f aca="false">IF(OR($A37="",AJ$4=""),"",SUMPRODUCT(--(INDEX(Matrix!$C$5:$BJ$204,0,$B37)&gt;0),--(INDEX(Matrix!$C$5:$BJ$204,0,AJ$3)&gt;0)))</f>
        <v/>
      </c>
      <c r="AK37" s="12" t="str">
        <f aca="false">IF(OR($A37="",AK$4=""),"",SUMPRODUCT(--(INDEX(Matrix!$C$5:$BJ$204,0,$B37)&gt;0),--(INDEX(Matrix!$C$5:$BJ$204,0,AK$3)&gt;0)))</f>
        <v/>
      </c>
      <c r="AL37" s="12" t="str">
        <f aca="false">IF(OR($A37="",AL$4=""),"",SUMPRODUCT(--(INDEX(Matrix!$C$5:$BJ$204,0,$B37)&gt;0),--(INDEX(Matrix!$C$5:$BJ$204,0,AL$3)&gt;0)))</f>
        <v/>
      </c>
      <c r="AM37" s="12" t="str">
        <f aca="false">IF(OR($A37="",AM$4=""),"",SUMPRODUCT(--(INDEX(Matrix!$C$5:$BJ$204,0,$B37)&gt;0),--(INDEX(Matrix!$C$5:$BJ$204,0,AM$3)&gt;0)))</f>
        <v/>
      </c>
      <c r="AN37" s="12" t="str">
        <f aca="false">IF(OR($A37="",AN$4=""),"",SUMPRODUCT(--(INDEX(Matrix!$C$5:$BJ$204,0,$B37)&gt;0),--(INDEX(Matrix!$C$5:$BJ$204,0,AN$3)&gt;0)))</f>
        <v/>
      </c>
      <c r="AO37" s="12" t="str">
        <f aca="false">IF(OR($A37="",AO$4=""),"",SUMPRODUCT(--(INDEX(Matrix!$C$5:$BJ$204,0,$B37)&gt;0),--(INDEX(Matrix!$C$5:$BJ$204,0,AO$3)&gt;0)))</f>
        <v/>
      </c>
      <c r="AP37" s="12" t="str">
        <f aca="false">IF(OR($A37="",AP$4=""),"",SUMPRODUCT(--(INDEX(Matrix!$C$5:$BJ$204,0,$B37)&gt;0),--(INDEX(Matrix!$C$5:$BJ$204,0,AP$3)&gt;0)))</f>
        <v/>
      </c>
      <c r="AQ37" s="12" t="str">
        <f aca="false">IF(OR($A37="",AQ$4=""),"",SUMPRODUCT(--(INDEX(Matrix!$C$5:$BJ$204,0,$B37)&gt;0),--(INDEX(Matrix!$C$5:$BJ$204,0,AQ$3)&gt;0)))</f>
        <v/>
      </c>
      <c r="AR37" s="12" t="str">
        <f aca="false">IF(OR($A37="",AR$4=""),"",SUMPRODUCT(--(INDEX(Matrix!$C$5:$BJ$204,0,$B37)&gt;0),--(INDEX(Matrix!$C$5:$BJ$204,0,AR$3)&gt;0)))</f>
        <v/>
      </c>
      <c r="AS37" s="12" t="str">
        <f aca="false">IF(OR($A37="",AS$4=""),"",SUMPRODUCT(--(INDEX(Matrix!$C$5:$BJ$204,0,$B37)&gt;0),--(INDEX(Matrix!$C$5:$BJ$204,0,AS$3)&gt;0)))</f>
        <v/>
      </c>
      <c r="AT37" s="12" t="str">
        <f aca="false">IF(OR($A37="",AT$4=""),"",SUMPRODUCT(--(INDEX(Matrix!$C$5:$BJ$204,0,$B37)&gt;0),--(INDEX(Matrix!$C$5:$BJ$204,0,AT$3)&gt;0)))</f>
        <v/>
      </c>
      <c r="AU37" s="12" t="str">
        <f aca="false">IF(OR($A37="",AU$4=""),"",SUMPRODUCT(--(INDEX(Matrix!$C$5:$BJ$204,0,$B37)&gt;0),--(INDEX(Matrix!$C$5:$BJ$204,0,AU$3)&gt;0)))</f>
        <v/>
      </c>
      <c r="AV37" s="12" t="str">
        <f aca="false">IF(OR($A37="",AV$4=""),"",SUMPRODUCT(--(INDEX(Matrix!$C$5:$BJ$204,0,$B37)&gt;0),--(INDEX(Matrix!$C$5:$BJ$204,0,AV$3)&gt;0)))</f>
        <v/>
      </c>
      <c r="AW37" s="12" t="str">
        <f aca="false">IF(OR($A37="",AW$4=""),"",SUMPRODUCT(--(INDEX(Matrix!$C$5:$BJ$204,0,$B37)&gt;0),--(INDEX(Matrix!$C$5:$BJ$204,0,AW$3)&gt;0)))</f>
        <v/>
      </c>
      <c r="AX37" s="12" t="str">
        <f aca="false">IF(OR($A37="",AX$4=""),"",SUMPRODUCT(--(INDEX(Matrix!$C$5:$BJ$204,0,$B37)&gt;0),--(INDEX(Matrix!$C$5:$BJ$204,0,AX$3)&gt;0)))</f>
        <v/>
      </c>
      <c r="AY37" s="12" t="str">
        <f aca="false">IF(OR($A37="",AY$4=""),"",SUMPRODUCT(--(INDEX(Matrix!$C$5:$BJ$204,0,$B37)&gt;0),--(INDEX(Matrix!$C$5:$BJ$204,0,AY$3)&gt;0)))</f>
        <v/>
      </c>
      <c r="AZ37" s="12" t="str">
        <f aca="false">IF(OR($A37="",AZ$4=""),"",SUMPRODUCT(--(INDEX(Matrix!$C$5:$BJ$204,0,$B37)&gt;0),--(INDEX(Matrix!$C$5:$BJ$204,0,AZ$3)&gt;0)))</f>
        <v/>
      </c>
      <c r="BA37" s="12" t="str">
        <f aca="false">IF(OR($A37="",BA$4=""),"",SUMPRODUCT(--(INDEX(Matrix!$C$5:$BJ$204,0,$B37)&gt;0),--(INDEX(Matrix!$C$5:$BJ$204,0,BA$3)&gt;0)))</f>
        <v/>
      </c>
      <c r="BB37" s="12" t="str">
        <f aca="false">IF(OR($A37="",BB$4=""),"",SUMPRODUCT(--(INDEX(Matrix!$C$5:$BJ$204,0,$B37)&gt;0),--(INDEX(Matrix!$C$5:$BJ$204,0,BB$3)&gt;0)))</f>
        <v/>
      </c>
      <c r="BC37" s="12" t="str">
        <f aca="false">IF(OR($A37="",BC$4=""),"",SUMPRODUCT(--(INDEX(Matrix!$C$5:$BJ$204,0,$B37)&gt;0),--(INDEX(Matrix!$C$5:$BJ$204,0,BC$3)&gt;0)))</f>
        <v/>
      </c>
      <c r="BD37" s="12" t="str">
        <f aca="false">IF(OR($A37="",BD$4=""),"",SUMPRODUCT(--(INDEX(Matrix!$C$5:$BJ$204,0,$B37)&gt;0),--(INDEX(Matrix!$C$5:$BJ$204,0,BD$3)&gt;0)))</f>
        <v/>
      </c>
      <c r="BE37" s="12" t="str">
        <f aca="false">IF(OR($A37="",BE$4=""),"",SUMPRODUCT(--(INDEX(Matrix!$C$5:$BJ$204,0,$B37)&gt;0),--(INDEX(Matrix!$C$5:$BJ$204,0,BE$3)&gt;0)))</f>
        <v/>
      </c>
      <c r="BF37" s="12" t="str">
        <f aca="false">IF(OR($A37="",BF$4=""),"",SUMPRODUCT(--(INDEX(Matrix!$C$5:$BJ$204,0,$B37)&gt;0),--(INDEX(Matrix!$C$5:$BJ$204,0,BF$3)&gt;0)))</f>
        <v/>
      </c>
      <c r="BG37" s="12" t="str">
        <f aca="false">IF(OR($A37="",BG$4=""),"",SUMPRODUCT(--(INDEX(Matrix!$C$5:$BJ$204,0,$B37)&gt;0),--(INDEX(Matrix!$C$5:$BJ$204,0,BG$3)&gt;0)))</f>
        <v/>
      </c>
      <c r="BH37" s="12" t="str">
        <f aca="false">IF(OR($A37="",BH$4=""),"",SUMPRODUCT(--(INDEX(Matrix!$C$5:$BJ$204,0,$B37)&gt;0),--(INDEX(Matrix!$C$5:$BJ$204,0,BH$3)&gt;0)))</f>
        <v/>
      </c>
      <c r="BI37" s="12" t="str">
        <f aca="false">IF(OR($A37="",BI$4=""),"",SUMPRODUCT(--(INDEX(Matrix!$C$5:$BJ$204,0,$B37)&gt;0),--(INDEX(Matrix!$C$5:$BJ$204,0,BI$3)&gt;0)))</f>
        <v/>
      </c>
      <c r="BJ37" s="12" t="str">
        <f aca="false">IF(OR($A37="",BJ$4=""),"",SUMPRODUCT(--(INDEX(Matrix!$C$5:$BJ$204,0,$B37)&gt;0),--(INDEX(Matrix!$C$5:$BJ$204,0,BJ$3)&gt;0)))</f>
        <v/>
      </c>
    </row>
    <row r="38" customFormat="false" ht="15" hidden="false" customHeight="false" outlineLevel="0" collapsed="false">
      <c r="A38" s="6" t="str">
        <f aca="false">IF(INDEX(Products!$A$2:$A$61,$B38)="","",INDEX(Products!$A$2:$A$61,$B38))</f>
        <v/>
      </c>
      <c r="B38" s="23" t="n">
        <v>34</v>
      </c>
      <c r="C38" s="12" t="str">
        <f aca="false">IF(OR($A38="",C$4=""),"",SUMPRODUCT(--(INDEX(Matrix!$C$5:$BJ$204,0,$B38)&gt;0),--(INDEX(Matrix!$C$5:$BJ$204,0,C$3)&gt;0)))</f>
        <v/>
      </c>
      <c r="D38" s="12" t="str">
        <f aca="false">IF(OR($A38="",D$4=""),"",SUMPRODUCT(--(INDEX(Matrix!$C$5:$BJ$204,0,$B38)&gt;0),--(INDEX(Matrix!$C$5:$BJ$204,0,D$3)&gt;0)))</f>
        <v/>
      </c>
      <c r="E38" s="12" t="str">
        <f aca="false">IF(OR($A38="",E$4=""),"",SUMPRODUCT(--(INDEX(Matrix!$C$5:$BJ$204,0,$B38)&gt;0),--(INDEX(Matrix!$C$5:$BJ$204,0,E$3)&gt;0)))</f>
        <v/>
      </c>
      <c r="F38" s="12" t="str">
        <f aca="false">IF(OR($A38="",F$4=""),"",SUMPRODUCT(--(INDEX(Matrix!$C$5:$BJ$204,0,$B38)&gt;0),--(INDEX(Matrix!$C$5:$BJ$204,0,F$3)&gt;0)))</f>
        <v/>
      </c>
      <c r="G38" s="12" t="str">
        <f aca="false">IF(OR($A38="",G$4=""),"",SUMPRODUCT(--(INDEX(Matrix!$C$5:$BJ$204,0,$B38)&gt;0),--(INDEX(Matrix!$C$5:$BJ$204,0,G$3)&gt;0)))</f>
        <v/>
      </c>
      <c r="H38" s="12" t="str">
        <f aca="false">IF(OR($A38="",H$4=""),"",SUMPRODUCT(--(INDEX(Matrix!$C$5:$BJ$204,0,$B38)&gt;0),--(INDEX(Matrix!$C$5:$BJ$204,0,H$3)&gt;0)))</f>
        <v/>
      </c>
      <c r="I38" s="12" t="str">
        <f aca="false">IF(OR($A38="",I$4=""),"",SUMPRODUCT(--(INDEX(Matrix!$C$5:$BJ$204,0,$B38)&gt;0),--(INDEX(Matrix!$C$5:$BJ$204,0,I$3)&gt;0)))</f>
        <v/>
      </c>
      <c r="J38" s="12" t="str">
        <f aca="false">IF(OR($A38="",J$4=""),"",SUMPRODUCT(--(INDEX(Matrix!$C$5:$BJ$204,0,$B38)&gt;0),--(INDEX(Matrix!$C$5:$BJ$204,0,J$3)&gt;0)))</f>
        <v/>
      </c>
      <c r="K38" s="12" t="str">
        <f aca="false">IF(OR($A38="",K$4=""),"",SUMPRODUCT(--(INDEX(Matrix!$C$5:$BJ$204,0,$B38)&gt;0),--(INDEX(Matrix!$C$5:$BJ$204,0,K$3)&gt;0)))</f>
        <v/>
      </c>
      <c r="L38" s="12" t="str">
        <f aca="false">IF(OR($A38="",L$4=""),"",SUMPRODUCT(--(INDEX(Matrix!$C$5:$BJ$204,0,$B38)&gt;0),--(INDEX(Matrix!$C$5:$BJ$204,0,L$3)&gt;0)))</f>
        <v/>
      </c>
      <c r="M38" s="12" t="str">
        <f aca="false">IF(OR($A38="",M$4=""),"",SUMPRODUCT(--(INDEX(Matrix!$C$5:$BJ$204,0,$B38)&gt;0),--(INDEX(Matrix!$C$5:$BJ$204,0,M$3)&gt;0)))</f>
        <v/>
      </c>
      <c r="N38" s="12" t="str">
        <f aca="false">IF(OR($A38="",N$4=""),"",SUMPRODUCT(--(INDEX(Matrix!$C$5:$BJ$204,0,$B38)&gt;0),--(INDEX(Matrix!$C$5:$BJ$204,0,N$3)&gt;0)))</f>
        <v/>
      </c>
      <c r="O38" s="12" t="str">
        <f aca="false">IF(OR($A38="",O$4=""),"",SUMPRODUCT(--(INDEX(Matrix!$C$5:$BJ$204,0,$B38)&gt;0),--(INDEX(Matrix!$C$5:$BJ$204,0,O$3)&gt;0)))</f>
        <v/>
      </c>
      <c r="P38" s="12" t="str">
        <f aca="false">IF(OR($A38="",P$4=""),"",SUMPRODUCT(--(INDEX(Matrix!$C$5:$BJ$204,0,$B38)&gt;0),--(INDEX(Matrix!$C$5:$BJ$204,0,P$3)&gt;0)))</f>
        <v/>
      </c>
      <c r="Q38" s="12" t="str">
        <f aca="false">IF(OR($A38="",Q$4=""),"",SUMPRODUCT(--(INDEX(Matrix!$C$5:$BJ$204,0,$B38)&gt;0),--(INDEX(Matrix!$C$5:$BJ$204,0,Q$3)&gt;0)))</f>
        <v/>
      </c>
      <c r="R38" s="12" t="str">
        <f aca="false">IF(OR($A38="",R$4=""),"",SUMPRODUCT(--(INDEX(Matrix!$C$5:$BJ$204,0,$B38)&gt;0),--(INDEX(Matrix!$C$5:$BJ$204,0,R$3)&gt;0)))</f>
        <v/>
      </c>
      <c r="S38" s="12" t="str">
        <f aca="false">IF(OR($A38="",S$4=""),"",SUMPRODUCT(--(INDEX(Matrix!$C$5:$BJ$204,0,$B38)&gt;0),--(INDEX(Matrix!$C$5:$BJ$204,0,S$3)&gt;0)))</f>
        <v/>
      </c>
      <c r="T38" s="12" t="str">
        <f aca="false">IF(OR($A38="",T$4=""),"",SUMPRODUCT(--(INDEX(Matrix!$C$5:$BJ$204,0,$B38)&gt;0),--(INDEX(Matrix!$C$5:$BJ$204,0,T$3)&gt;0)))</f>
        <v/>
      </c>
      <c r="U38" s="12" t="str">
        <f aca="false">IF(OR($A38="",U$4=""),"",SUMPRODUCT(--(INDEX(Matrix!$C$5:$BJ$204,0,$B38)&gt;0),--(INDEX(Matrix!$C$5:$BJ$204,0,U$3)&gt;0)))</f>
        <v/>
      </c>
      <c r="V38" s="12" t="str">
        <f aca="false">IF(OR($A38="",V$4=""),"",SUMPRODUCT(--(INDEX(Matrix!$C$5:$BJ$204,0,$B38)&gt;0),--(INDEX(Matrix!$C$5:$BJ$204,0,V$3)&gt;0)))</f>
        <v/>
      </c>
      <c r="W38" s="12" t="str">
        <f aca="false">IF(OR($A38="",W$4=""),"",SUMPRODUCT(--(INDEX(Matrix!$C$5:$BJ$204,0,$B38)&gt;0),--(INDEX(Matrix!$C$5:$BJ$204,0,W$3)&gt;0)))</f>
        <v/>
      </c>
      <c r="X38" s="12" t="str">
        <f aca="false">IF(OR($A38="",X$4=""),"",SUMPRODUCT(--(INDEX(Matrix!$C$5:$BJ$204,0,$B38)&gt;0),--(INDEX(Matrix!$C$5:$BJ$204,0,X$3)&gt;0)))</f>
        <v/>
      </c>
      <c r="Y38" s="12" t="str">
        <f aca="false">IF(OR($A38="",Y$4=""),"",SUMPRODUCT(--(INDEX(Matrix!$C$5:$BJ$204,0,$B38)&gt;0),--(INDEX(Matrix!$C$5:$BJ$204,0,Y$3)&gt;0)))</f>
        <v/>
      </c>
      <c r="Z38" s="12" t="str">
        <f aca="false">IF(OR($A38="",Z$4=""),"",SUMPRODUCT(--(INDEX(Matrix!$C$5:$BJ$204,0,$B38)&gt;0),--(INDEX(Matrix!$C$5:$BJ$204,0,Z$3)&gt;0)))</f>
        <v/>
      </c>
      <c r="AA38" s="12" t="str">
        <f aca="false">IF(OR($A38="",AA$4=""),"",SUMPRODUCT(--(INDEX(Matrix!$C$5:$BJ$204,0,$B38)&gt;0),--(INDEX(Matrix!$C$5:$BJ$204,0,AA$3)&gt;0)))</f>
        <v/>
      </c>
      <c r="AB38" s="12" t="str">
        <f aca="false">IF(OR($A38="",AB$4=""),"",SUMPRODUCT(--(INDEX(Matrix!$C$5:$BJ$204,0,$B38)&gt;0),--(INDEX(Matrix!$C$5:$BJ$204,0,AB$3)&gt;0)))</f>
        <v/>
      </c>
      <c r="AC38" s="12" t="str">
        <f aca="false">IF(OR($A38="",AC$4=""),"",SUMPRODUCT(--(INDEX(Matrix!$C$5:$BJ$204,0,$B38)&gt;0),--(INDEX(Matrix!$C$5:$BJ$204,0,AC$3)&gt;0)))</f>
        <v/>
      </c>
      <c r="AD38" s="12" t="str">
        <f aca="false">IF(OR($A38="",AD$4=""),"",SUMPRODUCT(--(INDEX(Matrix!$C$5:$BJ$204,0,$B38)&gt;0),--(INDEX(Matrix!$C$5:$BJ$204,0,AD$3)&gt;0)))</f>
        <v/>
      </c>
      <c r="AE38" s="12" t="str">
        <f aca="false">IF(OR($A38="",AE$4=""),"",SUMPRODUCT(--(INDEX(Matrix!$C$5:$BJ$204,0,$B38)&gt;0),--(INDEX(Matrix!$C$5:$BJ$204,0,AE$3)&gt;0)))</f>
        <v/>
      </c>
      <c r="AF38" s="12" t="str">
        <f aca="false">IF(OR($A38="",AF$4=""),"",SUMPRODUCT(--(INDEX(Matrix!$C$5:$BJ$204,0,$B38)&gt;0),--(INDEX(Matrix!$C$5:$BJ$204,0,AF$3)&gt;0)))</f>
        <v/>
      </c>
      <c r="AG38" s="12" t="str">
        <f aca="false">IF(OR($A38="",AG$4=""),"",SUMPRODUCT(--(INDEX(Matrix!$C$5:$BJ$204,0,$B38)&gt;0),--(INDEX(Matrix!$C$5:$BJ$204,0,AG$3)&gt;0)))</f>
        <v/>
      </c>
      <c r="AH38" s="12" t="str">
        <f aca="false">IF(OR($A38="",AH$4=""),"",SUMPRODUCT(--(INDEX(Matrix!$C$5:$BJ$204,0,$B38)&gt;0),--(INDEX(Matrix!$C$5:$BJ$204,0,AH$3)&gt;0)))</f>
        <v/>
      </c>
      <c r="AI38" s="12" t="str">
        <f aca="false">IF(OR($A38="",AI$4=""),"",SUMPRODUCT(--(INDEX(Matrix!$C$5:$BJ$204,0,$B38)&gt;0),--(INDEX(Matrix!$C$5:$BJ$204,0,AI$3)&gt;0)))</f>
        <v/>
      </c>
      <c r="AJ38" s="12" t="str">
        <f aca="false">IF(OR($A38="",AJ$4=""),"",SUMPRODUCT(--(INDEX(Matrix!$C$5:$BJ$204,0,$B38)&gt;0),--(INDEX(Matrix!$C$5:$BJ$204,0,AJ$3)&gt;0)))</f>
        <v/>
      </c>
      <c r="AK38" s="12" t="str">
        <f aca="false">IF(OR($A38="",AK$4=""),"",SUMPRODUCT(--(INDEX(Matrix!$C$5:$BJ$204,0,$B38)&gt;0),--(INDEX(Matrix!$C$5:$BJ$204,0,AK$3)&gt;0)))</f>
        <v/>
      </c>
      <c r="AL38" s="12" t="str">
        <f aca="false">IF(OR($A38="",AL$4=""),"",SUMPRODUCT(--(INDEX(Matrix!$C$5:$BJ$204,0,$B38)&gt;0),--(INDEX(Matrix!$C$5:$BJ$204,0,AL$3)&gt;0)))</f>
        <v/>
      </c>
      <c r="AM38" s="12" t="str">
        <f aca="false">IF(OR($A38="",AM$4=""),"",SUMPRODUCT(--(INDEX(Matrix!$C$5:$BJ$204,0,$B38)&gt;0),--(INDEX(Matrix!$C$5:$BJ$204,0,AM$3)&gt;0)))</f>
        <v/>
      </c>
      <c r="AN38" s="12" t="str">
        <f aca="false">IF(OR($A38="",AN$4=""),"",SUMPRODUCT(--(INDEX(Matrix!$C$5:$BJ$204,0,$B38)&gt;0),--(INDEX(Matrix!$C$5:$BJ$204,0,AN$3)&gt;0)))</f>
        <v/>
      </c>
      <c r="AO38" s="12" t="str">
        <f aca="false">IF(OR($A38="",AO$4=""),"",SUMPRODUCT(--(INDEX(Matrix!$C$5:$BJ$204,0,$B38)&gt;0),--(INDEX(Matrix!$C$5:$BJ$204,0,AO$3)&gt;0)))</f>
        <v/>
      </c>
      <c r="AP38" s="12" t="str">
        <f aca="false">IF(OR($A38="",AP$4=""),"",SUMPRODUCT(--(INDEX(Matrix!$C$5:$BJ$204,0,$B38)&gt;0),--(INDEX(Matrix!$C$5:$BJ$204,0,AP$3)&gt;0)))</f>
        <v/>
      </c>
      <c r="AQ38" s="12" t="str">
        <f aca="false">IF(OR($A38="",AQ$4=""),"",SUMPRODUCT(--(INDEX(Matrix!$C$5:$BJ$204,0,$B38)&gt;0),--(INDEX(Matrix!$C$5:$BJ$204,0,AQ$3)&gt;0)))</f>
        <v/>
      </c>
      <c r="AR38" s="12" t="str">
        <f aca="false">IF(OR($A38="",AR$4=""),"",SUMPRODUCT(--(INDEX(Matrix!$C$5:$BJ$204,0,$B38)&gt;0),--(INDEX(Matrix!$C$5:$BJ$204,0,AR$3)&gt;0)))</f>
        <v/>
      </c>
      <c r="AS38" s="12" t="str">
        <f aca="false">IF(OR($A38="",AS$4=""),"",SUMPRODUCT(--(INDEX(Matrix!$C$5:$BJ$204,0,$B38)&gt;0),--(INDEX(Matrix!$C$5:$BJ$204,0,AS$3)&gt;0)))</f>
        <v/>
      </c>
      <c r="AT38" s="12" t="str">
        <f aca="false">IF(OR($A38="",AT$4=""),"",SUMPRODUCT(--(INDEX(Matrix!$C$5:$BJ$204,0,$B38)&gt;0),--(INDEX(Matrix!$C$5:$BJ$204,0,AT$3)&gt;0)))</f>
        <v/>
      </c>
      <c r="AU38" s="12" t="str">
        <f aca="false">IF(OR($A38="",AU$4=""),"",SUMPRODUCT(--(INDEX(Matrix!$C$5:$BJ$204,0,$B38)&gt;0),--(INDEX(Matrix!$C$5:$BJ$204,0,AU$3)&gt;0)))</f>
        <v/>
      </c>
      <c r="AV38" s="12" t="str">
        <f aca="false">IF(OR($A38="",AV$4=""),"",SUMPRODUCT(--(INDEX(Matrix!$C$5:$BJ$204,0,$B38)&gt;0),--(INDEX(Matrix!$C$5:$BJ$204,0,AV$3)&gt;0)))</f>
        <v/>
      </c>
      <c r="AW38" s="12" t="str">
        <f aca="false">IF(OR($A38="",AW$4=""),"",SUMPRODUCT(--(INDEX(Matrix!$C$5:$BJ$204,0,$B38)&gt;0),--(INDEX(Matrix!$C$5:$BJ$204,0,AW$3)&gt;0)))</f>
        <v/>
      </c>
      <c r="AX38" s="12" t="str">
        <f aca="false">IF(OR($A38="",AX$4=""),"",SUMPRODUCT(--(INDEX(Matrix!$C$5:$BJ$204,0,$B38)&gt;0),--(INDEX(Matrix!$C$5:$BJ$204,0,AX$3)&gt;0)))</f>
        <v/>
      </c>
      <c r="AY38" s="12" t="str">
        <f aca="false">IF(OR($A38="",AY$4=""),"",SUMPRODUCT(--(INDEX(Matrix!$C$5:$BJ$204,0,$B38)&gt;0),--(INDEX(Matrix!$C$5:$BJ$204,0,AY$3)&gt;0)))</f>
        <v/>
      </c>
      <c r="AZ38" s="12" t="str">
        <f aca="false">IF(OR($A38="",AZ$4=""),"",SUMPRODUCT(--(INDEX(Matrix!$C$5:$BJ$204,0,$B38)&gt;0),--(INDEX(Matrix!$C$5:$BJ$204,0,AZ$3)&gt;0)))</f>
        <v/>
      </c>
      <c r="BA38" s="12" t="str">
        <f aca="false">IF(OR($A38="",BA$4=""),"",SUMPRODUCT(--(INDEX(Matrix!$C$5:$BJ$204,0,$B38)&gt;0),--(INDEX(Matrix!$C$5:$BJ$204,0,BA$3)&gt;0)))</f>
        <v/>
      </c>
      <c r="BB38" s="12" t="str">
        <f aca="false">IF(OR($A38="",BB$4=""),"",SUMPRODUCT(--(INDEX(Matrix!$C$5:$BJ$204,0,$B38)&gt;0),--(INDEX(Matrix!$C$5:$BJ$204,0,BB$3)&gt;0)))</f>
        <v/>
      </c>
      <c r="BC38" s="12" t="str">
        <f aca="false">IF(OR($A38="",BC$4=""),"",SUMPRODUCT(--(INDEX(Matrix!$C$5:$BJ$204,0,$B38)&gt;0),--(INDEX(Matrix!$C$5:$BJ$204,0,BC$3)&gt;0)))</f>
        <v/>
      </c>
      <c r="BD38" s="12" t="str">
        <f aca="false">IF(OR($A38="",BD$4=""),"",SUMPRODUCT(--(INDEX(Matrix!$C$5:$BJ$204,0,$B38)&gt;0),--(INDEX(Matrix!$C$5:$BJ$204,0,BD$3)&gt;0)))</f>
        <v/>
      </c>
      <c r="BE38" s="12" t="str">
        <f aca="false">IF(OR($A38="",BE$4=""),"",SUMPRODUCT(--(INDEX(Matrix!$C$5:$BJ$204,0,$B38)&gt;0),--(INDEX(Matrix!$C$5:$BJ$204,0,BE$3)&gt;0)))</f>
        <v/>
      </c>
      <c r="BF38" s="12" t="str">
        <f aca="false">IF(OR($A38="",BF$4=""),"",SUMPRODUCT(--(INDEX(Matrix!$C$5:$BJ$204,0,$B38)&gt;0),--(INDEX(Matrix!$C$5:$BJ$204,0,BF$3)&gt;0)))</f>
        <v/>
      </c>
      <c r="BG38" s="12" t="str">
        <f aca="false">IF(OR($A38="",BG$4=""),"",SUMPRODUCT(--(INDEX(Matrix!$C$5:$BJ$204,0,$B38)&gt;0),--(INDEX(Matrix!$C$5:$BJ$204,0,BG$3)&gt;0)))</f>
        <v/>
      </c>
      <c r="BH38" s="12" t="str">
        <f aca="false">IF(OR($A38="",BH$4=""),"",SUMPRODUCT(--(INDEX(Matrix!$C$5:$BJ$204,0,$B38)&gt;0),--(INDEX(Matrix!$C$5:$BJ$204,0,BH$3)&gt;0)))</f>
        <v/>
      </c>
      <c r="BI38" s="12" t="str">
        <f aca="false">IF(OR($A38="",BI$4=""),"",SUMPRODUCT(--(INDEX(Matrix!$C$5:$BJ$204,0,$B38)&gt;0),--(INDEX(Matrix!$C$5:$BJ$204,0,BI$3)&gt;0)))</f>
        <v/>
      </c>
      <c r="BJ38" s="12" t="str">
        <f aca="false">IF(OR($A38="",BJ$4=""),"",SUMPRODUCT(--(INDEX(Matrix!$C$5:$BJ$204,0,$B38)&gt;0),--(INDEX(Matrix!$C$5:$BJ$204,0,BJ$3)&gt;0)))</f>
        <v/>
      </c>
    </row>
    <row r="39" customFormat="false" ht="15" hidden="false" customHeight="false" outlineLevel="0" collapsed="false">
      <c r="A39" s="6" t="str">
        <f aca="false">IF(INDEX(Products!$A$2:$A$61,$B39)="","",INDEX(Products!$A$2:$A$61,$B39))</f>
        <v/>
      </c>
      <c r="B39" s="23" t="n">
        <v>35</v>
      </c>
      <c r="C39" s="12" t="str">
        <f aca="false">IF(OR($A39="",C$4=""),"",SUMPRODUCT(--(INDEX(Matrix!$C$5:$BJ$204,0,$B39)&gt;0),--(INDEX(Matrix!$C$5:$BJ$204,0,C$3)&gt;0)))</f>
        <v/>
      </c>
      <c r="D39" s="12" t="str">
        <f aca="false">IF(OR($A39="",D$4=""),"",SUMPRODUCT(--(INDEX(Matrix!$C$5:$BJ$204,0,$B39)&gt;0),--(INDEX(Matrix!$C$5:$BJ$204,0,D$3)&gt;0)))</f>
        <v/>
      </c>
      <c r="E39" s="12" t="str">
        <f aca="false">IF(OR($A39="",E$4=""),"",SUMPRODUCT(--(INDEX(Matrix!$C$5:$BJ$204,0,$B39)&gt;0),--(INDEX(Matrix!$C$5:$BJ$204,0,E$3)&gt;0)))</f>
        <v/>
      </c>
      <c r="F39" s="12" t="str">
        <f aca="false">IF(OR($A39="",F$4=""),"",SUMPRODUCT(--(INDEX(Matrix!$C$5:$BJ$204,0,$B39)&gt;0),--(INDEX(Matrix!$C$5:$BJ$204,0,F$3)&gt;0)))</f>
        <v/>
      </c>
      <c r="G39" s="12" t="str">
        <f aca="false">IF(OR($A39="",G$4=""),"",SUMPRODUCT(--(INDEX(Matrix!$C$5:$BJ$204,0,$B39)&gt;0),--(INDEX(Matrix!$C$5:$BJ$204,0,G$3)&gt;0)))</f>
        <v/>
      </c>
      <c r="H39" s="12" t="str">
        <f aca="false">IF(OR($A39="",H$4=""),"",SUMPRODUCT(--(INDEX(Matrix!$C$5:$BJ$204,0,$B39)&gt;0),--(INDEX(Matrix!$C$5:$BJ$204,0,H$3)&gt;0)))</f>
        <v/>
      </c>
      <c r="I39" s="12" t="str">
        <f aca="false">IF(OR($A39="",I$4=""),"",SUMPRODUCT(--(INDEX(Matrix!$C$5:$BJ$204,0,$B39)&gt;0),--(INDEX(Matrix!$C$5:$BJ$204,0,I$3)&gt;0)))</f>
        <v/>
      </c>
      <c r="J39" s="12" t="str">
        <f aca="false">IF(OR($A39="",J$4=""),"",SUMPRODUCT(--(INDEX(Matrix!$C$5:$BJ$204,0,$B39)&gt;0),--(INDEX(Matrix!$C$5:$BJ$204,0,J$3)&gt;0)))</f>
        <v/>
      </c>
      <c r="K39" s="12" t="str">
        <f aca="false">IF(OR($A39="",K$4=""),"",SUMPRODUCT(--(INDEX(Matrix!$C$5:$BJ$204,0,$B39)&gt;0),--(INDEX(Matrix!$C$5:$BJ$204,0,K$3)&gt;0)))</f>
        <v/>
      </c>
      <c r="L39" s="12" t="str">
        <f aca="false">IF(OR($A39="",L$4=""),"",SUMPRODUCT(--(INDEX(Matrix!$C$5:$BJ$204,0,$B39)&gt;0),--(INDEX(Matrix!$C$5:$BJ$204,0,L$3)&gt;0)))</f>
        <v/>
      </c>
      <c r="M39" s="12" t="str">
        <f aca="false">IF(OR($A39="",M$4=""),"",SUMPRODUCT(--(INDEX(Matrix!$C$5:$BJ$204,0,$B39)&gt;0),--(INDEX(Matrix!$C$5:$BJ$204,0,M$3)&gt;0)))</f>
        <v/>
      </c>
      <c r="N39" s="12" t="str">
        <f aca="false">IF(OR($A39="",N$4=""),"",SUMPRODUCT(--(INDEX(Matrix!$C$5:$BJ$204,0,$B39)&gt;0),--(INDEX(Matrix!$C$5:$BJ$204,0,N$3)&gt;0)))</f>
        <v/>
      </c>
      <c r="O39" s="12" t="str">
        <f aca="false">IF(OR($A39="",O$4=""),"",SUMPRODUCT(--(INDEX(Matrix!$C$5:$BJ$204,0,$B39)&gt;0),--(INDEX(Matrix!$C$5:$BJ$204,0,O$3)&gt;0)))</f>
        <v/>
      </c>
      <c r="P39" s="12" t="str">
        <f aca="false">IF(OR($A39="",P$4=""),"",SUMPRODUCT(--(INDEX(Matrix!$C$5:$BJ$204,0,$B39)&gt;0),--(INDEX(Matrix!$C$5:$BJ$204,0,P$3)&gt;0)))</f>
        <v/>
      </c>
      <c r="Q39" s="12" t="str">
        <f aca="false">IF(OR($A39="",Q$4=""),"",SUMPRODUCT(--(INDEX(Matrix!$C$5:$BJ$204,0,$B39)&gt;0),--(INDEX(Matrix!$C$5:$BJ$204,0,Q$3)&gt;0)))</f>
        <v/>
      </c>
      <c r="R39" s="12" t="str">
        <f aca="false">IF(OR($A39="",R$4=""),"",SUMPRODUCT(--(INDEX(Matrix!$C$5:$BJ$204,0,$B39)&gt;0),--(INDEX(Matrix!$C$5:$BJ$204,0,R$3)&gt;0)))</f>
        <v/>
      </c>
      <c r="S39" s="12" t="str">
        <f aca="false">IF(OR($A39="",S$4=""),"",SUMPRODUCT(--(INDEX(Matrix!$C$5:$BJ$204,0,$B39)&gt;0),--(INDEX(Matrix!$C$5:$BJ$204,0,S$3)&gt;0)))</f>
        <v/>
      </c>
      <c r="T39" s="12" t="str">
        <f aca="false">IF(OR($A39="",T$4=""),"",SUMPRODUCT(--(INDEX(Matrix!$C$5:$BJ$204,0,$B39)&gt;0),--(INDEX(Matrix!$C$5:$BJ$204,0,T$3)&gt;0)))</f>
        <v/>
      </c>
      <c r="U39" s="12" t="str">
        <f aca="false">IF(OR($A39="",U$4=""),"",SUMPRODUCT(--(INDEX(Matrix!$C$5:$BJ$204,0,$B39)&gt;0),--(INDEX(Matrix!$C$5:$BJ$204,0,U$3)&gt;0)))</f>
        <v/>
      </c>
      <c r="V39" s="12" t="str">
        <f aca="false">IF(OR($A39="",V$4=""),"",SUMPRODUCT(--(INDEX(Matrix!$C$5:$BJ$204,0,$B39)&gt;0),--(INDEX(Matrix!$C$5:$BJ$204,0,V$3)&gt;0)))</f>
        <v/>
      </c>
      <c r="W39" s="12" t="str">
        <f aca="false">IF(OR($A39="",W$4=""),"",SUMPRODUCT(--(INDEX(Matrix!$C$5:$BJ$204,0,$B39)&gt;0),--(INDEX(Matrix!$C$5:$BJ$204,0,W$3)&gt;0)))</f>
        <v/>
      </c>
      <c r="X39" s="12" t="str">
        <f aca="false">IF(OR($A39="",X$4=""),"",SUMPRODUCT(--(INDEX(Matrix!$C$5:$BJ$204,0,$B39)&gt;0),--(INDEX(Matrix!$C$5:$BJ$204,0,X$3)&gt;0)))</f>
        <v/>
      </c>
      <c r="Y39" s="12" t="str">
        <f aca="false">IF(OR($A39="",Y$4=""),"",SUMPRODUCT(--(INDEX(Matrix!$C$5:$BJ$204,0,$B39)&gt;0),--(INDEX(Matrix!$C$5:$BJ$204,0,Y$3)&gt;0)))</f>
        <v/>
      </c>
      <c r="Z39" s="12" t="str">
        <f aca="false">IF(OR($A39="",Z$4=""),"",SUMPRODUCT(--(INDEX(Matrix!$C$5:$BJ$204,0,$B39)&gt;0),--(INDEX(Matrix!$C$5:$BJ$204,0,Z$3)&gt;0)))</f>
        <v/>
      </c>
      <c r="AA39" s="12" t="str">
        <f aca="false">IF(OR($A39="",AA$4=""),"",SUMPRODUCT(--(INDEX(Matrix!$C$5:$BJ$204,0,$B39)&gt;0),--(INDEX(Matrix!$C$5:$BJ$204,0,AA$3)&gt;0)))</f>
        <v/>
      </c>
      <c r="AB39" s="12" t="str">
        <f aca="false">IF(OR($A39="",AB$4=""),"",SUMPRODUCT(--(INDEX(Matrix!$C$5:$BJ$204,0,$B39)&gt;0),--(INDEX(Matrix!$C$5:$BJ$204,0,AB$3)&gt;0)))</f>
        <v/>
      </c>
      <c r="AC39" s="12" t="str">
        <f aca="false">IF(OR($A39="",AC$4=""),"",SUMPRODUCT(--(INDEX(Matrix!$C$5:$BJ$204,0,$B39)&gt;0),--(INDEX(Matrix!$C$5:$BJ$204,0,AC$3)&gt;0)))</f>
        <v/>
      </c>
      <c r="AD39" s="12" t="str">
        <f aca="false">IF(OR($A39="",AD$4=""),"",SUMPRODUCT(--(INDEX(Matrix!$C$5:$BJ$204,0,$B39)&gt;0),--(INDEX(Matrix!$C$5:$BJ$204,0,AD$3)&gt;0)))</f>
        <v/>
      </c>
      <c r="AE39" s="12" t="str">
        <f aca="false">IF(OR($A39="",AE$4=""),"",SUMPRODUCT(--(INDEX(Matrix!$C$5:$BJ$204,0,$B39)&gt;0),--(INDEX(Matrix!$C$5:$BJ$204,0,AE$3)&gt;0)))</f>
        <v/>
      </c>
      <c r="AF39" s="12" t="str">
        <f aca="false">IF(OR($A39="",AF$4=""),"",SUMPRODUCT(--(INDEX(Matrix!$C$5:$BJ$204,0,$B39)&gt;0),--(INDEX(Matrix!$C$5:$BJ$204,0,AF$3)&gt;0)))</f>
        <v/>
      </c>
      <c r="AG39" s="12" t="str">
        <f aca="false">IF(OR($A39="",AG$4=""),"",SUMPRODUCT(--(INDEX(Matrix!$C$5:$BJ$204,0,$B39)&gt;0),--(INDEX(Matrix!$C$5:$BJ$204,0,AG$3)&gt;0)))</f>
        <v/>
      </c>
      <c r="AH39" s="12" t="str">
        <f aca="false">IF(OR($A39="",AH$4=""),"",SUMPRODUCT(--(INDEX(Matrix!$C$5:$BJ$204,0,$B39)&gt;0),--(INDEX(Matrix!$C$5:$BJ$204,0,AH$3)&gt;0)))</f>
        <v/>
      </c>
      <c r="AI39" s="12" t="str">
        <f aca="false">IF(OR($A39="",AI$4=""),"",SUMPRODUCT(--(INDEX(Matrix!$C$5:$BJ$204,0,$B39)&gt;0),--(INDEX(Matrix!$C$5:$BJ$204,0,AI$3)&gt;0)))</f>
        <v/>
      </c>
      <c r="AJ39" s="12" t="str">
        <f aca="false">IF(OR($A39="",AJ$4=""),"",SUMPRODUCT(--(INDEX(Matrix!$C$5:$BJ$204,0,$B39)&gt;0),--(INDEX(Matrix!$C$5:$BJ$204,0,AJ$3)&gt;0)))</f>
        <v/>
      </c>
      <c r="AK39" s="12" t="str">
        <f aca="false">IF(OR($A39="",AK$4=""),"",SUMPRODUCT(--(INDEX(Matrix!$C$5:$BJ$204,0,$B39)&gt;0),--(INDEX(Matrix!$C$5:$BJ$204,0,AK$3)&gt;0)))</f>
        <v/>
      </c>
      <c r="AL39" s="12" t="str">
        <f aca="false">IF(OR($A39="",AL$4=""),"",SUMPRODUCT(--(INDEX(Matrix!$C$5:$BJ$204,0,$B39)&gt;0),--(INDEX(Matrix!$C$5:$BJ$204,0,AL$3)&gt;0)))</f>
        <v/>
      </c>
      <c r="AM39" s="12" t="str">
        <f aca="false">IF(OR($A39="",AM$4=""),"",SUMPRODUCT(--(INDEX(Matrix!$C$5:$BJ$204,0,$B39)&gt;0),--(INDEX(Matrix!$C$5:$BJ$204,0,AM$3)&gt;0)))</f>
        <v/>
      </c>
      <c r="AN39" s="12" t="str">
        <f aca="false">IF(OR($A39="",AN$4=""),"",SUMPRODUCT(--(INDEX(Matrix!$C$5:$BJ$204,0,$B39)&gt;0),--(INDEX(Matrix!$C$5:$BJ$204,0,AN$3)&gt;0)))</f>
        <v/>
      </c>
      <c r="AO39" s="12" t="str">
        <f aca="false">IF(OR($A39="",AO$4=""),"",SUMPRODUCT(--(INDEX(Matrix!$C$5:$BJ$204,0,$B39)&gt;0),--(INDEX(Matrix!$C$5:$BJ$204,0,AO$3)&gt;0)))</f>
        <v/>
      </c>
      <c r="AP39" s="12" t="str">
        <f aca="false">IF(OR($A39="",AP$4=""),"",SUMPRODUCT(--(INDEX(Matrix!$C$5:$BJ$204,0,$B39)&gt;0),--(INDEX(Matrix!$C$5:$BJ$204,0,AP$3)&gt;0)))</f>
        <v/>
      </c>
      <c r="AQ39" s="12" t="str">
        <f aca="false">IF(OR($A39="",AQ$4=""),"",SUMPRODUCT(--(INDEX(Matrix!$C$5:$BJ$204,0,$B39)&gt;0),--(INDEX(Matrix!$C$5:$BJ$204,0,AQ$3)&gt;0)))</f>
        <v/>
      </c>
      <c r="AR39" s="12" t="str">
        <f aca="false">IF(OR($A39="",AR$4=""),"",SUMPRODUCT(--(INDEX(Matrix!$C$5:$BJ$204,0,$B39)&gt;0),--(INDEX(Matrix!$C$5:$BJ$204,0,AR$3)&gt;0)))</f>
        <v/>
      </c>
      <c r="AS39" s="12" t="str">
        <f aca="false">IF(OR($A39="",AS$4=""),"",SUMPRODUCT(--(INDEX(Matrix!$C$5:$BJ$204,0,$B39)&gt;0),--(INDEX(Matrix!$C$5:$BJ$204,0,AS$3)&gt;0)))</f>
        <v/>
      </c>
      <c r="AT39" s="12" t="str">
        <f aca="false">IF(OR($A39="",AT$4=""),"",SUMPRODUCT(--(INDEX(Matrix!$C$5:$BJ$204,0,$B39)&gt;0),--(INDEX(Matrix!$C$5:$BJ$204,0,AT$3)&gt;0)))</f>
        <v/>
      </c>
      <c r="AU39" s="12" t="str">
        <f aca="false">IF(OR($A39="",AU$4=""),"",SUMPRODUCT(--(INDEX(Matrix!$C$5:$BJ$204,0,$B39)&gt;0),--(INDEX(Matrix!$C$5:$BJ$204,0,AU$3)&gt;0)))</f>
        <v/>
      </c>
      <c r="AV39" s="12" t="str">
        <f aca="false">IF(OR($A39="",AV$4=""),"",SUMPRODUCT(--(INDEX(Matrix!$C$5:$BJ$204,0,$B39)&gt;0),--(INDEX(Matrix!$C$5:$BJ$204,0,AV$3)&gt;0)))</f>
        <v/>
      </c>
      <c r="AW39" s="12" t="str">
        <f aca="false">IF(OR($A39="",AW$4=""),"",SUMPRODUCT(--(INDEX(Matrix!$C$5:$BJ$204,0,$B39)&gt;0),--(INDEX(Matrix!$C$5:$BJ$204,0,AW$3)&gt;0)))</f>
        <v/>
      </c>
      <c r="AX39" s="12" t="str">
        <f aca="false">IF(OR($A39="",AX$4=""),"",SUMPRODUCT(--(INDEX(Matrix!$C$5:$BJ$204,0,$B39)&gt;0),--(INDEX(Matrix!$C$5:$BJ$204,0,AX$3)&gt;0)))</f>
        <v/>
      </c>
      <c r="AY39" s="12" t="str">
        <f aca="false">IF(OR($A39="",AY$4=""),"",SUMPRODUCT(--(INDEX(Matrix!$C$5:$BJ$204,0,$B39)&gt;0),--(INDEX(Matrix!$C$5:$BJ$204,0,AY$3)&gt;0)))</f>
        <v/>
      </c>
      <c r="AZ39" s="12" t="str">
        <f aca="false">IF(OR($A39="",AZ$4=""),"",SUMPRODUCT(--(INDEX(Matrix!$C$5:$BJ$204,0,$B39)&gt;0),--(INDEX(Matrix!$C$5:$BJ$204,0,AZ$3)&gt;0)))</f>
        <v/>
      </c>
      <c r="BA39" s="12" t="str">
        <f aca="false">IF(OR($A39="",BA$4=""),"",SUMPRODUCT(--(INDEX(Matrix!$C$5:$BJ$204,0,$B39)&gt;0),--(INDEX(Matrix!$C$5:$BJ$204,0,BA$3)&gt;0)))</f>
        <v/>
      </c>
      <c r="BB39" s="12" t="str">
        <f aca="false">IF(OR($A39="",BB$4=""),"",SUMPRODUCT(--(INDEX(Matrix!$C$5:$BJ$204,0,$B39)&gt;0),--(INDEX(Matrix!$C$5:$BJ$204,0,BB$3)&gt;0)))</f>
        <v/>
      </c>
      <c r="BC39" s="12" t="str">
        <f aca="false">IF(OR($A39="",BC$4=""),"",SUMPRODUCT(--(INDEX(Matrix!$C$5:$BJ$204,0,$B39)&gt;0),--(INDEX(Matrix!$C$5:$BJ$204,0,BC$3)&gt;0)))</f>
        <v/>
      </c>
      <c r="BD39" s="12" t="str">
        <f aca="false">IF(OR($A39="",BD$4=""),"",SUMPRODUCT(--(INDEX(Matrix!$C$5:$BJ$204,0,$B39)&gt;0),--(INDEX(Matrix!$C$5:$BJ$204,0,BD$3)&gt;0)))</f>
        <v/>
      </c>
      <c r="BE39" s="12" t="str">
        <f aca="false">IF(OR($A39="",BE$4=""),"",SUMPRODUCT(--(INDEX(Matrix!$C$5:$BJ$204,0,$B39)&gt;0),--(INDEX(Matrix!$C$5:$BJ$204,0,BE$3)&gt;0)))</f>
        <v/>
      </c>
      <c r="BF39" s="12" t="str">
        <f aca="false">IF(OR($A39="",BF$4=""),"",SUMPRODUCT(--(INDEX(Matrix!$C$5:$BJ$204,0,$B39)&gt;0),--(INDEX(Matrix!$C$5:$BJ$204,0,BF$3)&gt;0)))</f>
        <v/>
      </c>
      <c r="BG39" s="12" t="str">
        <f aca="false">IF(OR($A39="",BG$4=""),"",SUMPRODUCT(--(INDEX(Matrix!$C$5:$BJ$204,0,$B39)&gt;0),--(INDEX(Matrix!$C$5:$BJ$204,0,BG$3)&gt;0)))</f>
        <v/>
      </c>
      <c r="BH39" s="12" t="str">
        <f aca="false">IF(OR($A39="",BH$4=""),"",SUMPRODUCT(--(INDEX(Matrix!$C$5:$BJ$204,0,$B39)&gt;0),--(INDEX(Matrix!$C$5:$BJ$204,0,BH$3)&gt;0)))</f>
        <v/>
      </c>
      <c r="BI39" s="12" t="str">
        <f aca="false">IF(OR($A39="",BI$4=""),"",SUMPRODUCT(--(INDEX(Matrix!$C$5:$BJ$204,0,$B39)&gt;0),--(INDEX(Matrix!$C$5:$BJ$204,0,BI$3)&gt;0)))</f>
        <v/>
      </c>
      <c r="BJ39" s="12" t="str">
        <f aca="false">IF(OR($A39="",BJ$4=""),"",SUMPRODUCT(--(INDEX(Matrix!$C$5:$BJ$204,0,$B39)&gt;0),--(INDEX(Matrix!$C$5:$BJ$204,0,BJ$3)&gt;0)))</f>
        <v/>
      </c>
    </row>
    <row r="40" customFormat="false" ht="15" hidden="false" customHeight="false" outlineLevel="0" collapsed="false">
      <c r="A40" s="6" t="str">
        <f aca="false">IF(INDEX(Products!$A$2:$A$61,$B40)="","",INDEX(Products!$A$2:$A$61,$B40))</f>
        <v/>
      </c>
      <c r="B40" s="23" t="n">
        <v>36</v>
      </c>
      <c r="C40" s="12" t="str">
        <f aca="false">IF(OR($A40="",C$4=""),"",SUMPRODUCT(--(INDEX(Matrix!$C$5:$BJ$204,0,$B40)&gt;0),--(INDEX(Matrix!$C$5:$BJ$204,0,C$3)&gt;0)))</f>
        <v/>
      </c>
      <c r="D40" s="12" t="str">
        <f aca="false">IF(OR($A40="",D$4=""),"",SUMPRODUCT(--(INDEX(Matrix!$C$5:$BJ$204,0,$B40)&gt;0),--(INDEX(Matrix!$C$5:$BJ$204,0,D$3)&gt;0)))</f>
        <v/>
      </c>
      <c r="E40" s="12" t="str">
        <f aca="false">IF(OR($A40="",E$4=""),"",SUMPRODUCT(--(INDEX(Matrix!$C$5:$BJ$204,0,$B40)&gt;0),--(INDEX(Matrix!$C$5:$BJ$204,0,E$3)&gt;0)))</f>
        <v/>
      </c>
      <c r="F40" s="12" t="str">
        <f aca="false">IF(OR($A40="",F$4=""),"",SUMPRODUCT(--(INDEX(Matrix!$C$5:$BJ$204,0,$B40)&gt;0),--(INDEX(Matrix!$C$5:$BJ$204,0,F$3)&gt;0)))</f>
        <v/>
      </c>
      <c r="G40" s="12" t="str">
        <f aca="false">IF(OR($A40="",G$4=""),"",SUMPRODUCT(--(INDEX(Matrix!$C$5:$BJ$204,0,$B40)&gt;0),--(INDEX(Matrix!$C$5:$BJ$204,0,G$3)&gt;0)))</f>
        <v/>
      </c>
      <c r="H40" s="12" t="str">
        <f aca="false">IF(OR($A40="",H$4=""),"",SUMPRODUCT(--(INDEX(Matrix!$C$5:$BJ$204,0,$B40)&gt;0),--(INDEX(Matrix!$C$5:$BJ$204,0,H$3)&gt;0)))</f>
        <v/>
      </c>
      <c r="I40" s="12" t="str">
        <f aca="false">IF(OR($A40="",I$4=""),"",SUMPRODUCT(--(INDEX(Matrix!$C$5:$BJ$204,0,$B40)&gt;0),--(INDEX(Matrix!$C$5:$BJ$204,0,I$3)&gt;0)))</f>
        <v/>
      </c>
      <c r="J40" s="12" t="str">
        <f aca="false">IF(OR($A40="",J$4=""),"",SUMPRODUCT(--(INDEX(Matrix!$C$5:$BJ$204,0,$B40)&gt;0),--(INDEX(Matrix!$C$5:$BJ$204,0,J$3)&gt;0)))</f>
        <v/>
      </c>
      <c r="K40" s="12" t="str">
        <f aca="false">IF(OR($A40="",K$4=""),"",SUMPRODUCT(--(INDEX(Matrix!$C$5:$BJ$204,0,$B40)&gt;0),--(INDEX(Matrix!$C$5:$BJ$204,0,K$3)&gt;0)))</f>
        <v/>
      </c>
      <c r="L40" s="12" t="str">
        <f aca="false">IF(OR($A40="",L$4=""),"",SUMPRODUCT(--(INDEX(Matrix!$C$5:$BJ$204,0,$B40)&gt;0),--(INDEX(Matrix!$C$5:$BJ$204,0,L$3)&gt;0)))</f>
        <v/>
      </c>
      <c r="M40" s="12" t="str">
        <f aca="false">IF(OR($A40="",M$4=""),"",SUMPRODUCT(--(INDEX(Matrix!$C$5:$BJ$204,0,$B40)&gt;0),--(INDEX(Matrix!$C$5:$BJ$204,0,M$3)&gt;0)))</f>
        <v/>
      </c>
      <c r="N40" s="12" t="str">
        <f aca="false">IF(OR($A40="",N$4=""),"",SUMPRODUCT(--(INDEX(Matrix!$C$5:$BJ$204,0,$B40)&gt;0),--(INDEX(Matrix!$C$5:$BJ$204,0,N$3)&gt;0)))</f>
        <v/>
      </c>
      <c r="O40" s="12" t="str">
        <f aca="false">IF(OR($A40="",O$4=""),"",SUMPRODUCT(--(INDEX(Matrix!$C$5:$BJ$204,0,$B40)&gt;0),--(INDEX(Matrix!$C$5:$BJ$204,0,O$3)&gt;0)))</f>
        <v/>
      </c>
      <c r="P40" s="12" t="str">
        <f aca="false">IF(OR($A40="",P$4=""),"",SUMPRODUCT(--(INDEX(Matrix!$C$5:$BJ$204,0,$B40)&gt;0),--(INDEX(Matrix!$C$5:$BJ$204,0,P$3)&gt;0)))</f>
        <v/>
      </c>
      <c r="Q40" s="12" t="str">
        <f aca="false">IF(OR($A40="",Q$4=""),"",SUMPRODUCT(--(INDEX(Matrix!$C$5:$BJ$204,0,$B40)&gt;0),--(INDEX(Matrix!$C$5:$BJ$204,0,Q$3)&gt;0)))</f>
        <v/>
      </c>
      <c r="R40" s="12" t="str">
        <f aca="false">IF(OR($A40="",R$4=""),"",SUMPRODUCT(--(INDEX(Matrix!$C$5:$BJ$204,0,$B40)&gt;0),--(INDEX(Matrix!$C$5:$BJ$204,0,R$3)&gt;0)))</f>
        <v/>
      </c>
      <c r="S40" s="12" t="str">
        <f aca="false">IF(OR($A40="",S$4=""),"",SUMPRODUCT(--(INDEX(Matrix!$C$5:$BJ$204,0,$B40)&gt;0),--(INDEX(Matrix!$C$5:$BJ$204,0,S$3)&gt;0)))</f>
        <v/>
      </c>
      <c r="T40" s="12" t="str">
        <f aca="false">IF(OR($A40="",T$4=""),"",SUMPRODUCT(--(INDEX(Matrix!$C$5:$BJ$204,0,$B40)&gt;0),--(INDEX(Matrix!$C$5:$BJ$204,0,T$3)&gt;0)))</f>
        <v/>
      </c>
      <c r="U40" s="12" t="str">
        <f aca="false">IF(OR($A40="",U$4=""),"",SUMPRODUCT(--(INDEX(Matrix!$C$5:$BJ$204,0,$B40)&gt;0),--(INDEX(Matrix!$C$5:$BJ$204,0,U$3)&gt;0)))</f>
        <v/>
      </c>
      <c r="V40" s="12" t="str">
        <f aca="false">IF(OR($A40="",V$4=""),"",SUMPRODUCT(--(INDEX(Matrix!$C$5:$BJ$204,0,$B40)&gt;0),--(INDEX(Matrix!$C$5:$BJ$204,0,V$3)&gt;0)))</f>
        <v/>
      </c>
      <c r="W40" s="12" t="str">
        <f aca="false">IF(OR($A40="",W$4=""),"",SUMPRODUCT(--(INDEX(Matrix!$C$5:$BJ$204,0,$B40)&gt;0),--(INDEX(Matrix!$C$5:$BJ$204,0,W$3)&gt;0)))</f>
        <v/>
      </c>
      <c r="X40" s="12" t="str">
        <f aca="false">IF(OR($A40="",X$4=""),"",SUMPRODUCT(--(INDEX(Matrix!$C$5:$BJ$204,0,$B40)&gt;0),--(INDEX(Matrix!$C$5:$BJ$204,0,X$3)&gt;0)))</f>
        <v/>
      </c>
      <c r="Y40" s="12" t="str">
        <f aca="false">IF(OR($A40="",Y$4=""),"",SUMPRODUCT(--(INDEX(Matrix!$C$5:$BJ$204,0,$B40)&gt;0),--(INDEX(Matrix!$C$5:$BJ$204,0,Y$3)&gt;0)))</f>
        <v/>
      </c>
      <c r="Z40" s="12" t="str">
        <f aca="false">IF(OR($A40="",Z$4=""),"",SUMPRODUCT(--(INDEX(Matrix!$C$5:$BJ$204,0,$B40)&gt;0),--(INDEX(Matrix!$C$5:$BJ$204,0,Z$3)&gt;0)))</f>
        <v/>
      </c>
      <c r="AA40" s="12" t="str">
        <f aca="false">IF(OR($A40="",AA$4=""),"",SUMPRODUCT(--(INDEX(Matrix!$C$5:$BJ$204,0,$B40)&gt;0),--(INDEX(Matrix!$C$5:$BJ$204,0,AA$3)&gt;0)))</f>
        <v/>
      </c>
      <c r="AB40" s="12" t="str">
        <f aca="false">IF(OR($A40="",AB$4=""),"",SUMPRODUCT(--(INDEX(Matrix!$C$5:$BJ$204,0,$B40)&gt;0),--(INDEX(Matrix!$C$5:$BJ$204,0,AB$3)&gt;0)))</f>
        <v/>
      </c>
      <c r="AC40" s="12" t="str">
        <f aca="false">IF(OR($A40="",AC$4=""),"",SUMPRODUCT(--(INDEX(Matrix!$C$5:$BJ$204,0,$B40)&gt;0),--(INDEX(Matrix!$C$5:$BJ$204,0,AC$3)&gt;0)))</f>
        <v/>
      </c>
      <c r="AD40" s="12" t="str">
        <f aca="false">IF(OR($A40="",AD$4=""),"",SUMPRODUCT(--(INDEX(Matrix!$C$5:$BJ$204,0,$B40)&gt;0),--(INDEX(Matrix!$C$5:$BJ$204,0,AD$3)&gt;0)))</f>
        <v/>
      </c>
      <c r="AE40" s="12" t="str">
        <f aca="false">IF(OR($A40="",AE$4=""),"",SUMPRODUCT(--(INDEX(Matrix!$C$5:$BJ$204,0,$B40)&gt;0),--(INDEX(Matrix!$C$5:$BJ$204,0,AE$3)&gt;0)))</f>
        <v/>
      </c>
      <c r="AF40" s="12" t="str">
        <f aca="false">IF(OR($A40="",AF$4=""),"",SUMPRODUCT(--(INDEX(Matrix!$C$5:$BJ$204,0,$B40)&gt;0),--(INDEX(Matrix!$C$5:$BJ$204,0,AF$3)&gt;0)))</f>
        <v/>
      </c>
      <c r="AG40" s="12" t="str">
        <f aca="false">IF(OR($A40="",AG$4=""),"",SUMPRODUCT(--(INDEX(Matrix!$C$5:$BJ$204,0,$B40)&gt;0),--(INDEX(Matrix!$C$5:$BJ$204,0,AG$3)&gt;0)))</f>
        <v/>
      </c>
      <c r="AH40" s="12" t="str">
        <f aca="false">IF(OR($A40="",AH$4=""),"",SUMPRODUCT(--(INDEX(Matrix!$C$5:$BJ$204,0,$B40)&gt;0),--(INDEX(Matrix!$C$5:$BJ$204,0,AH$3)&gt;0)))</f>
        <v/>
      </c>
      <c r="AI40" s="12" t="str">
        <f aca="false">IF(OR($A40="",AI$4=""),"",SUMPRODUCT(--(INDEX(Matrix!$C$5:$BJ$204,0,$B40)&gt;0),--(INDEX(Matrix!$C$5:$BJ$204,0,AI$3)&gt;0)))</f>
        <v/>
      </c>
      <c r="AJ40" s="12" t="str">
        <f aca="false">IF(OR($A40="",AJ$4=""),"",SUMPRODUCT(--(INDEX(Matrix!$C$5:$BJ$204,0,$B40)&gt;0),--(INDEX(Matrix!$C$5:$BJ$204,0,AJ$3)&gt;0)))</f>
        <v/>
      </c>
      <c r="AK40" s="12" t="str">
        <f aca="false">IF(OR($A40="",AK$4=""),"",SUMPRODUCT(--(INDEX(Matrix!$C$5:$BJ$204,0,$B40)&gt;0),--(INDEX(Matrix!$C$5:$BJ$204,0,AK$3)&gt;0)))</f>
        <v/>
      </c>
      <c r="AL40" s="12" t="str">
        <f aca="false">IF(OR($A40="",AL$4=""),"",SUMPRODUCT(--(INDEX(Matrix!$C$5:$BJ$204,0,$B40)&gt;0),--(INDEX(Matrix!$C$5:$BJ$204,0,AL$3)&gt;0)))</f>
        <v/>
      </c>
      <c r="AM40" s="12" t="str">
        <f aca="false">IF(OR($A40="",AM$4=""),"",SUMPRODUCT(--(INDEX(Matrix!$C$5:$BJ$204,0,$B40)&gt;0),--(INDEX(Matrix!$C$5:$BJ$204,0,AM$3)&gt;0)))</f>
        <v/>
      </c>
      <c r="AN40" s="12" t="str">
        <f aca="false">IF(OR($A40="",AN$4=""),"",SUMPRODUCT(--(INDEX(Matrix!$C$5:$BJ$204,0,$B40)&gt;0),--(INDEX(Matrix!$C$5:$BJ$204,0,AN$3)&gt;0)))</f>
        <v/>
      </c>
      <c r="AO40" s="12" t="str">
        <f aca="false">IF(OR($A40="",AO$4=""),"",SUMPRODUCT(--(INDEX(Matrix!$C$5:$BJ$204,0,$B40)&gt;0),--(INDEX(Matrix!$C$5:$BJ$204,0,AO$3)&gt;0)))</f>
        <v/>
      </c>
      <c r="AP40" s="12" t="str">
        <f aca="false">IF(OR($A40="",AP$4=""),"",SUMPRODUCT(--(INDEX(Matrix!$C$5:$BJ$204,0,$B40)&gt;0),--(INDEX(Matrix!$C$5:$BJ$204,0,AP$3)&gt;0)))</f>
        <v/>
      </c>
      <c r="AQ40" s="12" t="str">
        <f aca="false">IF(OR($A40="",AQ$4=""),"",SUMPRODUCT(--(INDEX(Matrix!$C$5:$BJ$204,0,$B40)&gt;0),--(INDEX(Matrix!$C$5:$BJ$204,0,AQ$3)&gt;0)))</f>
        <v/>
      </c>
      <c r="AR40" s="12" t="str">
        <f aca="false">IF(OR($A40="",AR$4=""),"",SUMPRODUCT(--(INDEX(Matrix!$C$5:$BJ$204,0,$B40)&gt;0),--(INDEX(Matrix!$C$5:$BJ$204,0,AR$3)&gt;0)))</f>
        <v/>
      </c>
      <c r="AS40" s="12" t="str">
        <f aca="false">IF(OR($A40="",AS$4=""),"",SUMPRODUCT(--(INDEX(Matrix!$C$5:$BJ$204,0,$B40)&gt;0),--(INDEX(Matrix!$C$5:$BJ$204,0,AS$3)&gt;0)))</f>
        <v/>
      </c>
      <c r="AT40" s="12" t="str">
        <f aca="false">IF(OR($A40="",AT$4=""),"",SUMPRODUCT(--(INDEX(Matrix!$C$5:$BJ$204,0,$B40)&gt;0),--(INDEX(Matrix!$C$5:$BJ$204,0,AT$3)&gt;0)))</f>
        <v/>
      </c>
      <c r="AU40" s="12" t="str">
        <f aca="false">IF(OR($A40="",AU$4=""),"",SUMPRODUCT(--(INDEX(Matrix!$C$5:$BJ$204,0,$B40)&gt;0),--(INDEX(Matrix!$C$5:$BJ$204,0,AU$3)&gt;0)))</f>
        <v/>
      </c>
      <c r="AV40" s="12" t="str">
        <f aca="false">IF(OR($A40="",AV$4=""),"",SUMPRODUCT(--(INDEX(Matrix!$C$5:$BJ$204,0,$B40)&gt;0),--(INDEX(Matrix!$C$5:$BJ$204,0,AV$3)&gt;0)))</f>
        <v/>
      </c>
      <c r="AW40" s="12" t="str">
        <f aca="false">IF(OR($A40="",AW$4=""),"",SUMPRODUCT(--(INDEX(Matrix!$C$5:$BJ$204,0,$B40)&gt;0),--(INDEX(Matrix!$C$5:$BJ$204,0,AW$3)&gt;0)))</f>
        <v/>
      </c>
      <c r="AX40" s="12" t="str">
        <f aca="false">IF(OR($A40="",AX$4=""),"",SUMPRODUCT(--(INDEX(Matrix!$C$5:$BJ$204,0,$B40)&gt;0),--(INDEX(Matrix!$C$5:$BJ$204,0,AX$3)&gt;0)))</f>
        <v/>
      </c>
      <c r="AY40" s="12" t="str">
        <f aca="false">IF(OR($A40="",AY$4=""),"",SUMPRODUCT(--(INDEX(Matrix!$C$5:$BJ$204,0,$B40)&gt;0),--(INDEX(Matrix!$C$5:$BJ$204,0,AY$3)&gt;0)))</f>
        <v/>
      </c>
      <c r="AZ40" s="12" t="str">
        <f aca="false">IF(OR($A40="",AZ$4=""),"",SUMPRODUCT(--(INDEX(Matrix!$C$5:$BJ$204,0,$B40)&gt;0),--(INDEX(Matrix!$C$5:$BJ$204,0,AZ$3)&gt;0)))</f>
        <v/>
      </c>
      <c r="BA40" s="12" t="str">
        <f aca="false">IF(OR($A40="",BA$4=""),"",SUMPRODUCT(--(INDEX(Matrix!$C$5:$BJ$204,0,$B40)&gt;0),--(INDEX(Matrix!$C$5:$BJ$204,0,BA$3)&gt;0)))</f>
        <v/>
      </c>
      <c r="BB40" s="12" t="str">
        <f aca="false">IF(OR($A40="",BB$4=""),"",SUMPRODUCT(--(INDEX(Matrix!$C$5:$BJ$204,0,$B40)&gt;0),--(INDEX(Matrix!$C$5:$BJ$204,0,BB$3)&gt;0)))</f>
        <v/>
      </c>
      <c r="BC40" s="12" t="str">
        <f aca="false">IF(OR($A40="",BC$4=""),"",SUMPRODUCT(--(INDEX(Matrix!$C$5:$BJ$204,0,$B40)&gt;0),--(INDEX(Matrix!$C$5:$BJ$204,0,BC$3)&gt;0)))</f>
        <v/>
      </c>
      <c r="BD40" s="12" t="str">
        <f aca="false">IF(OR($A40="",BD$4=""),"",SUMPRODUCT(--(INDEX(Matrix!$C$5:$BJ$204,0,$B40)&gt;0),--(INDEX(Matrix!$C$5:$BJ$204,0,BD$3)&gt;0)))</f>
        <v/>
      </c>
      <c r="BE40" s="12" t="str">
        <f aca="false">IF(OR($A40="",BE$4=""),"",SUMPRODUCT(--(INDEX(Matrix!$C$5:$BJ$204,0,$B40)&gt;0),--(INDEX(Matrix!$C$5:$BJ$204,0,BE$3)&gt;0)))</f>
        <v/>
      </c>
      <c r="BF40" s="12" t="str">
        <f aca="false">IF(OR($A40="",BF$4=""),"",SUMPRODUCT(--(INDEX(Matrix!$C$5:$BJ$204,0,$B40)&gt;0),--(INDEX(Matrix!$C$5:$BJ$204,0,BF$3)&gt;0)))</f>
        <v/>
      </c>
      <c r="BG40" s="12" t="str">
        <f aca="false">IF(OR($A40="",BG$4=""),"",SUMPRODUCT(--(INDEX(Matrix!$C$5:$BJ$204,0,$B40)&gt;0),--(INDEX(Matrix!$C$5:$BJ$204,0,BG$3)&gt;0)))</f>
        <v/>
      </c>
      <c r="BH40" s="12" t="str">
        <f aca="false">IF(OR($A40="",BH$4=""),"",SUMPRODUCT(--(INDEX(Matrix!$C$5:$BJ$204,0,$B40)&gt;0),--(INDEX(Matrix!$C$5:$BJ$204,0,BH$3)&gt;0)))</f>
        <v/>
      </c>
      <c r="BI40" s="12" t="str">
        <f aca="false">IF(OR($A40="",BI$4=""),"",SUMPRODUCT(--(INDEX(Matrix!$C$5:$BJ$204,0,$B40)&gt;0),--(INDEX(Matrix!$C$5:$BJ$204,0,BI$3)&gt;0)))</f>
        <v/>
      </c>
      <c r="BJ40" s="12" t="str">
        <f aca="false">IF(OR($A40="",BJ$4=""),"",SUMPRODUCT(--(INDEX(Matrix!$C$5:$BJ$204,0,$B40)&gt;0),--(INDEX(Matrix!$C$5:$BJ$204,0,BJ$3)&gt;0)))</f>
        <v/>
      </c>
    </row>
    <row r="41" customFormat="false" ht="15" hidden="false" customHeight="false" outlineLevel="0" collapsed="false">
      <c r="A41" s="6" t="str">
        <f aca="false">IF(INDEX(Products!$A$2:$A$61,$B41)="","",INDEX(Products!$A$2:$A$61,$B41))</f>
        <v/>
      </c>
      <c r="B41" s="23" t="n">
        <v>37</v>
      </c>
      <c r="C41" s="12" t="str">
        <f aca="false">IF(OR($A41="",C$4=""),"",SUMPRODUCT(--(INDEX(Matrix!$C$5:$BJ$204,0,$B41)&gt;0),--(INDEX(Matrix!$C$5:$BJ$204,0,C$3)&gt;0)))</f>
        <v/>
      </c>
      <c r="D41" s="12" t="str">
        <f aca="false">IF(OR($A41="",D$4=""),"",SUMPRODUCT(--(INDEX(Matrix!$C$5:$BJ$204,0,$B41)&gt;0),--(INDEX(Matrix!$C$5:$BJ$204,0,D$3)&gt;0)))</f>
        <v/>
      </c>
      <c r="E41" s="12" t="str">
        <f aca="false">IF(OR($A41="",E$4=""),"",SUMPRODUCT(--(INDEX(Matrix!$C$5:$BJ$204,0,$B41)&gt;0),--(INDEX(Matrix!$C$5:$BJ$204,0,E$3)&gt;0)))</f>
        <v/>
      </c>
      <c r="F41" s="12" t="str">
        <f aca="false">IF(OR($A41="",F$4=""),"",SUMPRODUCT(--(INDEX(Matrix!$C$5:$BJ$204,0,$B41)&gt;0),--(INDEX(Matrix!$C$5:$BJ$204,0,F$3)&gt;0)))</f>
        <v/>
      </c>
      <c r="G41" s="12" t="str">
        <f aca="false">IF(OR($A41="",G$4=""),"",SUMPRODUCT(--(INDEX(Matrix!$C$5:$BJ$204,0,$B41)&gt;0),--(INDEX(Matrix!$C$5:$BJ$204,0,G$3)&gt;0)))</f>
        <v/>
      </c>
      <c r="H41" s="12" t="str">
        <f aca="false">IF(OR($A41="",H$4=""),"",SUMPRODUCT(--(INDEX(Matrix!$C$5:$BJ$204,0,$B41)&gt;0),--(INDEX(Matrix!$C$5:$BJ$204,0,H$3)&gt;0)))</f>
        <v/>
      </c>
      <c r="I41" s="12" t="str">
        <f aca="false">IF(OR($A41="",I$4=""),"",SUMPRODUCT(--(INDEX(Matrix!$C$5:$BJ$204,0,$B41)&gt;0),--(INDEX(Matrix!$C$5:$BJ$204,0,I$3)&gt;0)))</f>
        <v/>
      </c>
      <c r="J41" s="12" t="str">
        <f aca="false">IF(OR($A41="",J$4=""),"",SUMPRODUCT(--(INDEX(Matrix!$C$5:$BJ$204,0,$B41)&gt;0),--(INDEX(Matrix!$C$5:$BJ$204,0,J$3)&gt;0)))</f>
        <v/>
      </c>
      <c r="K41" s="12" t="str">
        <f aca="false">IF(OR($A41="",K$4=""),"",SUMPRODUCT(--(INDEX(Matrix!$C$5:$BJ$204,0,$B41)&gt;0),--(INDEX(Matrix!$C$5:$BJ$204,0,K$3)&gt;0)))</f>
        <v/>
      </c>
      <c r="L41" s="12" t="str">
        <f aca="false">IF(OR($A41="",L$4=""),"",SUMPRODUCT(--(INDEX(Matrix!$C$5:$BJ$204,0,$B41)&gt;0),--(INDEX(Matrix!$C$5:$BJ$204,0,L$3)&gt;0)))</f>
        <v/>
      </c>
      <c r="M41" s="12" t="str">
        <f aca="false">IF(OR($A41="",M$4=""),"",SUMPRODUCT(--(INDEX(Matrix!$C$5:$BJ$204,0,$B41)&gt;0),--(INDEX(Matrix!$C$5:$BJ$204,0,M$3)&gt;0)))</f>
        <v/>
      </c>
      <c r="N41" s="12" t="str">
        <f aca="false">IF(OR($A41="",N$4=""),"",SUMPRODUCT(--(INDEX(Matrix!$C$5:$BJ$204,0,$B41)&gt;0),--(INDEX(Matrix!$C$5:$BJ$204,0,N$3)&gt;0)))</f>
        <v/>
      </c>
      <c r="O41" s="12" t="str">
        <f aca="false">IF(OR($A41="",O$4=""),"",SUMPRODUCT(--(INDEX(Matrix!$C$5:$BJ$204,0,$B41)&gt;0),--(INDEX(Matrix!$C$5:$BJ$204,0,O$3)&gt;0)))</f>
        <v/>
      </c>
      <c r="P41" s="12" t="str">
        <f aca="false">IF(OR($A41="",P$4=""),"",SUMPRODUCT(--(INDEX(Matrix!$C$5:$BJ$204,0,$B41)&gt;0),--(INDEX(Matrix!$C$5:$BJ$204,0,P$3)&gt;0)))</f>
        <v/>
      </c>
      <c r="Q41" s="12" t="str">
        <f aca="false">IF(OR($A41="",Q$4=""),"",SUMPRODUCT(--(INDEX(Matrix!$C$5:$BJ$204,0,$B41)&gt;0),--(INDEX(Matrix!$C$5:$BJ$204,0,Q$3)&gt;0)))</f>
        <v/>
      </c>
      <c r="R41" s="12" t="str">
        <f aca="false">IF(OR($A41="",R$4=""),"",SUMPRODUCT(--(INDEX(Matrix!$C$5:$BJ$204,0,$B41)&gt;0),--(INDEX(Matrix!$C$5:$BJ$204,0,R$3)&gt;0)))</f>
        <v/>
      </c>
      <c r="S41" s="12" t="str">
        <f aca="false">IF(OR($A41="",S$4=""),"",SUMPRODUCT(--(INDEX(Matrix!$C$5:$BJ$204,0,$B41)&gt;0),--(INDEX(Matrix!$C$5:$BJ$204,0,S$3)&gt;0)))</f>
        <v/>
      </c>
      <c r="T41" s="12" t="str">
        <f aca="false">IF(OR($A41="",T$4=""),"",SUMPRODUCT(--(INDEX(Matrix!$C$5:$BJ$204,0,$B41)&gt;0),--(INDEX(Matrix!$C$5:$BJ$204,0,T$3)&gt;0)))</f>
        <v/>
      </c>
      <c r="U41" s="12" t="str">
        <f aca="false">IF(OR($A41="",U$4=""),"",SUMPRODUCT(--(INDEX(Matrix!$C$5:$BJ$204,0,$B41)&gt;0),--(INDEX(Matrix!$C$5:$BJ$204,0,U$3)&gt;0)))</f>
        <v/>
      </c>
      <c r="V41" s="12" t="str">
        <f aca="false">IF(OR($A41="",V$4=""),"",SUMPRODUCT(--(INDEX(Matrix!$C$5:$BJ$204,0,$B41)&gt;0),--(INDEX(Matrix!$C$5:$BJ$204,0,V$3)&gt;0)))</f>
        <v/>
      </c>
      <c r="W41" s="12" t="str">
        <f aca="false">IF(OR($A41="",W$4=""),"",SUMPRODUCT(--(INDEX(Matrix!$C$5:$BJ$204,0,$B41)&gt;0),--(INDEX(Matrix!$C$5:$BJ$204,0,W$3)&gt;0)))</f>
        <v/>
      </c>
      <c r="X41" s="12" t="str">
        <f aca="false">IF(OR($A41="",X$4=""),"",SUMPRODUCT(--(INDEX(Matrix!$C$5:$BJ$204,0,$B41)&gt;0),--(INDEX(Matrix!$C$5:$BJ$204,0,X$3)&gt;0)))</f>
        <v/>
      </c>
      <c r="Y41" s="12" t="str">
        <f aca="false">IF(OR($A41="",Y$4=""),"",SUMPRODUCT(--(INDEX(Matrix!$C$5:$BJ$204,0,$B41)&gt;0),--(INDEX(Matrix!$C$5:$BJ$204,0,Y$3)&gt;0)))</f>
        <v/>
      </c>
      <c r="Z41" s="12" t="str">
        <f aca="false">IF(OR($A41="",Z$4=""),"",SUMPRODUCT(--(INDEX(Matrix!$C$5:$BJ$204,0,$B41)&gt;0),--(INDEX(Matrix!$C$5:$BJ$204,0,Z$3)&gt;0)))</f>
        <v/>
      </c>
      <c r="AA41" s="12" t="str">
        <f aca="false">IF(OR($A41="",AA$4=""),"",SUMPRODUCT(--(INDEX(Matrix!$C$5:$BJ$204,0,$B41)&gt;0),--(INDEX(Matrix!$C$5:$BJ$204,0,AA$3)&gt;0)))</f>
        <v/>
      </c>
      <c r="AB41" s="12" t="str">
        <f aca="false">IF(OR($A41="",AB$4=""),"",SUMPRODUCT(--(INDEX(Matrix!$C$5:$BJ$204,0,$B41)&gt;0),--(INDEX(Matrix!$C$5:$BJ$204,0,AB$3)&gt;0)))</f>
        <v/>
      </c>
      <c r="AC41" s="12" t="str">
        <f aca="false">IF(OR($A41="",AC$4=""),"",SUMPRODUCT(--(INDEX(Matrix!$C$5:$BJ$204,0,$B41)&gt;0),--(INDEX(Matrix!$C$5:$BJ$204,0,AC$3)&gt;0)))</f>
        <v/>
      </c>
      <c r="AD41" s="12" t="str">
        <f aca="false">IF(OR($A41="",AD$4=""),"",SUMPRODUCT(--(INDEX(Matrix!$C$5:$BJ$204,0,$B41)&gt;0),--(INDEX(Matrix!$C$5:$BJ$204,0,AD$3)&gt;0)))</f>
        <v/>
      </c>
      <c r="AE41" s="12" t="str">
        <f aca="false">IF(OR($A41="",AE$4=""),"",SUMPRODUCT(--(INDEX(Matrix!$C$5:$BJ$204,0,$B41)&gt;0),--(INDEX(Matrix!$C$5:$BJ$204,0,AE$3)&gt;0)))</f>
        <v/>
      </c>
      <c r="AF41" s="12" t="str">
        <f aca="false">IF(OR($A41="",AF$4=""),"",SUMPRODUCT(--(INDEX(Matrix!$C$5:$BJ$204,0,$B41)&gt;0),--(INDEX(Matrix!$C$5:$BJ$204,0,AF$3)&gt;0)))</f>
        <v/>
      </c>
      <c r="AG41" s="12" t="str">
        <f aca="false">IF(OR($A41="",AG$4=""),"",SUMPRODUCT(--(INDEX(Matrix!$C$5:$BJ$204,0,$B41)&gt;0),--(INDEX(Matrix!$C$5:$BJ$204,0,AG$3)&gt;0)))</f>
        <v/>
      </c>
      <c r="AH41" s="12" t="str">
        <f aca="false">IF(OR($A41="",AH$4=""),"",SUMPRODUCT(--(INDEX(Matrix!$C$5:$BJ$204,0,$B41)&gt;0),--(INDEX(Matrix!$C$5:$BJ$204,0,AH$3)&gt;0)))</f>
        <v/>
      </c>
      <c r="AI41" s="12" t="str">
        <f aca="false">IF(OR($A41="",AI$4=""),"",SUMPRODUCT(--(INDEX(Matrix!$C$5:$BJ$204,0,$B41)&gt;0),--(INDEX(Matrix!$C$5:$BJ$204,0,AI$3)&gt;0)))</f>
        <v/>
      </c>
      <c r="AJ41" s="12" t="str">
        <f aca="false">IF(OR($A41="",AJ$4=""),"",SUMPRODUCT(--(INDEX(Matrix!$C$5:$BJ$204,0,$B41)&gt;0),--(INDEX(Matrix!$C$5:$BJ$204,0,AJ$3)&gt;0)))</f>
        <v/>
      </c>
      <c r="AK41" s="12" t="str">
        <f aca="false">IF(OR($A41="",AK$4=""),"",SUMPRODUCT(--(INDEX(Matrix!$C$5:$BJ$204,0,$B41)&gt;0),--(INDEX(Matrix!$C$5:$BJ$204,0,AK$3)&gt;0)))</f>
        <v/>
      </c>
      <c r="AL41" s="12" t="str">
        <f aca="false">IF(OR($A41="",AL$4=""),"",SUMPRODUCT(--(INDEX(Matrix!$C$5:$BJ$204,0,$B41)&gt;0),--(INDEX(Matrix!$C$5:$BJ$204,0,AL$3)&gt;0)))</f>
        <v/>
      </c>
      <c r="AM41" s="12" t="str">
        <f aca="false">IF(OR($A41="",AM$4=""),"",SUMPRODUCT(--(INDEX(Matrix!$C$5:$BJ$204,0,$B41)&gt;0),--(INDEX(Matrix!$C$5:$BJ$204,0,AM$3)&gt;0)))</f>
        <v/>
      </c>
      <c r="AN41" s="12" t="str">
        <f aca="false">IF(OR($A41="",AN$4=""),"",SUMPRODUCT(--(INDEX(Matrix!$C$5:$BJ$204,0,$B41)&gt;0),--(INDEX(Matrix!$C$5:$BJ$204,0,AN$3)&gt;0)))</f>
        <v/>
      </c>
      <c r="AO41" s="12" t="str">
        <f aca="false">IF(OR($A41="",AO$4=""),"",SUMPRODUCT(--(INDEX(Matrix!$C$5:$BJ$204,0,$B41)&gt;0),--(INDEX(Matrix!$C$5:$BJ$204,0,AO$3)&gt;0)))</f>
        <v/>
      </c>
      <c r="AP41" s="12" t="str">
        <f aca="false">IF(OR($A41="",AP$4=""),"",SUMPRODUCT(--(INDEX(Matrix!$C$5:$BJ$204,0,$B41)&gt;0),--(INDEX(Matrix!$C$5:$BJ$204,0,AP$3)&gt;0)))</f>
        <v/>
      </c>
      <c r="AQ41" s="12" t="str">
        <f aca="false">IF(OR($A41="",AQ$4=""),"",SUMPRODUCT(--(INDEX(Matrix!$C$5:$BJ$204,0,$B41)&gt;0),--(INDEX(Matrix!$C$5:$BJ$204,0,AQ$3)&gt;0)))</f>
        <v/>
      </c>
      <c r="AR41" s="12" t="str">
        <f aca="false">IF(OR($A41="",AR$4=""),"",SUMPRODUCT(--(INDEX(Matrix!$C$5:$BJ$204,0,$B41)&gt;0),--(INDEX(Matrix!$C$5:$BJ$204,0,AR$3)&gt;0)))</f>
        <v/>
      </c>
      <c r="AS41" s="12" t="str">
        <f aca="false">IF(OR($A41="",AS$4=""),"",SUMPRODUCT(--(INDEX(Matrix!$C$5:$BJ$204,0,$B41)&gt;0),--(INDEX(Matrix!$C$5:$BJ$204,0,AS$3)&gt;0)))</f>
        <v/>
      </c>
      <c r="AT41" s="12" t="str">
        <f aca="false">IF(OR($A41="",AT$4=""),"",SUMPRODUCT(--(INDEX(Matrix!$C$5:$BJ$204,0,$B41)&gt;0),--(INDEX(Matrix!$C$5:$BJ$204,0,AT$3)&gt;0)))</f>
        <v/>
      </c>
      <c r="AU41" s="12" t="str">
        <f aca="false">IF(OR($A41="",AU$4=""),"",SUMPRODUCT(--(INDEX(Matrix!$C$5:$BJ$204,0,$B41)&gt;0),--(INDEX(Matrix!$C$5:$BJ$204,0,AU$3)&gt;0)))</f>
        <v/>
      </c>
      <c r="AV41" s="12" t="str">
        <f aca="false">IF(OR($A41="",AV$4=""),"",SUMPRODUCT(--(INDEX(Matrix!$C$5:$BJ$204,0,$B41)&gt;0),--(INDEX(Matrix!$C$5:$BJ$204,0,AV$3)&gt;0)))</f>
        <v/>
      </c>
      <c r="AW41" s="12" t="str">
        <f aca="false">IF(OR($A41="",AW$4=""),"",SUMPRODUCT(--(INDEX(Matrix!$C$5:$BJ$204,0,$B41)&gt;0),--(INDEX(Matrix!$C$5:$BJ$204,0,AW$3)&gt;0)))</f>
        <v/>
      </c>
      <c r="AX41" s="12" t="str">
        <f aca="false">IF(OR($A41="",AX$4=""),"",SUMPRODUCT(--(INDEX(Matrix!$C$5:$BJ$204,0,$B41)&gt;0),--(INDEX(Matrix!$C$5:$BJ$204,0,AX$3)&gt;0)))</f>
        <v/>
      </c>
      <c r="AY41" s="12" t="str">
        <f aca="false">IF(OR($A41="",AY$4=""),"",SUMPRODUCT(--(INDEX(Matrix!$C$5:$BJ$204,0,$B41)&gt;0),--(INDEX(Matrix!$C$5:$BJ$204,0,AY$3)&gt;0)))</f>
        <v/>
      </c>
      <c r="AZ41" s="12" t="str">
        <f aca="false">IF(OR($A41="",AZ$4=""),"",SUMPRODUCT(--(INDEX(Matrix!$C$5:$BJ$204,0,$B41)&gt;0),--(INDEX(Matrix!$C$5:$BJ$204,0,AZ$3)&gt;0)))</f>
        <v/>
      </c>
      <c r="BA41" s="12" t="str">
        <f aca="false">IF(OR($A41="",BA$4=""),"",SUMPRODUCT(--(INDEX(Matrix!$C$5:$BJ$204,0,$B41)&gt;0),--(INDEX(Matrix!$C$5:$BJ$204,0,BA$3)&gt;0)))</f>
        <v/>
      </c>
      <c r="BB41" s="12" t="str">
        <f aca="false">IF(OR($A41="",BB$4=""),"",SUMPRODUCT(--(INDEX(Matrix!$C$5:$BJ$204,0,$B41)&gt;0),--(INDEX(Matrix!$C$5:$BJ$204,0,BB$3)&gt;0)))</f>
        <v/>
      </c>
      <c r="BC41" s="12" t="str">
        <f aca="false">IF(OR($A41="",BC$4=""),"",SUMPRODUCT(--(INDEX(Matrix!$C$5:$BJ$204,0,$B41)&gt;0),--(INDEX(Matrix!$C$5:$BJ$204,0,BC$3)&gt;0)))</f>
        <v/>
      </c>
      <c r="BD41" s="12" t="str">
        <f aca="false">IF(OR($A41="",BD$4=""),"",SUMPRODUCT(--(INDEX(Matrix!$C$5:$BJ$204,0,$B41)&gt;0),--(INDEX(Matrix!$C$5:$BJ$204,0,BD$3)&gt;0)))</f>
        <v/>
      </c>
      <c r="BE41" s="12" t="str">
        <f aca="false">IF(OR($A41="",BE$4=""),"",SUMPRODUCT(--(INDEX(Matrix!$C$5:$BJ$204,0,$B41)&gt;0),--(INDEX(Matrix!$C$5:$BJ$204,0,BE$3)&gt;0)))</f>
        <v/>
      </c>
      <c r="BF41" s="12" t="str">
        <f aca="false">IF(OR($A41="",BF$4=""),"",SUMPRODUCT(--(INDEX(Matrix!$C$5:$BJ$204,0,$B41)&gt;0),--(INDEX(Matrix!$C$5:$BJ$204,0,BF$3)&gt;0)))</f>
        <v/>
      </c>
      <c r="BG41" s="12" t="str">
        <f aca="false">IF(OR($A41="",BG$4=""),"",SUMPRODUCT(--(INDEX(Matrix!$C$5:$BJ$204,0,$B41)&gt;0),--(INDEX(Matrix!$C$5:$BJ$204,0,BG$3)&gt;0)))</f>
        <v/>
      </c>
      <c r="BH41" s="12" t="str">
        <f aca="false">IF(OR($A41="",BH$4=""),"",SUMPRODUCT(--(INDEX(Matrix!$C$5:$BJ$204,0,$B41)&gt;0),--(INDEX(Matrix!$C$5:$BJ$204,0,BH$3)&gt;0)))</f>
        <v/>
      </c>
      <c r="BI41" s="12" t="str">
        <f aca="false">IF(OR($A41="",BI$4=""),"",SUMPRODUCT(--(INDEX(Matrix!$C$5:$BJ$204,0,$B41)&gt;0),--(INDEX(Matrix!$C$5:$BJ$204,0,BI$3)&gt;0)))</f>
        <v/>
      </c>
      <c r="BJ41" s="12" t="str">
        <f aca="false">IF(OR($A41="",BJ$4=""),"",SUMPRODUCT(--(INDEX(Matrix!$C$5:$BJ$204,0,$B41)&gt;0),--(INDEX(Matrix!$C$5:$BJ$204,0,BJ$3)&gt;0)))</f>
        <v/>
      </c>
    </row>
    <row r="42" customFormat="false" ht="15" hidden="false" customHeight="false" outlineLevel="0" collapsed="false">
      <c r="A42" s="6" t="str">
        <f aca="false">IF(INDEX(Products!$A$2:$A$61,$B42)="","",INDEX(Products!$A$2:$A$61,$B42))</f>
        <v/>
      </c>
      <c r="B42" s="23" t="n">
        <v>38</v>
      </c>
      <c r="C42" s="12" t="str">
        <f aca="false">IF(OR($A42="",C$4=""),"",SUMPRODUCT(--(INDEX(Matrix!$C$5:$BJ$204,0,$B42)&gt;0),--(INDEX(Matrix!$C$5:$BJ$204,0,C$3)&gt;0)))</f>
        <v/>
      </c>
      <c r="D42" s="12" t="str">
        <f aca="false">IF(OR($A42="",D$4=""),"",SUMPRODUCT(--(INDEX(Matrix!$C$5:$BJ$204,0,$B42)&gt;0),--(INDEX(Matrix!$C$5:$BJ$204,0,D$3)&gt;0)))</f>
        <v/>
      </c>
      <c r="E42" s="12" t="str">
        <f aca="false">IF(OR($A42="",E$4=""),"",SUMPRODUCT(--(INDEX(Matrix!$C$5:$BJ$204,0,$B42)&gt;0),--(INDEX(Matrix!$C$5:$BJ$204,0,E$3)&gt;0)))</f>
        <v/>
      </c>
      <c r="F42" s="12" t="str">
        <f aca="false">IF(OR($A42="",F$4=""),"",SUMPRODUCT(--(INDEX(Matrix!$C$5:$BJ$204,0,$B42)&gt;0),--(INDEX(Matrix!$C$5:$BJ$204,0,F$3)&gt;0)))</f>
        <v/>
      </c>
      <c r="G42" s="12" t="str">
        <f aca="false">IF(OR($A42="",G$4=""),"",SUMPRODUCT(--(INDEX(Matrix!$C$5:$BJ$204,0,$B42)&gt;0),--(INDEX(Matrix!$C$5:$BJ$204,0,G$3)&gt;0)))</f>
        <v/>
      </c>
      <c r="H42" s="12" t="str">
        <f aca="false">IF(OR($A42="",H$4=""),"",SUMPRODUCT(--(INDEX(Matrix!$C$5:$BJ$204,0,$B42)&gt;0),--(INDEX(Matrix!$C$5:$BJ$204,0,H$3)&gt;0)))</f>
        <v/>
      </c>
      <c r="I42" s="12" t="str">
        <f aca="false">IF(OR($A42="",I$4=""),"",SUMPRODUCT(--(INDEX(Matrix!$C$5:$BJ$204,0,$B42)&gt;0),--(INDEX(Matrix!$C$5:$BJ$204,0,I$3)&gt;0)))</f>
        <v/>
      </c>
      <c r="J42" s="12" t="str">
        <f aca="false">IF(OR($A42="",J$4=""),"",SUMPRODUCT(--(INDEX(Matrix!$C$5:$BJ$204,0,$B42)&gt;0),--(INDEX(Matrix!$C$5:$BJ$204,0,J$3)&gt;0)))</f>
        <v/>
      </c>
      <c r="K42" s="12" t="str">
        <f aca="false">IF(OR($A42="",K$4=""),"",SUMPRODUCT(--(INDEX(Matrix!$C$5:$BJ$204,0,$B42)&gt;0),--(INDEX(Matrix!$C$5:$BJ$204,0,K$3)&gt;0)))</f>
        <v/>
      </c>
      <c r="L42" s="12" t="str">
        <f aca="false">IF(OR($A42="",L$4=""),"",SUMPRODUCT(--(INDEX(Matrix!$C$5:$BJ$204,0,$B42)&gt;0),--(INDEX(Matrix!$C$5:$BJ$204,0,L$3)&gt;0)))</f>
        <v/>
      </c>
      <c r="M42" s="12" t="str">
        <f aca="false">IF(OR($A42="",M$4=""),"",SUMPRODUCT(--(INDEX(Matrix!$C$5:$BJ$204,0,$B42)&gt;0),--(INDEX(Matrix!$C$5:$BJ$204,0,M$3)&gt;0)))</f>
        <v/>
      </c>
      <c r="N42" s="12" t="str">
        <f aca="false">IF(OR($A42="",N$4=""),"",SUMPRODUCT(--(INDEX(Matrix!$C$5:$BJ$204,0,$B42)&gt;0),--(INDEX(Matrix!$C$5:$BJ$204,0,N$3)&gt;0)))</f>
        <v/>
      </c>
      <c r="O42" s="12" t="str">
        <f aca="false">IF(OR($A42="",O$4=""),"",SUMPRODUCT(--(INDEX(Matrix!$C$5:$BJ$204,0,$B42)&gt;0),--(INDEX(Matrix!$C$5:$BJ$204,0,O$3)&gt;0)))</f>
        <v/>
      </c>
      <c r="P42" s="12" t="str">
        <f aca="false">IF(OR($A42="",P$4=""),"",SUMPRODUCT(--(INDEX(Matrix!$C$5:$BJ$204,0,$B42)&gt;0),--(INDEX(Matrix!$C$5:$BJ$204,0,P$3)&gt;0)))</f>
        <v/>
      </c>
      <c r="Q42" s="12" t="str">
        <f aca="false">IF(OR($A42="",Q$4=""),"",SUMPRODUCT(--(INDEX(Matrix!$C$5:$BJ$204,0,$B42)&gt;0),--(INDEX(Matrix!$C$5:$BJ$204,0,Q$3)&gt;0)))</f>
        <v/>
      </c>
      <c r="R42" s="12" t="str">
        <f aca="false">IF(OR($A42="",R$4=""),"",SUMPRODUCT(--(INDEX(Matrix!$C$5:$BJ$204,0,$B42)&gt;0),--(INDEX(Matrix!$C$5:$BJ$204,0,R$3)&gt;0)))</f>
        <v/>
      </c>
      <c r="S42" s="12" t="str">
        <f aca="false">IF(OR($A42="",S$4=""),"",SUMPRODUCT(--(INDEX(Matrix!$C$5:$BJ$204,0,$B42)&gt;0),--(INDEX(Matrix!$C$5:$BJ$204,0,S$3)&gt;0)))</f>
        <v/>
      </c>
      <c r="T42" s="12" t="str">
        <f aca="false">IF(OR($A42="",T$4=""),"",SUMPRODUCT(--(INDEX(Matrix!$C$5:$BJ$204,0,$B42)&gt;0),--(INDEX(Matrix!$C$5:$BJ$204,0,T$3)&gt;0)))</f>
        <v/>
      </c>
      <c r="U42" s="12" t="str">
        <f aca="false">IF(OR($A42="",U$4=""),"",SUMPRODUCT(--(INDEX(Matrix!$C$5:$BJ$204,0,$B42)&gt;0),--(INDEX(Matrix!$C$5:$BJ$204,0,U$3)&gt;0)))</f>
        <v/>
      </c>
      <c r="V42" s="12" t="str">
        <f aca="false">IF(OR($A42="",V$4=""),"",SUMPRODUCT(--(INDEX(Matrix!$C$5:$BJ$204,0,$B42)&gt;0),--(INDEX(Matrix!$C$5:$BJ$204,0,V$3)&gt;0)))</f>
        <v/>
      </c>
      <c r="W42" s="12" t="str">
        <f aca="false">IF(OR($A42="",W$4=""),"",SUMPRODUCT(--(INDEX(Matrix!$C$5:$BJ$204,0,$B42)&gt;0),--(INDEX(Matrix!$C$5:$BJ$204,0,W$3)&gt;0)))</f>
        <v/>
      </c>
      <c r="X42" s="12" t="str">
        <f aca="false">IF(OR($A42="",X$4=""),"",SUMPRODUCT(--(INDEX(Matrix!$C$5:$BJ$204,0,$B42)&gt;0),--(INDEX(Matrix!$C$5:$BJ$204,0,X$3)&gt;0)))</f>
        <v/>
      </c>
      <c r="Y42" s="12" t="str">
        <f aca="false">IF(OR($A42="",Y$4=""),"",SUMPRODUCT(--(INDEX(Matrix!$C$5:$BJ$204,0,$B42)&gt;0),--(INDEX(Matrix!$C$5:$BJ$204,0,Y$3)&gt;0)))</f>
        <v/>
      </c>
      <c r="Z42" s="12" t="str">
        <f aca="false">IF(OR($A42="",Z$4=""),"",SUMPRODUCT(--(INDEX(Matrix!$C$5:$BJ$204,0,$B42)&gt;0),--(INDEX(Matrix!$C$5:$BJ$204,0,Z$3)&gt;0)))</f>
        <v/>
      </c>
      <c r="AA42" s="12" t="str">
        <f aca="false">IF(OR($A42="",AA$4=""),"",SUMPRODUCT(--(INDEX(Matrix!$C$5:$BJ$204,0,$B42)&gt;0),--(INDEX(Matrix!$C$5:$BJ$204,0,AA$3)&gt;0)))</f>
        <v/>
      </c>
      <c r="AB42" s="12" t="str">
        <f aca="false">IF(OR($A42="",AB$4=""),"",SUMPRODUCT(--(INDEX(Matrix!$C$5:$BJ$204,0,$B42)&gt;0),--(INDEX(Matrix!$C$5:$BJ$204,0,AB$3)&gt;0)))</f>
        <v/>
      </c>
      <c r="AC42" s="12" t="str">
        <f aca="false">IF(OR($A42="",AC$4=""),"",SUMPRODUCT(--(INDEX(Matrix!$C$5:$BJ$204,0,$B42)&gt;0),--(INDEX(Matrix!$C$5:$BJ$204,0,AC$3)&gt;0)))</f>
        <v/>
      </c>
      <c r="AD42" s="12" t="str">
        <f aca="false">IF(OR($A42="",AD$4=""),"",SUMPRODUCT(--(INDEX(Matrix!$C$5:$BJ$204,0,$B42)&gt;0),--(INDEX(Matrix!$C$5:$BJ$204,0,AD$3)&gt;0)))</f>
        <v/>
      </c>
      <c r="AE42" s="12" t="str">
        <f aca="false">IF(OR($A42="",AE$4=""),"",SUMPRODUCT(--(INDEX(Matrix!$C$5:$BJ$204,0,$B42)&gt;0),--(INDEX(Matrix!$C$5:$BJ$204,0,AE$3)&gt;0)))</f>
        <v/>
      </c>
      <c r="AF42" s="12" t="str">
        <f aca="false">IF(OR($A42="",AF$4=""),"",SUMPRODUCT(--(INDEX(Matrix!$C$5:$BJ$204,0,$B42)&gt;0),--(INDEX(Matrix!$C$5:$BJ$204,0,AF$3)&gt;0)))</f>
        <v/>
      </c>
      <c r="AG42" s="12" t="str">
        <f aca="false">IF(OR($A42="",AG$4=""),"",SUMPRODUCT(--(INDEX(Matrix!$C$5:$BJ$204,0,$B42)&gt;0),--(INDEX(Matrix!$C$5:$BJ$204,0,AG$3)&gt;0)))</f>
        <v/>
      </c>
      <c r="AH42" s="12" t="str">
        <f aca="false">IF(OR($A42="",AH$4=""),"",SUMPRODUCT(--(INDEX(Matrix!$C$5:$BJ$204,0,$B42)&gt;0),--(INDEX(Matrix!$C$5:$BJ$204,0,AH$3)&gt;0)))</f>
        <v/>
      </c>
      <c r="AI42" s="12" t="str">
        <f aca="false">IF(OR($A42="",AI$4=""),"",SUMPRODUCT(--(INDEX(Matrix!$C$5:$BJ$204,0,$B42)&gt;0),--(INDEX(Matrix!$C$5:$BJ$204,0,AI$3)&gt;0)))</f>
        <v/>
      </c>
      <c r="AJ42" s="12" t="str">
        <f aca="false">IF(OR($A42="",AJ$4=""),"",SUMPRODUCT(--(INDEX(Matrix!$C$5:$BJ$204,0,$B42)&gt;0),--(INDEX(Matrix!$C$5:$BJ$204,0,AJ$3)&gt;0)))</f>
        <v/>
      </c>
      <c r="AK42" s="12" t="str">
        <f aca="false">IF(OR($A42="",AK$4=""),"",SUMPRODUCT(--(INDEX(Matrix!$C$5:$BJ$204,0,$B42)&gt;0),--(INDEX(Matrix!$C$5:$BJ$204,0,AK$3)&gt;0)))</f>
        <v/>
      </c>
      <c r="AL42" s="12" t="str">
        <f aca="false">IF(OR($A42="",AL$4=""),"",SUMPRODUCT(--(INDEX(Matrix!$C$5:$BJ$204,0,$B42)&gt;0),--(INDEX(Matrix!$C$5:$BJ$204,0,AL$3)&gt;0)))</f>
        <v/>
      </c>
      <c r="AM42" s="12" t="str">
        <f aca="false">IF(OR($A42="",AM$4=""),"",SUMPRODUCT(--(INDEX(Matrix!$C$5:$BJ$204,0,$B42)&gt;0),--(INDEX(Matrix!$C$5:$BJ$204,0,AM$3)&gt;0)))</f>
        <v/>
      </c>
      <c r="AN42" s="12" t="str">
        <f aca="false">IF(OR($A42="",AN$4=""),"",SUMPRODUCT(--(INDEX(Matrix!$C$5:$BJ$204,0,$B42)&gt;0),--(INDEX(Matrix!$C$5:$BJ$204,0,AN$3)&gt;0)))</f>
        <v/>
      </c>
      <c r="AO42" s="12" t="str">
        <f aca="false">IF(OR($A42="",AO$4=""),"",SUMPRODUCT(--(INDEX(Matrix!$C$5:$BJ$204,0,$B42)&gt;0),--(INDEX(Matrix!$C$5:$BJ$204,0,AO$3)&gt;0)))</f>
        <v/>
      </c>
      <c r="AP42" s="12" t="str">
        <f aca="false">IF(OR($A42="",AP$4=""),"",SUMPRODUCT(--(INDEX(Matrix!$C$5:$BJ$204,0,$B42)&gt;0),--(INDEX(Matrix!$C$5:$BJ$204,0,AP$3)&gt;0)))</f>
        <v/>
      </c>
      <c r="AQ42" s="12" t="str">
        <f aca="false">IF(OR($A42="",AQ$4=""),"",SUMPRODUCT(--(INDEX(Matrix!$C$5:$BJ$204,0,$B42)&gt;0),--(INDEX(Matrix!$C$5:$BJ$204,0,AQ$3)&gt;0)))</f>
        <v/>
      </c>
      <c r="AR42" s="12" t="str">
        <f aca="false">IF(OR($A42="",AR$4=""),"",SUMPRODUCT(--(INDEX(Matrix!$C$5:$BJ$204,0,$B42)&gt;0),--(INDEX(Matrix!$C$5:$BJ$204,0,AR$3)&gt;0)))</f>
        <v/>
      </c>
      <c r="AS42" s="12" t="str">
        <f aca="false">IF(OR($A42="",AS$4=""),"",SUMPRODUCT(--(INDEX(Matrix!$C$5:$BJ$204,0,$B42)&gt;0),--(INDEX(Matrix!$C$5:$BJ$204,0,AS$3)&gt;0)))</f>
        <v/>
      </c>
      <c r="AT42" s="12" t="str">
        <f aca="false">IF(OR($A42="",AT$4=""),"",SUMPRODUCT(--(INDEX(Matrix!$C$5:$BJ$204,0,$B42)&gt;0),--(INDEX(Matrix!$C$5:$BJ$204,0,AT$3)&gt;0)))</f>
        <v/>
      </c>
      <c r="AU42" s="12" t="str">
        <f aca="false">IF(OR($A42="",AU$4=""),"",SUMPRODUCT(--(INDEX(Matrix!$C$5:$BJ$204,0,$B42)&gt;0),--(INDEX(Matrix!$C$5:$BJ$204,0,AU$3)&gt;0)))</f>
        <v/>
      </c>
      <c r="AV42" s="12" t="str">
        <f aca="false">IF(OR($A42="",AV$4=""),"",SUMPRODUCT(--(INDEX(Matrix!$C$5:$BJ$204,0,$B42)&gt;0),--(INDEX(Matrix!$C$5:$BJ$204,0,AV$3)&gt;0)))</f>
        <v/>
      </c>
      <c r="AW42" s="12" t="str">
        <f aca="false">IF(OR($A42="",AW$4=""),"",SUMPRODUCT(--(INDEX(Matrix!$C$5:$BJ$204,0,$B42)&gt;0),--(INDEX(Matrix!$C$5:$BJ$204,0,AW$3)&gt;0)))</f>
        <v/>
      </c>
      <c r="AX42" s="12" t="str">
        <f aca="false">IF(OR($A42="",AX$4=""),"",SUMPRODUCT(--(INDEX(Matrix!$C$5:$BJ$204,0,$B42)&gt;0),--(INDEX(Matrix!$C$5:$BJ$204,0,AX$3)&gt;0)))</f>
        <v/>
      </c>
      <c r="AY42" s="12" t="str">
        <f aca="false">IF(OR($A42="",AY$4=""),"",SUMPRODUCT(--(INDEX(Matrix!$C$5:$BJ$204,0,$B42)&gt;0),--(INDEX(Matrix!$C$5:$BJ$204,0,AY$3)&gt;0)))</f>
        <v/>
      </c>
      <c r="AZ42" s="12" t="str">
        <f aca="false">IF(OR($A42="",AZ$4=""),"",SUMPRODUCT(--(INDEX(Matrix!$C$5:$BJ$204,0,$B42)&gt;0),--(INDEX(Matrix!$C$5:$BJ$204,0,AZ$3)&gt;0)))</f>
        <v/>
      </c>
      <c r="BA42" s="12" t="str">
        <f aca="false">IF(OR($A42="",BA$4=""),"",SUMPRODUCT(--(INDEX(Matrix!$C$5:$BJ$204,0,$B42)&gt;0),--(INDEX(Matrix!$C$5:$BJ$204,0,BA$3)&gt;0)))</f>
        <v/>
      </c>
      <c r="BB42" s="12" t="str">
        <f aca="false">IF(OR($A42="",BB$4=""),"",SUMPRODUCT(--(INDEX(Matrix!$C$5:$BJ$204,0,$B42)&gt;0),--(INDEX(Matrix!$C$5:$BJ$204,0,BB$3)&gt;0)))</f>
        <v/>
      </c>
      <c r="BC42" s="12" t="str">
        <f aca="false">IF(OR($A42="",BC$4=""),"",SUMPRODUCT(--(INDEX(Matrix!$C$5:$BJ$204,0,$B42)&gt;0),--(INDEX(Matrix!$C$5:$BJ$204,0,BC$3)&gt;0)))</f>
        <v/>
      </c>
      <c r="BD42" s="12" t="str">
        <f aca="false">IF(OR($A42="",BD$4=""),"",SUMPRODUCT(--(INDEX(Matrix!$C$5:$BJ$204,0,$B42)&gt;0),--(INDEX(Matrix!$C$5:$BJ$204,0,BD$3)&gt;0)))</f>
        <v/>
      </c>
      <c r="BE42" s="12" t="str">
        <f aca="false">IF(OR($A42="",BE$4=""),"",SUMPRODUCT(--(INDEX(Matrix!$C$5:$BJ$204,0,$B42)&gt;0),--(INDEX(Matrix!$C$5:$BJ$204,0,BE$3)&gt;0)))</f>
        <v/>
      </c>
      <c r="BF42" s="12" t="str">
        <f aca="false">IF(OR($A42="",BF$4=""),"",SUMPRODUCT(--(INDEX(Matrix!$C$5:$BJ$204,0,$B42)&gt;0),--(INDEX(Matrix!$C$5:$BJ$204,0,BF$3)&gt;0)))</f>
        <v/>
      </c>
      <c r="BG42" s="12" t="str">
        <f aca="false">IF(OR($A42="",BG$4=""),"",SUMPRODUCT(--(INDEX(Matrix!$C$5:$BJ$204,0,$B42)&gt;0),--(INDEX(Matrix!$C$5:$BJ$204,0,BG$3)&gt;0)))</f>
        <v/>
      </c>
      <c r="BH42" s="12" t="str">
        <f aca="false">IF(OR($A42="",BH$4=""),"",SUMPRODUCT(--(INDEX(Matrix!$C$5:$BJ$204,0,$B42)&gt;0),--(INDEX(Matrix!$C$5:$BJ$204,0,BH$3)&gt;0)))</f>
        <v/>
      </c>
      <c r="BI42" s="12" t="str">
        <f aca="false">IF(OR($A42="",BI$4=""),"",SUMPRODUCT(--(INDEX(Matrix!$C$5:$BJ$204,0,$B42)&gt;0),--(INDEX(Matrix!$C$5:$BJ$204,0,BI$3)&gt;0)))</f>
        <v/>
      </c>
      <c r="BJ42" s="12" t="str">
        <f aca="false">IF(OR($A42="",BJ$4=""),"",SUMPRODUCT(--(INDEX(Matrix!$C$5:$BJ$204,0,$B42)&gt;0),--(INDEX(Matrix!$C$5:$BJ$204,0,BJ$3)&gt;0)))</f>
        <v/>
      </c>
    </row>
    <row r="43" customFormat="false" ht="15" hidden="false" customHeight="false" outlineLevel="0" collapsed="false">
      <c r="A43" s="6" t="str">
        <f aca="false">IF(INDEX(Products!$A$2:$A$61,$B43)="","",INDEX(Products!$A$2:$A$61,$B43))</f>
        <v/>
      </c>
      <c r="B43" s="23" t="n">
        <v>39</v>
      </c>
      <c r="C43" s="12" t="str">
        <f aca="false">IF(OR($A43="",C$4=""),"",SUMPRODUCT(--(INDEX(Matrix!$C$5:$BJ$204,0,$B43)&gt;0),--(INDEX(Matrix!$C$5:$BJ$204,0,C$3)&gt;0)))</f>
        <v/>
      </c>
      <c r="D43" s="12" t="str">
        <f aca="false">IF(OR($A43="",D$4=""),"",SUMPRODUCT(--(INDEX(Matrix!$C$5:$BJ$204,0,$B43)&gt;0),--(INDEX(Matrix!$C$5:$BJ$204,0,D$3)&gt;0)))</f>
        <v/>
      </c>
      <c r="E43" s="12" t="str">
        <f aca="false">IF(OR($A43="",E$4=""),"",SUMPRODUCT(--(INDEX(Matrix!$C$5:$BJ$204,0,$B43)&gt;0),--(INDEX(Matrix!$C$5:$BJ$204,0,E$3)&gt;0)))</f>
        <v/>
      </c>
      <c r="F43" s="12" t="str">
        <f aca="false">IF(OR($A43="",F$4=""),"",SUMPRODUCT(--(INDEX(Matrix!$C$5:$BJ$204,0,$B43)&gt;0),--(INDEX(Matrix!$C$5:$BJ$204,0,F$3)&gt;0)))</f>
        <v/>
      </c>
      <c r="G43" s="12" t="str">
        <f aca="false">IF(OR($A43="",G$4=""),"",SUMPRODUCT(--(INDEX(Matrix!$C$5:$BJ$204,0,$B43)&gt;0),--(INDEX(Matrix!$C$5:$BJ$204,0,G$3)&gt;0)))</f>
        <v/>
      </c>
      <c r="H43" s="12" t="str">
        <f aca="false">IF(OR($A43="",H$4=""),"",SUMPRODUCT(--(INDEX(Matrix!$C$5:$BJ$204,0,$B43)&gt;0),--(INDEX(Matrix!$C$5:$BJ$204,0,H$3)&gt;0)))</f>
        <v/>
      </c>
      <c r="I43" s="12" t="str">
        <f aca="false">IF(OR($A43="",I$4=""),"",SUMPRODUCT(--(INDEX(Matrix!$C$5:$BJ$204,0,$B43)&gt;0),--(INDEX(Matrix!$C$5:$BJ$204,0,I$3)&gt;0)))</f>
        <v/>
      </c>
      <c r="J43" s="12" t="str">
        <f aca="false">IF(OR($A43="",J$4=""),"",SUMPRODUCT(--(INDEX(Matrix!$C$5:$BJ$204,0,$B43)&gt;0),--(INDEX(Matrix!$C$5:$BJ$204,0,J$3)&gt;0)))</f>
        <v/>
      </c>
      <c r="K43" s="12" t="str">
        <f aca="false">IF(OR($A43="",K$4=""),"",SUMPRODUCT(--(INDEX(Matrix!$C$5:$BJ$204,0,$B43)&gt;0),--(INDEX(Matrix!$C$5:$BJ$204,0,K$3)&gt;0)))</f>
        <v/>
      </c>
      <c r="L43" s="12" t="str">
        <f aca="false">IF(OR($A43="",L$4=""),"",SUMPRODUCT(--(INDEX(Matrix!$C$5:$BJ$204,0,$B43)&gt;0),--(INDEX(Matrix!$C$5:$BJ$204,0,L$3)&gt;0)))</f>
        <v/>
      </c>
      <c r="M43" s="12" t="str">
        <f aca="false">IF(OR($A43="",M$4=""),"",SUMPRODUCT(--(INDEX(Matrix!$C$5:$BJ$204,0,$B43)&gt;0),--(INDEX(Matrix!$C$5:$BJ$204,0,M$3)&gt;0)))</f>
        <v/>
      </c>
      <c r="N43" s="12" t="str">
        <f aca="false">IF(OR($A43="",N$4=""),"",SUMPRODUCT(--(INDEX(Matrix!$C$5:$BJ$204,0,$B43)&gt;0),--(INDEX(Matrix!$C$5:$BJ$204,0,N$3)&gt;0)))</f>
        <v/>
      </c>
      <c r="O43" s="12" t="str">
        <f aca="false">IF(OR($A43="",O$4=""),"",SUMPRODUCT(--(INDEX(Matrix!$C$5:$BJ$204,0,$B43)&gt;0),--(INDEX(Matrix!$C$5:$BJ$204,0,O$3)&gt;0)))</f>
        <v/>
      </c>
      <c r="P43" s="12" t="str">
        <f aca="false">IF(OR($A43="",P$4=""),"",SUMPRODUCT(--(INDEX(Matrix!$C$5:$BJ$204,0,$B43)&gt;0),--(INDEX(Matrix!$C$5:$BJ$204,0,P$3)&gt;0)))</f>
        <v/>
      </c>
      <c r="Q43" s="12" t="str">
        <f aca="false">IF(OR($A43="",Q$4=""),"",SUMPRODUCT(--(INDEX(Matrix!$C$5:$BJ$204,0,$B43)&gt;0),--(INDEX(Matrix!$C$5:$BJ$204,0,Q$3)&gt;0)))</f>
        <v/>
      </c>
      <c r="R43" s="12" t="str">
        <f aca="false">IF(OR($A43="",R$4=""),"",SUMPRODUCT(--(INDEX(Matrix!$C$5:$BJ$204,0,$B43)&gt;0),--(INDEX(Matrix!$C$5:$BJ$204,0,R$3)&gt;0)))</f>
        <v/>
      </c>
      <c r="S43" s="12" t="str">
        <f aca="false">IF(OR($A43="",S$4=""),"",SUMPRODUCT(--(INDEX(Matrix!$C$5:$BJ$204,0,$B43)&gt;0),--(INDEX(Matrix!$C$5:$BJ$204,0,S$3)&gt;0)))</f>
        <v/>
      </c>
      <c r="T43" s="12" t="str">
        <f aca="false">IF(OR($A43="",T$4=""),"",SUMPRODUCT(--(INDEX(Matrix!$C$5:$BJ$204,0,$B43)&gt;0),--(INDEX(Matrix!$C$5:$BJ$204,0,T$3)&gt;0)))</f>
        <v/>
      </c>
      <c r="U43" s="12" t="str">
        <f aca="false">IF(OR($A43="",U$4=""),"",SUMPRODUCT(--(INDEX(Matrix!$C$5:$BJ$204,0,$B43)&gt;0),--(INDEX(Matrix!$C$5:$BJ$204,0,U$3)&gt;0)))</f>
        <v/>
      </c>
      <c r="V43" s="12" t="str">
        <f aca="false">IF(OR($A43="",V$4=""),"",SUMPRODUCT(--(INDEX(Matrix!$C$5:$BJ$204,0,$B43)&gt;0),--(INDEX(Matrix!$C$5:$BJ$204,0,V$3)&gt;0)))</f>
        <v/>
      </c>
      <c r="W43" s="12" t="str">
        <f aca="false">IF(OR($A43="",W$4=""),"",SUMPRODUCT(--(INDEX(Matrix!$C$5:$BJ$204,0,$B43)&gt;0),--(INDEX(Matrix!$C$5:$BJ$204,0,W$3)&gt;0)))</f>
        <v/>
      </c>
      <c r="X43" s="12" t="str">
        <f aca="false">IF(OR($A43="",X$4=""),"",SUMPRODUCT(--(INDEX(Matrix!$C$5:$BJ$204,0,$B43)&gt;0),--(INDEX(Matrix!$C$5:$BJ$204,0,X$3)&gt;0)))</f>
        <v/>
      </c>
      <c r="Y43" s="12" t="str">
        <f aca="false">IF(OR($A43="",Y$4=""),"",SUMPRODUCT(--(INDEX(Matrix!$C$5:$BJ$204,0,$B43)&gt;0),--(INDEX(Matrix!$C$5:$BJ$204,0,Y$3)&gt;0)))</f>
        <v/>
      </c>
      <c r="Z43" s="12" t="str">
        <f aca="false">IF(OR($A43="",Z$4=""),"",SUMPRODUCT(--(INDEX(Matrix!$C$5:$BJ$204,0,$B43)&gt;0),--(INDEX(Matrix!$C$5:$BJ$204,0,Z$3)&gt;0)))</f>
        <v/>
      </c>
      <c r="AA43" s="12" t="str">
        <f aca="false">IF(OR($A43="",AA$4=""),"",SUMPRODUCT(--(INDEX(Matrix!$C$5:$BJ$204,0,$B43)&gt;0),--(INDEX(Matrix!$C$5:$BJ$204,0,AA$3)&gt;0)))</f>
        <v/>
      </c>
      <c r="AB43" s="12" t="str">
        <f aca="false">IF(OR($A43="",AB$4=""),"",SUMPRODUCT(--(INDEX(Matrix!$C$5:$BJ$204,0,$B43)&gt;0),--(INDEX(Matrix!$C$5:$BJ$204,0,AB$3)&gt;0)))</f>
        <v/>
      </c>
      <c r="AC43" s="12" t="str">
        <f aca="false">IF(OR($A43="",AC$4=""),"",SUMPRODUCT(--(INDEX(Matrix!$C$5:$BJ$204,0,$B43)&gt;0),--(INDEX(Matrix!$C$5:$BJ$204,0,AC$3)&gt;0)))</f>
        <v/>
      </c>
      <c r="AD43" s="12" t="str">
        <f aca="false">IF(OR($A43="",AD$4=""),"",SUMPRODUCT(--(INDEX(Matrix!$C$5:$BJ$204,0,$B43)&gt;0),--(INDEX(Matrix!$C$5:$BJ$204,0,AD$3)&gt;0)))</f>
        <v/>
      </c>
      <c r="AE43" s="12" t="str">
        <f aca="false">IF(OR($A43="",AE$4=""),"",SUMPRODUCT(--(INDEX(Matrix!$C$5:$BJ$204,0,$B43)&gt;0),--(INDEX(Matrix!$C$5:$BJ$204,0,AE$3)&gt;0)))</f>
        <v/>
      </c>
      <c r="AF43" s="12" t="str">
        <f aca="false">IF(OR($A43="",AF$4=""),"",SUMPRODUCT(--(INDEX(Matrix!$C$5:$BJ$204,0,$B43)&gt;0),--(INDEX(Matrix!$C$5:$BJ$204,0,AF$3)&gt;0)))</f>
        <v/>
      </c>
      <c r="AG43" s="12" t="str">
        <f aca="false">IF(OR($A43="",AG$4=""),"",SUMPRODUCT(--(INDEX(Matrix!$C$5:$BJ$204,0,$B43)&gt;0),--(INDEX(Matrix!$C$5:$BJ$204,0,AG$3)&gt;0)))</f>
        <v/>
      </c>
      <c r="AH43" s="12" t="str">
        <f aca="false">IF(OR($A43="",AH$4=""),"",SUMPRODUCT(--(INDEX(Matrix!$C$5:$BJ$204,0,$B43)&gt;0),--(INDEX(Matrix!$C$5:$BJ$204,0,AH$3)&gt;0)))</f>
        <v/>
      </c>
      <c r="AI43" s="12" t="str">
        <f aca="false">IF(OR($A43="",AI$4=""),"",SUMPRODUCT(--(INDEX(Matrix!$C$5:$BJ$204,0,$B43)&gt;0),--(INDEX(Matrix!$C$5:$BJ$204,0,AI$3)&gt;0)))</f>
        <v/>
      </c>
      <c r="AJ43" s="12" t="str">
        <f aca="false">IF(OR($A43="",AJ$4=""),"",SUMPRODUCT(--(INDEX(Matrix!$C$5:$BJ$204,0,$B43)&gt;0),--(INDEX(Matrix!$C$5:$BJ$204,0,AJ$3)&gt;0)))</f>
        <v/>
      </c>
      <c r="AK43" s="12" t="str">
        <f aca="false">IF(OR($A43="",AK$4=""),"",SUMPRODUCT(--(INDEX(Matrix!$C$5:$BJ$204,0,$B43)&gt;0),--(INDEX(Matrix!$C$5:$BJ$204,0,AK$3)&gt;0)))</f>
        <v/>
      </c>
      <c r="AL43" s="12" t="str">
        <f aca="false">IF(OR($A43="",AL$4=""),"",SUMPRODUCT(--(INDEX(Matrix!$C$5:$BJ$204,0,$B43)&gt;0),--(INDEX(Matrix!$C$5:$BJ$204,0,AL$3)&gt;0)))</f>
        <v/>
      </c>
      <c r="AM43" s="12" t="str">
        <f aca="false">IF(OR($A43="",AM$4=""),"",SUMPRODUCT(--(INDEX(Matrix!$C$5:$BJ$204,0,$B43)&gt;0),--(INDEX(Matrix!$C$5:$BJ$204,0,AM$3)&gt;0)))</f>
        <v/>
      </c>
      <c r="AN43" s="12" t="str">
        <f aca="false">IF(OR($A43="",AN$4=""),"",SUMPRODUCT(--(INDEX(Matrix!$C$5:$BJ$204,0,$B43)&gt;0),--(INDEX(Matrix!$C$5:$BJ$204,0,AN$3)&gt;0)))</f>
        <v/>
      </c>
      <c r="AO43" s="12" t="str">
        <f aca="false">IF(OR($A43="",AO$4=""),"",SUMPRODUCT(--(INDEX(Matrix!$C$5:$BJ$204,0,$B43)&gt;0),--(INDEX(Matrix!$C$5:$BJ$204,0,AO$3)&gt;0)))</f>
        <v/>
      </c>
      <c r="AP43" s="12" t="str">
        <f aca="false">IF(OR($A43="",AP$4=""),"",SUMPRODUCT(--(INDEX(Matrix!$C$5:$BJ$204,0,$B43)&gt;0),--(INDEX(Matrix!$C$5:$BJ$204,0,AP$3)&gt;0)))</f>
        <v/>
      </c>
      <c r="AQ43" s="12" t="str">
        <f aca="false">IF(OR($A43="",AQ$4=""),"",SUMPRODUCT(--(INDEX(Matrix!$C$5:$BJ$204,0,$B43)&gt;0),--(INDEX(Matrix!$C$5:$BJ$204,0,AQ$3)&gt;0)))</f>
        <v/>
      </c>
      <c r="AR43" s="12" t="str">
        <f aca="false">IF(OR($A43="",AR$4=""),"",SUMPRODUCT(--(INDEX(Matrix!$C$5:$BJ$204,0,$B43)&gt;0),--(INDEX(Matrix!$C$5:$BJ$204,0,AR$3)&gt;0)))</f>
        <v/>
      </c>
      <c r="AS43" s="12" t="str">
        <f aca="false">IF(OR($A43="",AS$4=""),"",SUMPRODUCT(--(INDEX(Matrix!$C$5:$BJ$204,0,$B43)&gt;0),--(INDEX(Matrix!$C$5:$BJ$204,0,AS$3)&gt;0)))</f>
        <v/>
      </c>
      <c r="AT43" s="12" t="str">
        <f aca="false">IF(OR($A43="",AT$4=""),"",SUMPRODUCT(--(INDEX(Matrix!$C$5:$BJ$204,0,$B43)&gt;0),--(INDEX(Matrix!$C$5:$BJ$204,0,AT$3)&gt;0)))</f>
        <v/>
      </c>
      <c r="AU43" s="12" t="str">
        <f aca="false">IF(OR($A43="",AU$4=""),"",SUMPRODUCT(--(INDEX(Matrix!$C$5:$BJ$204,0,$B43)&gt;0),--(INDEX(Matrix!$C$5:$BJ$204,0,AU$3)&gt;0)))</f>
        <v/>
      </c>
      <c r="AV43" s="12" t="str">
        <f aca="false">IF(OR($A43="",AV$4=""),"",SUMPRODUCT(--(INDEX(Matrix!$C$5:$BJ$204,0,$B43)&gt;0),--(INDEX(Matrix!$C$5:$BJ$204,0,AV$3)&gt;0)))</f>
        <v/>
      </c>
      <c r="AW43" s="12" t="str">
        <f aca="false">IF(OR($A43="",AW$4=""),"",SUMPRODUCT(--(INDEX(Matrix!$C$5:$BJ$204,0,$B43)&gt;0),--(INDEX(Matrix!$C$5:$BJ$204,0,AW$3)&gt;0)))</f>
        <v/>
      </c>
      <c r="AX43" s="12" t="str">
        <f aca="false">IF(OR($A43="",AX$4=""),"",SUMPRODUCT(--(INDEX(Matrix!$C$5:$BJ$204,0,$B43)&gt;0),--(INDEX(Matrix!$C$5:$BJ$204,0,AX$3)&gt;0)))</f>
        <v/>
      </c>
      <c r="AY43" s="12" t="str">
        <f aca="false">IF(OR($A43="",AY$4=""),"",SUMPRODUCT(--(INDEX(Matrix!$C$5:$BJ$204,0,$B43)&gt;0),--(INDEX(Matrix!$C$5:$BJ$204,0,AY$3)&gt;0)))</f>
        <v/>
      </c>
      <c r="AZ43" s="12" t="str">
        <f aca="false">IF(OR($A43="",AZ$4=""),"",SUMPRODUCT(--(INDEX(Matrix!$C$5:$BJ$204,0,$B43)&gt;0),--(INDEX(Matrix!$C$5:$BJ$204,0,AZ$3)&gt;0)))</f>
        <v/>
      </c>
      <c r="BA43" s="12" t="str">
        <f aca="false">IF(OR($A43="",BA$4=""),"",SUMPRODUCT(--(INDEX(Matrix!$C$5:$BJ$204,0,$B43)&gt;0),--(INDEX(Matrix!$C$5:$BJ$204,0,BA$3)&gt;0)))</f>
        <v/>
      </c>
      <c r="BB43" s="12" t="str">
        <f aca="false">IF(OR($A43="",BB$4=""),"",SUMPRODUCT(--(INDEX(Matrix!$C$5:$BJ$204,0,$B43)&gt;0),--(INDEX(Matrix!$C$5:$BJ$204,0,BB$3)&gt;0)))</f>
        <v/>
      </c>
      <c r="BC43" s="12" t="str">
        <f aca="false">IF(OR($A43="",BC$4=""),"",SUMPRODUCT(--(INDEX(Matrix!$C$5:$BJ$204,0,$B43)&gt;0),--(INDEX(Matrix!$C$5:$BJ$204,0,BC$3)&gt;0)))</f>
        <v/>
      </c>
      <c r="BD43" s="12" t="str">
        <f aca="false">IF(OR($A43="",BD$4=""),"",SUMPRODUCT(--(INDEX(Matrix!$C$5:$BJ$204,0,$B43)&gt;0),--(INDEX(Matrix!$C$5:$BJ$204,0,BD$3)&gt;0)))</f>
        <v/>
      </c>
      <c r="BE43" s="12" t="str">
        <f aca="false">IF(OR($A43="",BE$4=""),"",SUMPRODUCT(--(INDEX(Matrix!$C$5:$BJ$204,0,$B43)&gt;0),--(INDEX(Matrix!$C$5:$BJ$204,0,BE$3)&gt;0)))</f>
        <v/>
      </c>
      <c r="BF43" s="12" t="str">
        <f aca="false">IF(OR($A43="",BF$4=""),"",SUMPRODUCT(--(INDEX(Matrix!$C$5:$BJ$204,0,$B43)&gt;0),--(INDEX(Matrix!$C$5:$BJ$204,0,BF$3)&gt;0)))</f>
        <v/>
      </c>
      <c r="BG43" s="12" t="str">
        <f aca="false">IF(OR($A43="",BG$4=""),"",SUMPRODUCT(--(INDEX(Matrix!$C$5:$BJ$204,0,$B43)&gt;0),--(INDEX(Matrix!$C$5:$BJ$204,0,BG$3)&gt;0)))</f>
        <v/>
      </c>
      <c r="BH43" s="12" t="str">
        <f aca="false">IF(OR($A43="",BH$4=""),"",SUMPRODUCT(--(INDEX(Matrix!$C$5:$BJ$204,0,$B43)&gt;0),--(INDEX(Matrix!$C$5:$BJ$204,0,BH$3)&gt;0)))</f>
        <v/>
      </c>
      <c r="BI43" s="12" t="str">
        <f aca="false">IF(OR($A43="",BI$4=""),"",SUMPRODUCT(--(INDEX(Matrix!$C$5:$BJ$204,0,$B43)&gt;0),--(INDEX(Matrix!$C$5:$BJ$204,0,BI$3)&gt;0)))</f>
        <v/>
      </c>
      <c r="BJ43" s="12" t="str">
        <f aca="false">IF(OR($A43="",BJ$4=""),"",SUMPRODUCT(--(INDEX(Matrix!$C$5:$BJ$204,0,$B43)&gt;0),--(INDEX(Matrix!$C$5:$BJ$204,0,BJ$3)&gt;0)))</f>
        <v/>
      </c>
    </row>
    <row r="44" customFormat="false" ht="15" hidden="false" customHeight="false" outlineLevel="0" collapsed="false">
      <c r="A44" s="6" t="str">
        <f aca="false">IF(INDEX(Products!$A$2:$A$61,$B44)="","",INDEX(Products!$A$2:$A$61,$B44))</f>
        <v/>
      </c>
      <c r="B44" s="23" t="n">
        <v>40</v>
      </c>
      <c r="C44" s="12" t="str">
        <f aca="false">IF(OR($A44="",C$4=""),"",SUMPRODUCT(--(INDEX(Matrix!$C$5:$BJ$204,0,$B44)&gt;0),--(INDEX(Matrix!$C$5:$BJ$204,0,C$3)&gt;0)))</f>
        <v/>
      </c>
      <c r="D44" s="12" t="str">
        <f aca="false">IF(OR($A44="",D$4=""),"",SUMPRODUCT(--(INDEX(Matrix!$C$5:$BJ$204,0,$B44)&gt;0),--(INDEX(Matrix!$C$5:$BJ$204,0,D$3)&gt;0)))</f>
        <v/>
      </c>
      <c r="E44" s="12" t="str">
        <f aca="false">IF(OR($A44="",E$4=""),"",SUMPRODUCT(--(INDEX(Matrix!$C$5:$BJ$204,0,$B44)&gt;0),--(INDEX(Matrix!$C$5:$BJ$204,0,E$3)&gt;0)))</f>
        <v/>
      </c>
      <c r="F44" s="12" t="str">
        <f aca="false">IF(OR($A44="",F$4=""),"",SUMPRODUCT(--(INDEX(Matrix!$C$5:$BJ$204,0,$B44)&gt;0),--(INDEX(Matrix!$C$5:$BJ$204,0,F$3)&gt;0)))</f>
        <v/>
      </c>
      <c r="G44" s="12" t="str">
        <f aca="false">IF(OR($A44="",G$4=""),"",SUMPRODUCT(--(INDEX(Matrix!$C$5:$BJ$204,0,$B44)&gt;0),--(INDEX(Matrix!$C$5:$BJ$204,0,G$3)&gt;0)))</f>
        <v/>
      </c>
      <c r="H44" s="12" t="str">
        <f aca="false">IF(OR($A44="",H$4=""),"",SUMPRODUCT(--(INDEX(Matrix!$C$5:$BJ$204,0,$B44)&gt;0),--(INDEX(Matrix!$C$5:$BJ$204,0,H$3)&gt;0)))</f>
        <v/>
      </c>
      <c r="I44" s="12" t="str">
        <f aca="false">IF(OR($A44="",I$4=""),"",SUMPRODUCT(--(INDEX(Matrix!$C$5:$BJ$204,0,$B44)&gt;0),--(INDEX(Matrix!$C$5:$BJ$204,0,I$3)&gt;0)))</f>
        <v/>
      </c>
      <c r="J44" s="12" t="str">
        <f aca="false">IF(OR($A44="",J$4=""),"",SUMPRODUCT(--(INDEX(Matrix!$C$5:$BJ$204,0,$B44)&gt;0),--(INDEX(Matrix!$C$5:$BJ$204,0,J$3)&gt;0)))</f>
        <v/>
      </c>
      <c r="K44" s="12" t="str">
        <f aca="false">IF(OR($A44="",K$4=""),"",SUMPRODUCT(--(INDEX(Matrix!$C$5:$BJ$204,0,$B44)&gt;0),--(INDEX(Matrix!$C$5:$BJ$204,0,K$3)&gt;0)))</f>
        <v/>
      </c>
      <c r="L44" s="12" t="str">
        <f aca="false">IF(OR($A44="",L$4=""),"",SUMPRODUCT(--(INDEX(Matrix!$C$5:$BJ$204,0,$B44)&gt;0),--(INDEX(Matrix!$C$5:$BJ$204,0,L$3)&gt;0)))</f>
        <v/>
      </c>
      <c r="M44" s="12" t="str">
        <f aca="false">IF(OR($A44="",M$4=""),"",SUMPRODUCT(--(INDEX(Matrix!$C$5:$BJ$204,0,$B44)&gt;0),--(INDEX(Matrix!$C$5:$BJ$204,0,M$3)&gt;0)))</f>
        <v/>
      </c>
      <c r="N44" s="12" t="str">
        <f aca="false">IF(OR($A44="",N$4=""),"",SUMPRODUCT(--(INDEX(Matrix!$C$5:$BJ$204,0,$B44)&gt;0),--(INDEX(Matrix!$C$5:$BJ$204,0,N$3)&gt;0)))</f>
        <v/>
      </c>
      <c r="O44" s="12" t="str">
        <f aca="false">IF(OR($A44="",O$4=""),"",SUMPRODUCT(--(INDEX(Matrix!$C$5:$BJ$204,0,$B44)&gt;0),--(INDEX(Matrix!$C$5:$BJ$204,0,O$3)&gt;0)))</f>
        <v/>
      </c>
      <c r="P44" s="12" t="str">
        <f aca="false">IF(OR($A44="",P$4=""),"",SUMPRODUCT(--(INDEX(Matrix!$C$5:$BJ$204,0,$B44)&gt;0),--(INDEX(Matrix!$C$5:$BJ$204,0,P$3)&gt;0)))</f>
        <v/>
      </c>
      <c r="Q44" s="12" t="str">
        <f aca="false">IF(OR($A44="",Q$4=""),"",SUMPRODUCT(--(INDEX(Matrix!$C$5:$BJ$204,0,$B44)&gt;0),--(INDEX(Matrix!$C$5:$BJ$204,0,Q$3)&gt;0)))</f>
        <v/>
      </c>
      <c r="R44" s="12" t="str">
        <f aca="false">IF(OR($A44="",R$4=""),"",SUMPRODUCT(--(INDEX(Matrix!$C$5:$BJ$204,0,$B44)&gt;0),--(INDEX(Matrix!$C$5:$BJ$204,0,R$3)&gt;0)))</f>
        <v/>
      </c>
      <c r="S44" s="12" t="str">
        <f aca="false">IF(OR($A44="",S$4=""),"",SUMPRODUCT(--(INDEX(Matrix!$C$5:$BJ$204,0,$B44)&gt;0),--(INDEX(Matrix!$C$5:$BJ$204,0,S$3)&gt;0)))</f>
        <v/>
      </c>
      <c r="T44" s="12" t="str">
        <f aca="false">IF(OR($A44="",T$4=""),"",SUMPRODUCT(--(INDEX(Matrix!$C$5:$BJ$204,0,$B44)&gt;0),--(INDEX(Matrix!$C$5:$BJ$204,0,T$3)&gt;0)))</f>
        <v/>
      </c>
      <c r="U44" s="12" t="str">
        <f aca="false">IF(OR($A44="",U$4=""),"",SUMPRODUCT(--(INDEX(Matrix!$C$5:$BJ$204,0,$B44)&gt;0),--(INDEX(Matrix!$C$5:$BJ$204,0,U$3)&gt;0)))</f>
        <v/>
      </c>
      <c r="V44" s="12" t="str">
        <f aca="false">IF(OR($A44="",V$4=""),"",SUMPRODUCT(--(INDEX(Matrix!$C$5:$BJ$204,0,$B44)&gt;0),--(INDEX(Matrix!$C$5:$BJ$204,0,V$3)&gt;0)))</f>
        <v/>
      </c>
      <c r="W44" s="12" t="str">
        <f aca="false">IF(OR($A44="",W$4=""),"",SUMPRODUCT(--(INDEX(Matrix!$C$5:$BJ$204,0,$B44)&gt;0),--(INDEX(Matrix!$C$5:$BJ$204,0,W$3)&gt;0)))</f>
        <v/>
      </c>
      <c r="X44" s="12" t="str">
        <f aca="false">IF(OR($A44="",X$4=""),"",SUMPRODUCT(--(INDEX(Matrix!$C$5:$BJ$204,0,$B44)&gt;0),--(INDEX(Matrix!$C$5:$BJ$204,0,X$3)&gt;0)))</f>
        <v/>
      </c>
      <c r="Y44" s="12" t="str">
        <f aca="false">IF(OR($A44="",Y$4=""),"",SUMPRODUCT(--(INDEX(Matrix!$C$5:$BJ$204,0,$B44)&gt;0),--(INDEX(Matrix!$C$5:$BJ$204,0,Y$3)&gt;0)))</f>
        <v/>
      </c>
      <c r="Z44" s="12" t="str">
        <f aca="false">IF(OR($A44="",Z$4=""),"",SUMPRODUCT(--(INDEX(Matrix!$C$5:$BJ$204,0,$B44)&gt;0),--(INDEX(Matrix!$C$5:$BJ$204,0,Z$3)&gt;0)))</f>
        <v/>
      </c>
      <c r="AA44" s="12" t="str">
        <f aca="false">IF(OR($A44="",AA$4=""),"",SUMPRODUCT(--(INDEX(Matrix!$C$5:$BJ$204,0,$B44)&gt;0),--(INDEX(Matrix!$C$5:$BJ$204,0,AA$3)&gt;0)))</f>
        <v/>
      </c>
      <c r="AB44" s="12" t="str">
        <f aca="false">IF(OR($A44="",AB$4=""),"",SUMPRODUCT(--(INDEX(Matrix!$C$5:$BJ$204,0,$B44)&gt;0),--(INDEX(Matrix!$C$5:$BJ$204,0,AB$3)&gt;0)))</f>
        <v/>
      </c>
      <c r="AC44" s="12" t="str">
        <f aca="false">IF(OR($A44="",AC$4=""),"",SUMPRODUCT(--(INDEX(Matrix!$C$5:$BJ$204,0,$B44)&gt;0),--(INDEX(Matrix!$C$5:$BJ$204,0,AC$3)&gt;0)))</f>
        <v/>
      </c>
      <c r="AD44" s="12" t="str">
        <f aca="false">IF(OR($A44="",AD$4=""),"",SUMPRODUCT(--(INDEX(Matrix!$C$5:$BJ$204,0,$B44)&gt;0),--(INDEX(Matrix!$C$5:$BJ$204,0,AD$3)&gt;0)))</f>
        <v/>
      </c>
      <c r="AE44" s="12" t="str">
        <f aca="false">IF(OR($A44="",AE$4=""),"",SUMPRODUCT(--(INDEX(Matrix!$C$5:$BJ$204,0,$B44)&gt;0),--(INDEX(Matrix!$C$5:$BJ$204,0,AE$3)&gt;0)))</f>
        <v/>
      </c>
      <c r="AF44" s="12" t="str">
        <f aca="false">IF(OR($A44="",AF$4=""),"",SUMPRODUCT(--(INDEX(Matrix!$C$5:$BJ$204,0,$B44)&gt;0),--(INDEX(Matrix!$C$5:$BJ$204,0,AF$3)&gt;0)))</f>
        <v/>
      </c>
      <c r="AG44" s="12" t="str">
        <f aca="false">IF(OR($A44="",AG$4=""),"",SUMPRODUCT(--(INDEX(Matrix!$C$5:$BJ$204,0,$B44)&gt;0),--(INDEX(Matrix!$C$5:$BJ$204,0,AG$3)&gt;0)))</f>
        <v/>
      </c>
      <c r="AH44" s="12" t="str">
        <f aca="false">IF(OR($A44="",AH$4=""),"",SUMPRODUCT(--(INDEX(Matrix!$C$5:$BJ$204,0,$B44)&gt;0),--(INDEX(Matrix!$C$5:$BJ$204,0,AH$3)&gt;0)))</f>
        <v/>
      </c>
      <c r="AI44" s="12" t="str">
        <f aca="false">IF(OR($A44="",AI$4=""),"",SUMPRODUCT(--(INDEX(Matrix!$C$5:$BJ$204,0,$B44)&gt;0),--(INDEX(Matrix!$C$5:$BJ$204,0,AI$3)&gt;0)))</f>
        <v/>
      </c>
      <c r="AJ44" s="12" t="str">
        <f aca="false">IF(OR($A44="",AJ$4=""),"",SUMPRODUCT(--(INDEX(Matrix!$C$5:$BJ$204,0,$B44)&gt;0),--(INDEX(Matrix!$C$5:$BJ$204,0,AJ$3)&gt;0)))</f>
        <v/>
      </c>
      <c r="AK44" s="12" t="str">
        <f aca="false">IF(OR($A44="",AK$4=""),"",SUMPRODUCT(--(INDEX(Matrix!$C$5:$BJ$204,0,$B44)&gt;0),--(INDEX(Matrix!$C$5:$BJ$204,0,AK$3)&gt;0)))</f>
        <v/>
      </c>
      <c r="AL44" s="12" t="str">
        <f aca="false">IF(OR($A44="",AL$4=""),"",SUMPRODUCT(--(INDEX(Matrix!$C$5:$BJ$204,0,$B44)&gt;0),--(INDEX(Matrix!$C$5:$BJ$204,0,AL$3)&gt;0)))</f>
        <v/>
      </c>
      <c r="AM44" s="12" t="str">
        <f aca="false">IF(OR($A44="",AM$4=""),"",SUMPRODUCT(--(INDEX(Matrix!$C$5:$BJ$204,0,$B44)&gt;0),--(INDEX(Matrix!$C$5:$BJ$204,0,AM$3)&gt;0)))</f>
        <v/>
      </c>
      <c r="AN44" s="12" t="str">
        <f aca="false">IF(OR($A44="",AN$4=""),"",SUMPRODUCT(--(INDEX(Matrix!$C$5:$BJ$204,0,$B44)&gt;0),--(INDEX(Matrix!$C$5:$BJ$204,0,AN$3)&gt;0)))</f>
        <v/>
      </c>
      <c r="AO44" s="12" t="str">
        <f aca="false">IF(OR($A44="",AO$4=""),"",SUMPRODUCT(--(INDEX(Matrix!$C$5:$BJ$204,0,$B44)&gt;0),--(INDEX(Matrix!$C$5:$BJ$204,0,AO$3)&gt;0)))</f>
        <v/>
      </c>
      <c r="AP44" s="12" t="str">
        <f aca="false">IF(OR($A44="",AP$4=""),"",SUMPRODUCT(--(INDEX(Matrix!$C$5:$BJ$204,0,$B44)&gt;0),--(INDEX(Matrix!$C$5:$BJ$204,0,AP$3)&gt;0)))</f>
        <v/>
      </c>
      <c r="AQ44" s="12" t="str">
        <f aca="false">IF(OR($A44="",AQ$4=""),"",SUMPRODUCT(--(INDEX(Matrix!$C$5:$BJ$204,0,$B44)&gt;0),--(INDEX(Matrix!$C$5:$BJ$204,0,AQ$3)&gt;0)))</f>
        <v/>
      </c>
      <c r="AR44" s="12" t="str">
        <f aca="false">IF(OR($A44="",AR$4=""),"",SUMPRODUCT(--(INDEX(Matrix!$C$5:$BJ$204,0,$B44)&gt;0),--(INDEX(Matrix!$C$5:$BJ$204,0,AR$3)&gt;0)))</f>
        <v/>
      </c>
      <c r="AS44" s="12" t="str">
        <f aca="false">IF(OR($A44="",AS$4=""),"",SUMPRODUCT(--(INDEX(Matrix!$C$5:$BJ$204,0,$B44)&gt;0),--(INDEX(Matrix!$C$5:$BJ$204,0,AS$3)&gt;0)))</f>
        <v/>
      </c>
      <c r="AT44" s="12" t="str">
        <f aca="false">IF(OR($A44="",AT$4=""),"",SUMPRODUCT(--(INDEX(Matrix!$C$5:$BJ$204,0,$B44)&gt;0),--(INDEX(Matrix!$C$5:$BJ$204,0,AT$3)&gt;0)))</f>
        <v/>
      </c>
      <c r="AU44" s="12" t="str">
        <f aca="false">IF(OR($A44="",AU$4=""),"",SUMPRODUCT(--(INDEX(Matrix!$C$5:$BJ$204,0,$B44)&gt;0),--(INDEX(Matrix!$C$5:$BJ$204,0,AU$3)&gt;0)))</f>
        <v/>
      </c>
      <c r="AV44" s="12" t="str">
        <f aca="false">IF(OR($A44="",AV$4=""),"",SUMPRODUCT(--(INDEX(Matrix!$C$5:$BJ$204,0,$B44)&gt;0),--(INDEX(Matrix!$C$5:$BJ$204,0,AV$3)&gt;0)))</f>
        <v/>
      </c>
      <c r="AW44" s="12" t="str">
        <f aca="false">IF(OR($A44="",AW$4=""),"",SUMPRODUCT(--(INDEX(Matrix!$C$5:$BJ$204,0,$B44)&gt;0),--(INDEX(Matrix!$C$5:$BJ$204,0,AW$3)&gt;0)))</f>
        <v/>
      </c>
      <c r="AX44" s="12" t="str">
        <f aca="false">IF(OR($A44="",AX$4=""),"",SUMPRODUCT(--(INDEX(Matrix!$C$5:$BJ$204,0,$B44)&gt;0),--(INDEX(Matrix!$C$5:$BJ$204,0,AX$3)&gt;0)))</f>
        <v/>
      </c>
      <c r="AY44" s="12" t="str">
        <f aca="false">IF(OR($A44="",AY$4=""),"",SUMPRODUCT(--(INDEX(Matrix!$C$5:$BJ$204,0,$B44)&gt;0),--(INDEX(Matrix!$C$5:$BJ$204,0,AY$3)&gt;0)))</f>
        <v/>
      </c>
      <c r="AZ44" s="12" t="str">
        <f aca="false">IF(OR($A44="",AZ$4=""),"",SUMPRODUCT(--(INDEX(Matrix!$C$5:$BJ$204,0,$B44)&gt;0),--(INDEX(Matrix!$C$5:$BJ$204,0,AZ$3)&gt;0)))</f>
        <v/>
      </c>
      <c r="BA44" s="12" t="str">
        <f aca="false">IF(OR($A44="",BA$4=""),"",SUMPRODUCT(--(INDEX(Matrix!$C$5:$BJ$204,0,$B44)&gt;0),--(INDEX(Matrix!$C$5:$BJ$204,0,BA$3)&gt;0)))</f>
        <v/>
      </c>
      <c r="BB44" s="12" t="str">
        <f aca="false">IF(OR($A44="",BB$4=""),"",SUMPRODUCT(--(INDEX(Matrix!$C$5:$BJ$204,0,$B44)&gt;0),--(INDEX(Matrix!$C$5:$BJ$204,0,BB$3)&gt;0)))</f>
        <v/>
      </c>
      <c r="BC44" s="12" t="str">
        <f aca="false">IF(OR($A44="",BC$4=""),"",SUMPRODUCT(--(INDEX(Matrix!$C$5:$BJ$204,0,$B44)&gt;0),--(INDEX(Matrix!$C$5:$BJ$204,0,BC$3)&gt;0)))</f>
        <v/>
      </c>
      <c r="BD44" s="12" t="str">
        <f aca="false">IF(OR($A44="",BD$4=""),"",SUMPRODUCT(--(INDEX(Matrix!$C$5:$BJ$204,0,$B44)&gt;0),--(INDEX(Matrix!$C$5:$BJ$204,0,BD$3)&gt;0)))</f>
        <v/>
      </c>
      <c r="BE44" s="12" t="str">
        <f aca="false">IF(OR($A44="",BE$4=""),"",SUMPRODUCT(--(INDEX(Matrix!$C$5:$BJ$204,0,$B44)&gt;0),--(INDEX(Matrix!$C$5:$BJ$204,0,BE$3)&gt;0)))</f>
        <v/>
      </c>
      <c r="BF44" s="12" t="str">
        <f aca="false">IF(OR($A44="",BF$4=""),"",SUMPRODUCT(--(INDEX(Matrix!$C$5:$BJ$204,0,$B44)&gt;0),--(INDEX(Matrix!$C$5:$BJ$204,0,BF$3)&gt;0)))</f>
        <v/>
      </c>
      <c r="BG44" s="12" t="str">
        <f aca="false">IF(OR($A44="",BG$4=""),"",SUMPRODUCT(--(INDEX(Matrix!$C$5:$BJ$204,0,$B44)&gt;0),--(INDEX(Matrix!$C$5:$BJ$204,0,BG$3)&gt;0)))</f>
        <v/>
      </c>
      <c r="BH44" s="12" t="str">
        <f aca="false">IF(OR($A44="",BH$4=""),"",SUMPRODUCT(--(INDEX(Matrix!$C$5:$BJ$204,0,$B44)&gt;0),--(INDEX(Matrix!$C$5:$BJ$204,0,BH$3)&gt;0)))</f>
        <v/>
      </c>
      <c r="BI44" s="12" t="str">
        <f aca="false">IF(OR($A44="",BI$4=""),"",SUMPRODUCT(--(INDEX(Matrix!$C$5:$BJ$204,0,$B44)&gt;0),--(INDEX(Matrix!$C$5:$BJ$204,0,BI$3)&gt;0)))</f>
        <v/>
      </c>
      <c r="BJ44" s="12" t="str">
        <f aca="false">IF(OR($A44="",BJ$4=""),"",SUMPRODUCT(--(INDEX(Matrix!$C$5:$BJ$204,0,$B44)&gt;0),--(INDEX(Matrix!$C$5:$BJ$204,0,BJ$3)&gt;0)))</f>
        <v/>
      </c>
    </row>
    <row r="45" customFormat="false" ht="15" hidden="false" customHeight="false" outlineLevel="0" collapsed="false">
      <c r="A45" s="6" t="str">
        <f aca="false">IF(INDEX(Products!$A$2:$A$61,$B45)="","",INDEX(Products!$A$2:$A$61,$B45))</f>
        <v/>
      </c>
      <c r="B45" s="23" t="n">
        <v>41</v>
      </c>
      <c r="C45" s="12" t="str">
        <f aca="false">IF(OR($A45="",C$4=""),"",SUMPRODUCT(--(INDEX(Matrix!$C$5:$BJ$204,0,$B45)&gt;0),--(INDEX(Matrix!$C$5:$BJ$204,0,C$3)&gt;0)))</f>
        <v/>
      </c>
      <c r="D45" s="12" t="str">
        <f aca="false">IF(OR($A45="",D$4=""),"",SUMPRODUCT(--(INDEX(Matrix!$C$5:$BJ$204,0,$B45)&gt;0),--(INDEX(Matrix!$C$5:$BJ$204,0,D$3)&gt;0)))</f>
        <v/>
      </c>
      <c r="E45" s="12" t="str">
        <f aca="false">IF(OR($A45="",E$4=""),"",SUMPRODUCT(--(INDEX(Matrix!$C$5:$BJ$204,0,$B45)&gt;0),--(INDEX(Matrix!$C$5:$BJ$204,0,E$3)&gt;0)))</f>
        <v/>
      </c>
      <c r="F45" s="12" t="str">
        <f aca="false">IF(OR($A45="",F$4=""),"",SUMPRODUCT(--(INDEX(Matrix!$C$5:$BJ$204,0,$B45)&gt;0),--(INDEX(Matrix!$C$5:$BJ$204,0,F$3)&gt;0)))</f>
        <v/>
      </c>
      <c r="G45" s="12" t="str">
        <f aca="false">IF(OR($A45="",G$4=""),"",SUMPRODUCT(--(INDEX(Matrix!$C$5:$BJ$204,0,$B45)&gt;0),--(INDEX(Matrix!$C$5:$BJ$204,0,G$3)&gt;0)))</f>
        <v/>
      </c>
      <c r="H45" s="12" t="str">
        <f aca="false">IF(OR($A45="",H$4=""),"",SUMPRODUCT(--(INDEX(Matrix!$C$5:$BJ$204,0,$B45)&gt;0),--(INDEX(Matrix!$C$5:$BJ$204,0,H$3)&gt;0)))</f>
        <v/>
      </c>
      <c r="I45" s="12" t="str">
        <f aca="false">IF(OR($A45="",I$4=""),"",SUMPRODUCT(--(INDEX(Matrix!$C$5:$BJ$204,0,$B45)&gt;0),--(INDEX(Matrix!$C$5:$BJ$204,0,I$3)&gt;0)))</f>
        <v/>
      </c>
      <c r="J45" s="12" t="str">
        <f aca="false">IF(OR($A45="",J$4=""),"",SUMPRODUCT(--(INDEX(Matrix!$C$5:$BJ$204,0,$B45)&gt;0),--(INDEX(Matrix!$C$5:$BJ$204,0,J$3)&gt;0)))</f>
        <v/>
      </c>
      <c r="K45" s="12" t="str">
        <f aca="false">IF(OR($A45="",K$4=""),"",SUMPRODUCT(--(INDEX(Matrix!$C$5:$BJ$204,0,$B45)&gt;0),--(INDEX(Matrix!$C$5:$BJ$204,0,K$3)&gt;0)))</f>
        <v/>
      </c>
      <c r="L45" s="12" t="str">
        <f aca="false">IF(OR($A45="",L$4=""),"",SUMPRODUCT(--(INDEX(Matrix!$C$5:$BJ$204,0,$B45)&gt;0),--(INDEX(Matrix!$C$5:$BJ$204,0,L$3)&gt;0)))</f>
        <v/>
      </c>
      <c r="M45" s="12" t="str">
        <f aca="false">IF(OR($A45="",M$4=""),"",SUMPRODUCT(--(INDEX(Matrix!$C$5:$BJ$204,0,$B45)&gt;0),--(INDEX(Matrix!$C$5:$BJ$204,0,M$3)&gt;0)))</f>
        <v/>
      </c>
      <c r="N45" s="12" t="str">
        <f aca="false">IF(OR($A45="",N$4=""),"",SUMPRODUCT(--(INDEX(Matrix!$C$5:$BJ$204,0,$B45)&gt;0),--(INDEX(Matrix!$C$5:$BJ$204,0,N$3)&gt;0)))</f>
        <v/>
      </c>
      <c r="O45" s="12" t="str">
        <f aca="false">IF(OR($A45="",O$4=""),"",SUMPRODUCT(--(INDEX(Matrix!$C$5:$BJ$204,0,$B45)&gt;0),--(INDEX(Matrix!$C$5:$BJ$204,0,O$3)&gt;0)))</f>
        <v/>
      </c>
      <c r="P45" s="12" t="str">
        <f aca="false">IF(OR($A45="",P$4=""),"",SUMPRODUCT(--(INDEX(Matrix!$C$5:$BJ$204,0,$B45)&gt;0),--(INDEX(Matrix!$C$5:$BJ$204,0,P$3)&gt;0)))</f>
        <v/>
      </c>
      <c r="Q45" s="12" t="str">
        <f aca="false">IF(OR($A45="",Q$4=""),"",SUMPRODUCT(--(INDEX(Matrix!$C$5:$BJ$204,0,$B45)&gt;0),--(INDEX(Matrix!$C$5:$BJ$204,0,Q$3)&gt;0)))</f>
        <v/>
      </c>
      <c r="R45" s="12" t="str">
        <f aca="false">IF(OR($A45="",R$4=""),"",SUMPRODUCT(--(INDEX(Matrix!$C$5:$BJ$204,0,$B45)&gt;0),--(INDEX(Matrix!$C$5:$BJ$204,0,R$3)&gt;0)))</f>
        <v/>
      </c>
      <c r="S45" s="12" t="str">
        <f aca="false">IF(OR($A45="",S$4=""),"",SUMPRODUCT(--(INDEX(Matrix!$C$5:$BJ$204,0,$B45)&gt;0),--(INDEX(Matrix!$C$5:$BJ$204,0,S$3)&gt;0)))</f>
        <v/>
      </c>
      <c r="T45" s="12" t="str">
        <f aca="false">IF(OR($A45="",T$4=""),"",SUMPRODUCT(--(INDEX(Matrix!$C$5:$BJ$204,0,$B45)&gt;0),--(INDEX(Matrix!$C$5:$BJ$204,0,T$3)&gt;0)))</f>
        <v/>
      </c>
      <c r="U45" s="12" t="str">
        <f aca="false">IF(OR($A45="",U$4=""),"",SUMPRODUCT(--(INDEX(Matrix!$C$5:$BJ$204,0,$B45)&gt;0),--(INDEX(Matrix!$C$5:$BJ$204,0,U$3)&gt;0)))</f>
        <v/>
      </c>
      <c r="V45" s="12" t="str">
        <f aca="false">IF(OR($A45="",V$4=""),"",SUMPRODUCT(--(INDEX(Matrix!$C$5:$BJ$204,0,$B45)&gt;0),--(INDEX(Matrix!$C$5:$BJ$204,0,V$3)&gt;0)))</f>
        <v/>
      </c>
      <c r="W45" s="12" t="str">
        <f aca="false">IF(OR($A45="",W$4=""),"",SUMPRODUCT(--(INDEX(Matrix!$C$5:$BJ$204,0,$B45)&gt;0),--(INDEX(Matrix!$C$5:$BJ$204,0,W$3)&gt;0)))</f>
        <v/>
      </c>
      <c r="X45" s="12" t="str">
        <f aca="false">IF(OR($A45="",X$4=""),"",SUMPRODUCT(--(INDEX(Matrix!$C$5:$BJ$204,0,$B45)&gt;0),--(INDEX(Matrix!$C$5:$BJ$204,0,X$3)&gt;0)))</f>
        <v/>
      </c>
      <c r="Y45" s="12" t="str">
        <f aca="false">IF(OR($A45="",Y$4=""),"",SUMPRODUCT(--(INDEX(Matrix!$C$5:$BJ$204,0,$B45)&gt;0),--(INDEX(Matrix!$C$5:$BJ$204,0,Y$3)&gt;0)))</f>
        <v/>
      </c>
      <c r="Z45" s="12" t="str">
        <f aca="false">IF(OR($A45="",Z$4=""),"",SUMPRODUCT(--(INDEX(Matrix!$C$5:$BJ$204,0,$B45)&gt;0),--(INDEX(Matrix!$C$5:$BJ$204,0,Z$3)&gt;0)))</f>
        <v/>
      </c>
      <c r="AA45" s="12" t="str">
        <f aca="false">IF(OR($A45="",AA$4=""),"",SUMPRODUCT(--(INDEX(Matrix!$C$5:$BJ$204,0,$B45)&gt;0),--(INDEX(Matrix!$C$5:$BJ$204,0,AA$3)&gt;0)))</f>
        <v/>
      </c>
      <c r="AB45" s="12" t="str">
        <f aca="false">IF(OR($A45="",AB$4=""),"",SUMPRODUCT(--(INDEX(Matrix!$C$5:$BJ$204,0,$B45)&gt;0),--(INDEX(Matrix!$C$5:$BJ$204,0,AB$3)&gt;0)))</f>
        <v/>
      </c>
      <c r="AC45" s="12" t="str">
        <f aca="false">IF(OR($A45="",AC$4=""),"",SUMPRODUCT(--(INDEX(Matrix!$C$5:$BJ$204,0,$B45)&gt;0),--(INDEX(Matrix!$C$5:$BJ$204,0,AC$3)&gt;0)))</f>
        <v/>
      </c>
      <c r="AD45" s="12" t="str">
        <f aca="false">IF(OR($A45="",AD$4=""),"",SUMPRODUCT(--(INDEX(Matrix!$C$5:$BJ$204,0,$B45)&gt;0),--(INDEX(Matrix!$C$5:$BJ$204,0,AD$3)&gt;0)))</f>
        <v/>
      </c>
      <c r="AE45" s="12" t="str">
        <f aca="false">IF(OR($A45="",AE$4=""),"",SUMPRODUCT(--(INDEX(Matrix!$C$5:$BJ$204,0,$B45)&gt;0),--(INDEX(Matrix!$C$5:$BJ$204,0,AE$3)&gt;0)))</f>
        <v/>
      </c>
      <c r="AF45" s="12" t="str">
        <f aca="false">IF(OR($A45="",AF$4=""),"",SUMPRODUCT(--(INDEX(Matrix!$C$5:$BJ$204,0,$B45)&gt;0),--(INDEX(Matrix!$C$5:$BJ$204,0,AF$3)&gt;0)))</f>
        <v/>
      </c>
      <c r="AG45" s="12" t="str">
        <f aca="false">IF(OR($A45="",AG$4=""),"",SUMPRODUCT(--(INDEX(Matrix!$C$5:$BJ$204,0,$B45)&gt;0),--(INDEX(Matrix!$C$5:$BJ$204,0,AG$3)&gt;0)))</f>
        <v/>
      </c>
      <c r="AH45" s="12" t="str">
        <f aca="false">IF(OR($A45="",AH$4=""),"",SUMPRODUCT(--(INDEX(Matrix!$C$5:$BJ$204,0,$B45)&gt;0),--(INDEX(Matrix!$C$5:$BJ$204,0,AH$3)&gt;0)))</f>
        <v/>
      </c>
      <c r="AI45" s="12" t="str">
        <f aca="false">IF(OR($A45="",AI$4=""),"",SUMPRODUCT(--(INDEX(Matrix!$C$5:$BJ$204,0,$B45)&gt;0),--(INDEX(Matrix!$C$5:$BJ$204,0,AI$3)&gt;0)))</f>
        <v/>
      </c>
      <c r="AJ45" s="12" t="str">
        <f aca="false">IF(OR($A45="",AJ$4=""),"",SUMPRODUCT(--(INDEX(Matrix!$C$5:$BJ$204,0,$B45)&gt;0),--(INDEX(Matrix!$C$5:$BJ$204,0,AJ$3)&gt;0)))</f>
        <v/>
      </c>
      <c r="AK45" s="12" t="str">
        <f aca="false">IF(OR($A45="",AK$4=""),"",SUMPRODUCT(--(INDEX(Matrix!$C$5:$BJ$204,0,$B45)&gt;0),--(INDEX(Matrix!$C$5:$BJ$204,0,AK$3)&gt;0)))</f>
        <v/>
      </c>
      <c r="AL45" s="12" t="str">
        <f aca="false">IF(OR($A45="",AL$4=""),"",SUMPRODUCT(--(INDEX(Matrix!$C$5:$BJ$204,0,$B45)&gt;0),--(INDEX(Matrix!$C$5:$BJ$204,0,AL$3)&gt;0)))</f>
        <v/>
      </c>
      <c r="AM45" s="12" t="str">
        <f aca="false">IF(OR($A45="",AM$4=""),"",SUMPRODUCT(--(INDEX(Matrix!$C$5:$BJ$204,0,$B45)&gt;0),--(INDEX(Matrix!$C$5:$BJ$204,0,AM$3)&gt;0)))</f>
        <v/>
      </c>
      <c r="AN45" s="12" t="str">
        <f aca="false">IF(OR($A45="",AN$4=""),"",SUMPRODUCT(--(INDEX(Matrix!$C$5:$BJ$204,0,$B45)&gt;0),--(INDEX(Matrix!$C$5:$BJ$204,0,AN$3)&gt;0)))</f>
        <v/>
      </c>
      <c r="AO45" s="12" t="str">
        <f aca="false">IF(OR($A45="",AO$4=""),"",SUMPRODUCT(--(INDEX(Matrix!$C$5:$BJ$204,0,$B45)&gt;0),--(INDEX(Matrix!$C$5:$BJ$204,0,AO$3)&gt;0)))</f>
        <v/>
      </c>
      <c r="AP45" s="12" t="str">
        <f aca="false">IF(OR($A45="",AP$4=""),"",SUMPRODUCT(--(INDEX(Matrix!$C$5:$BJ$204,0,$B45)&gt;0),--(INDEX(Matrix!$C$5:$BJ$204,0,AP$3)&gt;0)))</f>
        <v/>
      </c>
      <c r="AQ45" s="12" t="str">
        <f aca="false">IF(OR($A45="",AQ$4=""),"",SUMPRODUCT(--(INDEX(Matrix!$C$5:$BJ$204,0,$B45)&gt;0),--(INDEX(Matrix!$C$5:$BJ$204,0,AQ$3)&gt;0)))</f>
        <v/>
      </c>
      <c r="AR45" s="12" t="str">
        <f aca="false">IF(OR($A45="",AR$4=""),"",SUMPRODUCT(--(INDEX(Matrix!$C$5:$BJ$204,0,$B45)&gt;0),--(INDEX(Matrix!$C$5:$BJ$204,0,AR$3)&gt;0)))</f>
        <v/>
      </c>
      <c r="AS45" s="12" t="str">
        <f aca="false">IF(OR($A45="",AS$4=""),"",SUMPRODUCT(--(INDEX(Matrix!$C$5:$BJ$204,0,$B45)&gt;0),--(INDEX(Matrix!$C$5:$BJ$204,0,AS$3)&gt;0)))</f>
        <v/>
      </c>
      <c r="AT45" s="12" t="str">
        <f aca="false">IF(OR($A45="",AT$4=""),"",SUMPRODUCT(--(INDEX(Matrix!$C$5:$BJ$204,0,$B45)&gt;0),--(INDEX(Matrix!$C$5:$BJ$204,0,AT$3)&gt;0)))</f>
        <v/>
      </c>
      <c r="AU45" s="12" t="str">
        <f aca="false">IF(OR($A45="",AU$4=""),"",SUMPRODUCT(--(INDEX(Matrix!$C$5:$BJ$204,0,$B45)&gt;0),--(INDEX(Matrix!$C$5:$BJ$204,0,AU$3)&gt;0)))</f>
        <v/>
      </c>
      <c r="AV45" s="12" t="str">
        <f aca="false">IF(OR($A45="",AV$4=""),"",SUMPRODUCT(--(INDEX(Matrix!$C$5:$BJ$204,0,$B45)&gt;0),--(INDEX(Matrix!$C$5:$BJ$204,0,AV$3)&gt;0)))</f>
        <v/>
      </c>
      <c r="AW45" s="12" t="str">
        <f aca="false">IF(OR($A45="",AW$4=""),"",SUMPRODUCT(--(INDEX(Matrix!$C$5:$BJ$204,0,$B45)&gt;0),--(INDEX(Matrix!$C$5:$BJ$204,0,AW$3)&gt;0)))</f>
        <v/>
      </c>
      <c r="AX45" s="12" t="str">
        <f aca="false">IF(OR($A45="",AX$4=""),"",SUMPRODUCT(--(INDEX(Matrix!$C$5:$BJ$204,0,$B45)&gt;0),--(INDEX(Matrix!$C$5:$BJ$204,0,AX$3)&gt;0)))</f>
        <v/>
      </c>
      <c r="AY45" s="12" t="str">
        <f aca="false">IF(OR($A45="",AY$4=""),"",SUMPRODUCT(--(INDEX(Matrix!$C$5:$BJ$204,0,$B45)&gt;0),--(INDEX(Matrix!$C$5:$BJ$204,0,AY$3)&gt;0)))</f>
        <v/>
      </c>
      <c r="AZ45" s="12" t="str">
        <f aca="false">IF(OR($A45="",AZ$4=""),"",SUMPRODUCT(--(INDEX(Matrix!$C$5:$BJ$204,0,$B45)&gt;0),--(INDEX(Matrix!$C$5:$BJ$204,0,AZ$3)&gt;0)))</f>
        <v/>
      </c>
      <c r="BA45" s="12" t="str">
        <f aca="false">IF(OR($A45="",BA$4=""),"",SUMPRODUCT(--(INDEX(Matrix!$C$5:$BJ$204,0,$B45)&gt;0),--(INDEX(Matrix!$C$5:$BJ$204,0,BA$3)&gt;0)))</f>
        <v/>
      </c>
      <c r="BB45" s="12" t="str">
        <f aca="false">IF(OR($A45="",BB$4=""),"",SUMPRODUCT(--(INDEX(Matrix!$C$5:$BJ$204,0,$B45)&gt;0),--(INDEX(Matrix!$C$5:$BJ$204,0,BB$3)&gt;0)))</f>
        <v/>
      </c>
      <c r="BC45" s="12" t="str">
        <f aca="false">IF(OR($A45="",BC$4=""),"",SUMPRODUCT(--(INDEX(Matrix!$C$5:$BJ$204,0,$B45)&gt;0),--(INDEX(Matrix!$C$5:$BJ$204,0,BC$3)&gt;0)))</f>
        <v/>
      </c>
      <c r="BD45" s="12" t="str">
        <f aca="false">IF(OR($A45="",BD$4=""),"",SUMPRODUCT(--(INDEX(Matrix!$C$5:$BJ$204,0,$B45)&gt;0),--(INDEX(Matrix!$C$5:$BJ$204,0,BD$3)&gt;0)))</f>
        <v/>
      </c>
      <c r="BE45" s="12" t="str">
        <f aca="false">IF(OR($A45="",BE$4=""),"",SUMPRODUCT(--(INDEX(Matrix!$C$5:$BJ$204,0,$B45)&gt;0),--(INDEX(Matrix!$C$5:$BJ$204,0,BE$3)&gt;0)))</f>
        <v/>
      </c>
      <c r="BF45" s="12" t="str">
        <f aca="false">IF(OR($A45="",BF$4=""),"",SUMPRODUCT(--(INDEX(Matrix!$C$5:$BJ$204,0,$B45)&gt;0),--(INDEX(Matrix!$C$5:$BJ$204,0,BF$3)&gt;0)))</f>
        <v/>
      </c>
      <c r="BG45" s="12" t="str">
        <f aca="false">IF(OR($A45="",BG$4=""),"",SUMPRODUCT(--(INDEX(Matrix!$C$5:$BJ$204,0,$B45)&gt;0),--(INDEX(Matrix!$C$5:$BJ$204,0,BG$3)&gt;0)))</f>
        <v/>
      </c>
      <c r="BH45" s="12" t="str">
        <f aca="false">IF(OR($A45="",BH$4=""),"",SUMPRODUCT(--(INDEX(Matrix!$C$5:$BJ$204,0,$B45)&gt;0),--(INDEX(Matrix!$C$5:$BJ$204,0,BH$3)&gt;0)))</f>
        <v/>
      </c>
      <c r="BI45" s="12" t="str">
        <f aca="false">IF(OR($A45="",BI$4=""),"",SUMPRODUCT(--(INDEX(Matrix!$C$5:$BJ$204,0,$B45)&gt;0),--(INDEX(Matrix!$C$5:$BJ$204,0,BI$3)&gt;0)))</f>
        <v/>
      </c>
      <c r="BJ45" s="12" t="str">
        <f aca="false">IF(OR($A45="",BJ$4=""),"",SUMPRODUCT(--(INDEX(Matrix!$C$5:$BJ$204,0,$B45)&gt;0),--(INDEX(Matrix!$C$5:$BJ$204,0,BJ$3)&gt;0)))</f>
        <v/>
      </c>
    </row>
    <row r="46" customFormat="false" ht="15" hidden="false" customHeight="false" outlineLevel="0" collapsed="false">
      <c r="A46" s="6" t="str">
        <f aca="false">IF(INDEX(Products!$A$2:$A$61,$B46)="","",INDEX(Products!$A$2:$A$61,$B46))</f>
        <v/>
      </c>
      <c r="B46" s="23" t="n">
        <v>42</v>
      </c>
      <c r="C46" s="12" t="str">
        <f aca="false">IF(OR($A46="",C$4=""),"",SUMPRODUCT(--(INDEX(Matrix!$C$5:$BJ$204,0,$B46)&gt;0),--(INDEX(Matrix!$C$5:$BJ$204,0,C$3)&gt;0)))</f>
        <v/>
      </c>
      <c r="D46" s="12" t="str">
        <f aca="false">IF(OR($A46="",D$4=""),"",SUMPRODUCT(--(INDEX(Matrix!$C$5:$BJ$204,0,$B46)&gt;0),--(INDEX(Matrix!$C$5:$BJ$204,0,D$3)&gt;0)))</f>
        <v/>
      </c>
      <c r="E46" s="12" t="str">
        <f aca="false">IF(OR($A46="",E$4=""),"",SUMPRODUCT(--(INDEX(Matrix!$C$5:$BJ$204,0,$B46)&gt;0),--(INDEX(Matrix!$C$5:$BJ$204,0,E$3)&gt;0)))</f>
        <v/>
      </c>
      <c r="F46" s="12" t="str">
        <f aca="false">IF(OR($A46="",F$4=""),"",SUMPRODUCT(--(INDEX(Matrix!$C$5:$BJ$204,0,$B46)&gt;0),--(INDEX(Matrix!$C$5:$BJ$204,0,F$3)&gt;0)))</f>
        <v/>
      </c>
      <c r="G46" s="12" t="str">
        <f aca="false">IF(OR($A46="",G$4=""),"",SUMPRODUCT(--(INDEX(Matrix!$C$5:$BJ$204,0,$B46)&gt;0),--(INDEX(Matrix!$C$5:$BJ$204,0,G$3)&gt;0)))</f>
        <v/>
      </c>
      <c r="H46" s="12" t="str">
        <f aca="false">IF(OR($A46="",H$4=""),"",SUMPRODUCT(--(INDEX(Matrix!$C$5:$BJ$204,0,$B46)&gt;0),--(INDEX(Matrix!$C$5:$BJ$204,0,H$3)&gt;0)))</f>
        <v/>
      </c>
      <c r="I46" s="12" t="str">
        <f aca="false">IF(OR($A46="",I$4=""),"",SUMPRODUCT(--(INDEX(Matrix!$C$5:$BJ$204,0,$B46)&gt;0),--(INDEX(Matrix!$C$5:$BJ$204,0,I$3)&gt;0)))</f>
        <v/>
      </c>
      <c r="J46" s="12" t="str">
        <f aca="false">IF(OR($A46="",J$4=""),"",SUMPRODUCT(--(INDEX(Matrix!$C$5:$BJ$204,0,$B46)&gt;0),--(INDEX(Matrix!$C$5:$BJ$204,0,J$3)&gt;0)))</f>
        <v/>
      </c>
      <c r="K46" s="12" t="str">
        <f aca="false">IF(OR($A46="",K$4=""),"",SUMPRODUCT(--(INDEX(Matrix!$C$5:$BJ$204,0,$B46)&gt;0),--(INDEX(Matrix!$C$5:$BJ$204,0,K$3)&gt;0)))</f>
        <v/>
      </c>
      <c r="L46" s="12" t="str">
        <f aca="false">IF(OR($A46="",L$4=""),"",SUMPRODUCT(--(INDEX(Matrix!$C$5:$BJ$204,0,$B46)&gt;0),--(INDEX(Matrix!$C$5:$BJ$204,0,L$3)&gt;0)))</f>
        <v/>
      </c>
      <c r="M46" s="12" t="str">
        <f aca="false">IF(OR($A46="",M$4=""),"",SUMPRODUCT(--(INDEX(Matrix!$C$5:$BJ$204,0,$B46)&gt;0),--(INDEX(Matrix!$C$5:$BJ$204,0,M$3)&gt;0)))</f>
        <v/>
      </c>
      <c r="N46" s="12" t="str">
        <f aca="false">IF(OR($A46="",N$4=""),"",SUMPRODUCT(--(INDEX(Matrix!$C$5:$BJ$204,0,$B46)&gt;0),--(INDEX(Matrix!$C$5:$BJ$204,0,N$3)&gt;0)))</f>
        <v/>
      </c>
      <c r="O46" s="12" t="str">
        <f aca="false">IF(OR($A46="",O$4=""),"",SUMPRODUCT(--(INDEX(Matrix!$C$5:$BJ$204,0,$B46)&gt;0),--(INDEX(Matrix!$C$5:$BJ$204,0,O$3)&gt;0)))</f>
        <v/>
      </c>
      <c r="P46" s="12" t="str">
        <f aca="false">IF(OR($A46="",P$4=""),"",SUMPRODUCT(--(INDEX(Matrix!$C$5:$BJ$204,0,$B46)&gt;0),--(INDEX(Matrix!$C$5:$BJ$204,0,P$3)&gt;0)))</f>
        <v/>
      </c>
      <c r="Q46" s="12" t="str">
        <f aca="false">IF(OR($A46="",Q$4=""),"",SUMPRODUCT(--(INDEX(Matrix!$C$5:$BJ$204,0,$B46)&gt;0),--(INDEX(Matrix!$C$5:$BJ$204,0,Q$3)&gt;0)))</f>
        <v/>
      </c>
      <c r="R46" s="12" t="str">
        <f aca="false">IF(OR($A46="",R$4=""),"",SUMPRODUCT(--(INDEX(Matrix!$C$5:$BJ$204,0,$B46)&gt;0),--(INDEX(Matrix!$C$5:$BJ$204,0,R$3)&gt;0)))</f>
        <v/>
      </c>
      <c r="S46" s="12" t="str">
        <f aca="false">IF(OR($A46="",S$4=""),"",SUMPRODUCT(--(INDEX(Matrix!$C$5:$BJ$204,0,$B46)&gt;0),--(INDEX(Matrix!$C$5:$BJ$204,0,S$3)&gt;0)))</f>
        <v/>
      </c>
      <c r="T46" s="12" t="str">
        <f aca="false">IF(OR($A46="",T$4=""),"",SUMPRODUCT(--(INDEX(Matrix!$C$5:$BJ$204,0,$B46)&gt;0),--(INDEX(Matrix!$C$5:$BJ$204,0,T$3)&gt;0)))</f>
        <v/>
      </c>
      <c r="U46" s="12" t="str">
        <f aca="false">IF(OR($A46="",U$4=""),"",SUMPRODUCT(--(INDEX(Matrix!$C$5:$BJ$204,0,$B46)&gt;0),--(INDEX(Matrix!$C$5:$BJ$204,0,U$3)&gt;0)))</f>
        <v/>
      </c>
      <c r="V46" s="12" t="str">
        <f aca="false">IF(OR($A46="",V$4=""),"",SUMPRODUCT(--(INDEX(Matrix!$C$5:$BJ$204,0,$B46)&gt;0),--(INDEX(Matrix!$C$5:$BJ$204,0,V$3)&gt;0)))</f>
        <v/>
      </c>
      <c r="W46" s="12" t="str">
        <f aca="false">IF(OR($A46="",W$4=""),"",SUMPRODUCT(--(INDEX(Matrix!$C$5:$BJ$204,0,$B46)&gt;0),--(INDEX(Matrix!$C$5:$BJ$204,0,W$3)&gt;0)))</f>
        <v/>
      </c>
      <c r="X46" s="12" t="str">
        <f aca="false">IF(OR($A46="",X$4=""),"",SUMPRODUCT(--(INDEX(Matrix!$C$5:$BJ$204,0,$B46)&gt;0),--(INDEX(Matrix!$C$5:$BJ$204,0,X$3)&gt;0)))</f>
        <v/>
      </c>
      <c r="Y46" s="12" t="str">
        <f aca="false">IF(OR($A46="",Y$4=""),"",SUMPRODUCT(--(INDEX(Matrix!$C$5:$BJ$204,0,$B46)&gt;0),--(INDEX(Matrix!$C$5:$BJ$204,0,Y$3)&gt;0)))</f>
        <v/>
      </c>
      <c r="Z46" s="12" t="str">
        <f aca="false">IF(OR($A46="",Z$4=""),"",SUMPRODUCT(--(INDEX(Matrix!$C$5:$BJ$204,0,$B46)&gt;0),--(INDEX(Matrix!$C$5:$BJ$204,0,Z$3)&gt;0)))</f>
        <v/>
      </c>
      <c r="AA46" s="12" t="str">
        <f aca="false">IF(OR($A46="",AA$4=""),"",SUMPRODUCT(--(INDEX(Matrix!$C$5:$BJ$204,0,$B46)&gt;0),--(INDEX(Matrix!$C$5:$BJ$204,0,AA$3)&gt;0)))</f>
        <v/>
      </c>
      <c r="AB46" s="12" t="str">
        <f aca="false">IF(OR($A46="",AB$4=""),"",SUMPRODUCT(--(INDEX(Matrix!$C$5:$BJ$204,0,$B46)&gt;0),--(INDEX(Matrix!$C$5:$BJ$204,0,AB$3)&gt;0)))</f>
        <v/>
      </c>
      <c r="AC46" s="12" t="str">
        <f aca="false">IF(OR($A46="",AC$4=""),"",SUMPRODUCT(--(INDEX(Matrix!$C$5:$BJ$204,0,$B46)&gt;0),--(INDEX(Matrix!$C$5:$BJ$204,0,AC$3)&gt;0)))</f>
        <v/>
      </c>
      <c r="AD46" s="12" t="str">
        <f aca="false">IF(OR($A46="",AD$4=""),"",SUMPRODUCT(--(INDEX(Matrix!$C$5:$BJ$204,0,$B46)&gt;0),--(INDEX(Matrix!$C$5:$BJ$204,0,AD$3)&gt;0)))</f>
        <v/>
      </c>
      <c r="AE46" s="12" t="str">
        <f aca="false">IF(OR($A46="",AE$4=""),"",SUMPRODUCT(--(INDEX(Matrix!$C$5:$BJ$204,0,$B46)&gt;0),--(INDEX(Matrix!$C$5:$BJ$204,0,AE$3)&gt;0)))</f>
        <v/>
      </c>
      <c r="AF46" s="12" t="str">
        <f aca="false">IF(OR($A46="",AF$4=""),"",SUMPRODUCT(--(INDEX(Matrix!$C$5:$BJ$204,0,$B46)&gt;0),--(INDEX(Matrix!$C$5:$BJ$204,0,AF$3)&gt;0)))</f>
        <v/>
      </c>
      <c r="AG46" s="12" t="str">
        <f aca="false">IF(OR($A46="",AG$4=""),"",SUMPRODUCT(--(INDEX(Matrix!$C$5:$BJ$204,0,$B46)&gt;0),--(INDEX(Matrix!$C$5:$BJ$204,0,AG$3)&gt;0)))</f>
        <v/>
      </c>
      <c r="AH46" s="12" t="str">
        <f aca="false">IF(OR($A46="",AH$4=""),"",SUMPRODUCT(--(INDEX(Matrix!$C$5:$BJ$204,0,$B46)&gt;0),--(INDEX(Matrix!$C$5:$BJ$204,0,AH$3)&gt;0)))</f>
        <v/>
      </c>
      <c r="AI46" s="12" t="str">
        <f aca="false">IF(OR($A46="",AI$4=""),"",SUMPRODUCT(--(INDEX(Matrix!$C$5:$BJ$204,0,$B46)&gt;0),--(INDEX(Matrix!$C$5:$BJ$204,0,AI$3)&gt;0)))</f>
        <v/>
      </c>
      <c r="AJ46" s="12" t="str">
        <f aca="false">IF(OR($A46="",AJ$4=""),"",SUMPRODUCT(--(INDEX(Matrix!$C$5:$BJ$204,0,$B46)&gt;0),--(INDEX(Matrix!$C$5:$BJ$204,0,AJ$3)&gt;0)))</f>
        <v/>
      </c>
      <c r="AK46" s="12" t="str">
        <f aca="false">IF(OR($A46="",AK$4=""),"",SUMPRODUCT(--(INDEX(Matrix!$C$5:$BJ$204,0,$B46)&gt;0),--(INDEX(Matrix!$C$5:$BJ$204,0,AK$3)&gt;0)))</f>
        <v/>
      </c>
      <c r="AL46" s="12" t="str">
        <f aca="false">IF(OR($A46="",AL$4=""),"",SUMPRODUCT(--(INDEX(Matrix!$C$5:$BJ$204,0,$B46)&gt;0),--(INDEX(Matrix!$C$5:$BJ$204,0,AL$3)&gt;0)))</f>
        <v/>
      </c>
      <c r="AM46" s="12" t="str">
        <f aca="false">IF(OR($A46="",AM$4=""),"",SUMPRODUCT(--(INDEX(Matrix!$C$5:$BJ$204,0,$B46)&gt;0),--(INDEX(Matrix!$C$5:$BJ$204,0,AM$3)&gt;0)))</f>
        <v/>
      </c>
      <c r="AN46" s="12" t="str">
        <f aca="false">IF(OR($A46="",AN$4=""),"",SUMPRODUCT(--(INDEX(Matrix!$C$5:$BJ$204,0,$B46)&gt;0),--(INDEX(Matrix!$C$5:$BJ$204,0,AN$3)&gt;0)))</f>
        <v/>
      </c>
      <c r="AO46" s="12" t="str">
        <f aca="false">IF(OR($A46="",AO$4=""),"",SUMPRODUCT(--(INDEX(Matrix!$C$5:$BJ$204,0,$B46)&gt;0),--(INDEX(Matrix!$C$5:$BJ$204,0,AO$3)&gt;0)))</f>
        <v/>
      </c>
      <c r="AP46" s="12" t="str">
        <f aca="false">IF(OR($A46="",AP$4=""),"",SUMPRODUCT(--(INDEX(Matrix!$C$5:$BJ$204,0,$B46)&gt;0),--(INDEX(Matrix!$C$5:$BJ$204,0,AP$3)&gt;0)))</f>
        <v/>
      </c>
      <c r="AQ46" s="12" t="str">
        <f aca="false">IF(OR($A46="",AQ$4=""),"",SUMPRODUCT(--(INDEX(Matrix!$C$5:$BJ$204,0,$B46)&gt;0),--(INDEX(Matrix!$C$5:$BJ$204,0,AQ$3)&gt;0)))</f>
        <v/>
      </c>
      <c r="AR46" s="12" t="str">
        <f aca="false">IF(OR($A46="",AR$4=""),"",SUMPRODUCT(--(INDEX(Matrix!$C$5:$BJ$204,0,$B46)&gt;0),--(INDEX(Matrix!$C$5:$BJ$204,0,AR$3)&gt;0)))</f>
        <v/>
      </c>
      <c r="AS46" s="12" t="str">
        <f aca="false">IF(OR($A46="",AS$4=""),"",SUMPRODUCT(--(INDEX(Matrix!$C$5:$BJ$204,0,$B46)&gt;0),--(INDEX(Matrix!$C$5:$BJ$204,0,AS$3)&gt;0)))</f>
        <v/>
      </c>
      <c r="AT46" s="12" t="str">
        <f aca="false">IF(OR($A46="",AT$4=""),"",SUMPRODUCT(--(INDEX(Matrix!$C$5:$BJ$204,0,$B46)&gt;0),--(INDEX(Matrix!$C$5:$BJ$204,0,AT$3)&gt;0)))</f>
        <v/>
      </c>
      <c r="AU46" s="12" t="str">
        <f aca="false">IF(OR($A46="",AU$4=""),"",SUMPRODUCT(--(INDEX(Matrix!$C$5:$BJ$204,0,$B46)&gt;0),--(INDEX(Matrix!$C$5:$BJ$204,0,AU$3)&gt;0)))</f>
        <v/>
      </c>
      <c r="AV46" s="12" t="str">
        <f aca="false">IF(OR($A46="",AV$4=""),"",SUMPRODUCT(--(INDEX(Matrix!$C$5:$BJ$204,0,$B46)&gt;0),--(INDEX(Matrix!$C$5:$BJ$204,0,AV$3)&gt;0)))</f>
        <v/>
      </c>
      <c r="AW46" s="12" t="str">
        <f aca="false">IF(OR($A46="",AW$4=""),"",SUMPRODUCT(--(INDEX(Matrix!$C$5:$BJ$204,0,$B46)&gt;0),--(INDEX(Matrix!$C$5:$BJ$204,0,AW$3)&gt;0)))</f>
        <v/>
      </c>
      <c r="AX46" s="12" t="str">
        <f aca="false">IF(OR($A46="",AX$4=""),"",SUMPRODUCT(--(INDEX(Matrix!$C$5:$BJ$204,0,$B46)&gt;0),--(INDEX(Matrix!$C$5:$BJ$204,0,AX$3)&gt;0)))</f>
        <v/>
      </c>
      <c r="AY46" s="12" t="str">
        <f aca="false">IF(OR($A46="",AY$4=""),"",SUMPRODUCT(--(INDEX(Matrix!$C$5:$BJ$204,0,$B46)&gt;0),--(INDEX(Matrix!$C$5:$BJ$204,0,AY$3)&gt;0)))</f>
        <v/>
      </c>
      <c r="AZ46" s="12" t="str">
        <f aca="false">IF(OR($A46="",AZ$4=""),"",SUMPRODUCT(--(INDEX(Matrix!$C$5:$BJ$204,0,$B46)&gt;0),--(INDEX(Matrix!$C$5:$BJ$204,0,AZ$3)&gt;0)))</f>
        <v/>
      </c>
      <c r="BA46" s="12" t="str">
        <f aca="false">IF(OR($A46="",BA$4=""),"",SUMPRODUCT(--(INDEX(Matrix!$C$5:$BJ$204,0,$B46)&gt;0),--(INDEX(Matrix!$C$5:$BJ$204,0,BA$3)&gt;0)))</f>
        <v/>
      </c>
      <c r="BB46" s="12" t="str">
        <f aca="false">IF(OR($A46="",BB$4=""),"",SUMPRODUCT(--(INDEX(Matrix!$C$5:$BJ$204,0,$B46)&gt;0),--(INDEX(Matrix!$C$5:$BJ$204,0,BB$3)&gt;0)))</f>
        <v/>
      </c>
      <c r="BC46" s="12" t="str">
        <f aca="false">IF(OR($A46="",BC$4=""),"",SUMPRODUCT(--(INDEX(Matrix!$C$5:$BJ$204,0,$B46)&gt;0),--(INDEX(Matrix!$C$5:$BJ$204,0,BC$3)&gt;0)))</f>
        <v/>
      </c>
      <c r="BD46" s="12" t="str">
        <f aca="false">IF(OR($A46="",BD$4=""),"",SUMPRODUCT(--(INDEX(Matrix!$C$5:$BJ$204,0,$B46)&gt;0),--(INDEX(Matrix!$C$5:$BJ$204,0,BD$3)&gt;0)))</f>
        <v/>
      </c>
      <c r="BE46" s="12" t="str">
        <f aca="false">IF(OR($A46="",BE$4=""),"",SUMPRODUCT(--(INDEX(Matrix!$C$5:$BJ$204,0,$B46)&gt;0),--(INDEX(Matrix!$C$5:$BJ$204,0,BE$3)&gt;0)))</f>
        <v/>
      </c>
      <c r="BF46" s="12" t="str">
        <f aca="false">IF(OR($A46="",BF$4=""),"",SUMPRODUCT(--(INDEX(Matrix!$C$5:$BJ$204,0,$B46)&gt;0),--(INDEX(Matrix!$C$5:$BJ$204,0,BF$3)&gt;0)))</f>
        <v/>
      </c>
      <c r="BG46" s="12" t="str">
        <f aca="false">IF(OR($A46="",BG$4=""),"",SUMPRODUCT(--(INDEX(Matrix!$C$5:$BJ$204,0,$B46)&gt;0),--(INDEX(Matrix!$C$5:$BJ$204,0,BG$3)&gt;0)))</f>
        <v/>
      </c>
      <c r="BH46" s="12" t="str">
        <f aca="false">IF(OR($A46="",BH$4=""),"",SUMPRODUCT(--(INDEX(Matrix!$C$5:$BJ$204,0,$B46)&gt;0),--(INDEX(Matrix!$C$5:$BJ$204,0,BH$3)&gt;0)))</f>
        <v/>
      </c>
      <c r="BI46" s="12" t="str">
        <f aca="false">IF(OR($A46="",BI$4=""),"",SUMPRODUCT(--(INDEX(Matrix!$C$5:$BJ$204,0,$B46)&gt;0),--(INDEX(Matrix!$C$5:$BJ$204,0,BI$3)&gt;0)))</f>
        <v/>
      </c>
      <c r="BJ46" s="12" t="str">
        <f aca="false">IF(OR($A46="",BJ$4=""),"",SUMPRODUCT(--(INDEX(Matrix!$C$5:$BJ$204,0,$B46)&gt;0),--(INDEX(Matrix!$C$5:$BJ$204,0,BJ$3)&gt;0)))</f>
        <v/>
      </c>
    </row>
    <row r="47" customFormat="false" ht="15" hidden="false" customHeight="false" outlineLevel="0" collapsed="false">
      <c r="A47" s="6" t="str">
        <f aca="false">IF(INDEX(Products!$A$2:$A$61,$B47)="","",INDEX(Products!$A$2:$A$61,$B47))</f>
        <v/>
      </c>
      <c r="B47" s="23" t="n">
        <v>43</v>
      </c>
      <c r="C47" s="12" t="str">
        <f aca="false">IF(OR($A47="",C$4=""),"",SUMPRODUCT(--(INDEX(Matrix!$C$5:$BJ$204,0,$B47)&gt;0),--(INDEX(Matrix!$C$5:$BJ$204,0,C$3)&gt;0)))</f>
        <v/>
      </c>
      <c r="D47" s="12" t="str">
        <f aca="false">IF(OR($A47="",D$4=""),"",SUMPRODUCT(--(INDEX(Matrix!$C$5:$BJ$204,0,$B47)&gt;0),--(INDEX(Matrix!$C$5:$BJ$204,0,D$3)&gt;0)))</f>
        <v/>
      </c>
      <c r="E47" s="12" t="str">
        <f aca="false">IF(OR($A47="",E$4=""),"",SUMPRODUCT(--(INDEX(Matrix!$C$5:$BJ$204,0,$B47)&gt;0),--(INDEX(Matrix!$C$5:$BJ$204,0,E$3)&gt;0)))</f>
        <v/>
      </c>
      <c r="F47" s="12" t="str">
        <f aca="false">IF(OR($A47="",F$4=""),"",SUMPRODUCT(--(INDEX(Matrix!$C$5:$BJ$204,0,$B47)&gt;0),--(INDEX(Matrix!$C$5:$BJ$204,0,F$3)&gt;0)))</f>
        <v/>
      </c>
      <c r="G47" s="12" t="str">
        <f aca="false">IF(OR($A47="",G$4=""),"",SUMPRODUCT(--(INDEX(Matrix!$C$5:$BJ$204,0,$B47)&gt;0),--(INDEX(Matrix!$C$5:$BJ$204,0,G$3)&gt;0)))</f>
        <v/>
      </c>
      <c r="H47" s="12" t="str">
        <f aca="false">IF(OR($A47="",H$4=""),"",SUMPRODUCT(--(INDEX(Matrix!$C$5:$BJ$204,0,$B47)&gt;0),--(INDEX(Matrix!$C$5:$BJ$204,0,H$3)&gt;0)))</f>
        <v/>
      </c>
      <c r="I47" s="12" t="str">
        <f aca="false">IF(OR($A47="",I$4=""),"",SUMPRODUCT(--(INDEX(Matrix!$C$5:$BJ$204,0,$B47)&gt;0),--(INDEX(Matrix!$C$5:$BJ$204,0,I$3)&gt;0)))</f>
        <v/>
      </c>
      <c r="J47" s="12" t="str">
        <f aca="false">IF(OR($A47="",J$4=""),"",SUMPRODUCT(--(INDEX(Matrix!$C$5:$BJ$204,0,$B47)&gt;0),--(INDEX(Matrix!$C$5:$BJ$204,0,J$3)&gt;0)))</f>
        <v/>
      </c>
      <c r="K47" s="12" t="str">
        <f aca="false">IF(OR($A47="",K$4=""),"",SUMPRODUCT(--(INDEX(Matrix!$C$5:$BJ$204,0,$B47)&gt;0),--(INDEX(Matrix!$C$5:$BJ$204,0,K$3)&gt;0)))</f>
        <v/>
      </c>
      <c r="L47" s="12" t="str">
        <f aca="false">IF(OR($A47="",L$4=""),"",SUMPRODUCT(--(INDEX(Matrix!$C$5:$BJ$204,0,$B47)&gt;0),--(INDEX(Matrix!$C$5:$BJ$204,0,L$3)&gt;0)))</f>
        <v/>
      </c>
      <c r="M47" s="12" t="str">
        <f aca="false">IF(OR($A47="",M$4=""),"",SUMPRODUCT(--(INDEX(Matrix!$C$5:$BJ$204,0,$B47)&gt;0),--(INDEX(Matrix!$C$5:$BJ$204,0,M$3)&gt;0)))</f>
        <v/>
      </c>
      <c r="N47" s="12" t="str">
        <f aca="false">IF(OR($A47="",N$4=""),"",SUMPRODUCT(--(INDEX(Matrix!$C$5:$BJ$204,0,$B47)&gt;0),--(INDEX(Matrix!$C$5:$BJ$204,0,N$3)&gt;0)))</f>
        <v/>
      </c>
      <c r="O47" s="12" t="str">
        <f aca="false">IF(OR($A47="",O$4=""),"",SUMPRODUCT(--(INDEX(Matrix!$C$5:$BJ$204,0,$B47)&gt;0),--(INDEX(Matrix!$C$5:$BJ$204,0,O$3)&gt;0)))</f>
        <v/>
      </c>
      <c r="P47" s="12" t="str">
        <f aca="false">IF(OR($A47="",P$4=""),"",SUMPRODUCT(--(INDEX(Matrix!$C$5:$BJ$204,0,$B47)&gt;0),--(INDEX(Matrix!$C$5:$BJ$204,0,P$3)&gt;0)))</f>
        <v/>
      </c>
      <c r="Q47" s="12" t="str">
        <f aca="false">IF(OR($A47="",Q$4=""),"",SUMPRODUCT(--(INDEX(Matrix!$C$5:$BJ$204,0,$B47)&gt;0),--(INDEX(Matrix!$C$5:$BJ$204,0,Q$3)&gt;0)))</f>
        <v/>
      </c>
      <c r="R47" s="12" t="str">
        <f aca="false">IF(OR($A47="",R$4=""),"",SUMPRODUCT(--(INDEX(Matrix!$C$5:$BJ$204,0,$B47)&gt;0),--(INDEX(Matrix!$C$5:$BJ$204,0,R$3)&gt;0)))</f>
        <v/>
      </c>
      <c r="S47" s="12" t="str">
        <f aca="false">IF(OR($A47="",S$4=""),"",SUMPRODUCT(--(INDEX(Matrix!$C$5:$BJ$204,0,$B47)&gt;0),--(INDEX(Matrix!$C$5:$BJ$204,0,S$3)&gt;0)))</f>
        <v/>
      </c>
      <c r="T47" s="12" t="str">
        <f aca="false">IF(OR($A47="",T$4=""),"",SUMPRODUCT(--(INDEX(Matrix!$C$5:$BJ$204,0,$B47)&gt;0),--(INDEX(Matrix!$C$5:$BJ$204,0,T$3)&gt;0)))</f>
        <v/>
      </c>
      <c r="U47" s="12" t="str">
        <f aca="false">IF(OR($A47="",U$4=""),"",SUMPRODUCT(--(INDEX(Matrix!$C$5:$BJ$204,0,$B47)&gt;0),--(INDEX(Matrix!$C$5:$BJ$204,0,U$3)&gt;0)))</f>
        <v/>
      </c>
      <c r="V47" s="12" t="str">
        <f aca="false">IF(OR($A47="",V$4=""),"",SUMPRODUCT(--(INDEX(Matrix!$C$5:$BJ$204,0,$B47)&gt;0),--(INDEX(Matrix!$C$5:$BJ$204,0,V$3)&gt;0)))</f>
        <v/>
      </c>
      <c r="W47" s="12" t="str">
        <f aca="false">IF(OR($A47="",W$4=""),"",SUMPRODUCT(--(INDEX(Matrix!$C$5:$BJ$204,0,$B47)&gt;0),--(INDEX(Matrix!$C$5:$BJ$204,0,W$3)&gt;0)))</f>
        <v/>
      </c>
      <c r="X47" s="12" t="str">
        <f aca="false">IF(OR($A47="",X$4=""),"",SUMPRODUCT(--(INDEX(Matrix!$C$5:$BJ$204,0,$B47)&gt;0),--(INDEX(Matrix!$C$5:$BJ$204,0,X$3)&gt;0)))</f>
        <v/>
      </c>
      <c r="Y47" s="12" t="str">
        <f aca="false">IF(OR($A47="",Y$4=""),"",SUMPRODUCT(--(INDEX(Matrix!$C$5:$BJ$204,0,$B47)&gt;0),--(INDEX(Matrix!$C$5:$BJ$204,0,Y$3)&gt;0)))</f>
        <v/>
      </c>
      <c r="Z47" s="12" t="str">
        <f aca="false">IF(OR($A47="",Z$4=""),"",SUMPRODUCT(--(INDEX(Matrix!$C$5:$BJ$204,0,$B47)&gt;0),--(INDEX(Matrix!$C$5:$BJ$204,0,Z$3)&gt;0)))</f>
        <v/>
      </c>
      <c r="AA47" s="12" t="str">
        <f aca="false">IF(OR($A47="",AA$4=""),"",SUMPRODUCT(--(INDEX(Matrix!$C$5:$BJ$204,0,$B47)&gt;0),--(INDEX(Matrix!$C$5:$BJ$204,0,AA$3)&gt;0)))</f>
        <v/>
      </c>
      <c r="AB47" s="12" t="str">
        <f aca="false">IF(OR($A47="",AB$4=""),"",SUMPRODUCT(--(INDEX(Matrix!$C$5:$BJ$204,0,$B47)&gt;0),--(INDEX(Matrix!$C$5:$BJ$204,0,AB$3)&gt;0)))</f>
        <v/>
      </c>
      <c r="AC47" s="12" t="str">
        <f aca="false">IF(OR($A47="",AC$4=""),"",SUMPRODUCT(--(INDEX(Matrix!$C$5:$BJ$204,0,$B47)&gt;0),--(INDEX(Matrix!$C$5:$BJ$204,0,AC$3)&gt;0)))</f>
        <v/>
      </c>
      <c r="AD47" s="12" t="str">
        <f aca="false">IF(OR($A47="",AD$4=""),"",SUMPRODUCT(--(INDEX(Matrix!$C$5:$BJ$204,0,$B47)&gt;0),--(INDEX(Matrix!$C$5:$BJ$204,0,AD$3)&gt;0)))</f>
        <v/>
      </c>
      <c r="AE47" s="12" t="str">
        <f aca="false">IF(OR($A47="",AE$4=""),"",SUMPRODUCT(--(INDEX(Matrix!$C$5:$BJ$204,0,$B47)&gt;0),--(INDEX(Matrix!$C$5:$BJ$204,0,AE$3)&gt;0)))</f>
        <v/>
      </c>
      <c r="AF47" s="12" t="str">
        <f aca="false">IF(OR($A47="",AF$4=""),"",SUMPRODUCT(--(INDEX(Matrix!$C$5:$BJ$204,0,$B47)&gt;0),--(INDEX(Matrix!$C$5:$BJ$204,0,AF$3)&gt;0)))</f>
        <v/>
      </c>
      <c r="AG47" s="12" t="str">
        <f aca="false">IF(OR($A47="",AG$4=""),"",SUMPRODUCT(--(INDEX(Matrix!$C$5:$BJ$204,0,$B47)&gt;0),--(INDEX(Matrix!$C$5:$BJ$204,0,AG$3)&gt;0)))</f>
        <v/>
      </c>
      <c r="AH47" s="12" t="str">
        <f aca="false">IF(OR($A47="",AH$4=""),"",SUMPRODUCT(--(INDEX(Matrix!$C$5:$BJ$204,0,$B47)&gt;0),--(INDEX(Matrix!$C$5:$BJ$204,0,AH$3)&gt;0)))</f>
        <v/>
      </c>
      <c r="AI47" s="12" t="str">
        <f aca="false">IF(OR($A47="",AI$4=""),"",SUMPRODUCT(--(INDEX(Matrix!$C$5:$BJ$204,0,$B47)&gt;0),--(INDEX(Matrix!$C$5:$BJ$204,0,AI$3)&gt;0)))</f>
        <v/>
      </c>
      <c r="AJ47" s="12" t="str">
        <f aca="false">IF(OR($A47="",AJ$4=""),"",SUMPRODUCT(--(INDEX(Matrix!$C$5:$BJ$204,0,$B47)&gt;0),--(INDEX(Matrix!$C$5:$BJ$204,0,AJ$3)&gt;0)))</f>
        <v/>
      </c>
      <c r="AK47" s="12" t="str">
        <f aca="false">IF(OR($A47="",AK$4=""),"",SUMPRODUCT(--(INDEX(Matrix!$C$5:$BJ$204,0,$B47)&gt;0),--(INDEX(Matrix!$C$5:$BJ$204,0,AK$3)&gt;0)))</f>
        <v/>
      </c>
      <c r="AL47" s="12" t="str">
        <f aca="false">IF(OR($A47="",AL$4=""),"",SUMPRODUCT(--(INDEX(Matrix!$C$5:$BJ$204,0,$B47)&gt;0),--(INDEX(Matrix!$C$5:$BJ$204,0,AL$3)&gt;0)))</f>
        <v/>
      </c>
      <c r="AM47" s="12" t="str">
        <f aca="false">IF(OR($A47="",AM$4=""),"",SUMPRODUCT(--(INDEX(Matrix!$C$5:$BJ$204,0,$B47)&gt;0),--(INDEX(Matrix!$C$5:$BJ$204,0,AM$3)&gt;0)))</f>
        <v/>
      </c>
      <c r="AN47" s="12" t="str">
        <f aca="false">IF(OR($A47="",AN$4=""),"",SUMPRODUCT(--(INDEX(Matrix!$C$5:$BJ$204,0,$B47)&gt;0),--(INDEX(Matrix!$C$5:$BJ$204,0,AN$3)&gt;0)))</f>
        <v/>
      </c>
      <c r="AO47" s="12" t="str">
        <f aca="false">IF(OR($A47="",AO$4=""),"",SUMPRODUCT(--(INDEX(Matrix!$C$5:$BJ$204,0,$B47)&gt;0),--(INDEX(Matrix!$C$5:$BJ$204,0,AO$3)&gt;0)))</f>
        <v/>
      </c>
      <c r="AP47" s="12" t="str">
        <f aca="false">IF(OR($A47="",AP$4=""),"",SUMPRODUCT(--(INDEX(Matrix!$C$5:$BJ$204,0,$B47)&gt;0),--(INDEX(Matrix!$C$5:$BJ$204,0,AP$3)&gt;0)))</f>
        <v/>
      </c>
      <c r="AQ47" s="12" t="str">
        <f aca="false">IF(OR($A47="",AQ$4=""),"",SUMPRODUCT(--(INDEX(Matrix!$C$5:$BJ$204,0,$B47)&gt;0),--(INDEX(Matrix!$C$5:$BJ$204,0,AQ$3)&gt;0)))</f>
        <v/>
      </c>
      <c r="AR47" s="12" t="str">
        <f aca="false">IF(OR($A47="",AR$4=""),"",SUMPRODUCT(--(INDEX(Matrix!$C$5:$BJ$204,0,$B47)&gt;0),--(INDEX(Matrix!$C$5:$BJ$204,0,AR$3)&gt;0)))</f>
        <v/>
      </c>
      <c r="AS47" s="12" t="str">
        <f aca="false">IF(OR($A47="",AS$4=""),"",SUMPRODUCT(--(INDEX(Matrix!$C$5:$BJ$204,0,$B47)&gt;0),--(INDEX(Matrix!$C$5:$BJ$204,0,AS$3)&gt;0)))</f>
        <v/>
      </c>
      <c r="AT47" s="12" t="str">
        <f aca="false">IF(OR($A47="",AT$4=""),"",SUMPRODUCT(--(INDEX(Matrix!$C$5:$BJ$204,0,$B47)&gt;0),--(INDEX(Matrix!$C$5:$BJ$204,0,AT$3)&gt;0)))</f>
        <v/>
      </c>
      <c r="AU47" s="12" t="str">
        <f aca="false">IF(OR($A47="",AU$4=""),"",SUMPRODUCT(--(INDEX(Matrix!$C$5:$BJ$204,0,$B47)&gt;0),--(INDEX(Matrix!$C$5:$BJ$204,0,AU$3)&gt;0)))</f>
        <v/>
      </c>
      <c r="AV47" s="12" t="str">
        <f aca="false">IF(OR($A47="",AV$4=""),"",SUMPRODUCT(--(INDEX(Matrix!$C$5:$BJ$204,0,$B47)&gt;0),--(INDEX(Matrix!$C$5:$BJ$204,0,AV$3)&gt;0)))</f>
        <v/>
      </c>
      <c r="AW47" s="12" t="str">
        <f aca="false">IF(OR($A47="",AW$4=""),"",SUMPRODUCT(--(INDEX(Matrix!$C$5:$BJ$204,0,$B47)&gt;0),--(INDEX(Matrix!$C$5:$BJ$204,0,AW$3)&gt;0)))</f>
        <v/>
      </c>
      <c r="AX47" s="12" t="str">
        <f aca="false">IF(OR($A47="",AX$4=""),"",SUMPRODUCT(--(INDEX(Matrix!$C$5:$BJ$204,0,$B47)&gt;0),--(INDEX(Matrix!$C$5:$BJ$204,0,AX$3)&gt;0)))</f>
        <v/>
      </c>
      <c r="AY47" s="12" t="str">
        <f aca="false">IF(OR($A47="",AY$4=""),"",SUMPRODUCT(--(INDEX(Matrix!$C$5:$BJ$204,0,$B47)&gt;0),--(INDEX(Matrix!$C$5:$BJ$204,0,AY$3)&gt;0)))</f>
        <v/>
      </c>
      <c r="AZ47" s="12" t="str">
        <f aca="false">IF(OR($A47="",AZ$4=""),"",SUMPRODUCT(--(INDEX(Matrix!$C$5:$BJ$204,0,$B47)&gt;0),--(INDEX(Matrix!$C$5:$BJ$204,0,AZ$3)&gt;0)))</f>
        <v/>
      </c>
      <c r="BA47" s="12" t="str">
        <f aca="false">IF(OR($A47="",BA$4=""),"",SUMPRODUCT(--(INDEX(Matrix!$C$5:$BJ$204,0,$B47)&gt;0),--(INDEX(Matrix!$C$5:$BJ$204,0,BA$3)&gt;0)))</f>
        <v/>
      </c>
      <c r="BB47" s="12" t="str">
        <f aca="false">IF(OR($A47="",BB$4=""),"",SUMPRODUCT(--(INDEX(Matrix!$C$5:$BJ$204,0,$B47)&gt;0),--(INDEX(Matrix!$C$5:$BJ$204,0,BB$3)&gt;0)))</f>
        <v/>
      </c>
      <c r="BC47" s="12" t="str">
        <f aca="false">IF(OR($A47="",BC$4=""),"",SUMPRODUCT(--(INDEX(Matrix!$C$5:$BJ$204,0,$B47)&gt;0),--(INDEX(Matrix!$C$5:$BJ$204,0,BC$3)&gt;0)))</f>
        <v/>
      </c>
      <c r="BD47" s="12" t="str">
        <f aca="false">IF(OR($A47="",BD$4=""),"",SUMPRODUCT(--(INDEX(Matrix!$C$5:$BJ$204,0,$B47)&gt;0),--(INDEX(Matrix!$C$5:$BJ$204,0,BD$3)&gt;0)))</f>
        <v/>
      </c>
      <c r="BE47" s="12" t="str">
        <f aca="false">IF(OR($A47="",BE$4=""),"",SUMPRODUCT(--(INDEX(Matrix!$C$5:$BJ$204,0,$B47)&gt;0),--(INDEX(Matrix!$C$5:$BJ$204,0,BE$3)&gt;0)))</f>
        <v/>
      </c>
      <c r="BF47" s="12" t="str">
        <f aca="false">IF(OR($A47="",BF$4=""),"",SUMPRODUCT(--(INDEX(Matrix!$C$5:$BJ$204,0,$B47)&gt;0),--(INDEX(Matrix!$C$5:$BJ$204,0,BF$3)&gt;0)))</f>
        <v/>
      </c>
      <c r="BG47" s="12" t="str">
        <f aca="false">IF(OR($A47="",BG$4=""),"",SUMPRODUCT(--(INDEX(Matrix!$C$5:$BJ$204,0,$B47)&gt;0),--(INDEX(Matrix!$C$5:$BJ$204,0,BG$3)&gt;0)))</f>
        <v/>
      </c>
      <c r="BH47" s="12" t="str">
        <f aca="false">IF(OR($A47="",BH$4=""),"",SUMPRODUCT(--(INDEX(Matrix!$C$5:$BJ$204,0,$B47)&gt;0),--(INDEX(Matrix!$C$5:$BJ$204,0,BH$3)&gt;0)))</f>
        <v/>
      </c>
      <c r="BI47" s="12" t="str">
        <f aca="false">IF(OR($A47="",BI$4=""),"",SUMPRODUCT(--(INDEX(Matrix!$C$5:$BJ$204,0,$B47)&gt;0),--(INDEX(Matrix!$C$5:$BJ$204,0,BI$3)&gt;0)))</f>
        <v/>
      </c>
      <c r="BJ47" s="12" t="str">
        <f aca="false">IF(OR($A47="",BJ$4=""),"",SUMPRODUCT(--(INDEX(Matrix!$C$5:$BJ$204,0,$B47)&gt;0),--(INDEX(Matrix!$C$5:$BJ$204,0,BJ$3)&gt;0)))</f>
        <v/>
      </c>
    </row>
    <row r="48" customFormat="false" ht="15" hidden="false" customHeight="false" outlineLevel="0" collapsed="false">
      <c r="A48" s="6" t="str">
        <f aca="false">IF(INDEX(Products!$A$2:$A$61,$B48)="","",INDEX(Products!$A$2:$A$61,$B48))</f>
        <v/>
      </c>
      <c r="B48" s="23" t="n">
        <v>44</v>
      </c>
      <c r="C48" s="12" t="str">
        <f aca="false">IF(OR($A48="",C$4=""),"",SUMPRODUCT(--(INDEX(Matrix!$C$5:$BJ$204,0,$B48)&gt;0),--(INDEX(Matrix!$C$5:$BJ$204,0,C$3)&gt;0)))</f>
        <v/>
      </c>
      <c r="D48" s="12" t="str">
        <f aca="false">IF(OR($A48="",D$4=""),"",SUMPRODUCT(--(INDEX(Matrix!$C$5:$BJ$204,0,$B48)&gt;0),--(INDEX(Matrix!$C$5:$BJ$204,0,D$3)&gt;0)))</f>
        <v/>
      </c>
      <c r="E48" s="12" t="str">
        <f aca="false">IF(OR($A48="",E$4=""),"",SUMPRODUCT(--(INDEX(Matrix!$C$5:$BJ$204,0,$B48)&gt;0),--(INDEX(Matrix!$C$5:$BJ$204,0,E$3)&gt;0)))</f>
        <v/>
      </c>
      <c r="F48" s="12" t="str">
        <f aca="false">IF(OR($A48="",F$4=""),"",SUMPRODUCT(--(INDEX(Matrix!$C$5:$BJ$204,0,$B48)&gt;0),--(INDEX(Matrix!$C$5:$BJ$204,0,F$3)&gt;0)))</f>
        <v/>
      </c>
      <c r="G48" s="12" t="str">
        <f aca="false">IF(OR($A48="",G$4=""),"",SUMPRODUCT(--(INDEX(Matrix!$C$5:$BJ$204,0,$B48)&gt;0),--(INDEX(Matrix!$C$5:$BJ$204,0,G$3)&gt;0)))</f>
        <v/>
      </c>
      <c r="H48" s="12" t="str">
        <f aca="false">IF(OR($A48="",H$4=""),"",SUMPRODUCT(--(INDEX(Matrix!$C$5:$BJ$204,0,$B48)&gt;0),--(INDEX(Matrix!$C$5:$BJ$204,0,H$3)&gt;0)))</f>
        <v/>
      </c>
      <c r="I48" s="12" t="str">
        <f aca="false">IF(OR($A48="",I$4=""),"",SUMPRODUCT(--(INDEX(Matrix!$C$5:$BJ$204,0,$B48)&gt;0),--(INDEX(Matrix!$C$5:$BJ$204,0,I$3)&gt;0)))</f>
        <v/>
      </c>
      <c r="J48" s="12" t="str">
        <f aca="false">IF(OR($A48="",J$4=""),"",SUMPRODUCT(--(INDEX(Matrix!$C$5:$BJ$204,0,$B48)&gt;0),--(INDEX(Matrix!$C$5:$BJ$204,0,J$3)&gt;0)))</f>
        <v/>
      </c>
      <c r="K48" s="12" t="str">
        <f aca="false">IF(OR($A48="",K$4=""),"",SUMPRODUCT(--(INDEX(Matrix!$C$5:$BJ$204,0,$B48)&gt;0),--(INDEX(Matrix!$C$5:$BJ$204,0,K$3)&gt;0)))</f>
        <v/>
      </c>
      <c r="L48" s="12" t="str">
        <f aca="false">IF(OR($A48="",L$4=""),"",SUMPRODUCT(--(INDEX(Matrix!$C$5:$BJ$204,0,$B48)&gt;0),--(INDEX(Matrix!$C$5:$BJ$204,0,L$3)&gt;0)))</f>
        <v/>
      </c>
      <c r="M48" s="12" t="str">
        <f aca="false">IF(OR($A48="",M$4=""),"",SUMPRODUCT(--(INDEX(Matrix!$C$5:$BJ$204,0,$B48)&gt;0),--(INDEX(Matrix!$C$5:$BJ$204,0,M$3)&gt;0)))</f>
        <v/>
      </c>
      <c r="N48" s="12" t="str">
        <f aca="false">IF(OR($A48="",N$4=""),"",SUMPRODUCT(--(INDEX(Matrix!$C$5:$BJ$204,0,$B48)&gt;0),--(INDEX(Matrix!$C$5:$BJ$204,0,N$3)&gt;0)))</f>
        <v/>
      </c>
      <c r="O48" s="12" t="str">
        <f aca="false">IF(OR($A48="",O$4=""),"",SUMPRODUCT(--(INDEX(Matrix!$C$5:$BJ$204,0,$B48)&gt;0),--(INDEX(Matrix!$C$5:$BJ$204,0,O$3)&gt;0)))</f>
        <v/>
      </c>
      <c r="P48" s="12" t="str">
        <f aca="false">IF(OR($A48="",P$4=""),"",SUMPRODUCT(--(INDEX(Matrix!$C$5:$BJ$204,0,$B48)&gt;0),--(INDEX(Matrix!$C$5:$BJ$204,0,P$3)&gt;0)))</f>
        <v/>
      </c>
      <c r="Q48" s="12" t="str">
        <f aca="false">IF(OR($A48="",Q$4=""),"",SUMPRODUCT(--(INDEX(Matrix!$C$5:$BJ$204,0,$B48)&gt;0),--(INDEX(Matrix!$C$5:$BJ$204,0,Q$3)&gt;0)))</f>
        <v/>
      </c>
      <c r="R48" s="12" t="str">
        <f aca="false">IF(OR($A48="",R$4=""),"",SUMPRODUCT(--(INDEX(Matrix!$C$5:$BJ$204,0,$B48)&gt;0),--(INDEX(Matrix!$C$5:$BJ$204,0,R$3)&gt;0)))</f>
        <v/>
      </c>
      <c r="S48" s="12" t="str">
        <f aca="false">IF(OR($A48="",S$4=""),"",SUMPRODUCT(--(INDEX(Matrix!$C$5:$BJ$204,0,$B48)&gt;0),--(INDEX(Matrix!$C$5:$BJ$204,0,S$3)&gt;0)))</f>
        <v/>
      </c>
      <c r="T48" s="12" t="str">
        <f aca="false">IF(OR($A48="",T$4=""),"",SUMPRODUCT(--(INDEX(Matrix!$C$5:$BJ$204,0,$B48)&gt;0),--(INDEX(Matrix!$C$5:$BJ$204,0,T$3)&gt;0)))</f>
        <v/>
      </c>
      <c r="U48" s="12" t="str">
        <f aca="false">IF(OR($A48="",U$4=""),"",SUMPRODUCT(--(INDEX(Matrix!$C$5:$BJ$204,0,$B48)&gt;0),--(INDEX(Matrix!$C$5:$BJ$204,0,U$3)&gt;0)))</f>
        <v/>
      </c>
      <c r="V48" s="12" t="str">
        <f aca="false">IF(OR($A48="",V$4=""),"",SUMPRODUCT(--(INDEX(Matrix!$C$5:$BJ$204,0,$B48)&gt;0),--(INDEX(Matrix!$C$5:$BJ$204,0,V$3)&gt;0)))</f>
        <v/>
      </c>
      <c r="W48" s="12" t="str">
        <f aca="false">IF(OR($A48="",W$4=""),"",SUMPRODUCT(--(INDEX(Matrix!$C$5:$BJ$204,0,$B48)&gt;0),--(INDEX(Matrix!$C$5:$BJ$204,0,W$3)&gt;0)))</f>
        <v/>
      </c>
      <c r="X48" s="12" t="str">
        <f aca="false">IF(OR($A48="",X$4=""),"",SUMPRODUCT(--(INDEX(Matrix!$C$5:$BJ$204,0,$B48)&gt;0),--(INDEX(Matrix!$C$5:$BJ$204,0,X$3)&gt;0)))</f>
        <v/>
      </c>
      <c r="Y48" s="12" t="str">
        <f aca="false">IF(OR($A48="",Y$4=""),"",SUMPRODUCT(--(INDEX(Matrix!$C$5:$BJ$204,0,$B48)&gt;0),--(INDEX(Matrix!$C$5:$BJ$204,0,Y$3)&gt;0)))</f>
        <v/>
      </c>
      <c r="Z48" s="12" t="str">
        <f aca="false">IF(OR($A48="",Z$4=""),"",SUMPRODUCT(--(INDEX(Matrix!$C$5:$BJ$204,0,$B48)&gt;0),--(INDEX(Matrix!$C$5:$BJ$204,0,Z$3)&gt;0)))</f>
        <v/>
      </c>
      <c r="AA48" s="12" t="str">
        <f aca="false">IF(OR($A48="",AA$4=""),"",SUMPRODUCT(--(INDEX(Matrix!$C$5:$BJ$204,0,$B48)&gt;0),--(INDEX(Matrix!$C$5:$BJ$204,0,AA$3)&gt;0)))</f>
        <v/>
      </c>
      <c r="AB48" s="12" t="str">
        <f aca="false">IF(OR($A48="",AB$4=""),"",SUMPRODUCT(--(INDEX(Matrix!$C$5:$BJ$204,0,$B48)&gt;0),--(INDEX(Matrix!$C$5:$BJ$204,0,AB$3)&gt;0)))</f>
        <v/>
      </c>
      <c r="AC48" s="12" t="str">
        <f aca="false">IF(OR($A48="",AC$4=""),"",SUMPRODUCT(--(INDEX(Matrix!$C$5:$BJ$204,0,$B48)&gt;0),--(INDEX(Matrix!$C$5:$BJ$204,0,AC$3)&gt;0)))</f>
        <v/>
      </c>
      <c r="AD48" s="12" t="str">
        <f aca="false">IF(OR($A48="",AD$4=""),"",SUMPRODUCT(--(INDEX(Matrix!$C$5:$BJ$204,0,$B48)&gt;0),--(INDEX(Matrix!$C$5:$BJ$204,0,AD$3)&gt;0)))</f>
        <v/>
      </c>
      <c r="AE48" s="12" t="str">
        <f aca="false">IF(OR($A48="",AE$4=""),"",SUMPRODUCT(--(INDEX(Matrix!$C$5:$BJ$204,0,$B48)&gt;0),--(INDEX(Matrix!$C$5:$BJ$204,0,AE$3)&gt;0)))</f>
        <v/>
      </c>
      <c r="AF48" s="12" t="str">
        <f aca="false">IF(OR($A48="",AF$4=""),"",SUMPRODUCT(--(INDEX(Matrix!$C$5:$BJ$204,0,$B48)&gt;0),--(INDEX(Matrix!$C$5:$BJ$204,0,AF$3)&gt;0)))</f>
        <v/>
      </c>
      <c r="AG48" s="12" t="str">
        <f aca="false">IF(OR($A48="",AG$4=""),"",SUMPRODUCT(--(INDEX(Matrix!$C$5:$BJ$204,0,$B48)&gt;0),--(INDEX(Matrix!$C$5:$BJ$204,0,AG$3)&gt;0)))</f>
        <v/>
      </c>
      <c r="AH48" s="12" t="str">
        <f aca="false">IF(OR($A48="",AH$4=""),"",SUMPRODUCT(--(INDEX(Matrix!$C$5:$BJ$204,0,$B48)&gt;0),--(INDEX(Matrix!$C$5:$BJ$204,0,AH$3)&gt;0)))</f>
        <v/>
      </c>
      <c r="AI48" s="12" t="str">
        <f aca="false">IF(OR($A48="",AI$4=""),"",SUMPRODUCT(--(INDEX(Matrix!$C$5:$BJ$204,0,$B48)&gt;0),--(INDEX(Matrix!$C$5:$BJ$204,0,AI$3)&gt;0)))</f>
        <v/>
      </c>
      <c r="AJ48" s="12" t="str">
        <f aca="false">IF(OR($A48="",AJ$4=""),"",SUMPRODUCT(--(INDEX(Matrix!$C$5:$BJ$204,0,$B48)&gt;0),--(INDEX(Matrix!$C$5:$BJ$204,0,AJ$3)&gt;0)))</f>
        <v/>
      </c>
      <c r="AK48" s="12" t="str">
        <f aca="false">IF(OR($A48="",AK$4=""),"",SUMPRODUCT(--(INDEX(Matrix!$C$5:$BJ$204,0,$B48)&gt;0),--(INDEX(Matrix!$C$5:$BJ$204,0,AK$3)&gt;0)))</f>
        <v/>
      </c>
      <c r="AL48" s="12" t="str">
        <f aca="false">IF(OR($A48="",AL$4=""),"",SUMPRODUCT(--(INDEX(Matrix!$C$5:$BJ$204,0,$B48)&gt;0),--(INDEX(Matrix!$C$5:$BJ$204,0,AL$3)&gt;0)))</f>
        <v/>
      </c>
      <c r="AM48" s="12" t="str">
        <f aca="false">IF(OR($A48="",AM$4=""),"",SUMPRODUCT(--(INDEX(Matrix!$C$5:$BJ$204,0,$B48)&gt;0),--(INDEX(Matrix!$C$5:$BJ$204,0,AM$3)&gt;0)))</f>
        <v/>
      </c>
      <c r="AN48" s="12" t="str">
        <f aca="false">IF(OR($A48="",AN$4=""),"",SUMPRODUCT(--(INDEX(Matrix!$C$5:$BJ$204,0,$B48)&gt;0),--(INDEX(Matrix!$C$5:$BJ$204,0,AN$3)&gt;0)))</f>
        <v/>
      </c>
      <c r="AO48" s="12" t="str">
        <f aca="false">IF(OR($A48="",AO$4=""),"",SUMPRODUCT(--(INDEX(Matrix!$C$5:$BJ$204,0,$B48)&gt;0),--(INDEX(Matrix!$C$5:$BJ$204,0,AO$3)&gt;0)))</f>
        <v/>
      </c>
      <c r="AP48" s="12" t="str">
        <f aca="false">IF(OR($A48="",AP$4=""),"",SUMPRODUCT(--(INDEX(Matrix!$C$5:$BJ$204,0,$B48)&gt;0),--(INDEX(Matrix!$C$5:$BJ$204,0,AP$3)&gt;0)))</f>
        <v/>
      </c>
      <c r="AQ48" s="12" t="str">
        <f aca="false">IF(OR($A48="",AQ$4=""),"",SUMPRODUCT(--(INDEX(Matrix!$C$5:$BJ$204,0,$B48)&gt;0),--(INDEX(Matrix!$C$5:$BJ$204,0,AQ$3)&gt;0)))</f>
        <v/>
      </c>
      <c r="AR48" s="12" t="str">
        <f aca="false">IF(OR($A48="",AR$4=""),"",SUMPRODUCT(--(INDEX(Matrix!$C$5:$BJ$204,0,$B48)&gt;0),--(INDEX(Matrix!$C$5:$BJ$204,0,AR$3)&gt;0)))</f>
        <v/>
      </c>
      <c r="AS48" s="12" t="str">
        <f aca="false">IF(OR($A48="",AS$4=""),"",SUMPRODUCT(--(INDEX(Matrix!$C$5:$BJ$204,0,$B48)&gt;0),--(INDEX(Matrix!$C$5:$BJ$204,0,AS$3)&gt;0)))</f>
        <v/>
      </c>
      <c r="AT48" s="12" t="str">
        <f aca="false">IF(OR($A48="",AT$4=""),"",SUMPRODUCT(--(INDEX(Matrix!$C$5:$BJ$204,0,$B48)&gt;0),--(INDEX(Matrix!$C$5:$BJ$204,0,AT$3)&gt;0)))</f>
        <v/>
      </c>
      <c r="AU48" s="12" t="str">
        <f aca="false">IF(OR($A48="",AU$4=""),"",SUMPRODUCT(--(INDEX(Matrix!$C$5:$BJ$204,0,$B48)&gt;0),--(INDEX(Matrix!$C$5:$BJ$204,0,AU$3)&gt;0)))</f>
        <v/>
      </c>
      <c r="AV48" s="12" t="str">
        <f aca="false">IF(OR($A48="",AV$4=""),"",SUMPRODUCT(--(INDEX(Matrix!$C$5:$BJ$204,0,$B48)&gt;0),--(INDEX(Matrix!$C$5:$BJ$204,0,AV$3)&gt;0)))</f>
        <v/>
      </c>
      <c r="AW48" s="12" t="str">
        <f aca="false">IF(OR($A48="",AW$4=""),"",SUMPRODUCT(--(INDEX(Matrix!$C$5:$BJ$204,0,$B48)&gt;0),--(INDEX(Matrix!$C$5:$BJ$204,0,AW$3)&gt;0)))</f>
        <v/>
      </c>
      <c r="AX48" s="12" t="str">
        <f aca="false">IF(OR($A48="",AX$4=""),"",SUMPRODUCT(--(INDEX(Matrix!$C$5:$BJ$204,0,$B48)&gt;0),--(INDEX(Matrix!$C$5:$BJ$204,0,AX$3)&gt;0)))</f>
        <v/>
      </c>
      <c r="AY48" s="12" t="str">
        <f aca="false">IF(OR($A48="",AY$4=""),"",SUMPRODUCT(--(INDEX(Matrix!$C$5:$BJ$204,0,$B48)&gt;0),--(INDEX(Matrix!$C$5:$BJ$204,0,AY$3)&gt;0)))</f>
        <v/>
      </c>
      <c r="AZ48" s="12" t="str">
        <f aca="false">IF(OR($A48="",AZ$4=""),"",SUMPRODUCT(--(INDEX(Matrix!$C$5:$BJ$204,0,$B48)&gt;0),--(INDEX(Matrix!$C$5:$BJ$204,0,AZ$3)&gt;0)))</f>
        <v/>
      </c>
      <c r="BA48" s="12" t="str">
        <f aca="false">IF(OR($A48="",BA$4=""),"",SUMPRODUCT(--(INDEX(Matrix!$C$5:$BJ$204,0,$B48)&gt;0),--(INDEX(Matrix!$C$5:$BJ$204,0,BA$3)&gt;0)))</f>
        <v/>
      </c>
      <c r="BB48" s="12" t="str">
        <f aca="false">IF(OR($A48="",BB$4=""),"",SUMPRODUCT(--(INDEX(Matrix!$C$5:$BJ$204,0,$B48)&gt;0),--(INDEX(Matrix!$C$5:$BJ$204,0,BB$3)&gt;0)))</f>
        <v/>
      </c>
      <c r="BC48" s="12" t="str">
        <f aca="false">IF(OR($A48="",BC$4=""),"",SUMPRODUCT(--(INDEX(Matrix!$C$5:$BJ$204,0,$B48)&gt;0),--(INDEX(Matrix!$C$5:$BJ$204,0,BC$3)&gt;0)))</f>
        <v/>
      </c>
      <c r="BD48" s="12" t="str">
        <f aca="false">IF(OR($A48="",BD$4=""),"",SUMPRODUCT(--(INDEX(Matrix!$C$5:$BJ$204,0,$B48)&gt;0),--(INDEX(Matrix!$C$5:$BJ$204,0,BD$3)&gt;0)))</f>
        <v/>
      </c>
      <c r="BE48" s="12" t="str">
        <f aca="false">IF(OR($A48="",BE$4=""),"",SUMPRODUCT(--(INDEX(Matrix!$C$5:$BJ$204,0,$B48)&gt;0),--(INDEX(Matrix!$C$5:$BJ$204,0,BE$3)&gt;0)))</f>
        <v/>
      </c>
      <c r="BF48" s="12" t="str">
        <f aca="false">IF(OR($A48="",BF$4=""),"",SUMPRODUCT(--(INDEX(Matrix!$C$5:$BJ$204,0,$B48)&gt;0),--(INDEX(Matrix!$C$5:$BJ$204,0,BF$3)&gt;0)))</f>
        <v/>
      </c>
      <c r="BG48" s="12" t="str">
        <f aca="false">IF(OR($A48="",BG$4=""),"",SUMPRODUCT(--(INDEX(Matrix!$C$5:$BJ$204,0,$B48)&gt;0),--(INDEX(Matrix!$C$5:$BJ$204,0,BG$3)&gt;0)))</f>
        <v/>
      </c>
      <c r="BH48" s="12" t="str">
        <f aca="false">IF(OR($A48="",BH$4=""),"",SUMPRODUCT(--(INDEX(Matrix!$C$5:$BJ$204,0,$B48)&gt;0),--(INDEX(Matrix!$C$5:$BJ$204,0,BH$3)&gt;0)))</f>
        <v/>
      </c>
      <c r="BI48" s="12" t="str">
        <f aca="false">IF(OR($A48="",BI$4=""),"",SUMPRODUCT(--(INDEX(Matrix!$C$5:$BJ$204,0,$B48)&gt;0),--(INDEX(Matrix!$C$5:$BJ$204,0,BI$3)&gt;0)))</f>
        <v/>
      </c>
      <c r="BJ48" s="12" t="str">
        <f aca="false">IF(OR($A48="",BJ$4=""),"",SUMPRODUCT(--(INDEX(Matrix!$C$5:$BJ$204,0,$B48)&gt;0),--(INDEX(Matrix!$C$5:$BJ$204,0,BJ$3)&gt;0)))</f>
        <v/>
      </c>
    </row>
    <row r="49" customFormat="false" ht="15" hidden="false" customHeight="false" outlineLevel="0" collapsed="false">
      <c r="A49" s="6" t="str">
        <f aca="false">IF(INDEX(Products!$A$2:$A$61,$B49)="","",INDEX(Products!$A$2:$A$61,$B49))</f>
        <v/>
      </c>
      <c r="B49" s="23" t="n">
        <v>45</v>
      </c>
      <c r="C49" s="12" t="str">
        <f aca="false">IF(OR($A49="",C$4=""),"",SUMPRODUCT(--(INDEX(Matrix!$C$5:$BJ$204,0,$B49)&gt;0),--(INDEX(Matrix!$C$5:$BJ$204,0,C$3)&gt;0)))</f>
        <v/>
      </c>
      <c r="D49" s="12" t="str">
        <f aca="false">IF(OR($A49="",D$4=""),"",SUMPRODUCT(--(INDEX(Matrix!$C$5:$BJ$204,0,$B49)&gt;0),--(INDEX(Matrix!$C$5:$BJ$204,0,D$3)&gt;0)))</f>
        <v/>
      </c>
      <c r="E49" s="12" t="str">
        <f aca="false">IF(OR($A49="",E$4=""),"",SUMPRODUCT(--(INDEX(Matrix!$C$5:$BJ$204,0,$B49)&gt;0),--(INDEX(Matrix!$C$5:$BJ$204,0,E$3)&gt;0)))</f>
        <v/>
      </c>
      <c r="F49" s="12" t="str">
        <f aca="false">IF(OR($A49="",F$4=""),"",SUMPRODUCT(--(INDEX(Matrix!$C$5:$BJ$204,0,$B49)&gt;0),--(INDEX(Matrix!$C$5:$BJ$204,0,F$3)&gt;0)))</f>
        <v/>
      </c>
      <c r="G49" s="12" t="str">
        <f aca="false">IF(OR($A49="",G$4=""),"",SUMPRODUCT(--(INDEX(Matrix!$C$5:$BJ$204,0,$B49)&gt;0),--(INDEX(Matrix!$C$5:$BJ$204,0,G$3)&gt;0)))</f>
        <v/>
      </c>
      <c r="H49" s="12" t="str">
        <f aca="false">IF(OR($A49="",H$4=""),"",SUMPRODUCT(--(INDEX(Matrix!$C$5:$BJ$204,0,$B49)&gt;0),--(INDEX(Matrix!$C$5:$BJ$204,0,H$3)&gt;0)))</f>
        <v/>
      </c>
      <c r="I49" s="12" t="str">
        <f aca="false">IF(OR($A49="",I$4=""),"",SUMPRODUCT(--(INDEX(Matrix!$C$5:$BJ$204,0,$B49)&gt;0),--(INDEX(Matrix!$C$5:$BJ$204,0,I$3)&gt;0)))</f>
        <v/>
      </c>
      <c r="J49" s="12" t="str">
        <f aca="false">IF(OR($A49="",J$4=""),"",SUMPRODUCT(--(INDEX(Matrix!$C$5:$BJ$204,0,$B49)&gt;0),--(INDEX(Matrix!$C$5:$BJ$204,0,J$3)&gt;0)))</f>
        <v/>
      </c>
      <c r="K49" s="12" t="str">
        <f aca="false">IF(OR($A49="",K$4=""),"",SUMPRODUCT(--(INDEX(Matrix!$C$5:$BJ$204,0,$B49)&gt;0),--(INDEX(Matrix!$C$5:$BJ$204,0,K$3)&gt;0)))</f>
        <v/>
      </c>
      <c r="L49" s="12" t="str">
        <f aca="false">IF(OR($A49="",L$4=""),"",SUMPRODUCT(--(INDEX(Matrix!$C$5:$BJ$204,0,$B49)&gt;0),--(INDEX(Matrix!$C$5:$BJ$204,0,L$3)&gt;0)))</f>
        <v/>
      </c>
      <c r="M49" s="12" t="str">
        <f aca="false">IF(OR($A49="",M$4=""),"",SUMPRODUCT(--(INDEX(Matrix!$C$5:$BJ$204,0,$B49)&gt;0),--(INDEX(Matrix!$C$5:$BJ$204,0,M$3)&gt;0)))</f>
        <v/>
      </c>
      <c r="N49" s="12" t="str">
        <f aca="false">IF(OR($A49="",N$4=""),"",SUMPRODUCT(--(INDEX(Matrix!$C$5:$BJ$204,0,$B49)&gt;0),--(INDEX(Matrix!$C$5:$BJ$204,0,N$3)&gt;0)))</f>
        <v/>
      </c>
      <c r="O49" s="12" t="str">
        <f aca="false">IF(OR($A49="",O$4=""),"",SUMPRODUCT(--(INDEX(Matrix!$C$5:$BJ$204,0,$B49)&gt;0),--(INDEX(Matrix!$C$5:$BJ$204,0,O$3)&gt;0)))</f>
        <v/>
      </c>
      <c r="P49" s="12" t="str">
        <f aca="false">IF(OR($A49="",P$4=""),"",SUMPRODUCT(--(INDEX(Matrix!$C$5:$BJ$204,0,$B49)&gt;0),--(INDEX(Matrix!$C$5:$BJ$204,0,P$3)&gt;0)))</f>
        <v/>
      </c>
      <c r="Q49" s="12" t="str">
        <f aca="false">IF(OR($A49="",Q$4=""),"",SUMPRODUCT(--(INDEX(Matrix!$C$5:$BJ$204,0,$B49)&gt;0),--(INDEX(Matrix!$C$5:$BJ$204,0,Q$3)&gt;0)))</f>
        <v/>
      </c>
      <c r="R49" s="12" t="str">
        <f aca="false">IF(OR($A49="",R$4=""),"",SUMPRODUCT(--(INDEX(Matrix!$C$5:$BJ$204,0,$B49)&gt;0),--(INDEX(Matrix!$C$5:$BJ$204,0,R$3)&gt;0)))</f>
        <v/>
      </c>
      <c r="S49" s="12" t="str">
        <f aca="false">IF(OR($A49="",S$4=""),"",SUMPRODUCT(--(INDEX(Matrix!$C$5:$BJ$204,0,$B49)&gt;0),--(INDEX(Matrix!$C$5:$BJ$204,0,S$3)&gt;0)))</f>
        <v/>
      </c>
      <c r="T49" s="12" t="str">
        <f aca="false">IF(OR($A49="",T$4=""),"",SUMPRODUCT(--(INDEX(Matrix!$C$5:$BJ$204,0,$B49)&gt;0),--(INDEX(Matrix!$C$5:$BJ$204,0,T$3)&gt;0)))</f>
        <v/>
      </c>
      <c r="U49" s="12" t="str">
        <f aca="false">IF(OR($A49="",U$4=""),"",SUMPRODUCT(--(INDEX(Matrix!$C$5:$BJ$204,0,$B49)&gt;0),--(INDEX(Matrix!$C$5:$BJ$204,0,U$3)&gt;0)))</f>
        <v/>
      </c>
      <c r="V49" s="12" t="str">
        <f aca="false">IF(OR($A49="",V$4=""),"",SUMPRODUCT(--(INDEX(Matrix!$C$5:$BJ$204,0,$B49)&gt;0),--(INDEX(Matrix!$C$5:$BJ$204,0,V$3)&gt;0)))</f>
        <v/>
      </c>
      <c r="W49" s="12" t="str">
        <f aca="false">IF(OR($A49="",W$4=""),"",SUMPRODUCT(--(INDEX(Matrix!$C$5:$BJ$204,0,$B49)&gt;0),--(INDEX(Matrix!$C$5:$BJ$204,0,W$3)&gt;0)))</f>
        <v/>
      </c>
      <c r="X49" s="12" t="str">
        <f aca="false">IF(OR($A49="",X$4=""),"",SUMPRODUCT(--(INDEX(Matrix!$C$5:$BJ$204,0,$B49)&gt;0),--(INDEX(Matrix!$C$5:$BJ$204,0,X$3)&gt;0)))</f>
        <v/>
      </c>
      <c r="Y49" s="12" t="str">
        <f aca="false">IF(OR($A49="",Y$4=""),"",SUMPRODUCT(--(INDEX(Matrix!$C$5:$BJ$204,0,$B49)&gt;0),--(INDEX(Matrix!$C$5:$BJ$204,0,Y$3)&gt;0)))</f>
        <v/>
      </c>
      <c r="Z49" s="12" t="str">
        <f aca="false">IF(OR($A49="",Z$4=""),"",SUMPRODUCT(--(INDEX(Matrix!$C$5:$BJ$204,0,$B49)&gt;0),--(INDEX(Matrix!$C$5:$BJ$204,0,Z$3)&gt;0)))</f>
        <v/>
      </c>
      <c r="AA49" s="12" t="str">
        <f aca="false">IF(OR($A49="",AA$4=""),"",SUMPRODUCT(--(INDEX(Matrix!$C$5:$BJ$204,0,$B49)&gt;0),--(INDEX(Matrix!$C$5:$BJ$204,0,AA$3)&gt;0)))</f>
        <v/>
      </c>
      <c r="AB49" s="12" t="str">
        <f aca="false">IF(OR($A49="",AB$4=""),"",SUMPRODUCT(--(INDEX(Matrix!$C$5:$BJ$204,0,$B49)&gt;0),--(INDEX(Matrix!$C$5:$BJ$204,0,AB$3)&gt;0)))</f>
        <v/>
      </c>
      <c r="AC49" s="12" t="str">
        <f aca="false">IF(OR($A49="",AC$4=""),"",SUMPRODUCT(--(INDEX(Matrix!$C$5:$BJ$204,0,$B49)&gt;0),--(INDEX(Matrix!$C$5:$BJ$204,0,AC$3)&gt;0)))</f>
        <v/>
      </c>
      <c r="AD49" s="12" t="str">
        <f aca="false">IF(OR($A49="",AD$4=""),"",SUMPRODUCT(--(INDEX(Matrix!$C$5:$BJ$204,0,$B49)&gt;0),--(INDEX(Matrix!$C$5:$BJ$204,0,AD$3)&gt;0)))</f>
        <v/>
      </c>
      <c r="AE49" s="12" t="str">
        <f aca="false">IF(OR($A49="",AE$4=""),"",SUMPRODUCT(--(INDEX(Matrix!$C$5:$BJ$204,0,$B49)&gt;0),--(INDEX(Matrix!$C$5:$BJ$204,0,AE$3)&gt;0)))</f>
        <v/>
      </c>
      <c r="AF49" s="12" t="str">
        <f aca="false">IF(OR($A49="",AF$4=""),"",SUMPRODUCT(--(INDEX(Matrix!$C$5:$BJ$204,0,$B49)&gt;0),--(INDEX(Matrix!$C$5:$BJ$204,0,AF$3)&gt;0)))</f>
        <v/>
      </c>
      <c r="AG49" s="12" t="str">
        <f aca="false">IF(OR($A49="",AG$4=""),"",SUMPRODUCT(--(INDEX(Matrix!$C$5:$BJ$204,0,$B49)&gt;0),--(INDEX(Matrix!$C$5:$BJ$204,0,AG$3)&gt;0)))</f>
        <v/>
      </c>
      <c r="AH49" s="12" t="str">
        <f aca="false">IF(OR($A49="",AH$4=""),"",SUMPRODUCT(--(INDEX(Matrix!$C$5:$BJ$204,0,$B49)&gt;0),--(INDEX(Matrix!$C$5:$BJ$204,0,AH$3)&gt;0)))</f>
        <v/>
      </c>
      <c r="AI49" s="12" t="str">
        <f aca="false">IF(OR($A49="",AI$4=""),"",SUMPRODUCT(--(INDEX(Matrix!$C$5:$BJ$204,0,$B49)&gt;0),--(INDEX(Matrix!$C$5:$BJ$204,0,AI$3)&gt;0)))</f>
        <v/>
      </c>
      <c r="AJ49" s="12" t="str">
        <f aca="false">IF(OR($A49="",AJ$4=""),"",SUMPRODUCT(--(INDEX(Matrix!$C$5:$BJ$204,0,$B49)&gt;0),--(INDEX(Matrix!$C$5:$BJ$204,0,AJ$3)&gt;0)))</f>
        <v/>
      </c>
      <c r="AK49" s="12" t="str">
        <f aca="false">IF(OR($A49="",AK$4=""),"",SUMPRODUCT(--(INDEX(Matrix!$C$5:$BJ$204,0,$B49)&gt;0),--(INDEX(Matrix!$C$5:$BJ$204,0,AK$3)&gt;0)))</f>
        <v/>
      </c>
      <c r="AL49" s="12" t="str">
        <f aca="false">IF(OR($A49="",AL$4=""),"",SUMPRODUCT(--(INDEX(Matrix!$C$5:$BJ$204,0,$B49)&gt;0),--(INDEX(Matrix!$C$5:$BJ$204,0,AL$3)&gt;0)))</f>
        <v/>
      </c>
      <c r="AM49" s="12" t="str">
        <f aca="false">IF(OR($A49="",AM$4=""),"",SUMPRODUCT(--(INDEX(Matrix!$C$5:$BJ$204,0,$B49)&gt;0),--(INDEX(Matrix!$C$5:$BJ$204,0,AM$3)&gt;0)))</f>
        <v/>
      </c>
      <c r="AN49" s="12" t="str">
        <f aca="false">IF(OR($A49="",AN$4=""),"",SUMPRODUCT(--(INDEX(Matrix!$C$5:$BJ$204,0,$B49)&gt;0),--(INDEX(Matrix!$C$5:$BJ$204,0,AN$3)&gt;0)))</f>
        <v/>
      </c>
      <c r="AO49" s="12" t="str">
        <f aca="false">IF(OR($A49="",AO$4=""),"",SUMPRODUCT(--(INDEX(Matrix!$C$5:$BJ$204,0,$B49)&gt;0),--(INDEX(Matrix!$C$5:$BJ$204,0,AO$3)&gt;0)))</f>
        <v/>
      </c>
      <c r="AP49" s="12" t="str">
        <f aca="false">IF(OR($A49="",AP$4=""),"",SUMPRODUCT(--(INDEX(Matrix!$C$5:$BJ$204,0,$B49)&gt;0),--(INDEX(Matrix!$C$5:$BJ$204,0,AP$3)&gt;0)))</f>
        <v/>
      </c>
      <c r="AQ49" s="12" t="str">
        <f aca="false">IF(OR($A49="",AQ$4=""),"",SUMPRODUCT(--(INDEX(Matrix!$C$5:$BJ$204,0,$B49)&gt;0),--(INDEX(Matrix!$C$5:$BJ$204,0,AQ$3)&gt;0)))</f>
        <v/>
      </c>
      <c r="AR49" s="12" t="str">
        <f aca="false">IF(OR($A49="",AR$4=""),"",SUMPRODUCT(--(INDEX(Matrix!$C$5:$BJ$204,0,$B49)&gt;0),--(INDEX(Matrix!$C$5:$BJ$204,0,AR$3)&gt;0)))</f>
        <v/>
      </c>
      <c r="AS49" s="12" t="str">
        <f aca="false">IF(OR($A49="",AS$4=""),"",SUMPRODUCT(--(INDEX(Matrix!$C$5:$BJ$204,0,$B49)&gt;0),--(INDEX(Matrix!$C$5:$BJ$204,0,AS$3)&gt;0)))</f>
        <v/>
      </c>
      <c r="AT49" s="12" t="str">
        <f aca="false">IF(OR($A49="",AT$4=""),"",SUMPRODUCT(--(INDEX(Matrix!$C$5:$BJ$204,0,$B49)&gt;0),--(INDEX(Matrix!$C$5:$BJ$204,0,AT$3)&gt;0)))</f>
        <v/>
      </c>
      <c r="AU49" s="12" t="str">
        <f aca="false">IF(OR($A49="",AU$4=""),"",SUMPRODUCT(--(INDEX(Matrix!$C$5:$BJ$204,0,$B49)&gt;0),--(INDEX(Matrix!$C$5:$BJ$204,0,AU$3)&gt;0)))</f>
        <v/>
      </c>
      <c r="AV49" s="12" t="str">
        <f aca="false">IF(OR($A49="",AV$4=""),"",SUMPRODUCT(--(INDEX(Matrix!$C$5:$BJ$204,0,$B49)&gt;0),--(INDEX(Matrix!$C$5:$BJ$204,0,AV$3)&gt;0)))</f>
        <v/>
      </c>
      <c r="AW49" s="12" t="str">
        <f aca="false">IF(OR($A49="",AW$4=""),"",SUMPRODUCT(--(INDEX(Matrix!$C$5:$BJ$204,0,$B49)&gt;0),--(INDEX(Matrix!$C$5:$BJ$204,0,AW$3)&gt;0)))</f>
        <v/>
      </c>
      <c r="AX49" s="12" t="str">
        <f aca="false">IF(OR($A49="",AX$4=""),"",SUMPRODUCT(--(INDEX(Matrix!$C$5:$BJ$204,0,$B49)&gt;0),--(INDEX(Matrix!$C$5:$BJ$204,0,AX$3)&gt;0)))</f>
        <v/>
      </c>
      <c r="AY49" s="12" t="str">
        <f aca="false">IF(OR($A49="",AY$4=""),"",SUMPRODUCT(--(INDEX(Matrix!$C$5:$BJ$204,0,$B49)&gt;0),--(INDEX(Matrix!$C$5:$BJ$204,0,AY$3)&gt;0)))</f>
        <v/>
      </c>
      <c r="AZ49" s="12" t="str">
        <f aca="false">IF(OR($A49="",AZ$4=""),"",SUMPRODUCT(--(INDEX(Matrix!$C$5:$BJ$204,0,$B49)&gt;0),--(INDEX(Matrix!$C$5:$BJ$204,0,AZ$3)&gt;0)))</f>
        <v/>
      </c>
      <c r="BA49" s="12" t="str">
        <f aca="false">IF(OR($A49="",BA$4=""),"",SUMPRODUCT(--(INDEX(Matrix!$C$5:$BJ$204,0,$B49)&gt;0),--(INDEX(Matrix!$C$5:$BJ$204,0,BA$3)&gt;0)))</f>
        <v/>
      </c>
      <c r="BB49" s="12" t="str">
        <f aca="false">IF(OR($A49="",BB$4=""),"",SUMPRODUCT(--(INDEX(Matrix!$C$5:$BJ$204,0,$B49)&gt;0),--(INDEX(Matrix!$C$5:$BJ$204,0,BB$3)&gt;0)))</f>
        <v/>
      </c>
      <c r="BC49" s="12" t="str">
        <f aca="false">IF(OR($A49="",BC$4=""),"",SUMPRODUCT(--(INDEX(Matrix!$C$5:$BJ$204,0,$B49)&gt;0),--(INDEX(Matrix!$C$5:$BJ$204,0,BC$3)&gt;0)))</f>
        <v/>
      </c>
      <c r="BD49" s="12" t="str">
        <f aca="false">IF(OR($A49="",BD$4=""),"",SUMPRODUCT(--(INDEX(Matrix!$C$5:$BJ$204,0,$B49)&gt;0),--(INDEX(Matrix!$C$5:$BJ$204,0,BD$3)&gt;0)))</f>
        <v/>
      </c>
      <c r="BE49" s="12" t="str">
        <f aca="false">IF(OR($A49="",BE$4=""),"",SUMPRODUCT(--(INDEX(Matrix!$C$5:$BJ$204,0,$B49)&gt;0),--(INDEX(Matrix!$C$5:$BJ$204,0,BE$3)&gt;0)))</f>
        <v/>
      </c>
      <c r="BF49" s="12" t="str">
        <f aca="false">IF(OR($A49="",BF$4=""),"",SUMPRODUCT(--(INDEX(Matrix!$C$5:$BJ$204,0,$B49)&gt;0),--(INDEX(Matrix!$C$5:$BJ$204,0,BF$3)&gt;0)))</f>
        <v/>
      </c>
      <c r="BG49" s="12" t="str">
        <f aca="false">IF(OR($A49="",BG$4=""),"",SUMPRODUCT(--(INDEX(Matrix!$C$5:$BJ$204,0,$B49)&gt;0),--(INDEX(Matrix!$C$5:$BJ$204,0,BG$3)&gt;0)))</f>
        <v/>
      </c>
      <c r="BH49" s="12" t="str">
        <f aca="false">IF(OR($A49="",BH$4=""),"",SUMPRODUCT(--(INDEX(Matrix!$C$5:$BJ$204,0,$B49)&gt;0),--(INDEX(Matrix!$C$5:$BJ$204,0,BH$3)&gt;0)))</f>
        <v/>
      </c>
      <c r="BI49" s="12" t="str">
        <f aca="false">IF(OR($A49="",BI$4=""),"",SUMPRODUCT(--(INDEX(Matrix!$C$5:$BJ$204,0,$B49)&gt;0),--(INDEX(Matrix!$C$5:$BJ$204,0,BI$3)&gt;0)))</f>
        <v/>
      </c>
      <c r="BJ49" s="12" t="str">
        <f aca="false">IF(OR($A49="",BJ$4=""),"",SUMPRODUCT(--(INDEX(Matrix!$C$5:$BJ$204,0,$B49)&gt;0),--(INDEX(Matrix!$C$5:$BJ$204,0,BJ$3)&gt;0)))</f>
        <v/>
      </c>
    </row>
    <row r="50" customFormat="false" ht="15" hidden="false" customHeight="false" outlineLevel="0" collapsed="false">
      <c r="A50" s="6" t="str">
        <f aca="false">IF(INDEX(Products!$A$2:$A$61,$B50)="","",INDEX(Products!$A$2:$A$61,$B50))</f>
        <v/>
      </c>
      <c r="B50" s="23" t="n">
        <v>46</v>
      </c>
      <c r="C50" s="12" t="str">
        <f aca="false">IF(OR($A50="",C$4=""),"",SUMPRODUCT(--(INDEX(Matrix!$C$5:$BJ$204,0,$B50)&gt;0),--(INDEX(Matrix!$C$5:$BJ$204,0,C$3)&gt;0)))</f>
        <v/>
      </c>
      <c r="D50" s="12" t="str">
        <f aca="false">IF(OR($A50="",D$4=""),"",SUMPRODUCT(--(INDEX(Matrix!$C$5:$BJ$204,0,$B50)&gt;0),--(INDEX(Matrix!$C$5:$BJ$204,0,D$3)&gt;0)))</f>
        <v/>
      </c>
      <c r="E50" s="12" t="str">
        <f aca="false">IF(OR($A50="",E$4=""),"",SUMPRODUCT(--(INDEX(Matrix!$C$5:$BJ$204,0,$B50)&gt;0),--(INDEX(Matrix!$C$5:$BJ$204,0,E$3)&gt;0)))</f>
        <v/>
      </c>
      <c r="F50" s="12" t="str">
        <f aca="false">IF(OR($A50="",F$4=""),"",SUMPRODUCT(--(INDEX(Matrix!$C$5:$BJ$204,0,$B50)&gt;0),--(INDEX(Matrix!$C$5:$BJ$204,0,F$3)&gt;0)))</f>
        <v/>
      </c>
      <c r="G50" s="12" t="str">
        <f aca="false">IF(OR($A50="",G$4=""),"",SUMPRODUCT(--(INDEX(Matrix!$C$5:$BJ$204,0,$B50)&gt;0),--(INDEX(Matrix!$C$5:$BJ$204,0,G$3)&gt;0)))</f>
        <v/>
      </c>
      <c r="H50" s="12" t="str">
        <f aca="false">IF(OR($A50="",H$4=""),"",SUMPRODUCT(--(INDEX(Matrix!$C$5:$BJ$204,0,$B50)&gt;0),--(INDEX(Matrix!$C$5:$BJ$204,0,H$3)&gt;0)))</f>
        <v/>
      </c>
      <c r="I50" s="12" t="str">
        <f aca="false">IF(OR($A50="",I$4=""),"",SUMPRODUCT(--(INDEX(Matrix!$C$5:$BJ$204,0,$B50)&gt;0),--(INDEX(Matrix!$C$5:$BJ$204,0,I$3)&gt;0)))</f>
        <v/>
      </c>
      <c r="J50" s="12" t="str">
        <f aca="false">IF(OR($A50="",J$4=""),"",SUMPRODUCT(--(INDEX(Matrix!$C$5:$BJ$204,0,$B50)&gt;0),--(INDEX(Matrix!$C$5:$BJ$204,0,J$3)&gt;0)))</f>
        <v/>
      </c>
      <c r="K50" s="12" t="str">
        <f aca="false">IF(OR($A50="",K$4=""),"",SUMPRODUCT(--(INDEX(Matrix!$C$5:$BJ$204,0,$B50)&gt;0),--(INDEX(Matrix!$C$5:$BJ$204,0,K$3)&gt;0)))</f>
        <v/>
      </c>
      <c r="L50" s="12" t="str">
        <f aca="false">IF(OR($A50="",L$4=""),"",SUMPRODUCT(--(INDEX(Matrix!$C$5:$BJ$204,0,$B50)&gt;0),--(INDEX(Matrix!$C$5:$BJ$204,0,L$3)&gt;0)))</f>
        <v/>
      </c>
      <c r="M50" s="12" t="str">
        <f aca="false">IF(OR($A50="",M$4=""),"",SUMPRODUCT(--(INDEX(Matrix!$C$5:$BJ$204,0,$B50)&gt;0),--(INDEX(Matrix!$C$5:$BJ$204,0,M$3)&gt;0)))</f>
        <v/>
      </c>
      <c r="N50" s="12" t="str">
        <f aca="false">IF(OR($A50="",N$4=""),"",SUMPRODUCT(--(INDEX(Matrix!$C$5:$BJ$204,0,$B50)&gt;0),--(INDEX(Matrix!$C$5:$BJ$204,0,N$3)&gt;0)))</f>
        <v/>
      </c>
      <c r="O50" s="12" t="str">
        <f aca="false">IF(OR($A50="",O$4=""),"",SUMPRODUCT(--(INDEX(Matrix!$C$5:$BJ$204,0,$B50)&gt;0),--(INDEX(Matrix!$C$5:$BJ$204,0,O$3)&gt;0)))</f>
        <v/>
      </c>
      <c r="P50" s="12" t="str">
        <f aca="false">IF(OR($A50="",P$4=""),"",SUMPRODUCT(--(INDEX(Matrix!$C$5:$BJ$204,0,$B50)&gt;0),--(INDEX(Matrix!$C$5:$BJ$204,0,P$3)&gt;0)))</f>
        <v/>
      </c>
      <c r="Q50" s="12" t="str">
        <f aca="false">IF(OR($A50="",Q$4=""),"",SUMPRODUCT(--(INDEX(Matrix!$C$5:$BJ$204,0,$B50)&gt;0),--(INDEX(Matrix!$C$5:$BJ$204,0,Q$3)&gt;0)))</f>
        <v/>
      </c>
      <c r="R50" s="12" t="str">
        <f aca="false">IF(OR($A50="",R$4=""),"",SUMPRODUCT(--(INDEX(Matrix!$C$5:$BJ$204,0,$B50)&gt;0),--(INDEX(Matrix!$C$5:$BJ$204,0,R$3)&gt;0)))</f>
        <v/>
      </c>
      <c r="S50" s="12" t="str">
        <f aca="false">IF(OR($A50="",S$4=""),"",SUMPRODUCT(--(INDEX(Matrix!$C$5:$BJ$204,0,$B50)&gt;0),--(INDEX(Matrix!$C$5:$BJ$204,0,S$3)&gt;0)))</f>
        <v/>
      </c>
      <c r="T50" s="12" t="str">
        <f aca="false">IF(OR($A50="",T$4=""),"",SUMPRODUCT(--(INDEX(Matrix!$C$5:$BJ$204,0,$B50)&gt;0),--(INDEX(Matrix!$C$5:$BJ$204,0,T$3)&gt;0)))</f>
        <v/>
      </c>
      <c r="U50" s="12" t="str">
        <f aca="false">IF(OR($A50="",U$4=""),"",SUMPRODUCT(--(INDEX(Matrix!$C$5:$BJ$204,0,$B50)&gt;0),--(INDEX(Matrix!$C$5:$BJ$204,0,U$3)&gt;0)))</f>
        <v/>
      </c>
      <c r="V50" s="12" t="str">
        <f aca="false">IF(OR($A50="",V$4=""),"",SUMPRODUCT(--(INDEX(Matrix!$C$5:$BJ$204,0,$B50)&gt;0),--(INDEX(Matrix!$C$5:$BJ$204,0,V$3)&gt;0)))</f>
        <v/>
      </c>
      <c r="W50" s="12" t="str">
        <f aca="false">IF(OR($A50="",W$4=""),"",SUMPRODUCT(--(INDEX(Matrix!$C$5:$BJ$204,0,$B50)&gt;0),--(INDEX(Matrix!$C$5:$BJ$204,0,W$3)&gt;0)))</f>
        <v/>
      </c>
      <c r="X50" s="12" t="str">
        <f aca="false">IF(OR($A50="",X$4=""),"",SUMPRODUCT(--(INDEX(Matrix!$C$5:$BJ$204,0,$B50)&gt;0),--(INDEX(Matrix!$C$5:$BJ$204,0,X$3)&gt;0)))</f>
        <v/>
      </c>
      <c r="Y50" s="12" t="str">
        <f aca="false">IF(OR($A50="",Y$4=""),"",SUMPRODUCT(--(INDEX(Matrix!$C$5:$BJ$204,0,$B50)&gt;0),--(INDEX(Matrix!$C$5:$BJ$204,0,Y$3)&gt;0)))</f>
        <v/>
      </c>
      <c r="Z50" s="12" t="str">
        <f aca="false">IF(OR($A50="",Z$4=""),"",SUMPRODUCT(--(INDEX(Matrix!$C$5:$BJ$204,0,$B50)&gt;0),--(INDEX(Matrix!$C$5:$BJ$204,0,Z$3)&gt;0)))</f>
        <v/>
      </c>
      <c r="AA50" s="12" t="str">
        <f aca="false">IF(OR($A50="",AA$4=""),"",SUMPRODUCT(--(INDEX(Matrix!$C$5:$BJ$204,0,$B50)&gt;0),--(INDEX(Matrix!$C$5:$BJ$204,0,AA$3)&gt;0)))</f>
        <v/>
      </c>
      <c r="AB50" s="12" t="str">
        <f aca="false">IF(OR($A50="",AB$4=""),"",SUMPRODUCT(--(INDEX(Matrix!$C$5:$BJ$204,0,$B50)&gt;0),--(INDEX(Matrix!$C$5:$BJ$204,0,AB$3)&gt;0)))</f>
        <v/>
      </c>
      <c r="AC50" s="12" t="str">
        <f aca="false">IF(OR($A50="",AC$4=""),"",SUMPRODUCT(--(INDEX(Matrix!$C$5:$BJ$204,0,$B50)&gt;0),--(INDEX(Matrix!$C$5:$BJ$204,0,AC$3)&gt;0)))</f>
        <v/>
      </c>
      <c r="AD50" s="12" t="str">
        <f aca="false">IF(OR($A50="",AD$4=""),"",SUMPRODUCT(--(INDEX(Matrix!$C$5:$BJ$204,0,$B50)&gt;0),--(INDEX(Matrix!$C$5:$BJ$204,0,AD$3)&gt;0)))</f>
        <v/>
      </c>
      <c r="AE50" s="12" t="str">
        <f aca="false">IF(OR($A50="",AE$4=""),"",SUMPRODUCT(--(INDEX(Matrix!$C$5:$BJ$204,0,$B50)&gt;0),--(INDEX(Matrix!$C$5:$BJ$204,0,AE$3)&gt;0)))</f>
        <v/>
      </c>
      <c r="AF50" s="12" t="str">
        <f aca="false">IF(OR($A50="",AF$4=""),"",SUMPRODUCT(--(INDEX(Matrix!$C$5:$BJ$204,0,$B50)&gt;0),--(INDEX(Matrix!$C$5:$BJ$204,0,AF$3)&gt;0)))</f>
        <v/>
      </c>
      <c r="AG50" s="12" t="str">
        <f aca="false">IF(OR($A50="",AG$4=""),"",SUMPRODUCT(--(INDEX(Matrix!$C$5:$BJ$204,0,$B50)&gt;0),--(INDEX(Matrix!$C$5:$BJ$204,0,AG$3)&gt;0)))</f>
        <v/>
      </c>
      <c r="AH50" s="12" t="str">
        <f aca="false">IF(OR($A50="",AH$4=""),"",SUMPRODUCT(--(INDEX(Matrix!$C$5:$BJ$204,0,$B50)&gt;0),--(INDEX(Matrix!$C$5:$BJ$204,0,AH$3)&gt;0)))</f>
        <v/>
      </c>
      <c r="AI50" s="12" t="str">
        <f aca="false">IF(OR($A50="",AI$4=""),"",SUMPRODUCT(--(INDEX(Matrix!$C$5:$BJ$204,0,$B50)&gt;0),--(INDEX(Matrix!$C$5:$BJ$204,0,AI$3)&gt;0)))</f>
        <v/>
      </c>
      <c r="AJ50" s="12" t="str">
        <f aca="false">IF(OR($A50="",AJ$4=""),"",SUMPRODUCT(--(INDEX(Matrix!$C$5:$BJ$204,0,$B50)&gt;0),--(INDEX(Matrix!$C$5:$BJ$204,0,AJ$3)&gt;0)))</f>
        <v/>
      </c>
      <c r="AK50" s="12" t="str">
        <f aca="false">IF(OR($A50="",AK$4=""),"",SUMPRODUCT(--(INDEX(Matrix!$C$5:$BJ$204,0,$B50)&gt;0),--(INDEX(Matrix!$C$5:$BJ$204,0,AK$3)&gt;0)))</f>
        <v/>
      </c>
      <c r="AL50" s="12" t="str">
        <f aca="false">IF(OR($A50="",AL$4=""),"",SUMPRODUCT(--(INDEX(Matrix!$C$5:$BJ$204,0,$B50)&gt;0),--(INDEX(Matrix!$C$5:$BJ$204,0,AL$3)&gt;0)))</f>
        <v/>
      </c>
      <c r="AM50" s="12" t="str">
        <f aca="false">IF(OR($A50="",AM$4=""),"",SUMPRODUCT(--(INDEX(Matrix!$C$5:$BJ$204,0,$B50)&gt;0),--(INDEX(Matrix!$C$5:$BJ$204,0,AM$3)&gt;0)))</f>
        <v/>
      </c>
      <c r="AN50" s="12" t="str">
        <f aca="false">IF(OR($A50="",AN$4=""),"",SUMPRODUCT(--(INDEX(Matrix!$C$5:$BJ$204,0,$B50)&gt;0),--(INDEX(Matrix!$C$5:$BJ$204,0,AN$3)&gt;0)))</f>
        <v/>
      </c>
      <c r="AO50" s="12" t="str">
        <f aca="false">IF(OR($A50="",AO$4=""),"",SUMPRODUCT(--(INDEX(Matrix!$C$5:$BJ$204,0,$B50)&gt;0),--(INDEX(Matrix!$C$5:$BJ$204,0,AO$3)&gt;0)))</f>
        <v/>
      </c>
      <c r="AP50" s="12" t="str">
        <f aca="false">IF(OR($A50="",AP$4=""),"",SUMPRODUCT(--(INDEX(Matrix!$C$5:$BJ$204,0,$B50)&gt;0),--(INDEX(Matrix!$C$5:$BJ$204,0,AP$3)&gt;0)))</f>
        <v/>
      </c>
      <c r="AQ50" s="12" t="str">
        <f aca="false">IF(OR($A50="",AQ$4=""),"",SUMPRODUCT(--(INDEX(Matrix!$C$5:$BJ$204,0,$B50)&gt;0),--(INDEX(Matrix!$C$5:$BJ$204,0,AQ$3)&gt;0)))</f>
        <v/>
      </c>
      <c r="AR50" s="12" t="str">
        <f aca="false">IF(OR($A50="",AR$4=""),"",SUMPRODUCT(--(INDEX(Matrix!$C$5:$BJ$204,0,$B50)&gt;0),--(INDEX(Matrix!$C$5:$BJ$204,0,AR$3)&gt;0)))</f>
        <v/>
      </c>
      <c r="AS50" s="12" t="str">
        <f aca="false">IF(OR($A50="",AS$4=""),"",SUMPRODUCT(--(INDEX(Matrix!$C$5:$BJ$204,0,$B50)&gt;0),--(INDEX(Matrix!$C$5:$BJ$204,0,AS$3)&gt;0)))</f>
        <v/>
      </c>
      <c r="AT50" s="12" t="str">
        <f aca="false">IF(OR($A50="",AT$4=""),"",SUMPRODUCT(--(INDEX(Matrix!$C$5:$BJ$204,0,$B50)&gt;0),--(INDEX(Matrix!$C$5:$BJ$204,0,AT$3)&gt;0)))</f>
        <v/>
      </c>
      <c r="AU50" s="12" t="str">
        <f aca="false">IF(OR($A50="",AU$4=""),"",SUMPRODUCT(--(INDEX(Matrix!$C$5:$BJ$204,0,$B50)&gt;0),--(INDEX(Matrix!$C$5:$BJ$204,0,AU$3)&gt;0)))</f>
        <v/>
      </c>
      <c r="AV50" s="12" t="str">
        <f aca="false">IF(OR($A50="",AV$4=""),"",SUMPRODUCT(--(INDEX(Matrix!$C$5:$BJ$204,0,$B50)&gt;0),--(INDEX(Matrix!$C$5:$BJ$204,0,AV$3)&gt;0)))</f>
        <v/>
      </c>
      <c r="AW50" s="12" t="str">
        <f aca="false">IF(OR($A50="",AW$4=""),"",SUMPRODUCT(--(INDEX(Matrix!$C$5:$BJ$204,0,$B50)&gt;0),--(INDEX(Matrix!$C$5:$BJ$204,0,AW$3)&gt;0)))</f>
        <v/>
      </c>
      <c r="AX50" s="12" t="str">
        <f aca="false">IF(OR($A50="",AX$4=""),"",SUMPRODUCT(--(INDEX(Matrix!$C$5:$BJ$204,0,$B50)&gt;0),--(INDEX(Matrix!$C$5:$BJ$204,0,AX$3)&gt;0)))</f>
        <v/>
      </c>
      <c r="AY50" s="12" t="str">
        <f aca="false">IF(OR($A50="",AY$4=""),"",SUMPRODUCT(--(INDEX(Matrix!$C$5:$BJ$204,0,$B50)&gt;0),--(INDEX(Matrix!$C$5:$BJ$204,0,AY$3)&gt;0)))</f>
        <v/>
      </c>
      <c r="AZ50" s="12" t="str">
        <f aca="false">IF(OR($A50="",AZ$4=""),"",SUMPRODUCT(--(INDEX(Matrix!$C$5:$BJ$204,0,$B50)&gt;0),--(INDEX(Matrix!$C$5:$BJ$204,0,AZ$3)&gt;0)))</f>
        <v/>
      </c>
      <c r="BA50" s="12" t="str">
        <f aca="false">IF(OR($A50="",BA$4=""),"",SUMPRODUCT(--(INDEX(Matrix!$C$5:$BJ$204,0,$B50)&gt;0),--(INDEX(Matrix!$C$5:$BJ$204,0,BA$3)&gt;0)))</f>
        <v/>
      </c>
      <c r="BB50" s="12" t="str">
        <f aca="false">IF(OR($A50="",BB$4=""),"",SUMPRODUCT(--(INDEX(Matrix!$C$5:$BJ$204,0,$B50)&gt;0),--(INDEX(Matrix!$C$5:$BJ$204,0,BB$3)&gt;0)))</f>
        <v/>
      </c>
      <c r="BC50" s="12" t="str">
        <f aca="false">IF(OR($A50="",BC$4=""),"",SUMPRODUCT(--(INDEX(Matrix!$C$5:$BJ$204,0,$B50)&gt;0),--(INDEX(Matrix!$C$5:$BJ$204,0,BC$3)&gt;0)))</f>
        <v/>
      </c>
      <c r="BD50" s="12" t="str">
        <f aca="false">IF(OR($A50="",BD$4=""),"",SUMPRODUCT(--(INDEX(Matrix!$C$5:$BJ$204,0,$B50)&gt;0),--(INDEX(Matrix!$C$5:$BJ$204,0,BD$3)&gt;0)))</f>
        <v/>
      </c>
      <c r="BE50" s="12" t="str">
        <f aca="false">IF(OR($A50="",BE$4=""),"",SUMPRODUCT(--(INDEX(Matrix!$C$5:$BJ$204,0,$B50)&gt;0),--(INDEX(Matrix!$C$5:$BJ$204,0,BE$3)&gt;0)))</f>
        <v/>
      </c>
      <c r="BF50" s="12" t="str">
        <f aca="false">IF(OR($A50="",BF$4=""),"",SUMPRODUCT(--(INDEX(Matrix!$C$5:$BJ$204,0,$B50)&gt;0),--(INDEX(Matrix!$C$5:$BJ$204,0,BF$3)&gt;0)))</f>
        <v/>
      </c>
      <c r="BG50" s="12" t="str">
        <f aca="false">IF(OR($A50="",BG$4=""),"",SUMPRODUCT(--(INDEX(Matrix!$C$5:$BJ$204,0,$B50)&gt;0),--(INDEX(Matrix!$C$5:$BJ$204,0,BG$3)&gt;0)))</f>
        <v/>
      </c>
      <c r="BH50" s="12" t="str">
        <f aca="false">IF(OR($A50="",BH$4=""),"",SUMPRODUCT(--(INDEX(Matrix!$C$5:$BJ$204,0,$B50)&gt;0),--(INDEX(Matrix!$C$5:$BJ$204,0,BH$3)&gt;0)))</f>
        <v/>
      </c>
      <c r="BI50" s="12" t="str">
        <f aca="false">IF(OR($A50="",BI$4=""),"",SUMPRODUCT(--(INDEX(Matrix!$C$5:$BJ$204,0,$B50)&gt;0),--(INDEX(Matrix!$C$5:$BJ$204,0,BI$3)&gt;0)))</f>
        <v/>
      </c>
      <c r="BJ50" s="12" t="str">
        <f aca="false">IF(OR($A50="",BJ$4=""),"",SUMPRODUCT(--(INDEX(Matrix!$C$5:$BJ$204,0,$B50)&gt;0),--(INDEX(Matrix!$C$5:$BJ$204,0,BJ$3)&gt;0)))</f>
        <v/>
      </c>
    </row>
    <row r="51" customFormat="false" ht="15" hidden="false" customHeight="false" outlineLevel="0" collapsed="false">
      <c r="A51" s="6" t="str">
        <f aca="false">IF(INDEX(Products!$A$2:$A$61,$B51)="","",INDEX(Products!$A$2:$A$61,$B51))</f>
        <v/>
      </c>
      <c r="B51" s="23" t="n">
        <v>47</v>
      </c>
      <c r="C51" s="12" t="str">
        <f aca="false">IF(OR($A51="",C$4=""),"",SUMPRODUCT(--(INDEX(Matrix!$C$5:$BJ$204,0,$B51)&gt;0),--(INDEX(Matrix!$C$5:$BJ$204,0,C$3)&gt;0)))</f>
        <v/>
      </c>
      <c r="D51" s="12" t="str">
        <f aca="false">IF(OR($A51="",D$4=""),"",SUMPRODUCT(--(INDEX(Matrix!$C$5:$BJ$204,0,$B51)&gt;0),--(INDEX(Matrix!$C$5:$BJ$204,0,D$3)&gt;0)))</f>
        <v/>
      </c>
      <c r="E51" s="12" t="str">
        <f aca="false">IF(OR($A51="",E$4=""),"",SUMPRODUCT(--(INDEX(Matrix!$C$5:$BJ$204,0,$B51)&gt;0),--(INDEX(Matrix!$C$5:$BJ$204,0,E$3)&gt;0)))</f>
        <v/>
      </c>
      <c r="F51" s="12" t="str">
        <f aca="false">IF(OR($A51="",F$4=""),"",SUMPRODUCT(--(INDEX(Matrix!$C$5:$BJ$204,0,$B51)&gt;0),--(INDEX(Matrix!$C$5:$BJ$204,0,F$3)&gt;0)))</f>
        <v/>
      </c>
      <c r="G51" s="12" t="str">
        <f aca="false">IF(OR($A51="",G$4=""),"",SUMPRODUCT(--(INDEX(Matrix!$C$5:$BJ$204,0,$B51)&gt;0),--(INDEX(Matrix!$C$5:$BJ$204,0,G$3)&gt;0)))</f>
        <v/>
      </c>
      <c r="H51" s="12" t="str">
        <f aca="false">IF(OR($A51="",H$4=""),"",SUMPRODUCT(--(INDEX(Matrix!$C$5:$BJ$204,0,$B51)&gt;0),--(INDEX(Matrix!$C$5:$BJ$204,0,H$3)&gt;0)))</f>
        <v/>
      </c>
      <c r="I51" s="12" t="str">
        <f aca="false">IF(OR($A51="",I$4=""),"",SUMPRODUCT(--(INDEX(Matrix!$C$5:$BJ$204,0,$B51)&gt;0),--(INDEX(Matrix!$C$5:$BJ$204,0,I$3)&gt;0)))</f>
        <v/>
      </c>
      <c r="J51" s="12" t="str">
        <f aca="false">IF(OR($A51="",J$4=""),"",SUMPRODUCT(--(INDEX(Matrix!$C$5:$BJ$204,0,$B51)&gt;0),--(INDEX(Matrix!$C$5:$BJ$204,0,J$3)&gt;0)))</f>
        <v/>
      </c>
      <c r="K51" s="12" t="str">
        <f aca="false">IF(OR($A51="",K$4=""),"",SUMPRODUCT(--(INDEX(Matrix!$C$5:$BJ$204,0,$B51)&gt;0),--(INDEX(Matrix!$C$5:$BJ$204,0,K$3)&gt;0)))</f>
        <v/>
      </c>
      <c r="L51" s="12" t="str">
        <f aca="false">IF(OR($A51="",L$4=""),"",SUMPRODUCT(--(INDEX(Matrix!$C$5:$BJ$204,0,$B51)&gt;0),--(INDEX(Matrix!$C$5:$BJ$204,0,L$3)&gt;0)))</f>
        <v/>
      </c>
      <c r="M51" s="12" t="str">
        <f aca="false">IF(OR($A51="",M$4=""),"",SUMPRODUCT(--(INDEX(Matrix!$C$5:$BJ$204,0,$B51)&gt;0),--(INDEX(Matrix!$C$5:$BJ$204,0,M$3)&gt;0)))</f>
        <v/>
      </c>
      <c r="N51" s="12" t="str">
        <f aca="false">IF(OR($A51="",N$4=""),"",SUMPRODUCT(--(INDEX(Matrix!$C$5:$BJ$204,0,$B51)&gt;0),--(INDEX(Matrix!$C$5:$BJ$204,0,N$3)&gt;0)))</f>
        <v/>
      </c>
      <c r="O51" s="12" t="str">
        <f aca="false">IF(OR($A51="",O$4=""),"",SUMPRODUCT(--(INDEX(Matrix!$C$5:$BJ$204,0,$B51)&gt;0),--(INDEX(Matrix!$C$5:$BJ$204,0,O$3)&gt;0)))</f>
        <v/>
      </c>
      <c r="P51" s="12" t="str">
        <f aca="false">IF(OR($A51="",P$4=""),"",SUMPRODUCT(--(INDEX(Matrix!$C$5:$BJ$204,0,$B51)&gt;0),--(INDEX(Matrix!$C$5:$BJ$204,0,P$3)&gt;0)))</f>
        <v/>
      </c>
      <c r="Q51" s="12" t="str">
        <f aca="false">IF(OR($A51="",Q$4=""),"",SUMPRODUCT(--(INDEX(Matrix!$C$5:$BJ$204,0,$B51)&gt;0),--(INDEX(Matrix!$C$5:$BJ$204,0,Q$3)&gt;0)))</f>
        <v/>
      </c>
      <c r="R51" s="12" t="str">
        <f aca="false">IF(OR($A51="",R$4=""),"",SUMPRODUCT(--(INDEX(Matrix!$C$5:$BJ$204,0,$B51)&gt;0),--(INDEX(Matrix!$C$5:$BJ$204,0,R$3)&gt;0)))</f>
        <v/>
      </c>
      <c r="S51" s="12" t="str">
        <f aca="false">IF(OR($A51="",S$4=""),"",SUMPRODUCT(--(INDEX(Matrix!$C$5:$BJ$204,0,$B51)&gt;0),--(INDEX(Matrix!$C$5:$BJ$204,0,S$3)&gt;0)))</f>
        <v/>
      </c>
      <c r="T51" s="12" t="str">
        <f aca="false">IF(OR($A51="",T$4=""),"",SUMPRODUCT(--(INDEX(Matrix!$C$5:$BJ$204,0,$B51)&gt;0),--(INDEX(Matrix!$C$5:$BJ$204,0,T$3)&gt;0)))</f>
        <v/>
      </c>
      <c r="U51" s="12" t="str">
        <f aca="false">IF(OR($A51="",U$4=""),"",SUMPRODUCT(--(INDEX(Matrix!$C$5:$BJ$204,0,$B51)&gt;0),--(INDEX(Matrix!$C$5:$BJ$204,0,U$3)&gt;0)))</f>
        <v/>
      </c>
      <c r="V51" s="12" t="str">
        <f aca="false">IF(OR($A51="",V$4=""),"",SUMPRODUCT(--(INDEX(Matrix!$C$5:$BJ$204,0,$B51)&gt;0),--(INDEX(Matrix!$C$5:$BJ$204,0,V$3)&gt;0)))</f>
        <v/>
      </c>
      <c r="W51" s="12" t="str">
        <f aca="false">IF(OR($A51="",W$4=""),"",SUMPRODUCT(--(INDEX(Matrix!$C$5:$BJ$204,0,$B51)&gt;0),--(INDEX(Matrix!$C$5:$BJ$204,0,W$3)&gt;0)))</f>
        <v/>
      </c>
      <c r="X51" s="12" t="str">
        <f aca="false">IF(OR($A51="",X$4=""),"",SUMPRODUCT(--(INDEX(Matrix!$C$5:$BJ$204,0,$B51)&gt;0),--(INDEX(Matrix!$C$5:$BJ$204,0,X$3)&gt;0)))</f>
        <v/>
      </c>
      <c r="Y51" s="12" t="str">
        <f aca="false">IF(OR($A51="",Y$4=""),"",SUMPRODUCT(--(INDEX(Matrix!$C$5:$BJ$204,0,$B51)&gt;0),--(INDEX(Matrix!$C$5:$BJ$204,0,Y$3)&gt;0)))</f>
        <v/>
      </c>
      <c r="Z51" s="12" t="str">
        <f aca="false">IF(OR($A51="",Z$4=""),"",SUMPRODUCT(--(INDEX(Matrix!$C$5:$BJ$204,0,$B51)&gt;0),--(INDEX(Matrix!$C$5:$BJ$204,0,Z$3)&gt;0)))</f>
        <v/>
      </c>
      <c r="AA51" s="12" t="str">
        <f aca="false">IF(OR($A51="",AA$4=""),"",SUMPRODUCT(--(INDEX(Matrix!$C$5:$BJ$204,0,$B51)&gt;0),--(INDEX(Matrix!$C$5:$BJ$204,0,AA$3)&gt;0)))</f>
        <v/>
      </c>
      <c r="AB51" s="12" t="str">
        <f aca="false">IF(OR($A51="",AB$4=""),"",SUMPRODUCT(--(INDEX(Matrix!$C$5:$BJ$204,0,$B51)&gt;0),--(INDEX(Matrix!$C$5:$BJ$204,0,AB$3)&gt;0)))</f>
        <v/>
      </c>
      <c r="AC51" s="12" t="str">
        <f aca="false">IF(OR($A51="",AC$4=""),"",SUMPRODUCT(--(INDEX(Matrix!$C$5:$BJ$204,0,$B51)&gt;0),--(INDEX(Matrix!$C$5:$BJ$204,0,AC$3)&gt;0)))</f>
        <v/>
      </c>
      <c r="AD51" s="12" t="str">
        <f aca="false">IF(OR($A51="",AD$4=""),"",SUMPRODUCT(--(INDEX(Matrix!$C$5:$BJ$204,0,$B51)&gt;0),--(INDEX(Matrix!$C$5:$BJ$204,0,AD$3)&gt;0)))</f>
        <v/>
      </c>
      <c r="AE51" s="12" t="str">
        <f aca="false">IF(OR($A51="",AE$4=""),"",SUMPRODUCT(--(INDEX(Matrix!$C$5:$BJ$204,0,$B51)&gt;0),--(INDEX(Matrix!$C$5:$BJ$204,0,AE$3)&gt;0)))</f>
        <v/>
      </c>
      <c r="AF51" s="12" t="str">
        <f aca="false">IF(OR($A51="",AF$4=""),"",SUMPRODUCT(--(INDEX(Matrix!$C$5:$BJ$204,0,$B51)&gt;0),--(INDEX(Matrix!$C$5:$BJ$204,0,AF$3)&gt;0)))</f>
        <v/>
      </c>
      <c r="AG51" s="12" t="str">
        <f aca="false">IF(OR($A51="",AG$4=""),"",SUMPRODUCT(--(INDEX(Matrix!$C$5:$BJ$204,0,$B51)&gt;0),--(INDEX(Matrix!$C$5:$BJ$204,0,AG$3)&gt;0)))</f>
        <v/>
      </c>
      <c r="AH51" s="12" t="str">
        <f aca="false">IF(OR($A51="",AH$4=""),"",SUMPRODUCT(--(INDEX(Matrix!$C$5:$BJ$204,0,$B51)&gt;0),--(INDEX(Matrix!$C$5:$BJ$204,0,AH$3)&gt;0)))</f>
        <v/>
      </c>
      <c r="AI51" s="12" t="str">
        <f aca="false">IF(OR($A51="",AI$4=""),"",SUMPRODUCT(--(INDEX(Matrix!$C$5:$BJ$204,0,$B51)&gt;0),--(INDEX(Matrix!$C$5:$BJ$204,0,AI$3)&gt;0)))</f>
        <v/>
      </c>
      <c r="AJ51" s="12" t="str">
        <f aca="false">IF(OR($A51="",AJ$4=""),"",SUMPRODUCT(--(INDEX(Matrix!$C$5:$BJ$204,0,$B51)&gt;0),--(INDEX(Matrix!$C$5:$BJ$204,0,AJ$3)&gt;0)))</f>
        <v/>
      </c>
      <c r="AK51" s="12" t="str">
        <f aca="false">IF(OR($A51="",AK$4=""),"",SUMPRODUCT(--(INDEX(Matrix!$C$5:$BJ$204,0,$B51)&gt;0),--(INDEX(Matrix!$C$5:$BJ$204,0,AK$3)&gt;0)))</f>
        <v/>
      </c>
      <c r="AL51" s="12" t="str">
        <f aca="false">IF(OR($A51="",AL$4=""),"",SUMPRODUCT(--(INDEX(Matrix!$C$5:$BJ$204,0,$B51)&gt;0),--(INDEX(Matrix!$C$5:$BJ$204,0,AL$3)&gt;0)))</f>
        <v/>
      </c>
      <c r="AM51" s="12" t="str">
        <f aca="false">IF(OR($A51="",AM$4=""),"",SUMPRODUCT(--(INDEX(Matrix!$C$5:$BJ$204,0,$B51)&gt;0),--(INDEX(Matrix!$C$5:$BJ$204,0,AM$3)&gt;0)))</f>
        <v/>
      </c>
      <c r="AN51" s="12" t="str">
        <f aca="false">IF(OR($A51="",AN$4=""),"",SUMPRODUCT(--(INDEX(Matrix!$C$5:$BJ$204,0,$B51)&gt;0),--(INDEX(Matrix!$C$5:$BJ$204,0,AN$3)&gt;0)))</f>
        <v/>
      </c>
      <c r="AO51" s="12" t="str">
        <f aca="false">IF(OR($A51="",AO$4=""),"",SUMPRODUCT(--(INDEX(Matrix!$C$5:$BJ$204,0,$B51)&gt;0),--(INDEX(Matrix!$C$5:$BJ$204,0,AO$3)&gt;0)))</f>
        <v/>
      </c>
      <c r="AP51" s="12" t="str">
        <f aca="false">IF(OR($A51="",AP$4=""),"",SUMPRODUCT(--(INDEX(Matrix!$C$5:$BJ$204,0,$B51)&gt;0),--(INDEX(Matrix!$C$5:$BJ$204,0,AP$3)&gt;0)))</f>
        <v/>
      </c>
      <c r="AQ51" s="12" t="str">
        <f aca="false">IF(OR($A51="",AQ$4=""),"",SUMPRODUCT(--(INDEX(Matrix!$C$5:$BJ$204,0,$B51)&gt;0),--(INDEX(Matrix!$C$5:$BJ$204,0,AQ$3)&gt;0)))</f>
        <v/>
      </c>
      <c r="AR51" s="12" t="str">
        <f aca="false">IF(OR($A51="",AR$4=""),"",SUMPRODUCT(--(INDEX(Matrix!$C$5:$BJ$204,0,$B51)&gt;0),--(INDEX(Matrix!$C$5:$BJ$204,0,AR$3)&gt;0)))</f>
        <v/>
      </c>
      <c r="AS51" s="12" t="str">
        <f aca="false">IF(OR($A51="",AS$4=""),"",SUMPRODUCT(--(INDEX(Matrix!$C$5:$BJ$204,0,$B51)&gt;0),--(INDEX(Matrix!$C$5:$BJ$204,0,AS$3)&gt;0)))</f>
        <v/>
      </c>
      <c r="AT51" s="12" t="str">
        <f aca="false">IF(OR($A51="",AT$4=""),"",SUMPRODUCT(--(INDEX(Matrix!$C$5:$BJ$204,0,$B51)&gt;0),--(INDEX(Matrix!$C$5:$BJ$204,0,AT$3)&gt;0)))</f>
        <v/>
      </c>
      <c r="AU51" s="12" t="str">
        <f aca="false">IF(OR($A51="",AU$4=""),"",SUMPRODUCT(--(INDEX(Matrix!$C$5:$BJ$204,0,$B51)&gt;0),--(INDEX(Matrix!$C$5:$BJ$204,0,AU$3)&gt;0)))</f>
        <v/>
      </c>
      <c r="AV51" s="12" t="str">
        <f aca="false">IF(OR($A51="",AV$4=""),"",SUMPRODUCT(--(INDEX(Matrix!$C$5:$BJ$204,0,$B51)&gt;0),--(INDEX(Matrix!$C$5:$BJ$204,0,AV$3)&gt;0)))</f>
        <v/>
      </c>
      <c r="AW51" s="12" t="str">
        <f aca="false">IF(OR($A51="",AW$4=""),"",SUMPRODUCT(--(INDEX(Matrix!$C$5:$BJ$204,0,$B51)&gt;0),--(INDEX(Matrix!$C$5:$BJ$204,0,AW$3)&gt;0)))</f>
        <v/>
      </c>
      <c r="AX51" s="12" t="str">
        <f aca="false">IF(OR($A51="",AX$4=""),"",SUMPRODUCT(--(INDEX(Matrix!$C$5:$BJ$204,0,$B51)&gt;0),--(INDEX(Matrix!$C$5:$BJ$204,0,AX$3)&gt;0)))</f>
        <v/>
      </c>
      <c r="AY51" s="12" t="str">
        <f aca="false">IF(OR($A51="",AY$4=""),"",SUMPRODUCT(--(INDEX(Matrix!$C$5:$BJ$204,0,$B51)&gt;0),--(INDEX(Matrix!$C$5:$BJ$204,0,AY$3)&gt;0)))</f>
        <v/>
      </c>
      <c r="AZ51" s="12" t="str">
        <f aca="false">IF(OR($A51="",AZ$4=""),"",SUMPRODUCT(--(INDEX(Matrix!$C$5:$BJ$204,0,$B51)&gt;0),--(INDEX(Matrix!$C$5:$BJ$204,0,AZ$3)&gt;0)))</f>
        <v/>
      </c>
      <c r="BA51" s="12" t="str">
        <f aca="false">IF(OR($A51="",BA$4=""),"",SUMPRODUCT(--(INDEX(Matrix!$C$5:$BJ$204,0,$B51)&gt;0),--(INDEX(Matrix!$C$5:$BJ$204,0,BA$3)&gt;0)))</f>
        <v/>
      </c>
      <c r="BB51" s="12" t="str">
        <f aca="false">IF(OR($A51="",BB$4=""),"",SUMPRODUCT(--(INDEX(Matrix!$C$5:$BJ$204,0,$B51)&gt;0),--(INDEX(Matrix!$C$5:$BJ$204,0,BB$3)&gt;0)))</f>
        <v/>
      </c>
      <c r="BC51" s="12" t="str">
        <f aca="false">IF(OR($A51="",BC$4=""),"",SUMPRODUCT(--(INDEX(Matrix!$C$5:$BJ$204,0,$B51)&gt;0),--(INDEX(Matrix!$C$5:$BJ$204,0,BC$3)&gt;0)))</f>
        <v/>
      </c>
      <c r="BD51" s="12" t="str">
        <f aca="false">IF(OR($A51="",BD$4=""),"",SUMPRODUCT(--(INDEX(Matrix!$C$5:$BJ$204,0,$B51)&gt;0),--(INDEX(Matrix!$C$5:$BJ$204,0,BD$3)&gt;0)))</f>
        <v/>
      </c>
      <c r="BE51" s="12" t="str">
        <f aca="false">IF(OR($A51="",BE$4=""),"",SUMPRODUCT(--(INDEX(Matrix!$C$5:$BJ$204,0,$B51)&gt;0),--(INDEX(Matrix!$C$5:$BJ$204,0,BE$3)&gt;0)))</f>
        <v/>
      </c>
      <c r="BF51" s="12" t="str">
        <f aca="false">IF(OR($A51="",BF$4=""),"",SUMPRODUCT(--(INDEX(Matrix!$C$5:$BJ$204,0,$B51)&gt;0),--(INDEX(Matrix!$C$5:$BJ$204,0,BF$3)&gt;0)))</f>
        <v/>
      </c>
      <c r="BG51" s="12" t="str">
        <f aca="false">IF(OR($A51="",BG$4=""),"",SUMPRODUCT(--(INDEX(Matrix!$C$5:$BJ$204,0,$B51)&gt;0),--(INDEX(Matrix!$C$5:$BJ$204,0,BG$3)&gt;0)))</f>
        <v/>
      </c>
      <c r="BH51" s="12" t="str">
        <f aca="false">IF(OR($A51="",BH$4=""),"",SUMPRODUCT(--(INDEX(Matrix!$C$5:$BJ$204,0,$B51)&gt;0),--(INDEX(Matrix!$C$5:$BJ$204,0,BH$3)&gt;0)))</f>
        <v/>
      </c>
      <c r="BI51" s="12" t="str">
        <f aca="false">IF(OR($A51="",BI$4=""),"",SUMPRODUCT(--(INDEX(Matrix!$C$5:$BJ$204,0,$B51)&gt;0),--(INDEX(Matrix!$C$5:$BJ$204,0,BI$3)&gt;0)))</f>
        <v/>
      </c>
      <c r="BJ51" s="12" t="str">
        <f aca="false">IF(OR($A51="",BJ$4=""),"",SUMPRODUCT(--(INDEX(Matrix!$C$5:$BJ$204,0,$B51)&gt;0),--(INDEX(Matrix!$C$5:$BJ$204,0,BJ$3)&gt;0)))</f>
        <v/>
      </c>
    </row>
    <row r="52" customFormat="false" ht="15" hidden="false" customHeight="false" outlineLevel="0" collapsed="false">
      <c r="A52" s="6" t="str">
        <f aca="false">IF(INDEX(Products!$A$2:$A$61,$B52)="","",INDEX(Products!$A$2:$A$61,$B52))</f>
        <v/>
      </c>
      <c r="B52" s="23" t="n">
        <v>48</v>
      </c>
      <c r="C52" s="12" t="str">
        <f aca="false">IF(OR($A52="",C$4=""),"",SUMPRODUCT(--(INDEX(Matrix!$C$5:$BJ$204,0,$B52)&gt;0),--(INDEX(Matrix!$C$5:$BJ$204,0,C$3)&gt;0)))</f>
        <v/>
      </c>
      <c r="D52" s="12" t="str">
        <f aca="false">IF(OR($A52="",D$4=""),"",SUMPRODUCT(--(INDEX(Matrix!$C$5:$BJ$204,0,$B52)&gt;0),--(INDEX(Matrix!$C$5:$BJ$204,0,D$3)&gt;0)))</f>
        <v/>
      </c>
      <c r="E52" s="12" t="str">
        <f aca="false">IF(OR($A52="",E$4=""),"",SUMPRODUCT(--(INDEX(Matrix!$C$5:$BJ$204,0,$B52)&gt;0),--(INDEX(Matrix!$C$5:$BJ$204,0,E$3)&gt;0)))</f>
        <v/>
      </c>
      <c r="F52" s="12" t="str">
        <f aca="false">IF(OR($A52="",F$4=""),"",SUMPRODUCT(--(INDEX(Matrix!$C$5:$BJ$204,0,$B52)&gt;0),--(INDEX(Matrix!$C$5:$BJ$204,0,F$3)&gt;0)))</f>
        <v/>
      </c>
      <c r="G52" s="12" t="str">
        <f aca="false">IF(OR($A52="",G$4=""),"",SUMPRODUCT(--(INDEX(Matrix!$C$5:$BJ$204,0,$B52)&gt;0),--(INDEX(Matrix!$C$5:$BJ$204,0,G$3)&gt;0)))</f>
        <v/>
      </c>
      <c r="H52" s="12" t="str">
        <f aca="false">IF(OR($A52="",H$4=""),"",SUMPRODUCT(--(INDEX(Matrix!$C$5:$BJ$204,0,$B52)&gt;0),--(INDEX(Matrix!$C$5:$BJ$204,0,H$3)&gt;0)))</f>
        <v/>
      </c>
      <c r="I52" s="12" t="str">
        <f aca="false">IF(OR($A52="",I$4=""),"",SUMPRODUCT(--(INDEX(Matrix!$C$5:$BJ$204,0,$B52)&gt;0),--(INDEX(Matrix!$C$5:$BJ$204,0,I$3)&gt;0)))</f>
        <v/>
      </c>
      <c r="J52" s="12" t="str">
        <f aca="false">IF(OR($A52="",J$4=""),"",SUMPRODUCT(--(INDEX(Matrix!$C$5:$BJ$204,0,$B52)&gt;0),--(INDEX(Matrix!$C$5:$BJ$204,0,J$3)&gt;0)))</f>
        <v/>
      </c>
      <c r="K52" s="12" t="str">
        <f aca="false">IF(OR($A52="",K$4=""),"",SUMPRODUCT(--(INDEX(Matrix!$C$5:$BJ$204,0,$B52)&gt;0),--(INDEX(Matrix!$C$5:$BJ$204,0,K$3)&gt;0)))</f>
        <v/>
      </c>
      <c r="L52" s="12" t="str">
        <f aca="false">IF(OR($A52="",L$4=""),"",SUMPRODUCT(--(INDEX(Matrix!$C$5:$BJ$204,0,$B52)&gt;0),--(INDEX(Matrix!$C$5:$BJ$204,0,L$3)&gt;0)))</f>
        <v/>
      </c>
      <c r="M52" s="12" t="str">
        <f aca="false">IF(OR($A52="",M$4=""),"",SUMPRODUCT(--(INDEX(Matrix!$C$5:$BJ$204,0,$B52)&gt;0),--(INDEX(Matrix!$C$5:$BJ$204,0,M$3)&gt;0)))</f>
        <v/>
      </c>
      <c r="N52" s="12" t="str">
        <f aca="false">IF(OR($A52="",N$4=""),"",SUMPRODUCT(--(INDEX(Matrix!$C$5:$BJ$204,0,$B52)&gt;0),--(INDEX(Matrix!$C$5:$BJ$204,0,N$3)&gt;0)))</f>
        <v/>
      </c>
      <c r="O52" s="12" t="str">
        <f aca="false">IF(OR($A52="",O$4=""),"",SUMPRODUCT(--(INDEX(Matrix!$C$5:$BJ$204,0,$B52)&gt;0),--(INDEX(Matrix!$C$5:$BJ$204,0,O$3)&gt;0)))</f>
        <v/>
      </c>
      <c r="P52" s="12" t="str">
        <f aca="false">IF(OR($A52="",P$4=""),"",SUMPRODUCT(--(INDEX(Matrix!$C$5:$BJ$204,0,$B52)&gt;0),--(INDEX(Matrix!$C$5:$BJ$204,0,P$3)&gt;0)))</f>
        <v/>
      </c>
      <c r="Q52" s="12" t="str">
        <f aca="false">IF(OR($A52="",Q$4=""),"",SUMPRODUCT(--(INDEX(Matrix!$C$5:$BJ$204,0,$B52)&gt;0),--(INDEX(Matrix!$C$5:$BJ$204,0,Q$3)&gt;0)))</f>
        <v/>
      </c>
      <c r="R52" s="12" t="str">
        <f aca="false">IF(OR($A52="",R$4=""),"",SUMPRODUCT(--(INDEX(Matrix!$C$5:$BJ$204,0,$B52)&gt;0),--(INDEX(Matrix!$C$5:$BJ$204,0,R$3)&gt;0)))</f>
        <v/>
      </c>
      <c r="S52" s="12" t="str">
        <f aca="false">IF(OR($A52="",S$4=""),"",SUMPRODUCT(--(INDEX(Matrix!$C$5:$BJ$204,0,$B52)&gt;0),--(INDEX(Matrix!$C$5:$BJ$204,0,S$3)&gt;0)))</f>
        <v/>
      </c>
      <c r="T52" s="12" t="str">
        <f aca="false">IF(OR($A52="",T$4=""),"",SUMPRODUCT(--(INDEX(Matrix!$C$5:$BJ$204,0,$B52)&gt;0),--(INDEX(Matrix!$C$5:$BJ$204,0,T$3)&gt;0)))</f>
        <v/>
      </c>
      <c r="U52" s="12" t="str">
        <f aca="false">IF(OR($A52="",U$4=""),"",SUMPRODUCT(--(INDEX(Matrix!$C$5:$BJ$204,0,$B52)&gt;0),--(INDEX(Matrix!$C$5:$BJ$204,0,U$3)&gt;0)))</f>
        <v/>
      </c>
      <c r="V52" s="12" t="str">
        <f aca="false">IF(OR($A52="",V$4=""),"",SUMPRODUCT(--(INDEX(Matrix!$C$5:$BJ$204,0,$B52)&gt;0),--(INDEX(Matrix!$C$5:$BJ$204,0,V$3)&gt;0)))</f>
        <v/>
      </c>
      <c r="W52" s="12" t="str">
        <f aca="false">IF(OR($A52="",W$4=""),"",SUMPRODUCT(--(INDEX(Matrix!$C$5:$BJ$204,0,$B52)&gt;0),--(INDEX(Matrix!$C$5:$BJ$204,0,W$3)&gt;0)))</f>
        <v/>
      </c>
      <c r="X52" s="12" t="str">
        <f aca="false">IF(OR($A52="",X$4=""),"",SUMPRODUCT(--(INDEX(Matrix!$C$5:$BJ$204,0,$B52)&gt;0),--(INDEX(Matrix!$C$5:$BJ$204,0,X$3)&gt;0)))</f>
        <v/>
      </c>
      <c r="Y52" s="12" t="str">
        <f aca="false">IF(OR($A52="",Y$4=""),"",SUMPRODUCT(--(INDEX(Matrix!$C$5:$BJ$204,0,$B52)&gt;0),--(INDEX(Matrix!$C$5:$BJ$204,0,Y$3)&gt;0)))</f>
        <v/>
      </c>
      <c r="Z52" s="12" t="str">
        <f aca="false">IF(OR($A52="",Z$4=""),"",SUMPRODUCT(--(INDEX(Matrix!$C$5:$BJ$204,0,$B52)&gt;0),--(INDEX(Matrix!$C$5:$BJ$204,0,Z$3)&gt;0)))</f>
        <v/>
      </c>
      <c r="AA52" s="12" t="str">
        <f aca="false">IF(OR($A52="",AA$4=""),"",SUMPRODUCT(--(INDEX(Matrix!$C$5:$BJ$204,0,$B52)&gt;0),--(INDEX(Matrix!$C$5:$BJ$204,0,AA$3)&gt;0)))</f>
        <v/>
      </c>
      <c r="AB52" s="12" t="str">
        <f aca="false">IF(OR($A52="",AB$4=""),"",SUMPRODUCT(--(INDEX(Matrix!$C$5:$BJ$204,0,$B52)&gt;0),--(INDEX(Matrix!$C$5:$BJ$204,0,AB$3)&gt;0)))</f>
        <v/>
      </c>
      <c r="AC52" s="12" t="str">
        <f aca="false">IF(OR($A52="",AC$4=""),"",SUMPRODUCT(--(INDEX(Matrix!$C$5:$BJ$204,0,$B52)&gt;0),--(INDEX(Matrix!$C$5:$BJ$204,0,AC$3)&gt;0)))</f>
        <v/>
      </c>
      <c r="AD52" s="12" t="str">
        <f aca="false">IF(OR($A52="",AD$4=""),"",SUMPRODUCT(--(INDEX(Matrix!$C$5:$BJ$204,0,$B52)&gt;0),--(INDEX(Matrix!$C$5:$BJ$204,0,AD$3)&gt;0)))</f>
        <v/>
      </c>
      <c r="AE52" s="12" t="str">
        <f aca="false">IF(OR($A52="",AE$4=""),"",SUMPRODUCT(--(INDEX(Matrix!$C$5:$BJ$204,0,$B52)&gt;0),--(INDEX(Matrix!$C$5:$BJ$204,0,AE$3)&gt;0)))</f>
        <v/>
      </c>
      <c r="AF52" s="12" t="str">
        <f aca="false">IF(OR($A52="",AF$4=""),"",SUMPRODUCT(--(INDEX(Matrix!$C$5:$BJ$204,0,$B52)&gt;0),--(INDEX(Matrix!$C$5:$BJ$204,0,AF$3)&gt;0)))</f>
        <v/>
      </c>
      <c r="AG52" s="12" t="str">
        <f aca="false">IF(OR($A52="",AG$4=""),"",SUMPRODUCT(--(INDEX(Matrix!$C$5:$BJ$204,0,$B52)&gt;0),--(INDEX(Matrix!$C$5:$BJ$204,0,AG$3)&gt;0)))</f>
        <v/>
      </c>
      <c r="AH52" s="12" t="str">
        <f aca="false">IF(OR($A52="",AH$4=""),"",SUMPRODUCT(--(INDEX(Matrix!$C$5:$BJ$204,0,$B52)&gt;0),--(INDEX(Matrix!$C$5:$BJ$204,0,AH$3)&gt;0)))</f>
        <v/>
      </c>
      <c r="AI52" s="12" t="str">
        <f aca="false">IF(OR($A52="",AI$4=""),"",SUMPRODUCT(--(INDEX(Matrix!$C$5:$BJ$204,0,$B52)&gt;0),--(INDEX(Matrix!$C$5:$BJ$204,0,AI$3)&gt;0)))</f>
        <v/>
      </c>
      <c r="AJ52" s="12" t="str">
        <f aca="false">IF(OR($A52="",AJ$4=""),"",SUMPRODUCT(--(INDEX(Matrix!$C$5:$BJ$204,0,$B52)&gt;0),--(INDEX(Matrix!$C$5:$BJ$204,0,AJ$3)&gt;0)))</f>
        <v/>
      </c>
      <c r="AK52" s="12" t="str">
        <f aca="false">IF(OR($A52="",AK$4=""),"",SUMPRODUCT(--(INDEX(Matrix!$C$5:$BJ$204,0,$B52)&gt;0),--(INDEX(Matrix!$C$5:$BJ$204,0,AK$3)&gt;0)))</f>
        <v/>
      </c>
      <c r="AL52" s="12" t="str">
        <f aca="false">IF(OR($A52="",AL$4=""),"",SUMPRODUCT(--(INDEX(Matrix!$C$5:$BJ$204,0,$B52)&gt;0),--(INDEX(Matrix!$C$5:$BJ$204,0,AL$3)&gt;0)))</f>
        <v/>
      </c>
      <c r="AM52" s="12" t="str">
        <f aca="false">IF(OR($A52="",AM$4=""),"",SUMPRODUCT(--(INDEX(Matrix!$C$5:$BJ$204,0,$B52)&gt;0),--(INDEX(Matrix!$C$5:$BJ$204,0,AM$3)&gt;0)))</f>
        <v/>
      </c>
      <c r="AN52" s="12" t="str">
        <f aca="false">IF(OR($A52="",AN$4=""),"",SUMPRODUCT(--(INDEX(Matrix!$C$5:$BJ$204,0,$B52)&gt;0),--(INDEX(Matrix!$C$5:$BJ$204,0,AN$3)&gt;0)))</f>
        <v/>
      </c>
      <c r="AO52" s="12" t="str">
        <f aca="false">IF(OR($A52="",AO$4=""),"",SUMPRODUCT(--(INDEX(Matrix!$C$5:$BJ$204,0,$B52)&gt;0),--(INDEX(Matrix!$C$5:$BJ$204,0,AO$3)&gt;0)))</f>
        <v/>
      </c>
      <c r="AP52" s="12" t="str">
        <f aca="false">IF(OR($A52="",AP$4=""),"",SUMPRODUCT(--(INDEX(Matrix!$C$5:$BJ$204,0,$B52)&gt;0),--(INDEX(Matrix!$C$5:$BJ$204,0,AP$3)&gt;0)))</f>
        <v/>
      </c>
      <c r="AQ52" s="12" t="str">
        <f aca="false">IF(OR($A52="",AQ$4=""),"",SUMPRODUCT(--(INDEX(Matrix!$C$5:$BJ$204,0,$B52)&gt;0),--(INDEX(Matrix!$C$5:$BJ$204,0,AQ$3)&gt;0)))</f>
        <v/>
      </c>
      <c r="AR52" s="12" t="str">
        <f aca="false">IF(OR($A52="",AR$4=""),"",SUMPRODUCT(--(INDEX(Matrix!$C$5:$BJ$204,0,$B52)&gt;0),--(INDEX(Matrix!$C$5:$BJ$204,0,AR$3)&gt;0)))</f>
        <v/>
      </c>
      <c r="AS52" s="12" t="str">
        <f aca="false">IF(OR($A52="",AS$4=""),"",SUMPRODUCT(--(INDEX(Matrix!$C$5:$BJ$204,0,$B52)&gt;0),--(INDEX(Matrix!$C$5:$BJ$204,0,AS$3)&gt;0)))</f>
        <v/>
      </c>
      <c r="AT52" s="12" t="str">
        <f aca="false">IF(OR($A52="",AT$4=""),"",SUMPRODUCT(--(INDEX(Matrix!$C$5:$BJ$204,0,$B52)&gt;0),--(INDEX(Matrix!$C$5:$BJ$204,0,AT$3)&gt;0)))</f>
        <v/>
      </c>
      <c r="AU52" s="12" t="str">
        <f aca="false">IF(OR($A52="",AU$4=""),"",SUMPRODUCT(--(INDEX(Matrix!$C$5:$BJ$204,0,$B52)&gt;0),--(INDEX(Matrix!$C$5:$BJ$204,0,AU$3)&gt;0)))</f>
        <v/>
      </c>
      <c r="AV52" s="12" t="str">
        <f aca="false">IF(OR($A52="",AV$4=""),"",SUMPRODUCT(--(INDEX(Matrix!$C$5:$BJ$204,0,$B52)&gt;0),--(INDEX(Matrix!$C$5:$BJ$204,0,AV$3)&gt;0)))</f>
        <v/>
      </c>
      <c r="AW52" s="12" t="str">
        <f aca="false">IF(OR($A52="",AW$4=""),"",SUMPRODUCT(--(INDEX(Matrix!$C$5:$BJ$204,0,$B52)&gt;0),--(INDEX(Matrix!$C$5:$BJ$204,0,AW$3)&gt;0)))</f>
        <v/>
      </c>
      <c r="AX52" s="12" t="str">
        <f aca="false">IF(OR($A52="",AX$4=""),"",SUMPRODUCT(--(INDEX(Matrix!$C$5:$BJ$204,0,$B52)&gt;0),--(INDEX(Matrix!$C$5:$BJ$204,0,AX$3)&gt;0)))</f>
        <v/>
      </c>
      <c r="AY52" s="12" t="str">
        <f aca="false">IF(OR($A52="",AY$4=""),"",SUMPRODUCT(--(INDEX(Matrix!$C$5:$BJ$204,0,$B52)&gt;0),--(INDEX(Matrix!$C$5:$BJ$204,0,AY$3)&gt;0)))</f>
        <v/>
      </c>
      <c r="AZ52" s="12" t="str">
        <f aca="false">IF(OR($A52="",AZ$4=""),"",SUMPRODUCT(--(INDEX(Matrix!$C$5:$BJ$204,0,$B52)&gt;0),--(INDEX(Matrix!$C$5:$BJ$204,0,AZ$3)&gt;0)))</f>
        <v/>
      </c>
      <c r="BA52" s="12" t="str">
        <f aca="false">IF(OR($A52="",BA$4=""),"",SUMPRODUCT(--(INDEX(Matrix!$C$5:$BJ$204,0,$B52)&gt;0),--(INDEX(Matrix!$C$5:$BJ$204,0,BA$3)&gt;0)))</f>
        <v/>
      </c>
      <c r="BB52" s="12" t="str">
        <f aca="false">IF(OR($A52="",BB$4=""),"",SUMPRODUCT(--(INDEX(Matrix!$C$5:$BJ$204,0,$B52)&gt;0),--(INDEX(Matrix!$C$5:$BJ$204,0,BB$3)&gt;0)))</f>
        <v/>
      </c>
      <c r="BC52" s="12" t="str">
        <f aca="false">IF(OR($A52="",BC$4=""),"",SUMPRODUCT(--(INDEX(Matrix!$C$5:$BJ$204,0,$B52)&gt;0),--(INDEX(Matrix!$C$5:$BJ$204,0,BC$3)&gt;0)))</f>
        <v/>
      </c>
      <c r="BD52" s="12" t="str">
        <f aca="false">IF(OR($A52="",BD$4=""),"",SUMPRODUCT(--(INDEX(Matrix!$C$5:$BJ$204,0,$B52)&gt;0),--(INDEX(Matrix!$C$5:$BJ$204,0,BD$3)&gt;0)))</f>
        <v/>
      </c>
      <c r="BE52" s="12" t="str">
        <f aca="false">IF(OR($A52="",BE$4=""),"",SUMPRODUCT(--(INDEX(Matrix!$C$5:$BJ$204,0,$B52)&gt;0),--(INDEX(Matrix!$C$5:$BJ$204,0,BE$3)&gt;0)))</f>
        <v/>
      </c>
      <c r="BF52" s="12" t="str">
        <f aca="false">IF(OR($A52="",BF$4=""),"",SUMPRODUCT(--(INDEX(Matrix!$C$5:$BJ$204,0,$B52)&gt;0),--(INDEX(Matrix!$C$5:$BJ$204,0,BF$3)&gt;0)))</f>
        <v/>
      </c>
      <c r="BG52" s="12" t="str">
        <f aca="false">IF(OR($A52="",BG$4=""),"",SUMPRODUCT(--(INDEX(Matrix!$C$5:$BJ$204,0,$B52)&gt;0),--(INDEX(Matrix!$C$5:$BJ$204,0,BG$3)&gt;0)))</f>
        <v/>
      </c>
      <c r="BH52" s="12" t="str">
        <f aca="false">IF(OR($A52="",BH$4=""),"",SUMPRODUCT(--(INDEX(Matrix!$C$5:$BJ$204,0,$B52)&gt;0),--(INDEX(Matrix!$C$5:$BJ$204,0,BH$3)&gt;0)))</f>
        <v/>
      </c>
      <c r="BI52" s="12" t="str">
        <f aca="false">IF(OR($A52="",BI$4=""),"",SUMPRODUCT(--(INDEX(Matrix!$C$5:$BJ$204,0,$B52)&gt;0),--(INDEX(Matrix!$C$5:$BJ$204,0,BI$3)&gt;0)))</f>
        <v/>
      </c>
      <c r="BJ52" s="12" t="str">
        <f aca="false">IF(OR($A52="",BJ$4=""),"",SUMPRODUCT(--(INDEX(Matrix!$C$5:$BJ$204,0,$B52)&gt;0),--(INDEX(Matrix!$C$5:$BJ$204,0,BJ$3)&gt;0)))</f>
        <v/>
      </c>
    </row>
    <row r="53" customFormat="false" ht="15" hidden="false" customHeight="false" outlineLevel="0" collapsed="false">
      <c r="A53" s="6" t="str">
        <f aca="false">IF(INDEX(Products!$A$2:$A$61,$B53)="","",INDEX(Products!$A$2:$A$61,$B53))</f>
        <v/>
      </c>
      <c r="B53" s="23" t="n">
        <v>49</v>
      </c>
      <c r="C53" s="12" t="str">
        <f aca="false">IF(OR($A53="",C$4=""),"",SUMPRODUCT(--(INDEX(Matrix!$C$5:$BJ$204,0,$B53)&gt;0),--(INDEX(Matrix!$C$5:$BJ$204,0,C$3)&gt;0)))</f>
        <v/>
      </c>
      <c r="D53" s="12" t="str">
        <f aca="false">IF(OR($A53="",D$4=""),"",SUMPRODUCT(--(INDEX(Matrix!$C$5:$BJ$204,0,$B53)&gt;0),--(INDEX(Matrix!$C$5:$BJ$204,0,D$3)&gt;0)))</f>
        <v/>
      </c>
      <c r="E53" s="12" t="str">
        <f aca="false">IF(OR($A53="",E$4=""),"",SUMPRODUCT(--(INDEX(Matrix!$C$5:$BJ$204,0,$B53)&gt;0),--(INDEX(Matrix!$C$5:$BJ$204,0,E$3)&gt;0)))</f>
        <v/>
      </c>
      <c r="F53" s="12" t="str">
        <f aca="false">IF(OR($A53="",F$4=""),"",SUMPRODUCT(--(INDEX(Matrix!$C$5:$BJ$204,0,$B53)&gt;0),--(INDEX(Matrix!$C$5:$BJ$204,0,F$3)&gt;0)))</f>
        <v/>
      </c>
      <c r="G53" s="12" t="str">
        <f aca="false">IF(OR($A53="",G$4=""),"",SUMPRODUCT(--(INDEX(Matrix!$C$5:$BJ$204,0,$B53)&gt;0),--(INDEX(Matrix!$C$5:$BJ$204,0,G$3)&gt;0)))</f>
        <v/>
      </c>
      <c r="H53" s="12" t="str">
        <f aca="false">IF(OR($A53="",H$4=""),"",SUMPRODUCT(--(INDEX(Matrix!$C$5:$BJ$204,0,$B53)&gt;0),--(INDEX(Matrix!$C$5:$BJ$204,0,H$3)&gt;0)))</f>
        <v/>
      </c>
      <c r="I53" s="12" t="str">
        <f aca="false">IF(OR($A53="",I$4=""),"",SUMPRODUCT(--(INDEX(Matrix!$C$5:$BJ$204,0,$B53)&gt;0),--(INDEX(Matrix!$C$5:$BJ$204,0,I$3)&gt;0)))</f>
        <v/>
      </c>
      <c r="J53" s="12" t="str">
        <f aca="false">IF(OR($A53="",J$4=""),"",SUMPRODUCT(--(INDEX(Matrix!$C$5:$BJ$204,0,$B53)&gt;0),--(INDEX(Matrix!$C$5:$BJ$204,0,J$3)&gt;0)))</f>
        <v/>
      </c>
      <c r="K53" s="12" t="str">
        <f aca="false">IF(OR($A53="",K$4=""),"",SUMPRODUCT(--(INDEX(Matrix!$C$5:$BJ$204,0,$B53)&gt;0),--(INDEX(Matrix!$C$5:$BJ$204,0,K$3)&gt;0)))</f>
        <v/>
      </c>
      <c r="L53" s="12" t="str">
        <f aca="false">IF(OR($A53="",L$4=""),"",SUMPRODUCT(--(INDEX(Matrix!$C$5:$BJ$204,0,$B53)&gt;0),--(INDEX(Matrix!$C$5:$BJ$204,0,L$3)&gt;0)))</f>
        <v/>
      </c>
      <c r="M53" s="12" t="str">
        <f aca="false">IF(OR($A53="",M$4=""),"",SUMPRODUCT(--(INDEX(Matrix!$C$5:$BJ$204,0,$B53)&gt;0),--(INDEX(Matrix!$C$5:$BJ$204,0,M$3)&gt;0)))</f>
        <v/>
      </c>
      <c r="N53" s="12" t="str">
        <f aca="false">IF(OR($A53="",N$4=""),"",SUMPRODUCT(--(INDEX(Matrix!$C$5:$BJ$204,0,$B53)&gt;0),--(INDEX(Matrix!$C$5:$BJ$204,0,N$3)&gt;0)))</f>
        <v/>
      </c>
      <c r="O53" s="12" t="str">
        <f aca="false">IF(OR($A53="",O$4=""),"",SUMPRODUCT(--(INDEX(Matrix!$C$5:$BJ$204,0,$B53)&gt;0),--(INDEX(Matrix!$C$5:$BJ$204,0,O$3)&gt;0)))</f>
        <v/>
      </c>
      <c r="P53" s="12" t="str">
        <f aca="false">IF(OR($A53="",P$4=""),"",SUMPRODUCT(--(INDEX(Matrix!$C$5:$BJ$204,0,$B53)&gt;0),--(INDEX(Matrix!$C$5:$BJ$204,0,P$3)&gt;0)))</f>
        <v/>
      </c>
      <c r="Q53" s="12" t="str">
        <f aca="false">IF(OR($A53="",Q$4=""),"",SUMPRODUCT(--(INDEX(Matrix!$C$5:$BJ$204,0,$B53)&gt;0),--(INDEX(Matrix!$C$5:$BJ$204,0,Q$3)&gt;0)))</f>
        <v/>
      </c>
      <c r="R53" s="12" t="str">
        <f aca="false">IF(OR($A53="",R$4=""),"",SUMPRODUCT(--(INDEX(Matrix!$C$5:$BJ$204,0,$B53)&gt;0),--(INDEX(Matrix!$C$5:$BJ$204,0,R$3)&gt;0)))</f>
        <v/>
      </c>
      <c r="S53" s="12" t="str">
        <f aca="false">IF(OR($A53="",S$4=""),"",SUMPRODUCT(--(INDEX(Matrix!$C$5:$BJ$204,0,$B53)&gt;0),--(INDEX(Matrix!$C$5:$BJ$204,0,S$3)&gt;0)))</f>
        <v/>
      </c>
      <c r="T53" s="12" t="str">
        <f aca="false">IF(OR($A53="",T$4=""),"",SUMPRODUCT(--(INDEX(Matrix!$C$5:$BJ$204,0,$B53)&gt;0),--(INDEX(Matrix!$C$5:$BJ$204,0,T$3)&gt;0)))</f>
        <v/>
      </c>
      <c r="U53" s="12" t="str">
        <f aca="false">IF(OR($A53="",U$4=""),"",SUMPRODUCT(--(INDEX(Matrix!$C$5:$BJ$204,0,$B53)&gt;0),--(INDEX(Matrix!$C$5:$BJ$204,0,U$3)&gt;0)))</f>
        <v/>
      </c>
      <c r="V53" s="12" t="str">
        <f aca="false">IF(OR($A53="",V$4=""),"",SUMPRODUCT(--(INDEX(Matrix!$C$5:$BJ$204,0,$B53)&gt;0),--(INDEX(Matrix!$C$5:$BJ$204,0,V$3)&gt;0)))</f>
        <v/>
      </c>
      <c r="W53" s="12" t="str">
        <f aca="false">IF(OR($A53="",W$4=""),"",SUMPRODUCT(--(INDEX(Matrix!$C$5:$BJ$204,0,$B53)&gt;0),--(INDEX(Matrix!$C$5:$BJ$204,0,W$3)&gt;0)))</f>
        <v/>
      </c>
      <c r="X53" s="12" t="str">
        <f aca="false">IF(OR($A53="",X$4=""),"",SUMPRODUCT(--(INDEX(Matrix!$C$5:$BJ$204,0,$B53)&gt;0),--(INDEX(Matrix!$C$5:$BJ$204,0,X$3)&gt;0)))</f>
        <v/>
      </c>
      <c r="Y53" s="12" t="str">
        <f aca="false">IF(OR($A53="",Y$4=""),"",SUMPRODUCT(--(INDEX(Matrix!$C$5:$BJ$204,0,$B53)&gt;0),--(INDEX(Matrix!$C$5:$BJ$204,0,Y$3)&gt;0)))</f>
        <v/>
      </c>
      <c r="Z53" s="12" t="str">
        <f aca="false">IF(OR($A53="",Z$4=""),"",SUMPRODUCT(--(INDEX(Matrix!$C$5:$BJ$204,0,$B53)&gt;0),--(INDEX(Matrix!$C$5:$BJ$204,0,Z$3)&gt;0)))</f>
        <v/>
      </c>
      <c r="AA53" s="12" t="str">
        <f aca="false">IF(OR($A53="",AA$4=""),"",SUMPRODUCT(--(INDEX(Matrix!$C$5:$BJ$204,0,$B53)&gt;0),--(INDEX(Matrix!$C$5:$BJ$204,0,AA$3)&gt;0)))</f>
        <v/>
      </c>
      <c r="AB53" s="12" t="str">
        <f aca="false">IF(OR($A53="",AB$4=""),"",SUMPRODUCT(--(INDEX(Matrix!$C$5:$BJ$204,0,$B53)&gt;0),--(INDEX(Matrix!$C$5:$BJ$204,0,AB$3)&gt;0)))</f>
        <v/>
      </c>
      <c r="AC53" s="12" t="str">
        <f aca="false">IF(OR($A53="",AC$4=""),"",SUMPRODUCT(--(INDEX(Matrix!$C$5:$BJ$204,0,$B53)&gt;0),--(INDEX(Matrix!$C$5:$BJ$204,0,AC$3)&gt;0)))</f>
        <v/>
      </c>
      <c r="AD53" s="12" t="str">
        <f aca="false">IF(OR($A53="",AD$4=""),"",SUMPRODUCT(--(INDEX(Matrix!$C$5:$BJ$204,0,$B53)&gt;0),--(INDEX(Matrix!$C$5:$BJ$204,0,AD$3)&gt;0)))</f>
        <v/>
      </c>
      <c r="AE53" s="12" t="str">
        <f aca="false">IF(OR($A53="",AE$4=""),"",SUMPRODUCT(--(INDEX(Matrix!$C$5:$BJ$204,0,$B53)&gt;0),--(INDEX(Matrix!$C$5:$BJ$204,0,AE$3)&gt;0)))</f>
        <v/>
      </c>
      <c r="AF53" s="12" t="str">
        <f aca="false">IF(OR($A53="",AF$4=""),"",SUMPRODUCT(--(INDEX(Matrix!$C$5:$BJ$204,0,$B53)&gt;0),--(INDEX(Matrix!$C$5:$BJ$204,0,AF$3)&gt;0)))</f>
        <v/>
      </c>
      <c r="AG53" s="12" t="str">
        <f aca="false">IF(OR($A53="",AG$4=""),"",SUMPRODUCT(--(INDEX(Matrix!$C$5:$BJ$204,0,$B53)&gt;0),--(INDEX(Matrix!$C$5:$BJ$204,0,AG$3)&gt;0)))</f>
        <v/>
      </c>
      <c r="AH53" s="12" t="str">
        <f aca="false">IF(OR($A53="",AH$4=""),"",SUMPRODUCT(--(INDEX(Matrix!$C$5:$BJ$204,0,$B53)&gt;0),--(INDEX(Matrix!$C$5:$BJ$204,0,AH$3)&gt;0)))</f>
        <v/>
      </c>
      <c r="AI53" s="12" t="str">
        <f aca="false">IF(OR($A53="",AI$4=""),"",SUMPRODUCT(--(INDEX(Matrix!$C$5:$BJ$204,0,$B53)&gt;0),--(INDEX(Matrix!$C$5:$BJ$204,0,AI$3)&gt;0)))</f>
        <v/>
      </c>
      <c r="AJ53" s="12" t="str">
        <f aca="false">IF(OR($A53="",AJ$4=""),"",SUMPRODUCT(--(INDEX(Matrix!$C$5:$BJ$204,0,$B53)&gt;0),--(INDEX(Matrix!$C$5:$BJ$204,0,AJ$3)&gt;0)))</f>
        <v/>
      </c>
      <c r="AK53" s="12" t="str">
        <f aca="false">IF(OR($A53="",AK$4=""),"",SUMPRODUCT(--(INDEX(Matrix!$C$5:$BJ$204,0,$B53)&gt;0),--(INDEX(Matrix!$C$5:$BJ$204,0,AK$3)&gt;0)))</f>
        <v/>
      </c>
      <c r="AL53" s="12" t="str">
        <f aca="false">IF(OR($A53="",AL$4=""),"",SUMPRODUCT(--(INDEX(Matrix!$C$5:$BJ$204,0,$B53)&gt;0),--(INDEX(Matrix!$C$5:$BJ$204,0,AL$3)&gt;0)))</f>
        <v/>
      </c>
      <c r="AM53" s="12" t="str">
        <f aca="false">IF(OR($A53="",AM$4=""),"",SUMPRODUCT(--(INDEX(Matrix!$C$5:$BJ$204,0,$B53)&gt;0),--(INDEX(Matrix!$C$5:$BJ$204,0,AM$3)&gt;0)))</f>
        <v/>
      </c>
      <c r="AN53" s="12" t="str">
        <f aca="false">IF(OR($A53="",AN$4=""),"",SUMPRODUCT(--(INDEX(Matrix!$C$5:$BJ$204,0,$B53)&gt;0),--(INDEX(Matrix!$C$5:$BJ$204,0,AN$3)&gt;0)))</f>
        <v/>
      </c>
      <c r="AO53" s="12" t="str">
        <f aca="false">IF(OR($A53="",AO$4=""),"",SUMPRODUCT(--(INDEX(Matrix!$C$5:$BJ$204,0,$B53)&gt;0),--(INDEX(Matrix!$C$5:$BJ$204,0,AO$3)&gt;0)))</f>
        <v/>
      </c>
      <c r="AP53" s="12" t="str">
        <f aca="false">IF(OR($A53="",AP$4=""),"",SUMPRODUCT(--(INDEX(Matrix!$C$5:$BJ$204,0,$B53)&gt;0),--(INDEX(Matrix!$C$5:$BJ$204,0,AP$3)&gt;0)))</f>
        <v/>
      </c>
      <c r="AQ53" s="12" t="str">
        <f aca="false">IF(OR($A53="",AQ$4=""),"",SUMPRODUCT(--(INDEX(Matrix!$C$5:$BJ$204,0,$B53)&gt;0),--(INDEX(Matrix!$C$5:$BJ$204,0,AQ$3)&gt;0)))</f>
        <v/>
      </c>
      <c r="AR53" s="12" t="str">
        <f aca="false">IF(OR($A53="",AR$4=""),"",SUMPRODUCT(--(INDEX(Matrix!$C$5:$BJ$204,0,$B53)&gt;0),--(INDEX(Matrix!$C$5:$BJ$204,0,AR$3)&gt;0)))</f>
        <v/>
      </c>
      <c r="AS53" s="12" t="str">
        <f aca="false">IF(OR($A53="",AS$4=""),"",SUMPRODUCT(--(INDEX(Matrix!$C$5:$BJ$204,0,$B53)&gt;0),--(INDEX(Matrix!$C$5:$BJ$204,0,AS$3)&gt;0)))</f>
        <v/>
      </c>
      <c r="AT53" s="12" t="str">
        <f aca="false">IF(OR($A53="",AT$4=""),"",SUMPRODUCT(--(INDEX(Matrix!$C$5:$BJ$204,0,$B53)&gt;0),--(INDEX(Matrix!$C$5:$BJ$204,0,AT$3)&gt;0)))</f>
        <v/>
      </c>
      <c r="AU53" s="12" t="str">
        <f aca="false">IF(OR($A53="",AU$4=""),"",SUMPRODUCT(--(INDEX(Matrix!$C$5:$BJ$204,0,$B53)&gt;0),--(INDEX(Matrix!$C$5:$BJ$204,0,AU$3)&gt;0)))</f>
        <v/>
      </c>
      <c r="AV53" s="12" t="str">
        <f aca="false">IF(OR($A53="",AV$4=""),"",SUMPRODUCT(--(INDEX(Matrix!$C$5:$BJ$204,0,$B53)&gt;0),--(INDEX(Matrix!$C$5:$BJ$204,0,AV$3)&gt;0)))</f>
        <v/>
      </c>
      <c r="AW53" s="12" t="str">
        <f aca="false">IF(OR($A53="",AW$4=""),"",SUMPRODUCT(--(INDEX(Matrix!$C$5:$BJ$204,0,$B53)&gt;0),--(INDEX(Matrix!$C$5:$BJ$204,0,AW$3)&gt;0)))</f>
        <v/>
      </c>
      <c r="AX53" s="12" t="str">
        <f aca="false">IF(OR($A53="",AX$4=""),"",SUMPRODUCT(--(INDEX(Matrix!$C$5:$BJ$204,0,$B53)&gt;0),--(INDEX(Matrix!$C$5:$BJ$204,0,AX$3)&gt;0)))</f>
        <v/>
      </c>
      <c r="AY53" s="12" t="str">
        <f aca="false">IF(OR($A53="",AY$4=""),"",SUMPRODUCT(--(INDEX(Matrix!$C$5:$BJ$204,0,$B53)&gt;0),--(INDEX(Matrix!$C$5:$BJ$204,0,AY$3)&gt;0)))</f>
        <v/>
      </c>
      <c r="AZ53" s="12" t="str">
        <f aca="false">IF(OR($A53="",AZ$4=""),"",SUMPRODUCT(--(INDEX(Matrix!$C$5:$BJ$204,0,$B53)&gt;0),--(INDEX(Matrix!$C$5:$BJ$204,0,AZ$3)&gt;0)))</f>
        <v/>
      </c>
      <c r="BA53" s="12" t="str">
        <f aca="false">IF(OR($A53="",BA$4=""),"",SUMPRODUCT(--(INDEX(Matrix!$C$5:$BJ$204,0,$B53)&gt;0),--(INDEX(Matrix!$C$5:$BJ$204,0,BA$3)&gt;0)))</f>
        <v/>
      </c>
      <c r="BB53" s="12" t="str">
        <f aca="false">IF(OR($A53="",BB$4=""),"",SUMPRODUCT(--(INDEX(Matrix!$C$5:$BJ$204,0,$B53)&gt;0),--(INDEX(Matrix!$C$5:$BJ$204,0,BB$3)&gt;0)))</f>
        <v/>
      </c>
      <c r="BC53" s="12" t="str">
        <f aca="false">IF(OR($A53="",BC$4=""),"",SUMPRODUCT(--(INDEX(Matrix!$C$5:$BJ$204,0,$B53)&gt;0),--(INDEX(Matrix!$C$5:$BJ$204,0,BC$3)&gt;0)))</f>
        <v/>
      </c>
      <c r="BD53" s="12" t="str">
        <f aca="false">IF(OR($A53="",BD$4=""),"",SUMPRODUCT(--(INDEX(Matrix!$C$5:$BJ$204,0,$B53)&gt;0),--(INDEX(Matrix!$C$5:$BJ$204,0,BD$3)&gt;0)))</f>
        <v/>
      </c>
      <c r="BE53" s="12" t="str">
        <f aca="false">IF(OR($A53="",BE$4=""),"",SUMPRODUCT(--(INDEX(Matrix!$C$5:$BJ$204,0,$B53)&gt;0),--(INDEX(Matrix!$C$5:$BJ$204,0,BE$3)&gt;0)))</f>
        <v/>
      </c>
      <c r="BF53" s="12" t="str">
        <f aca="false">IF(OR($A53="",BF$4=""),"",SUMPRODUCT(--(INDEX(Matrix!$C$5:$BJ$204,0,$B53)&gt;0),--(INDEX(Matrix!$C$5:$BJ$204,0,BF$3)&gt;0)))</f>
        <v/>
      </c>
      <c r="BG53" s="12" t="str">
        <f aca="false">IF(OR($A53="",BG$4=""),"",SUMPRODUCT(--(INDEX(Matrix!$C$5:$BJ$204,0,$B53)&gt;0),--(INDEX(Matrix!$C$5:$BJ$204,0,BG$3)&gt;0)))</f>
        <v/>
      </c>
      <c r="BH53" s="12" t="str">
        <f aca="false">IF(OR($A53="",BH$4=""),"",SUMPRODUCT(--(INDEX(Matrix!$C$5:$BJ$204,0,$B53)&gt;0),--(INDEX(Matrix!$C$5:$BJ$204,0,BH$3)&gt;0)))</f>
        <v/>
      </c>
      <c r="BI53" s="12" t="str">
        <f aca="false">IF(OR($A53="",BI$4=""),"",SUMPRODUCT(--(INDEX(Matrix!$C$5:$BJ$204,0,$B53)&gt;0),--(INDEX(Matrix!$C$5:$BJ$204,0,BI$3)&gt;0)))</f>
        <v/>
      </c>
      <c r="BJ53" s="12" t="str">
        <f aca="false">IF(OR($A53="",BJ$4=""),"",SUMPRODUCT(--(INDEX(Matrix!$C$5:$BJ$204,0,$B53)&gt;0),--(INDEX(Matrix!$C$5:$BJ$204,0,BJ$3)&gt;0)))</f>
        <v/>
      </c>
    </row>
    <row r="54" customFormat="false" ht="15" hidden="false" customHeight="false" outlineLevel="0" collapsed="false">
      <c r="A54" s="6" t="str">
        <f aca="false">IF(INDEX(Products!$A$2:$A$61,$B54)="","",INDEX(Products!$A$2:$A$61,$B54))</f>
        <v/>
      </c>
      <c r="B54" s="23" t="n">
        <v>50</v>
      </c>
      <c r="C54" s="12" t="str">
        <f aca="false">IF(OR($A54="",C$4=""),"",SUMPRODUCT(--(INDEX(Matrix!$C$5:$BJ$204,0,$B54)&gt;0),--(INDEX(Matrix!$C$5:$BJ$204,0,C$3)&gt;0)))</f>
        <v/>
      </c>
      <c r="D54" s="12" t="str">
        <f aca="false">IF(OR($A54="",D$4=""),"",SUMPRODUCT(--(INDEX(Matrix!$C$5:$BJ$204,0,$B54)&gt;0),--(INDEX(Matrix!$C$5:$BJ$204,0,D$3)&gt;0)))</f>
        <v/>
      </c>
      <c r="E54" s="12" t="str">
        <f aca="false">IF(OR($A54="",E$4=""),"",SUMPRODUCT(--(INDEX(Matrix!$C$5:$BJ$204,0,$B54)&gt;0),--(INDEX(Matrix!$C$5:$BJ$204,0,E$3)&gt;0)))</f>
        <v/>
      </c>
      <c r="F54" s="12" t="str">
        <f aca="false">IF(OR($A54="",F$4=""),"",SUMPRODUCT(--(INDEX(Matrix!$C$5:$BJ$204,0,$B54)&gt;0),--(INDEX(Matrix!$C$5:$BJ$204,0,F$3)&gt;0)))</f>
        <v/>
      </c>
      <c r="G54" s="12" t="str">
        <f aca="false">IF(OR($A54="",G$4=""),"",SUMPRODUCT(--(INDEX(Matrix!$C$5:$BJ$204,0,$B54)&gt;0),--(INDEX(Matrix!$C$5:$BJ$204,0,G$3)&gt;0)))</f>
        <v/>
      </c>
      <c r="H54" s="12" t="str">
        <f aca="false">IF(OR($A54="",H$4=""),"",SUMPRODUCT(--(INDEX(Matrix!$C$5:$BJ$204,0,$B54)&gt;0),--(INDEX(Matrix!$C$5:$BJ$204,0,H$3)&gt;0)))</f>
        <v/>
      </c>
      <c r="I54" s="12" t="str">
        <f aca="false">IF(OR($A54="",I$4=""),"",SUMPRODUCT(--(INDEX(Matrix!$C$5:$BJ$204,0,$B54)&gt;0),--(INDEX(Matrix!$C$5:$BJ$204,0,I$3)&gt;0)))</f>
        <v/>
      </c>
      <c r="J54" s="12" t="str">
        <f aca="false">IF(OR($A54="",J$4=""),"",SUMPRODUCT(--(INDEX(Matrix!$C$5:$BJ$204,0,$B54)&gt;0),--(INDEX(Matrix!$C$5:$BJ$204,0,J$3)&gt;0)))</f>
        <v/>
      </c>
      <c r="K54" s="12" t="str">
        <f aca="false">IF(OR($A54="",K$4=""),"",SUMPRODUCT(--(INDEX(Matrix!$C$5:$BJ$204,0,$B54)&gt;0),--(INDEX(Matrix!$C$5:$BJ$204,0,K$3)&gt;0)))</f>
        <v/>
      </c>
      <c r="L54" s="12" t="str">
        <f aca="false">IF(OR($A54="",L$4=""),"",SUMPRODUCT(--(INDEX(Matrix!$C$5:$BJ$204,0,$B54)&gt;0),--(INDEX(Matrix!$C$5:$BJ$204,0,L$3)&gt;0)))</f>
        <v/>
      </c>
      <c r="M54" s="12" t="str">
        <f aca="false">IF(OR($A54="",M$4=""),"",SUMPRODUCT(--(INDEX(Matrix!$C$5:$BJ$204,0,$B54)&gt;0),--(INDEX(Matrix!$C$5:$BJ$204,0,M$3)&gt;0)))</f>
        <v/>
      </c>
      <c r="N54" s="12" t="str">
        <f aca="false">IF(OR($A54="",N$4=""),"",SUMPRODUCT(--(INDEX(Matrix!$C$5:$BJ$204,0,$B54)&gt;0),--(INDEX(Matrix!$C$5:$BJ$204,0,N$3)&gt;0)))</f>
        <v/>
      </c>
      <c r="O54" s="12" t="str">
        <f aca="false">IF(OR($A54="",O$4=""),"",SUMPRODUCT(--(INDEX(Matrix!$C$5:$BJ$204,0,$B54)&gt;0),--(INDEX(Matrix!$C$5:$BJ$204,0,O$3)&gt;0)))</f>
        <v/>
      </c>
      <c r="P54" s="12" t="str">
        <f aca="false">IF(OR($A54="",P$4=""),"",SUMPRODUCT(--(INDEX(Matrix!$C$5:$BJ$204,0,$B54)&gt;0),--(INDEX(Matrix!$C$5:$BJ$204,0,P$3)&gt;0)))</f>
        <v/>
      </c>
      <c r="Q54" s="12" t="str">
        <f aca="false">IF(OR($A54="",Q$4=""),"",SUMPRODUCT(--(INDEX(Matrix!$C$5:$BJ$204,0,$B54)&gt;0),--(INDEX(Matrix!$C$5:$BJ$204,0,Q$3)&gt;0)))</f>
        <v/>
      </c>
      <c r="R54" s="12" t="str">
        <f aca="false">IF(OR($A54="",R$4=""),"",SUMPRODUCT(--(INDEX(Matrix!$C$5:$BJ$204,0,$B54)&gt;0),--(INDEX(Matrix!$C$5:$BJ$204,0,R$3)&gt;0)))</f>
        <v/>
      </c>
      <c r="S54" s="12" t="str">
        <f aca="false">IF(OR($A54="",S$4=""),"",SUMPRODUCT(--(INDEX(Matrix!$C$5:$BJ$204,0,$B54)&gt;0),--(INDEX(Matrix!$C$5:$BJ$204,0,S$3)&gt;0)))</f>
        <v/>
      </c>
      <c r="T54" s="12" t="str">
        <f aca="false">IF(OR($A54="",T$4=""),"",SUMPRODUCT(--(INDEX(Matrix!$C$5:$BJ$204,0,$B54)&gt;0),--(INDEX(Matrix!$C$5:$BJ$204,0,T$3)&gt;0)))</f>
        <v/>
      </c>
      <c r="U54" s="12" t="str">
        <f aca="false">IF(OR($A54="",U$4=""),"",SUMPRODUCT(--(INDEX(Matrix!$C$5:$BJ$204,0,$B54)&gt;0),--(INDEX(Matrix!$C$5:$BJ$204,0,U$3)&gt;0)))</f>
        <v/>
      </c>
      <c r="V54" s="12" t="str">
        <f aca="false">IF(OR($A54="",V$4=""),"",SUMPRODUCT(--(INDEX(Matrix!$C$5:$BJ$204,0,$B54)&gt;0),--(INDEX(Matrix!$C$5:$BJ$204,0,V$3)&gt;0)))</f>
        <v/>
      </c>
      <c r="W54" s="12" t="str">
        <f aca="false">IF(OR($A54="",W$4=""),"",SUMPRODUCT(--(INDEX(Matrix!$C$5:$BJ$204,0,$B54)&gt;0),--(INDEX(Matrix!$C$5:$BJ$204,0,W$3)&gt;0)))</f>
        <v/>
      </c>
      <c r="X54" s="12" t="str">
        <f aca="false">IF(OR($A54="",X$4=""),"",SUMPRODUCT(--(INDEX(Matrix!$C$5:$BJ$204,0,$B54)&gt;0),--(INDEX(Matrix!$C$5:$BJ$204,0,X$3)&gt;0)))</f>
        <v/>
      </c>
      <c r="Y54" s="12" t="str">
        <f aca="false">IF(OR($A54="",Y$4=""),"",SUMPRODUCT(--(INDEX(Matrix!$C$5:$BJ$204,0,$B54)&gt;0),--(INDEX(Matrix!$C$5:$BJ$204,0,Y$3)&gt;0)))</f>
        <v/>
      </c>
      <c r="Z54" s="12" t="str">
        <f aca="false">IF(OR($A54="",Z$4=""),"",SUMPRODUCT(--(INDEX(Matrix!$C$5:$BJ$204,0,$B54)&gt;0),--(INDEX(Matrix!$C$5:$BJ$204,0,Z$3)&gt;0)))</f>
        <v/>
      </c>
      <c r="AA54" s="12" t="str">
        <f aca="false">IF(OR($A54="",AA$4=""),"",SUMPRODUCT(--(INDEX(Matrix!$C$5:$BJ$204,0,$B54)&gt;0),--(INDEX(Matrix!$C$5:$BJ$204,0,AA$3)&gt;0)))</f>
        <v/>
      </c>
      <c r="AB54" s="12" t="str">
        <f aca="false">IF(OR($A54="",AB$4=""),"",SUMPRODUCT(--(INDEX(Matrix!$C$5:$BJ$204,0,$B54)&gt;0),--(INDEX(Matrix!$C$5:$BJ$204,0,AB$3)&gt;0)))</f>
        <v/>
      </c>
      <c r="AC54" s="12" t="str">
        <f aca="false">IF(OR($A54="",AC$4=""),"",SUMPRODUCT(--(INDEX(Matrix!$C$5:$BJ$204,0,$B54)&gt;0),--(INDEX(Matrix!$C$5:$BJ$204,0,AC$3)&gt;0)))</f>
        <v/>
      </c>
      <c r="AD54" s="12" t="str">
        <f aca="false">IF(OR($A54="",AD$4=""),"",SUMPRODUCT(--(INDEX(Matrix!$C$5:$BJ$204,0,$B54)&gt;0),--(INDEX(Matrix!$C$5:$BJ$204,0,AD$3)&gt;0)))</f>
        <v/>
      </c>
      <c r="AE54" s="12" t="str">
        <f aca="false">IF(OR($A54="",AE$4=""),"",SUMPRODUCT(--(INDEX(Matrix!$C$5:$BJ$204,0,$B54)&gt;0),--(INDEX(Matrix!$C$5:$BJ$204,0,AE$3)&gt;0)))</f>
        <v/>
      </c>
      <c r="AF54" s="12" t="str">
        <f aca="false">IF(OR($A54="",AF$4=""),"",SUMPRODUCT(--(INDEX(Matrix!$C$5:$BJ$204,0,$B54)&gt;0),--(INDEX(Matrix!$C$5:$BJ$204,0,AF$3)&gt;0)))</f>
        <v/>
      </c>
      <c r="AG54" s="12" t="str">
        <f aca="false">IF(OR($A54="",AG$4=""),"",SUMPRODUCT(--(INDEX(Matrix!$C$5:$BJ$204,0,$B54)&gt;0),--(INDEX(Matrix!$C$5:$BJ$204,0,AG$3)&gt;0)))</f>
        <v/>
      </c>
      <c r="AH54" s="12" t="str">
        <f aca="false">IF(OR($A54="",AH$4=""),"",SUMPRODUCT(--(INDEX(Matrix!$C$5:$BJ$204,0,$B54)&gt;0),--(INDEX(Matrix!$C$5:$BJ$204,0,AH$3)&gt;0)))</f>
        <v/>
      </c>
      <c r="AI54" s="12" t="str">
        <f aca="false">IF(OR($A54="",AI$4=""),"",SUMPRODUCT(--(INDEX(Matrix!$C$5:$BJ$204,0,$B54)&gt;0),--(INDEX(Matrix!$C$5:$BJ$204,0,AI$3)&gt;0)))</f>
        <v/>
      </c>
      <c r="AJ54" s="12" t="str">
        <f aca="false">IF(OR($A54="",AJ$4=""),"",SUMPRODUCT(--(INDEX(Matrix!$C$5:$BJ$204,0,$B54)&gt;0),--(INDEX(Matrix!$C$5:$BJ$204,0,AJ$3)&gt;0)))</f>
        <v/>
      </c>
      <c r="AK54" s="12" t="str">
        <f aca="false">IF(OR($A54="",AK$4=""),"",SUMPRODUCT(--(INDEX(Matrix!$C$5:$BJ$204,0,$B54)&gt;0),--(INDEX(Matrix!$C$5:$BJ$204,0,AK$3)&gt;0)))</f>
        <v/>
      </c>
      <c r="AL54" s="12" t="str">
        <f aca="false">IF(OR($A54="",AL$4=""),"",SUMPRODUCT(--(INDEX(Matrix!$C$5:$BJ$204,0,$B54)&gt;0),--(INDEX(Matrix!$C$5:$BJ$204,0,AL$3)&gt;0)))</f>
        <v/>
      </c>
      <c r="AM54" s="12" t="str">
        <f aca="false">IF(OR($A54="",AM$4=""),"",SUMPRODUCT(--(INDEX(Matrix!$C$5:$BJ$204,0,$B54)&gt;0),--(INDEX(Matrix!$C$5:$BJ$204,0,AM$3)&gt;0)))</f>
        <v/>
      </c>
      <c r="AN54" s="12" t="str">
        <f aca="false">IF(OR($A54="",AN$4=""),"",SUMPRODUCT(--(INDEX(Matrix!$C$5:$BJ$204,0,$B54)&gt;0),--(INDEX(Matrix!$C$5:$BJ$204,0,AN$3)&gt;0)))</f>
        <v/>
      </c>
      <c r="AO54" s="12" t="str">
        <f aca="false">IF(OR($A54="",AO$4=""),"",SUMPRODUCT(--(INDEX(Matrix!$C$5:$BJ$204,0,$B54)&gt;0),--(INDEX(Matrix!$C$5:$BJ$204,0,AO$3)&gt;0)))</f>
        <v/>
      </c>
      <c r="AP54" s="12" t="str">
        <f aca="false">IF(OR($A54="",AP$4=""),"",SUMPRODUCT(--(INDEX(Matrix!$C$5:$BJ$204,0,$B54)&gt;0),--(INDEX(Matrix!$C$5:$BJ$204,0,AP$3)&gt;0)))</f>
        <v/>
      </c>
      <c r="AQ54" s="12" t="str">
        <f aca="false">IF(OR($A54="",AQ$4=""),"",SUMPRODUCT(--(INDEX(Matrix!$C$5:$BJ$204,0,$B54)&gt;0),--(INDEX(Matrix!$C$5:$BJ$204,0,AQ$3)&gt;0)))</f>
        <v/>
      </c>
      <c r="AR54" s="12" t="str">
        <f aca="false">IF(OR($A54="",AR$4=""),"",SUMPRODUCT(--(INDEX(Matrix!$C$5:$BJ$204,0,$B54)&gt;0),--(INDEX(Matrix!$C$5:$BJ$204,0,AR$3)&gt;0)))</f>
        <v/>
      </c>
      <c r="AS54" s="12" t="str">
        <f aca="false">IF(OR($A54="",AS$4=""),"",SUMPRODUCT(--(INDEX(Matrix!$C$5:$BJ$204,0,$B54)&gt;0),--(INDEX(Matrix!$C$5:$BJ$204,0,AS$3)&gt;0)))</f>
        <v/>
      </c>
      <c r="AT54" s="12" t="str">
        <f aca="false">IF(OR($A54="",AT$4=""),"",SUMPRODUCT(--(INDEX(Matrix!$C$5:$BJ$204,0,$B54)&gt;0),--(INDEX(Matrix!$C$5:$BJ$204,0,AT$3)&gt;0)))</f>
        <v/>
      </c>
      <c r="AU54" s="12" t="str">
        <f aca="false">IF(OR($A54="",AU$4=""),"",SUMPRODUCT(--(INDEX(Matrix!$C$5:$BJ$204,0,$B54)&gt;0),--(INDEX(Matrix!$C$5:$BJ$204,0,AU$3)&gt;0)))</f>
        <v/>
      </c>
      <c r="AV54" s="12" t="str">
        <f aca="false">IF(OR($A54="",AV$4=""),"",SUMPRODUCT(--(INDEX(Matrix!$C$5:$BJ$204,0,$B54)&gt;0),--(INDEX(Matrix!$C$5:$BJ$204,0,AV$3)&gt;0)))</f>
        <v/>
      </c>
      <c r="AW54" s="12" t="str">
        <f aca="false">IF(OR($A54="",AW$4=""),"",SUMPRODUCT(--(INDEX(Matrix!$C$5:$BJ$204,0,$B54)&gt;0),--(INDEX(Matrix!$C$5:$BJ$204,0,AW$3)&gt;0)))</f>
        <v/>
      </c>
      <c r="AX54" s="12" t="str">
        <f aca="false">IF(OR($A54="",AX$4=""),"",SUMPRODUCT(--(INDEX(Matrix!$C$5:$BJ$204,0,$B54)&gt;0),--(INDEX(Matrix!$C$5:$BJ$204,0,AX$3)&gt;0)))</f>
        <v/>
      </c>
      <c r="AY54" s="12" t="str">
        <f aca="false">IF(OR($A54="",AY$4=""),"",SUMPRODUCT(--(INDEX(Matrix!$C$5:$BJ$204,0,$B54)&gt;0),--(INDEX(Matrix!$C$5:$BJ$204,0,AY$3)&gt;0)))</f>
        <v/>
      </c>
      <c r="AZ54" s="12" t="str">
        <f aca="false">IF(OR($A54="",AZ$4=""),"",SUMPRODUCT(--(INDEX(Matrix!$C$5:$BJ$204,0,$B54)&gt;0),--(INDEX(Matrix!$C$5:$BJ$204,0,AZ$3)&gt;0)))</f>
        <v/>
      </c>
      <c r="BA54" s="12" t="str">
        <f aca="false">IF(OR($A54="",BA$4=""),"",SUMPRODUCT(--(INDEX(Matrix!$C$5:$BJ$204,0,$B54)&gt;0),--(INDEX(Matrix!$C$5:$BJ$204,0,BA$3)&gt;0)))</f>
        <v/>
      </c>
      <c r="BB54" s="12" t="str">
        <f aca="false">IF(OR($A54="",BB$4=""),"",SUMPRODUCT(--(INDEX(Matrix!$C$5:$BJ$204,0,$B54)&gt;0),--(INDEX(Matrix!$C$5:$BJ$204,0,BB$3)&gt;0)))</f>
        <v/>
      </c>
      <c r="BC54" s="12" t="str">
        <f aca="false">IF(OR($A54="",BC$4=""),"",SUMPRODUCT(--(INDEX(Matrix!$C$5:$BJ$204,0,$B54)&gt;0),--(INDEX(Matrix!$C$5:$BJ$204,0,BC$3)&gt;0)))</f>
        <v/>
      </c>
      <c r="BD54" s="12" t="str">
        <f aca="false">IF(OR($A54="",BD$4=""),"",SUMPRODUCT(--(INDEX(Matrix!$C$5:$BJ$204,0,$B54)&gt;0),--(INDEX(Matrix!$C$5:$BJ$204,0,BD$3)&gt;0)))</f>
        <v/>
      </c>
      <c r="BE54" s="12" t="str">
        <f aca="false">IF(OR($A54="",BE$4=""),"",SUMPRODUCT(--(INDEX(Matrix!$C$5:$BJ$204,0,$B54)&gt;0),--(INDEX(Matrix!$C$5:$BJ$204,0,BE$3)&gt;0)))</f>
        <v/>
      </c>
      <c r="BF54" s="12" t="str">
        <f aca="false">IF(OR($A54="",BF$4=""),"",SUMPRODUCT(--(INDEX(Matrix!$C$5:$BJ$204,0,$B54)&gt;0),--(INDEX(Matrix!$C$5:$BJ$204,0,BF$3)&gt;0)))</f>
        <v/>
      </c>
      <c r="BG54" s="12" t="str">
        <f aca="false">IF(OR($A54="",BG$4=""),"",SUMPRODUCT(--(INDEX(Matrix!$C$5:$BJ$204,0,$B54)&gt;0),--(INDEX(Matrix!$C$5:$BJ$204,0,BG$3)&gt;0)))</f>
        <v/>
      </c>
      <c r="BH54" s="12" t="str">
        <f aca="false">IF(OR($A54="",BH$4=""),"",SUMPRODUCT(--(INDEX(Matrix!$C$5:$BJ$204,0,$B54)&gt;0),--(INDEX(Matrix!$C$5:$BJ$204,0,BH$3)&gt;0)))</f>
        <v/>
      </c>
      <c r="BI54" s="12" t="str">
        <f aca="false">IF(OR($A54="",BI$4=""),"",SUMPRODUCT(--(INDEX(Matrix!$C$5:$BJ$204,0,$B54)&gt;0),--(INDEX(Matrix!$C$5:$BJ$204,0,BI$3)&gt;0)))</f>
        <v/>
      </c>
      <c r="BJ54" s="12" t="str">
        <f aca="false">IF(OR($A54="",BJ$4=""),"",SUMPRODUCT(--(INDEX(Matrix!$C$5:$BJ$204,0,$B54)&gt;0),--(INDEX(Matrix!$C$5:$BJ$204,0,BJ$3)&gt;0)))</f>
        <v/>
      </c>
    </row>
    <row r="55" customFormat="false" ht="15" hidden="false" customHeight="false" outlineLevel="0" collapsed="false">
      <c r="A55" s="6" t="str">
        <f aca="false">IF(INDEX(Products!$A$2:$A$61,$B55)="","",INDEX(Products!$A$2:$A$61,$B55))</f>
        <v/>
      </c>
      <c r="B55" s="23" t="n">
        <v>51</v>
      </c>
      <c r="C55" s="12" t="str">
        <f aca="false">IF(OR($A55="",C$4=""),"",SUMPRODUCT(--(INDEX(Matrix!$C$5:$BJ$204,0,$B55)&gt;0),--(INDEX(Matrix!$C$5:$BJ$204,0,C$3)&gt;0)))</f>
        <v/>
      </c>
      <c r="D55" s="12" t="str">
        <f aca="false">IF(OR($A55="",D$4=""),"",SUMPRODUCT(--(INDEX(Matrix!$C$5:$BJ$204,0,$B55)&gt;0),--(INDEX(Matrix!$C$5:$BJ$204,0,D$3)&gt;0)))</f>
        <v/>
      </c>
      <c r="E55" s="12" t="str">
        <f aca="false">IF(OR($A55="",E$4=""),"",SUMPRODUCT(--(INDEX(Matrix!$C$5:$BJ$204,0,$B55)&gt;0),--(INDEX(Matrix!$C$5:$BJ$204,0,E$3)&gt;0)))</f>
        <v/>
      </c>
      <c r="F55" s="12" t="str">
        <f aca="false">IF(OR($A55="",F$4=""),"",SUMPRODUCT(--(INDEX(Matrix!$C$5:$BJ$204,0,$B55)&gt;0),--(INDEX(Matrix!$C$5:$BJ$204,0,F$3)&gt;0)))</f>
        <v/>
      </c>
      <c r="G55" s="12" t="str">
        <f aca="false">IF(OR($A55="",G$4=""),"",SUMPRODUCT(--(INDEX(Matrix!$C$5:$BJ$204,0,$B55)&gt;0),--(INDEX(Matrix!$C$5:$BJ$204,0,G$3)&gt;0)))</f>
        <v/>
      </c>
      <c r="H55" s="12" t="str">
        <f aca="false">IF(OR($A55="",H$4=""),"",SUMPRODUCT(--(INDEX(Matrix!$C$5:$BJ$204,0,$B55)&gt;0),--(INDEX(Matrix!$C$5:$BJ$204,0,H$3)&gt;0)))</f>
        <v/>
      </c>
      <c r="I55" s="12" t="str">
        <f aca="false">IF(OR($A55="",I$4=""),"",SUMPRODUCT(--(INDEX(Matrix!$C$5:$BJ$204,0,$B55)&gt;0),--(INDEX(Matrix!$C$5:$BJ$204,0,I$3)&gt;0)))</f>
        <v/>
      </c>
      <c r="J55" s="12" t="str">
        <f aca="false">IF(OR($A55="",J$4=""),"",SUMPRODUCT(--(INDEX(Matrix!$C$5:$BJ$204,0,$B55)&gt;0),--(INDEX(Matrix!$C$5:$BJ$204,0,J$3)&gt;0)))</f>
        <v/>
      </c>
      <c r="K55" s="12" t="str">
        <f aca="false">IF(OR($A55="",K$4=""),"",SUMPRODUCT(--(INDEX(Matrix!$C$5:$BJ$204,0,$B55)&gt;0),--(INDEX(Matrix!$C$5:$BJ$204,0,K$3)&gt;0)))</f>
        <v/>
      </c>
      <c r="L55" s="12" t="str">
        <f aca="false">IF(OR($A55="",L$4=""),"",SUMPRODUCT(--(INDEX(Matrix!$C$5:$BJ$204,0,$B55)&gt;0),--(INDEX(Matrix!$C$5:$BJ$204,0,L$3)&gt;0)))</f>
        <v/>
      </c>
      <c r="M55" s="12" t="str">
        <f aca="false">IF(OR($A55="",M$4=""),"",SUMPRODUCT(--(INDEX(Matrix!$C$5:$BJ$204,0,$B55)&gt;0),--(INDEX(Matrix!$C$5:$BJ$204,0,M$3)&gt;0)))</f>
        <v/>
      </c>
      <c r="N55" s="12" t="str">
        <f aca="false">IF(OR($A55="",N$4=""),"",SUMPRODUCT(--(INDEX(Matrix!$C$5:$BJ$204,0,$B55)&gt;0),--(INDEX(Matrix!$C$5:$BJ$204,0,N$3)&gt;0)))</f>
        <v/>
      </c>
      <c r="O55" s="12" t="str">
        <f aca="false">IF(OR($A55="",O$4=""),"",SUMPRODUCT(--(INDEX(Matrix!$C$5:$BJ$204,0,$B55)&gt;0),--(INDEX(Matrix!$C$5:$BJ$204,0,O$3)&gt;0)))</f>
        <v/>
      </c>
      <c r="P55" s="12" t="str">
        <f aca="false">IF(OR($A55="",P$4=""),"",SUMPRODUCT(--(INDEX(Matrix!$C$5:$BJ$204,0,$B55)&gt;0),--(INDEX(Matrix!$C$5:$BJ$204,0,P$3)&gt;0)))</f>
        <v/>
      </c>
      <c r="Q55" s="12" t="str">
        <f aca="false">IF(OR($A55="",Q$4=""),"",SUMPRODUCT(--(INDEX(Matrix!$C$5:$BJ$204,0,$B55)&gt;0),--(INDEX(Matrix!$C$5:$BJ$204,0,Q$3)&gt;0)))</f>
        <v/>
      </c>
      <c r="R55" s="12" t="str">
        <f aca="false">IF(OR($A55="",R$4=""),"",SUMPRODUCT(--(INDEX(Matrix!$C$5:$BJ$204,0,$B55)&gt;0),--(INDEX(Matrix!$C$5:$BJ$204,0,R$3)&gt;0)))</f>
        <v/>
      </c>
      <c r="S55" s="12" t="str">
        <f aca="false">IF(OR($A55="",S$4=""),"",SUMPRODUCT(--(INDEX(Matrix!$C$5:$BJ$204,0,$B55)&gt;0),--(INDEX(Matrix!$C$5:$BJ$204,0,S$3)&gt;0)))</f>
        <v/>
      </c>
      <c r="T55" s="12" t="str">
        <f aca="false">IF(OR($A55="",T$4=""),"",SUMPRODUCT(--(INDEX(Matrix!$C$5:$BJ$204,0,$B55)&gt;0),--(INDEX(Matrix!$C$5:$BJ$204,0,T$3)&gt;0)))</f>
        <v/>
      </c>
      <c r="U55" s="12" t="str">
        <f aca="false">IF(OR($A55="",U$4=""),"",SUMPRODUCT(--(INDEX(Matrix!$C$5:$BJ$204,0,$B55)&gt;0),--(INDEX(Matrix!$C$5:$BJ$204,0,U$3)&gt;0)))</f>
        <v/>
      </c>
      <c r="V55" s="12" t="str">
        <f aca="false">IF(OR($A55="",V$4=""),"",SUMPRODUCT(--(INDEX(Matrix!$C$5:$BJ$204,0,$B55)&gt;0),--(INDEX(Matrix!$C$5:$BJ$204,0,V$3)&gt;0)))</f>
        <v/>
      </c>
      <c r="W55" s="12" t="str">
        <f aca="false">IF(OR($A55="",W$4=""),"",SUMPRODUCT(--(INDEX(Matrix!$C$5:$BJ$204,0,$B55)&gt;0),--(INDEX(Matrix!$C$5:$BJ$204,0,W$3)&gt;0)))</f>
        <v/>
      </c>
      <c r="X55" s="12" t="str">
        <f aca="false">IF(OR($A55="",X$4=""),"",SUMPRODUCT(--(INDEX(Matrix!$C$5:$BJ$204,0,$B55)&gt;0),--(INDEX(Matrix!$C$5:$BJ$204,0,X$3)&gt;0)))</f>
        <v/>
      </c>
      <c r="Y55" s="12" t="str">
        <f aca="false">IF(OR($A55="",Y$4=""),"",SUMPRODUCT(--(INDEX(Matrix!$C$5:$BJ$204,0,$B55)&gt;0),--(INDEX(Matrix!$C$5:$BJ$204,0,Y$3)&gt;0)))</f>
        <v/>
      </c>
      <c r="Z55" s="12" t="str">
        <f aca="false">IF(OR($A55="",Z$4=""),"",SUMPRODUCT(--(INDEX(Matrix!$C$5:$BJ$204,0,$B55)&gt;0),--(INDEX(Matrix!$C$5:$BJ$204,0,Z$3)&gt;0)))</f>
        <v/>
      </c>
      <c r="AA55" s="12" t="str">
        <f aca="false">IF(OR($A55="",AA$4=""),"",SUMPRODUCT(--(INDEX(Matrix!$C$5:$BJ$204,0,$B55)&gt;0),--(INDEX(Matrix!$C$5:$BJ$204,0,AA$3)&gt;0)))</f>
        <v/>
      </c>
      <c r="AB55" s="12" t="str">
        <f aca="false">IF(OR($A55="",AB$4=""),"",SUMPRODUCT(--(INDEX(Matrix!$C$5:$BJ$204,0,$B55)&gt;0),--(INDEX(Matrix!$C$5:$BJ$204,0,AB$3)&gt;0)))</f>
        <v/>
      </c>
      <c r="AC55" s="12" t="str">
        <f aca="false">IF(OR($A55="",AC$4=""),"",SUMPRODUCT(--(INDEX(Matrix!$C$5:$BJ$204,0,$B55)&gt;0),--(INDEX(Matrix!$C$5:$BJ$204,0,AC$3)&gt;0)))</f>
        <v/>
      </c>
      <c r="AD55" s="12" t="str">
        <f aca="false">IF(OR($A55="",AD$4=""),"",SUMPRODUCT(--(INDEX(Matrix!$C$5:$BJ$204,0,$B55)&gt;0),--(INDEX(Matrix!$C$5:$BJ$204,0,AD$3)&gt;0)))</f>
        <v/>
      </c>
      <c r="AE55" s="12" t="str">
        <f aca="false">IF(OR($A55="",AE$4=""),"",SUMPRODUCT(--(INDEX(Matrix!$C$5:$BJ$204,0,$B55)&gt;0),--(INDEX(Matrix!$C$5:$BJ$204,0,AE$3)&gt;0)))</f>
        <v/>
      </c>
      <c r="AF55" s="12" t="str">
        <f aca="false">IF(OR($A55="",AF$4=""),"",SUMPRODUCT(--(INDEX(Matrix!$C$5:$BJ$204,0,$B55)&gt;0),--(INDEX(Matrix!$C$5:$BJ$204,0,AF$3)&gt;0)))</f>
        <v/>
      </c>
      <c r="AG55" s="12" t="str">
        <f aca="false">IF(OR($A55="",AG$4=""),"",SUMPRODUCT(--(INDEX(Matrix!$C$5:$BJ$204,0,$B55)&gt;0),--(INDEX(Matrix!$C$5:$BJ$204,0,AG$3)&gt;0)))</f>
        <v/>
      </c>
      <c r="AH55" s="12" t="str">
        <f aca="false">IF(OR($A55="",AH$4=""),"",SUMPRODUCT(--(INDEX(Matrix!$C$5:$BJ$204,0,$B55)&gt;0),--(INDEX(Matrix!$C$5:$BJ$204,0,AH$3)&gt;0)))</f>
        <v/>
      </c>
      <c r="AI55" s="12" t="str">
        <f aca="false">IF(OR($A55="",AI$4=""),"",SUMPRODUCT(--(INDEX(Matrix!$C$5:$BJ$204,0,$B55)&gt;0),--(INDEX(Matrix!$C$5:$BJ$204,0,AI$3)&gt;0)))</f>
        <v/>
      </c>
      <c r="AJ55" s="12" t="str">
        <f aca="false">IF(OR($A55="",AJ$4=""),"",SUMPRODUCT(--(INDEX(Matrix!$C$5:$BJ$204,0,$B55)&gt;0),--(INDEX(Matrix!$C$5:$BJ$204,0,AJ$3)&gt;0)))</f>
        <v/>
      </c>
      <c r="AK55" s="12" t="str">
        <f aca="false">IF(OR($A55="",AK$4=""),"",SUMPRODUCT(--(INDEX(Matrix!$C$5:$BJ$204,0,$B55)&gt;0),--(INDEX(Matrix!$C$5:$BJ$204,0,AK$3)&gt;0)))</f>
        <v/>
      </c>
      <c r="AL55" s="12" t="str">
        <f aca="false">IF(OR($A55="",AL$4=""),"",SUMPRODUCT(--(INDEX(Matrix!$C$5:$BJ$204,0,$B55)&gt;0),--(INDEX(Matrix!$C$5:$BJ$204,0,AL$3)&gt;0)))</f>
        <v/>
      </c>
      <c r="AM55" s="12" t="str">
        <f aca="false">IF(OR($A55="",AM$4=""),"",SUMPRODUCT(--(INDEX(Matrix!$C$5:$BJ$204,0,$B55)&gt;0),--(INDEX(Matrix!$C$5:$BJ$204,0,AM$3)&gt;0)))</f>
        <v/>
      </c>
      <c r="AN55" s="12" t="str">
        <f aca="false">IF(OR($A55="",AN$4=""),"",SUMPRODUCT(--(INDEX(Matrix!$C$5:$BJ$204,0,$B55)&gt;0),--(INDEX(Matrix!$C$5:$BJ$204,0,AN$3)&gt;0)))</f>
        <v/>
      </c>
      <c r="AO55" s="12" t="str">
        <f aca="false">IF(OR($A55="",AO$4=""),"",SUMPRODUCT(--(INDEX(Matrix!$C$5:$BJ$204,0,$B55)&gt;0),--(INDEX(Matrix!$C$5:$BJ$204,0,AO$3)&gt;0)))</f>
        <v/>
      </c>
      <c r="AP55" s="12" t="str">
        <f aca="false">IF(OR($A55="",AP$4=""),"",SUMPRODUCT(--(INDEX(Matrix!$C$5:$BJ$204,0,$B55)&gt;0),--(INDEX(Matrix!$C$5:$BJ$204,0,AP$3)&gt;0)))</f>
        <v/>
      </c>
      <c r="AQ55" s="12" t="str">
        <f aca="false">IF(OR($A55="",AQ$4=""),"",SUMPRODUCT(--(INDEX(Matrix!$C$5:$BJ$204,0,$B55)&gt;0),--(INDEX(Matrix!$C$5:$BJ$204,0,AQ$3)&gt;0)))</f>
        <v/>
      </c>
      <c r="AR55" s="12" t="str">
        <f aca="false">IF(OR($A55="",AR$4=""),"",SUMPRODUCT(--(INDEX(Matrix!$C$5:$BJ$204,0,$B55)&gt;0),--(INDEX(Matrix!$C$5:$BJ$204,0,AR$3)&gt;0)))</f>
        <v/>
      </c>
      <c r="AS55" s="12" t="str">
        <f aca="false">IF(OR($A55="",AS$4=""),"",SUMPRODUCT(--(INDEX(Matrix!$C$5:$BJ$204,0,$B55)&gt;0),--(INDEX(Matrix!$C$5:$BJ$204,0,AS$3)&gt;0)))</f>
        <v/>
      </c>
      <c r="AT55" s="12" t="str">
        <f aca="false">IF(OR($A55="",AT$4=""),"",SUMPRODUCT(--(INDEX(Matrix!$C$5:$BJ$204,0,$B55)&gt;0),--(INDEX(Matrix!$C$5:$BJ$204,0,AT$3)&gt;0)))</f>
        <v/>
      </c>
      <c r="AU55" s="12" t="str">
        <f aca="false">IF(OR($A55="",AU$4=""),"",SUMPRODUCT(--(INDEX(Matrix!$C$5:$BJ$204,0,$B55)&gt;0),--(INDEX(Matrix!$C$5:$BJ$204,0,AU$3)&gt;0)))</f>
        <v/>
      </c>
      <c r="AV55" s="12" t="str">
        <f aca="false">IF(OR($A55="",AV$4=""),"",SUMPRODUCT(--(INDEX(Matrix!$C$5:$BJ$204,0,$B55)&gt;0),--(INDEX(Matrix!$C$5:$BJ$204,0,AV$3)&gt;0)))</f>
        <v/>
      </c>
      <c r="AW55" s="12" t="str">
        <f aca="false">IF(OR($A55="",AW$4=""),"",SUMPRODUCT(--(INDEX(Matrix!$C$5:$BJ$204,0,$B55)&gt;0),--(INDEX(Matrix!$C$5:$BJ$204,0,AW$3)&gt;0)))</f>
        <v/>
      </c>
      <c r="AX55" s="12" t="str">
        <f aca="false">IF(OR($A55="",AX$4=""),"",SUMPRODUCT(--(INDEX(Matrix!$C$5:$BJ$204,0,$B55)&gt;0),--(INDEX(Matrix!$C$5:$BJ$204,0,AX$3)&gt;0)))</f>
        <v/>
      </c>
      <c r="AY55" s="12" t="str">
        <f aca="false">IF(OR($A55="",AY$4=""),"",SUMPRODUCT(--(INDEX(Matrix!$C$5:$BJ$204,0,$B55)&gt;0),--(INDEX(Matrix!$C$5:$BJ$204,0,AY$3)&gt;0)))</f>
        <v/>
      </c>
      <c r="AZ55" s="12" t="str">
        <f aca="false">IF(OR($A55="",AZ$4=""),"",SUMPRODUCT(--(INDEX(Matrix!$C$5:$BJ$204,0,$B55)&gt;0),--(INDEX(Matrix!$C$5:$BJ$204,0,AZ$3)&gt;0)))</f>
        <v/>
      </c>
      <c r="BA55" s="12" t="str">
        <f aca="false">IF(OR($A55="",BA$4=""),"",SUMPRODUCT(--(INDEX(Matrix!$C$5:$BJ$204,0,$B55)&gt;0),--(INDEX(Matrix!$C$5:$BJ$204,0,BA$3)&gt;0)))</f>
        <v/>
      </c>
      <c r="BB55" s="12" t="str">
        <f aca="false">IF(OR($A55="",BB$4=""),"",SUMPRODUCT(--(INDEX(Matrix!$C$5:$BJ$204,0,$B55)&gt;0),--(INDEX(Matrix!$C$5:$BJ$204,0,BB$3)&gt;0)))</f>
        <v/>
      </c>
      <c r="BC55" s="12" t="str">
        <f aca="false">IF(OR($A55="",BC$4=""),"",SUMPRODUCT(--(INDEX(Matrix!$C$5:$BJ$204,0,$B55)&gt;0),--(INDEX(Matrix!$C$5:$BJ$204,0,BC$3)&gt;0)))</f>
        <v/>
      </c>
      <c r="BD55" s="12" t="str">
        <f aca="false">IF(OR($A55="",BD$4=""),"",SUMPRODUCT(--(INDEX(Matrix!$C$5:$BJ$204,0,$B55)&gt;0),--(INDEX(Matrix!$C$5:$BJ$204,0,BD$3)&gt;0)))</f>
        <v/>
      </c>
      <c r="BE55" s="12" t="str">
        <f aca="false">IF(OR($A55="",BE$4=""),"",SUMPRODUCT(--(INDEX(Matrix!$C$5:$BJ$204,0,$B55)&gt;0),--(INDEX(Matrix!$C$5:$BJ$204,0,BE$3)&gt;0)))</f>
        <v/>
      </c>
      <c r="BF55" s="12" t="str">
        <f aca="false">IF(OR($A55="",BF$4=""),"",SUMPRODUCT(--(INDEX(Matrix!$C$5:$BJ$204,0,$B55)&gt;0),--(INDEX(Matrix!$C$5:$BJ$204,0,BF$3)&gt;0)))</f>
        <v/>
      </c>
      <c r="BG55" s="12" t="str">
        <f aca="false">IF(OR($A55="",BG$4=""),"",SUMPRODUCT(--(INDEX(Matrix!$C$5:$BJ$204,0,$B55)&gt;0),--(INDEX(Matrix!$C$5:$BJ$204,0,BG$3)&gt;0)))</f>
        <v/>
      </c>
      <c r="BH55" s="12" t="str">
        <f aca="false">IF(OR($A55="",BH$4=""),"",SUMPRODUCT(--(INDEX(Matrix!$C$5:$BJ$204,0,$B55)&gt;0),--(INDEX(Matrix!$C$5:$BJ$204,0,BH$3)&gt;0)))</f>
        <v/>
      </c>
      <c r="BI55" s="12" t="str">
        <f aca="false">IF(OR($A55="",BI$4=""),"",SUMPRODUCT(--(INDEX(Matrix!$C$5:$BJ$204,0,$B55)&gt;0),--(INDEX(Matrix!$C$5:$BJ$204,0,BI$3)&gt;0)))</f>
        <v/>
      </c>
      <c r="BJ55" s="12" t="str">
        <f aca="false">IF(OR($A55="",BJ$4=""),"",SUMPRODUCT(--(INDEX(Matrix!$C$5:$BJ$204,0,$B55)&gt;0),--(INDEX(Matrix!$C$5:$BJ$204,0,BJ$3)&gt;0)))</f>
        <v/>
      </c>
    </row>
    <row r="56" customFormat="false" ht="15" hidden="false" customHeight="false" outlineLevel="0" collapsed="false">
      <c r="A56" s="6" t="str">
        <f aca="false">IF(INDEX(Products!$A$2:$A$61,$B56)="","",INDEX(Products!$A$2:$A$61,$B56))</f>
        <v/>
      </c>
      <c r="B56" s="23" t="n">
        <v>52</v>
      </c>
      <c r="C56" s="12" t="str">
        <f aca="false">IF(OR($A56="",C$4=""),"",SUMPRODUCT(--(INDEX(Matrix!$C$5:$BJ$204,0,$B56)&gt;0),--(INDEX(Matrix!$C$5:$BJ$204,0,C$3)&gt;0)))</f>
        <v/>
      </c>
      <c r="D56" s="12" t="str">
        <f aca="false">IF(OR($A56="",D$4=""),"",SUMPRODUCT(--(INDEX(Matrix!$C$5:$BJ$204,0,$B56)&gt;0),--(INDEX(Matrix!$C$5:$BJ$204,0,D$3)&gt;0)))</f>
        <v/>
      </c>
      <c r="E56" s="12" t="str">
        <f aca="false">IF(OR($A56="",E$4=""),"",SUMPRODUCT(--(INDEX(Matrix!$C$5:$BJ$204,0,$B56)&gt;0),--(INDEX(Matrix!$C$5:$BJ$204,0,E$3)&gt;0)))</f>
        <v/>
      </c>
      <c r="F56" s="12" t="str">
        <f aca="false">IF(OR($A56="",F$4=""),"",SUMPRODUCT(--(INDEX(Matrix!$C$5:$BJ$204,0,$B56)&gt;0),--(INDEX(Matrix!$C$5:$BJ$204,0,F$3)&gt;0)))</f>
        <v/>
      </c>
      <c r="G56" s="12" t="str">
        <f aca="false">IF(OR($A56="",G$4=""),"",SUMPRODUCT(--(INDEX(Matrix!$C$5:$BJ$204,0,$B56)&gt;0),--(INDEX(Matrix!$C$5:$BJ$204,0,G$3)&gt;0)))</f>
        <v/>
      </c>
      <c r="H56" s="12" t="str">
        <f aca="false">IF(OR($A56="",H$4=""),"",SUMPRODUCT(--(INDEX(Matrix!$C$5:$BJ$204,0,$B56)&gt;0),--(INDEX(Matrix!$C$5:$BJ$204,0,H$3)&gt;0)))</f>
        <v/>
      </c>
      <c r="I56" s="12" t="str">
        <f aca="false">IF(OR($A56="",I$4=""),"",SUMPRODUCT(--(INDEX(Matrix!$C$5:$BJ$204,0,$B56)&gt;0),--(INDEX(Matrix!$C$5:$BJ$204,0,I$3)&gt;0)))</f>
        <v/>
      </c>
      <c r="J56" s="12" t="str">
        <f aca="false">IF(OR($A56="",J$4=""),"",SUMPRODUCT(--(INDEX(Matrix!$C$5:$BJ$204,0,$B56)&gt;0),--(INDEX(Matrix!$C$5:$BJ$204,0,J$3)&gt;0)))</f>
        <v/>
      </c>
      <c r="K56" s="12" t="str">
        <f aca="false">IF(OR($A56="",K$4=""),"",SUMPRODUCT(--(INDEX(Matrix!$C$5:$BJ$204,0,$B56)&gt;0),--(INDEX(Matrix!$C$5:$BJ$204,0,K$3)&gt;0)))</f>
        <v/>
      </c>
      <c r="L56" s="12" t="str">
        <f aca="false">IF(OR($A56="",L$4=""),"",SUMPRODUCT(--(INDEX(Matrix!$C$5:$BJ$204,0,$B56)&gt;0),--(INDEX(Matrix!$C$5:$BJ$204,0,L$3)&gt;0)))</f>
        <v/>
      </c>
      <c r="M56" s="12" t="str">
        <f aca="false">IF(OR($A56="",M$4=""),"",SUMPRODUCT(--(INDEX(Matrix!$C$5:$BJ$204,0,$B56)&gt;0),--(INDEX(Matrix!$C$5:$BJ$204,0,M$3)&gt;0)))</f>
        <v/>
      </c>
      <c r="N56" s="12" t="str">
        <f aca="false">IF(OR($A56="",N$4=""),"",SUMPRODUCT(--(INDEX(Matrix!$C$5:$BJ$204,0,$B56)&gt;0),--(INDEX(Matrix!$C$5:$BJ$204,0,N$3)&gt;0)))</f>
        <v/>
      </c>
      <c r="O56" s="12" t="str">
        <f aca="false">IF(OR($A56="",O$4=""),"",SUMPRODUCT(--(INDEX(Matrix!$C$5:$BJ$204,0,$B56)&gt;0),--(INDEX(Matrix!$C$5:$BJ$204,0,O$3)&gt;0)))</f>
        <v/>
      </c>
      <c r="P56" s="12" t="str">
        <f aca="false">IF(OR($A56="",P$4=""),"",SUMPRODUCT(--(INDEX(Matrix!$C$5:$BJ$204,0,$B56)&gt;0),--(INDEX(Matrix!$C$5:$BJ$204,0,P$3)&gt;0)))</f>
        <v/>
      </c>
      <c r="Q56" s="12" t="str">
        <f aca="false">IF(OR($A56="",Q$4=""),"",SUMPRODUCT(--(INDEX(Matrix!$C$5:$BJ$204,0,$B56)&gt;0),--(INDEX(Matrix!$C$5:$BJ$204,0,Q$3)&gt;0)))</f>
        <v/>
      </c>
      <c r="R56" s="12" t="str">
        <f aca="false">IF(OR($A56="",R$4=""),"",SUMPRODUCT(--(INDEX(Matrix!$C$5:$BJ$204,0,$B56)&gt;0),--(INDEX(Matrix!$C$5:$BJ$204,0,R$3)&gt;0)))</f>
        <v/>
      </c>
      <c r="S56" s="12" t="str">
        <f aca="false">IF(OR($A56="",S$4=""),"",SUMPRODUCT(--(INDEX(Matrix!$C$5:$BJ$204,0,$B56)&gt;0),--(INDEX(Matrix!$C$5:$BJ$204,0,S$3)&gt;0)))</f>
        <v/>
      </c>
      <c r="T56" s="12" t="str">
        <f aca="false">IF(OR($A56="",T$4=""),"",SUMPRODUCT(--(INDEX(Matrix!$C$5:$BJ$204,0,$B56)&gt;0),--(INDEX(Matrix!$C$5:$BJ$204,0,T$3)&gt;0)))</f>
        <v/>
      </c>
      <c r="U56" s="12" t="str">
        <f aca="false">IF(OR($A56="",U$4=""),"",SUMPRODUCT(--(INDEX(Matrix!$C$5:$BJ$204,0,$B56)&gt;0),--(INDEX(Matrix!$C$5:$BJ$204,0,U$3)&gt;0)))</f>
        <v/>
      </c>
      <c r="V56" s="12" t="str">
        <f aca="false">IF(OR($A56="",V$4=""),"",SUMPRODUCT(--(INDEX(Matrix!$C$5:$BJ$204,0,$B56)&gt;0),--(INDEX(Matrix!$C$5:$BJ$204,0,V$3)&gt;0)))</f>
        <v/>
      </c>
      <c r="W56" s="12" t="str">
        <f aca="false">IF(OR($A56="",W$4=""),"",SUMPRODUCT(--(INDEX(Matrix!$C$5:$BJ$204,0,$B56)&gt;0),--(INDEX(Matrix!$C$5:$BJ$204,0,W$3)&gt;0)))</f>
        <v/>
      </c>
      <c r="X56" s="12" t="str">
        <f aca="false">IF(OR($A56="",X$4=""),"",SUMPRODUCT(--(INDEX(Matrix!$C$5:$BJ$204,0,$B56)&gt;0),--(INDEX(Matrix!$C$5:$BJ$204,0,X$3)&gt;0)))</f>
        <v/>
      </c>
      <c r="Y56" s="12" t="str">
        <f aca="false">IF(OR($A56="",Y$4=""),"",SUMPRODUCT(--(INDEX(Matrix!$C$5:$BJ$204,0,$B56)&gt;0),--(INDEX(Matrix!$C$5:$BJ$204,0,Y$3)&gt;0)))</f>
        <v/>
      </c>
      <c r="Z56" s="12" t="str">
        <f aca="false">IF(OR($A56="",Z$4=""),"",SUMPRODUCT(--(INDEX(Matrix!$C$5:$BJ$204,0,$B56)&gt;0),--(INDEX(Matrix!$C$5:$BJ$204,0,Z$3)&gt;0)))</f>
        <v/>
      </c>
      <c r="AA56" s="12" t="str">
        <f aca="false">IF(OR($A56="",AA$4=""),"",SUMPRODUCT(--(INDEX(Matrix!$C$5:$BJ$204,0,$B56)&gt;0),--(INDEX(Matrix!$C$5:$BJ$204,0,AA$3)&gt;0)))</f>
        <v/>
      </c>
      <c r="AB56" s="12" t="str">
        <f aca="false">IF(OR($A56="",AB$4=""),"",SUMPRODUCT(--(INDEX(Matrix!$C$5:$BJ$204,0,$B56)&gt;0),--(INDEX(Matrix!$C$5:$BJ$204,0,AB$3)&gt;0)))</f>
        <v/>
      </c>
      <c r="AC56" s="12" t="str">
        <f aca="false">IF(OR($A56="",AC$4=""),"",SUMPRODUCT(--(INDEX(Matrix!$C$5:$BJ$204,0,$B56)&gt;0),--(INDEX(Matrix!$C$5:$BJ$204,0,AC$3)&gt;0)))</f>
        <v/>
      </c>
      <c r="AD56" s="12" t="str">
        <f aca="false">IF(OR($A56="",AD$4=""),"",SUMPRODUCT(--(INDEX(Matrix!$C$5:$BJ$204,0,$B56)&gt;0),--(INDEX(Matrix!$C$5:$BJ$204,0,AD$3)&gt;0)))</f>
        <v/>
      </c>
      <c r="AE56" s="12" t="str">
        <f aca="false">IF(OR($A56="",AE$4=""),"",SUMPRODUCT(--(INDEX(Matrix!$C$5:$BJ$204,0,$B56)&gt;0),--(INDEX(Matrix!$C$5:$BJ$204,0,AE$3)&gt;0)))</f>
        <v/>
      </c>
      <c r="AF56" s="12" t="str">
        <f aca="false">IF(OR($A56="",AF$4=""),"",SUMPRODUCT(--(INDEX(Matrix!$C$5:$BJ$204,0,$B56)&gt;0),--(INDEX(Matrix!$C$5:$BJ$204,0,AF$3)&gt;0)))</f>
        <v/>
      </c>
      <c r="AG56" s="12" t="str">
        <f aca="false">IF(OR($A56="",AG$4=""),"",SUMPRODUCT(--(INDEX(Matrix!$C$5:$BJ$204,0,$B56)&gt;0),--(INDEX(Matrix!$C$5:$BJ$204,0,AG$3)&gt;0)))</f>
        <v/>
      </c>
      <c r="AH56" s="12" t="str">
        <f aca="false">IF(OR($A56="",AH$4=""),"",SUMPRODUCT(--(INDEX(Matrix!$C$5:$BJ$204,0,$B56)&gt;0),--(INDEX(Matrix!$C$5:$BJ$204,0,AH$3)&gt;0)))</f>
        <v/>
      </c>
      <c r="AI56" s="12" t="str">
        <f aca="false">IF(OR($A56="",AI$4=""),"",SUMPRODUCT(--(INDEX(Matrix!$C$5:$BJ$204,0,$B56)&gt;0),--(INDEX(Matrix!$C$5:$BJ$204,0,AI$3)&gt;0)))</f>
        <v/>
      </c>
      <c r="AJ56" s="12" t="str">
        <f aca="false">IF(OR($A56="",AJ$4=""),"",SUMPRODUCT(--(INDEX(Matrix!$C$5:$BJ$204,0,$B56)&gt;0),--(INDEX(Matrix!$C$5:$BJ$204,0,AJ$3)&gt;0)))</f>
        <v/>
      </c>
      <c r="AK56" s="12" t="str">
        <f aca="false">IF(OR($A56="",AK$4=""),"",SUMPRODUCT(--(INDEX(Matrix!$C$5:$BJ$204,0,$B56)&gt;0),--(INDEX(Matrix!$C$5:$BJ$204,0,AK$3)&gt;0)))</f>
        <v/>
      </c>
      <c r="AL56" s="12" t="str">
        <f aca="false">IF(OR($A56="",AL$4=""),"",SUMPRODUCT(--(INDEX(Matrix!$C$5:$BJ$204,0,$B56)&gt;0),--(INDEX(Matrix!$C$5:$BJ$204,0,AL$3)&gt;0)))</f>
        <v/>
      </c>
      <c r="AM56" s="12" t="str">
        <f aca="false">IF(OR($A56="",AM$4=""),"",SUMPRODUCT(--(INDEX(Matrix!$C$5:$BJ$204,0,$B56)&gt;0),--(INDEX(Matrix!$C$5:$BJ$204,0,AM$3)&gt;0)))</f>
        <v/>
      </c>
      <c r="AN56" s="12" t="str">
        <f aca="false">IF(OR($A56="",AN$4=""),"",SUMPRODUCT(--(INDEX(Matrix!$C$5:$BJ$204,0,$B56)&gt;0),--(INDEX(Matrix!$C$5:$BJ$204,0,AN$3)&gt;0)))</f>
        <v/>
      </c>
      <c r="AO56" s="12" t="str">
        <f aca="false">IF(OR($A56="",AO$4=""),"",SUMPRODUCT(--(INDEX(Matrix!$C$5:$BJ$204,0,$B56)&gt;0),--(INDEX(Matrix!$C$5:$BJ$204,0,AO$3)&gt;0)))</f>
        <v/>
      </c>
      <c r="AP56" s="12" t="str">
        <f aca="false">IF(OR($A56="",AP$4=""),"",SUMPRODUCT(--(INDEX(Matrix!$C$5:$BJ$204,0,$B56)&gt;0),--(INDEX(Matrix!$C$5:$BJ$204,0,AP$3)&gt;0)))</f>
        <v/>
      </c>
      <c r="AQ56" s="12" t="str">
        <f aca="false">IF(OR($A56="",AQ$4=""),"",SUMPRODUCT(--(INDEX(Matrix!$C$5:$BJ$204,0,$B56)&gt;0),--(INDEX(Matrix!$C$5:$BJ$204,0,AQ$3)&gt;0)))</f>
        <v/>
      </c>
      <c r="AR56" s="12" t="str">
        <f aca="false">IF(OR($A56="",AR$4=""),"",SUMPRODUCT(--(INDEX(Matrix!$C$5:$BJ$204,0,$B56)&gt;0),--(INDEX(Matrix!$C$5:$BJ$204,0,AR$3)&gt;0)))</f>
        <v/>
      </c>
      <c r="AS56" s="12" t="str">
        <f aca="false">IF(OR($A56="",AS$4=""),"",SUMPRODUCT(--(INDEX(Matrix!$C$5:$BJ$204,0,$B56)&gt;0),--(INDEX(Matrix!$C$5:$BJ$204,0,AS$3)&gt;0)))</f>
        <v/>
      </c>
      <c r="AT56" s="12" t="str">
        <f aca="false">IF(OR($A56="",AT$4=""),"",SUMPRODUCT(--(INDEX(Matrix!$C$5:$BJ$204,0,$B56)&gt;0),--(INDEX(Matrix!$C$5:$BJ$204,0,AT$3)&gt;0)))</f>
        <v/>
      </c>
      <c r="AU56" s="12" t="str">
        <f aca="false">IF(OR($A56="",AU$4=""),"",SUMPRODUCT(--(INDEX(Matrix!$C$5:$BJ$204,0,$B56)&gt;0),--(INDEX(Matrix!$C$5:$BJ$204,0,AU$3)&gt;0)))</f>
        <v/>
      </c>
      <c r="AV56" s="12" t="str">
        <f aca="false">IF(OR($A56="",AV$4=""),"",SUMPRODUCT(--(INDEX(Matrix!$C$5:$BJ$204,0,$B56)&gt;0),--(INDEX(Matrix!$C$5:$BJ$204,0,AV$3)&gt;0)))</f>
        <v/>
      </c>
      <c r="AW56" s="12" t="str">
        <f aca="false">IF(OR($A56="",AW$4=""),"",SUMPRODUCT(--(INDEX(Matrix!$C$5:$BJ$204,0,$B56)&gt;0),--(INDEX(Matrix!$C$5:$BJ$204,0,AW$3)&gt;0)))</f>
        <v/>
      </c>
      <c r="AX56" s="12" t="str">
        <f aca="false">IF(OR($A56="",AX$4=""),"",SUMPRODUCT(--(INDEX(Matrix!$C$5:$BJ$204,0,$B56)&gt;0),--(INDEX(Matrix!$C$5:$BJ$204,0,AX$3)&gt;0)))</f>
        <v/>
      </c>
      <c r="AY56" s="12" t="str">
        <f aca="false">IF(OR($A56="",AY$4=""),"",SUMPRODUCT(--(INDEX(Matrix!$C$5:$BJ$204,0,$B56)&gt;0),--(INDEX(Matrix!$C$5:$BJ$204,0,AY$3)&gt;0)))</f>
        <v/>
      </c>
      <c r="AZ56" s="12" t="str">
        <f aca="false">IF(OR($A56="",AZ$4=""),"",SUMPRODUCT(--(INDEX(Matrix!$C$5:$BJ$204,0,$B56)&gt;0),--(INDEX(Matrix!$C$5:$BJ$204,0,AZ$3)&gt;0)))</f>
        <v/>
      </c>
      <c r="BA56" s="12" t="str">
        <f aca="false">IF(OR($A56="",BA$4=""),"",SUMPRODUCT(--(INDEX(Matrix!$C$5:$BJ$204,0,$B56)&gt;0),--(INDEX(Matrix!$C$5:$BJ$204,0,BA$3)&gt;0)))</f>
        <v/>
      </c>
      <c r="BB56" s="12" t="str">
        <f aca="false">IF(OR($A56="",BB$4=""),"",SUMPRODUCT(--(INDEX(Matrix!$C$5:$BJ$204,0,$B56)&gt;0),--(INDEX(Matrix!$C$5:$BJ$204,0,BB$3)&gt;0)))</f>
        <v/>
      </c>
      <c r="BC56" s="12" t="str">
        <f aca="false">IF(OR($A56="",BC$4=""),"",SUMPRODUCT(--(INDEX(Matrix!$C$5:$BJ$204,0,$B56)&gt;0),--(INDEX(Matrix!$C$5:$BJ$204,0,BC$3)&gt;0)))</f>
        <v/>
      </c>
      <c r="BD56" s="12" t="str">
        <f aca="false">IF(OR($A56="",BD$4=""),"",SUMPRODUCT(--(INDEX(Matrix!$C$5:$BJ$204,0,$B56)&gt;0),--(INDEX(Matrix!$C$5:$BJ$204,0,BD$3)&gt;0)))</f>
        <v/>
      </c>
      <c r="BE56" s="12" t="str">
        <f aca="false">IF(OR($A56="",BE$4=""),"",SUMPRODUCT(--(INDEX(Matrix!$C$5:$BJ$204,0,$B56)&gt;0),--(INDEX(Matrix!$C$5:$BJ$204,0,BE$3)&gt;0)))</f>
        <v/>
      </c>
      <c r="BF56" s="12" t="str">
        <f aca="false">IF(OR($A56="",BF$4=""),"",SUMPRODUCT(--(INDEX(Matrix!$C$5:$BJ$204,0,$B56)&gt;0),--(INDEX(Matrix!$C$5:$BJ$204,0,BF$3)&gt;0)))</f>
        <v/>
      </c>
      <c r="BG56" s="12" t="str">
        <f aca="false">IF(OR($A56="",BG$4=""),"",SUMPRODUCT(--(INDEX(Matrix!$C$5:$BJ$204,0,$B56)&gt;0),--(INDEX(Matrix!$C$5:$BJ$204,0,BG$3)&gt;0)))</f>
        <v/>
      </c>
      <c r="BH56" s="12" t="str">
        <f aca="false">IF(OR($A56="",BH$4=""),"",SUMPRODUCT(--(INDEX(Matrix!$C$5:$BJ$204,0,$B56)&gt;0),--(INDEX(Matrix!$C$5:$BJ$204,0,BH$3)&gt;0)))</f>
        <v/>
      </c>
      <c r="BI56" s="12" t="str">
        <f aca="false">IF(OR($A56="",BI$4=""),"",SUMPRODUCT(--(INDEX(Matrix!$C$5:$BJ$204,0,$B56)&gt;0),--(INDEX(Matrix!$C$5:$BJ$204,0,BI$3)&gt;0)))</f>
        <v/>
      </c>
      <c r="BJ56" s="12" t="str">
        <f aca="false">IF(OR($A56="",BJ$4=""),"",SUMPRODUCT(--(INDEX(Matrix!$C$5:$BJ$204,0,$B56)&gt;0),--(INDEX(Matrix!$C$5:$BJ$204,0,BJ$3)&gt;0)))</f>
        <v/>
      </c>
    </row>
    <row r="57" customFormat="false" ht="15" hidden="false" customHeight="false" outlineLevel="0" collapsed="false">
      <c r="A57" s="6" t="str">
        <f aca="false">IF(INDEX(Products!$A$2:$A$61,$B57)="","",INDEX(Products!$A$2:$A$61,$B57))</f>
        <v/>
      </c>
      <c r="B57" s="23" t="n">
        <v>53</v>
      </c>
      <c r="C57" s="12" t="str">
        <f aca="false">IF(OR($A57="",C$4=""),"",SUMPRODUCT(--(INDEX(Matrix!$C$5:$BJ$204,0,$B57)&gt;0),--(INDEX(Matrix!$C$5:$BJ$204,0,C$3)&gt;0)))</f>
        <v/>
      </c>
      <c r="D57" s="12" t="str">
        <f aca="false">IF(OR($A57="",D$4=""),"",SUMPRODUCT(--(INDEX(Matrix!$C$5:$BJ$204,0,$B57)&gt;0),--(INDEX(Matrix!$C$5:$BJ$204,0,D$3)&gt;0)))</f>
        <v/>
      </c>
      <c r="E57" s="12" t="str">
        <f aca="false">IF(OR($A57="",E$4=""),"",SUMPRODUCT(--(INDEX(Matrix!$C$5:$BJ$204,0,$B57)&gt;0),--(INDEX(Matrix!$C$5:$BJ$204,0,E$3)&gt;0)))</f>
        <v/>
      </c>
      <c r="F57" s="12" t="str">
        <f aca="false">IF(OR($A57="",F$4=""),"",SUMPRODUCT(--(INDEX(Matrix!$C$5:$BJ$204,0,$B57)&gt;0),--(INDEX(Matrix!$C$5:$BJ$204,0,F$3)&gt;0)))</f>
        <v/>
      </c>
      <c r="G57" s="12" t="str">
        <f aca="false">IF(OR($A57="",G$4=""),"",SUMPRODUCT(--(INDEX(Matrix!$C$5:$BJ$204,0,$B57)&gt;0),--(INDEX(Matrix!$C$5:$BJ$204,0,G$3)&gt;0)))</f>
        <v/>
      </c>
      <c r="H57" s="12" t="str">
        <f aca="false">IF(OR($A57="",H$4=""),"",SUMPRODUCT(--(INDEX(Matrix!$C$5:$BJ$204,0,$B57)&gt;0),--(INDEX(Matrix!$C$5:$BJ$204,0,H$3)&gt;0)))</f>
        <v/>
      </c>
      <c r="I57" s="12" t="str">
        <f aca="false">IF(OR($A57="",I$4=""),"",SUMPRODUCT(--(INDEX(Matrix!$C$5:$BJ$204,0,$B57)&gt;0),--(INDEX(Matrix!$C$5:$BJ$204,0,I$3)&gt;0)))</f>
        <v/>
      </c>
      <c r="J57" s="12" t="str">
        <f aca="false">IF(OR($A57="",J$4=""),"",SUMPRODUCT(--(INDEX(Matrix!$C$5:$BJ$204,0,$B57)&gt;0),--(INDEX(Matrix!$C$5:$BJ$204,0,J$3)&gt;0)))</f>
        <v/>
      </c>
      <c r="K57" s="12" t="str">
        <f aca="false">IF(OR($A57="",K$4=""),"",SUMPRODUCT(--(INDEX(Matrix!$C$5:$BJ$204,0,$B57)&gt;0),--(INDEX(Matrix!$C$5:$BJ$204,0,K$3)&gt;0)))</f>
        <v/>
      </c>
      <c r="L57" s="12" t="str">
        <f aca="false">IF(OR($A57="",L$4=""),"",SUMPRODUCT(--(INDEX(Matrix!$C$5:$BJ$204,0,$B57)&gt;0),--(INDEX(Matrix!$C$5:$BJ$204,0,L$3)&gt;0)))</f>
        <v/>
      </c>
      <c r="M57" s="12" t="str">
        <f aca="false">IF(OR($A57="",M$4=""),"",SUMPRODUCT(--(INDEX(Matrix!$C$5:$BJ$204,0,$B57)&gt;0),--(INDEX(Matrix!$C$5:$BJ$204,0,M$3)&gt;0)))</f>
        <v/>
      </c>
      <c r="N57" s="12" t="str">
        <f aca="false">IF(OR($A57="",N$4=""),"",SUMPRODUCT(--(INDEX(Matrix!$C$5:$BJ$204,0,$B57)&gt;0),--(INDEX(Matrix!$C$5:$BJ$204,0,N$3)&gt;0)))</f>
        <v/>
      </c>
      <c r="O57" s="12" t="str">
        <f aca="false">IF(OR($A57="",O$4=""),"",SUMPRODUCT(--(INDEX(Matrix!$C$5:$BJ$204,0,$B57)&gt;0),--(INDEX(Matrix!$C$5:$BJ$204,0,O$3)&gt;0)))</f>
        <v/>
      </c>
      <c r="P57" s="12" t="str">
        <f aca="false">IF(OR($A57="",P$4=""),"",SUMPRODUCT(--(INDEX(Matrix!$C$5:$BJ$204,0,$B57)&gt;0),--(INDEX(Matrix!$C$5:$BJ$204,0,P$3)&gt;0)))</f>
        <v/>
      </c>
      <c r="Q57" s="12" t="str">
        <f aca="false">IF(OR($A57="",Q$4=""),"",SUMPRODUCT(--(INDEX(Matrix!$C$5:$BJ$204,0,$B57)&gt;0),--(INDEX(Matrix!$C$5:$BJ$204,0,Q$3)&gt;0)))</f>
        <v/>
      </c>
      <c r="R57" s="12" t="str">
        <f aca="false">IF(OR($A57="",R$4=""),"",SUMPRODUCT(--(INDEX(Matrix!$C$5:$BJ$204,0,$B57)&gt;0),--(INDEX(Matrix!$C$5:$BJ$204,0,R$3)&gt;0)))</f>
        <v/>
      </c>
      <c r="S57" s="12" t="str">
        <f aca="false">IF(OR($A57="",S$4=""),"",SUMPRODUCT(--(INDEX(Matrix!$C$5:$BJ$204,0,$B57)&gt;0),--(INDEX(Matrix!$C$5:$BJ$204,0,S$3)&gt;0)))</f>
        <v/>
      </c>
      <c r="T57" s="12" t="str">
        <f aca="false">IF(OR($A57="",T$4=""),"",SUMPRODUCT(--(INDEX(Matrix!$C$5:$BJ$204,0,$B57)&gt;0),--(INDEX(Matrix!$C$5:$BJ$204,0,T$3)&gt;0)))</f>
        <v/>
      </c>
      <c r="U57" s="12" t="str">
        <f aca="false">IF(OR($A57="",U$4=""),"",SUMPRODUCT(--(INDEX(Matrix!$C$5:$BJ$204,0,$B57)&gt;0),--(INDEX(Matrix!$C$5:$BJ$204,0,U$3)&gt;0)))</f>
        <v/>
      </c>
      <c r="V57" s="12" t="str">
        <f aca="false">IF(OR($A57="",V$4=""),"",SUMPRODUCT(--(INDEX(Matrix!$C$5:$BJ$204,0,$B57)&gt;0),--(INDEX(Matrix!$C$5:$BJ$204,0,V$3)&gt;0)))</f>
        <v/>
      </c>
      <c r="W57" s="12" t="str">
        <f aca="false">IF(OR($A57="",W$4=""),"",SUMPRODUCT(--(INDEX(Matrix!$C$5:$BJ$204,0,$B57)&gt;0),--(INDEX(Matrix!$C$5:$BJ$204,0,W$3)&gt;0)))</f>
        <v/>
      </c>
      <c r="X57" s="12" t="str">
        <f aca="false">IF(OR($A57="",X$4=""),"",SUMPRODUCT(--(INDEX(Matrix!$C$5:$BJ$204,0,$B57)&gt;0),--(INDEX(Matrix!$C$5:$BJ$204,0,X$3)&gt;0)))</f>
        <v/>
      </c>
      <c r="Y57" s="12" t="str">
        <f aca="false">IF(OR($A57="",Y$4=""),"",SUMPRODUCT(--(INDEX(Matrix!$C$5:$BJ$204,0,$B57)&gt;0),--(INDEX(Matrix!$C$5:$BJ$204,0,Y$3)&gt;0)))</f>
        <v/>
      </c>
      <c r="Z57" s="12" t="str">
        <f aca="false">IF(OR($A57="",Z$4=""),"",SUMPRODUCT(--(INDEX(Matrix!$C$5:$BJ$204,0,$B57)&gt;0),--(INDEX(Matrix!$C$5:$BJ$204,0,Z$3)&gt;0)))</f>
        <v/>
      </c>
      <c r="AA57" s="12" t="str">
        <f aca="false">IF(OR($A57="",AA$4=""),"",SUMPRODUCT(--(INDEX(Matrix!$C$5:$BJ$204,0,$B57)&gt;0),--(INDEX(Matrix!$C$5:$BJ$204,0,AA$3)&gt;0)))</f>
        <v/>
      </c>
      <c r="AB57" s="12" t="str">
        <f aca="false">IF(OR($A57="",AB$4=""),"",SUMPRODUCT(--(INDEX(Matrix!$C$5:$BJ$204,0,$B57)&gt;0),--(INDEX(Matrix!$C$5:$BJ$204,0,AB$3)&gt;0)))</f>
        <v/>
      </c>
      <c r="AC57" s="12" t="str">
        <f aca="false">IF(OR($A57="",AC$4=""),"",SUMPRODUCT(--(INDEX(Matrix!$C$5:$BJ$204,0,$B57)&gt;0),--(INDEX(Matrix!$C$5:$BJ$204,0,AC$3)&gt;0)))</f>
        <v/>
      </c>
      <c r="AD57" s="12" t="str">
        <f aca="false">IF(OR($A57="",AD$4=""),"",SUMPRODUCT(--(INDEX(Matrix!$C$5:$BJ$204,0,$B57)&gt;0),--(INDEX(Matrix!$C$5:$BJ$204,0,AD$3)&gt;0)))</f>
        <v/>
      </c>
      <c r="AE57" s="12" t="str">
        <f aca="false">IF(OR($A57="",AE$4=""),"",SUMPRODUCT(--(INDEX(Matrix!$C$5:$BJ$204,0,$B57)&gt;0),--(INDEX(Matrix!$C$5:$BJ$204,0,AE$3)&gt;0)))</f>
        <v/>
      </c>
      <c r="AF57" s="12" t="str">
        <f aca="false">IF(OR($A57="",AF$4=""),"",SUMPRODUCT(--(INDEX(Matrix!$C$5:$BJ$204,0,$B57)&gt;0),--(INDEX(Matrix!$C$5:$BJ$204,0,AF$3)&gt;0)))</f>
        <v/>
      </c>
      <c r="AG57" s="12" t="str">
        <f aca="false">IF(OR($A57="",AG$4=""),"",SUMPRODUCT(--(INDEX(Matrix!$C$5:$BJ$204,0,$B57)&gt;0),--(INDEX(Matrix!$C$5:$BJ$204,0,AG$3)&gt;0)))</f>
        <v/>
      </c>
      <c r="AH57" s="12" t="str">
        <f aca="false">IF(OR($A57="",AH$4=""),"",SUMPRODUCT(--(INDEX(Matrix!$C$5:$BJ$204,0,$B57)&gt;0),--(INDEX(Matrix!$C$5:$BJ$204,0,AH$3)&gt;0)))</f>
        <v/>
      </c>
      <c r="AI57" s="12" t="str">
        <f aca="false">IF(OR($A57="",AI$4=""),"",SUMPRODUCT(--(INDEX(Matrix!$C$5:$BJ$204,0,$B57)&gt;0),--(INDEX(Matrix!$C$5:$BJ$204,0,AI$3)&gt;0)))</f>
        <v/>
      </c>
      <c r="AJ57" s="12" t="str">
        <f aca="false">IF(OR($A57="",AJ$4=""),"",SUMPRODUCT(--(INDEX(Matrix!$C$5:$BJ$204,0,$B57)&gt;0),--(INDEX(Matrix!$C$5:$BJ$204,0,AJ$3)&gt;0)))</f>
        <v/>
      </c>
      <c r="AK57" s="12" t="str">
        <f aca="false">IF(OR($A57="",AK$4=""),"",SUMPRODUCT(--(INDEX(Matrix!$C$5:$BJ$204,0,$B57)&gt;0),--(INDEX(Matrix!$C$5:$BJ$204,0,AK$3)&gt;0)))</f>
        <v/>
      </c>
      <c r="AL57" s="12" t="str">
        <f aca="false">IF(OR($A57="",AL$4=""),"",SUMPRODUCT(--(INDEX(Matrix!$C$5:$BJ$204,0,$B57)&gt;0),--(INDEX(Matrix!$C$5:$BJ$204,0,AL$3)&gt;0)))</f>
        <v/>
      </c>
      <c r="AM57" s="12" t="str">
        <f aca="false">IF(OR($A57="",AM$4=""),"",SUMPRODUCT(--(INDEX(Matrix!$C$5:$BJ$204,0,$B57)&gt;0),--(INDEX(Matrix!$C$5:$BJ$204,0,AM$3)&gt;0)))</f>
        <v/>
      </c>
      <c r="AN57" s="12" t="str">
        <f aca="false">IF(OR($A57="",AN$4=""),"",SUMPRODUCT(--(INDEX(Matrix!$C$5:$BJ$204,0,$B57)&gt;0),--(INDEX(Matrix!$C$5:$BJ$204,0,AN$3)&gt;0)))</f>
        <v/>
      </c>
      <c r="AO57" s="12" t="str">
        <f aca="false">IF(OR($A57="",AO$4=""),"",SUMPRODUCT(--(INDEX(Matrix!$C$5:$BJ$204,0,$B57)&gt;0),--(INDEX(Matrix!$C$5:$BJ$204,0,AO$3)&gt;0)))</f>
        <v/>
      </c>
      <c r="AP57" s="12" t="str">
        <f aca="false">IF(OR($A57="",AP$4=""),"",SUMPRODUCT(--(INDEX(Matrix!$C$5:$BJ$204,0,$B57)&gt;0),--(INDEX(Matrix!$C$5:$BJ$204,0,AP$3)&gt;0)))</f>
        <v/>
      </c>
      <c r="AQ57" s="12" t="str">
        <f aca="false">IF(OR($A57="",AQ$4=""),"",SUMPRODUCT(--(INDEX(Matrix!$C$5:$BJ$204,0,$B57)&gt;0),--(INDEX(Matrix!$C$5:$BJ$204,0,AQ$3)&gt;0)))</f>
        <v/>
      </c>
      <c r="AR57" s="12" t="str">
        <f aca="false">IF(OR($A57="",AR$4=""),"",SUMPRODUCT(--(INDEX(Matrix!$C$5:$BJ$204,0,$B57)&gt;0),--(INDEX(Matrix!$C$5:$BJ$204,0,AR$3)&gt;0)))</f>
        <v/>
      </c>
      <c r="AS57" s="12" t="str">
        <f aca="false">IF(OR($A57="",AS$4=""),"",SUMPRODUCT(--(INDEX(Matrix!$C$5:$BJ$204,0,$B57)&gt;0),--(INDEX(Matrix!$C$5:$BJ$204,0,AS$3)&gt;0)))</f>
        <v/>
      </c>
      <c r="AT57" s="12" t="str">
        <f aca="false">IF(OR($A57="",AT$4=""),"",SUMPRODUCT(--(INDEX(Matrix!$C$5:$BJ$204,0,$B57)&gt;0),--(INDEX(Matrix!$C$5:$BJ$204,0,AT$3)&gt;0)))</f>
        <v/>
      </c>
      <c r="AU57" s="12" t="str">
        <f aca="false">IF(OR($A57="",AU$4=""),"",SUMPRODUCT(--(INDEX(Matrix!$C$5:$BJ$204,0,$B57)&gt;0),--(INDEX(Matrix!$C$5:$BJ$204,0,AU$3)&gt;0)))</f>
        <v/>
      </c>
      <c r="AV57" s="12" t="str">
        <f aca="false">IF(OR($A57="",AV$4=""),"",SUMPRODUCT(--(INDEX(Matrix!$C$5:$BJ$204,0,$B57)&gt;0),--(INDEX(Matrix!$C$5:$BJ$204,0,AV$3)&gt;0)))</f>
        <v/>
      </c>
      <c r="AW57" s="12" t="str">
        <f aca="false">IF(OR($A57="",AW$4=""),"",SUMPRODUCT(--(INDEX(Matrix!$C$5:$BJ$204,0,$B57)&gt;0),--(INDEX(Matrix!$C$5:$BJ$204,0,AW$3)&gt;0)))</f>
        <v/>
      </c>
      <c r="AX57" s="12" t="str">
        <f aca="false">IF(OR($A57="",AX$4=""),"",SUMPRODUCT(--(INDEX(Matrix!$C$5:$BJ$204,0,$B57)&gt;0),--(INDEX(Matrix!$C$5:$BJ$204,0,AX$3)&gt;0)))</f>
        <v/>
      </c>
      <c r="AY57" s="12" t="str">
        <f aca="false">IF(OR($A57="",AY$4=""),"",SUMPRODUCT(--(INDEX(Matrix!$C$5:$BJ$204,0,$B57)&gt;0),--(INDEX(Matrix!$C$5:$BJ$204,0,AY$3)&gt;0)))</f>
        <v/>
      </c>
      <c r="AZ57" s="12" t="str">
        <f aca="false">IF(OR($A57="",AZ$4=""),"",SUMPRODUCT(--(INDEX(Matrix!$C$5:$BJ$204,0,$B57)&gt;0),--(INDEX(Matrix!$C$5:$BJ$204,0,AZ$3)&gt;0)))</f>
        <v/>
      </c>
      <c r="BA57" s="12" t="str">
        <f aca="false">IF(OR($A57="",BA$4=""),"",SUMPRODUCT(--(INDEX(Matrix!$C$5:$BJ$204,0,$B57)&gt;0),--(INDEX(Matrix!$C$5:$BJ$204,0,BA$3)&gt;0)))</f>
        <v/>
      </c>
      <c r="BB57" s="12" t="str">
        <f aca="false">IF(OR($A57="",BB$4=""),"",SUMPRODUCT(--(INDEX(Matrix!$C$5:$BJ$204,0,$B57)&gt;0),--(INDEX(Matrix!$C$5:$BJ$204,0,BB$3)&gt;0)))</f>
        <v/>
      </c>
      <c r="BC57" s="12" t="str">
        <f aca="false">IF(OR($A57="",BC$4=""),"",SUMPRODUCT(--(INDEX(Matrix!$C$5:$BJ$204,0,$B57)&gt;0),--(INDEX(Matrix!$C$5:$BJ$204,0,BC$3)&gt;0)))</f>
        <v/>
      </c>
      <c r="BD57" s="12" t="str">
        <f aca="false">IF(OR($A57="",BD$4=""),"",SUMPRODUCT(--(INDEX(Matrix!$C$5:$BJ$204,0,$B57)&gt;0),--(INDEX(Matrix!$C$5:$BJ$204,0,BD$3)&gt;0)))</f>
        <v/>
      </c>
      <c r="BE57" s="12" t="str">
        <f aca="false">IF(OR($A57="",BE$4=""),"",SUMPRODUCT(--(INDEX(Matrix!$C$5:$BJ$204,0,$B57)&gt;0),--(INDEX(Matrix!$C$5:$BJ$204,0,BE$3)&gt;0)))</f>
        <v/>
      </c>
      <c r="BF57" s="12" t="str">
        <f aca="false">IF(OR($A57="",BF$4=""),"",SUMPRODUCT(--(INDEX(Matrix!$C$5:$BJ$204,0,$B57)&gt;0),--(INDEX(Matrix!$C$5:$BJ$204,0,BF$3)&gt;0)))</f>
        <v/>
      </c>
      <c r="BG57" s="12" t="str">
        <f aca="false">IF(OR($A57="",BG$4=""),"",SUMPRODUCT(--(INDEX(Matrix!$C$5:$BJ$204,0,$B57)&gt;0),--(INDEX(Matrix!$C$5:$BJ$204,0,BG$3)&gt;0)))</f>
        <v/>
      </c>
      <c r="BH57" s="12" t="str">
        <f aca="false">IF(OR($A57="",BH$4=""),"",SUMPRODUCT(--(INDEX(Matrix!$C$5:$BJ$204,0,$B57)&gt;0),--(INDEX(Matrix!$C$5:$BJ$204,0,BH$3)&gt;0)))</f>
        <v/>
      </c>
      <c r="BI57" s="12" t="str">
        <f aca="false">IF(OR($A57="",BI$4=""),"",SUMPRODUCT(--(INDEX(Matrix!$C$5:$BJ$204,0,$B57)&gt;0),--(INDEX(Matrix!$C$5:$BJ$204,0,BI$3)&gt;0)))</f>
        <v/>
      </c>
      <c r="BJ57" s="12" t="str">
        <f aca="false">IF(OR($A57="",BJ$4=""),"",SUMPRODUCT(--(INDEX(Matrix!$C$5:$BJ$204,0,$B57)&gt;0),--(INDEX(Matrix!$C$5:$BJ$204,0,BJ$3)&gt;0)))</f>
        <v/>
      </c>
    </row>
    <row r="58" customFormat="false" ht="15" hidden="false" customHeight="false" outlineLevel="0" collapsed="false">
      <c r="A58" s="6" t="str">
        <f aca="false">IF(INDEX(Products!$A$2:$A$61,$B58)="","",INDEX(Products!$A$2:$A$61,$B58))</f>
        <v/>
      </c>
      <c r="B58" s="23" t="n">
        <v>54</v>
      </c>
      <c r="C58" s="12" t="str">
        <f aca="false">IF(OR($A58="",C$4=""),"",SUMPRODUCT(--(INDEX(Matrix!$C$5:$BJ$204,0,$B58)&gt;0),--(INDEX(Matrix!$C$5:$BJ$204,0,C$3)&gt;0)))</f>
        <v/>
      </c>
      <c r="D58" s="12" t="str">
        <f aca="false">IF(OR($A58="",D$4=""),"",SUMPRODUCT(--(INDEX(Matrix!$C$5:$BJ$204,0,$B58)&gt;0),--(INDEX(Matrix!$C$5:$BJ$204,0,D$3)&gt;0)))</f>
        <v/>
      </c>
      <c r="E58" s="12" t="str">
        <f aca="false">IF(OR($A58="",E$4=""),"",SUMPRODUCT(--(INDEX(Matrix!$C$5:$BJ$204,0,$B58)&gt;0),--(INDEX(Matrix!$C$5:$BJ$204,0,E$3)&gt;0)))</f>
        <v/>
      </c>
      <c r="F58" s="12" t="str">
        <f aca="false">IF(OR($A58="",F$4=""),"",SUMPRODUCT(--(INDEX(Matrix!$C$5:$BJ$204,0,$B58)&gt;0),--(INDEX(Matrix!$C$5:$BJ$204,0,F$3)&gt;0)))</f>
        <v/>
      </c>
      <c r="G58" s="12" t="str">
        <f aca="false">IF(OR($A58="",G$4=""),"",SUMPRODUCT(--(INDEX(Matrix!$C$5:$BJ$204,0,$B58)&gt;0),--(INDEX(Matrix!$C$5:$BJ$204,0,G$3)&gt;0)))</f>
        <v/>
      </c>
      <c r="H58" s="12" t="str">
        <f aca="false">IF(OR($A58="",H$4=""),"",SUMPRODUCT(--(INDEX(Matrix!$C$5:$BJ$204,0,$B58)&gt;0),--(INDEX(Matrix!$C$5:$BJ$204,0,H$3)&gt;0)))</f>
        <v/>
      </c>
      <c r="I58" s="12" t="str">
        <f aca="false">IF(OR($A58="",I$4=""),"",SUMPRODUCT(--(INDEX(Matrix!$C$5:$BJ$204,0,$B58)&gt;0),--(INDEX(Matrix!$C$5:$BJ$204,0,I$3)&gt;0)))</f>
        <v/>
      </c>
      <c r="J58" s="12" t="str">
        <f aca="false">IF(OR($A58="",J$4=""),"",SUMPRODUCT(--(INDEX(Matrix!$C$5:$BJ$204,0,$B58)&gt;0),--(INDEX(Matrix!$C$5:$BJ$204,0,J$3)&gt;0)))</f>
        <v/>
      </c>
      <c r="K58" s="12" t="str">
        <f aca="false">IF(OR($A58="",K$4=""),"",SUMPRODUCT(--(INDEX(Matrix!$C$5:$BJ$204,0,$B58)&gt;0),--(INDEX(Matrix!$C$5:$BJ$204,0,K$3)&gt;0)))</f>
        <v/>
      </c>
      <c r="L58" s="12" t="str">
        <f aca="false">IF(OR($A58="",L$4=""),"",SUMPRODUCT(--(INDEX(Matrix!$C$5:$BJ$204,0,$B58)&gt;0),--(INDEX(Matrix!$C$5:$BJ$204,0,L$3)&gt;0)))</f>
        <v/>
      </c>
      <c r="M58" s="12" t="str">
        <f aca="false">IF(OR($A58="",M$4=""),"",SUMPRODUCT(--(INDEX(Matrix!$C$5:$BJ$204,0,$B58)&gt;0),--(INDEX(Matrix!$C$5:$BJ$204,0,M$3)&gt;0)))</f>
        <v/>
      </c>
      <c r="N58" s="12" t="str">
        <f aca="false">IF(OR($A58="",N$4=""),"",SUMPRODUCT(--(INDEX(Matrix!$C$5:$BJ$204,0,$B58)&gt;0),--(INDEX(Matrix!$C$5:$BJ$204,0,N$3)&gt;0)))</f>
        <v/>
      </c>
      <c r="O58" s="12" t="str">
        <f aca="false">IF(OR($A58="",O$4=""),"",SUMPRODUCT(--(INDEX(Matrix!$C$5:$BJ$204,0,$B58)&gt;0),--(INDEX(Matrix!$C$5:$BJ$204,0,O$3)&gt;0)))</f>
        <v/>
      </c>
      <c r="P58" s="12" t="str">
        <f aca="false">IF(OR($A58="",P$4=""),"",SUMPRODUCT(--(INDEX(Matrix!$C$5:$BJ$204,0,$B58)&gt;0),--(INDEX(Matrix!$C$5:$BJ$204,0,P$3)&gt;0)))</f>
        <v/>
      </c>
      <c r="Q58" s="12" t="str">
        <f aca="false">IF(OR($A58="",Q$4=""),"",SUMPRODUCT(--(INDEX(Matrix!$C$5:$BJ$204,0,$B58)&gt;0),--(INDEX(Matrix!$C$5:$BJ$204,0,Q$3)&gt;0)))</f>
        <v/>
      </c>
      <c r="R58" s="12" t="str">
        <f aca="false">IF(OR($A58="",R$4=""),"",SUMPRODUCT(--(INDEX(Matrix!$C$5:$BJ$204,0,$B58)&gt;0),--(INDEX(Matrix!$C$5:$BJ$204,0,R$3)&gt;0)))</f>
        <v/>
      </c>
      <c r="S58" s="12" t="str">
        <f aca="false">IF(OR($A58="",S$4=""),"",SUMPRODUCT(--(INDEX(Matrix!$C$5:$BJ$204,0,$B58)&gt;0),--(INDEX(Matrix!$C$5:$BJ$204,0,S$3)&gt;0)))</f>
        <v/>
      </c>
      <c r="T58" s="12" t="str">
        <f aca="false">IF(OR($A58="",T$4=""),"",SUMPRODUCT(--(INDEX(Matrix!$C$5:$BJ$204,0,$B58)&gt;0),--(INDEX(Matrix!$C$5:$BJ$204,0,T$3)&gt;0)))</f>
        <v/>
      </c>
      <c r="U58" s="12" t="str">
        <f aca="false">IF(OR($A58="",U$4=""),"",SUMPRODUCT(--(INDEX(Matrix!$C$5:$BJ$204,0,$B58)&gt;0),--(INDEX(Matrix!$C$5:$BJ$204,0,U$3)&gt;0)))</f>
        <v/>
      </c>
      <c r="V58" s="12" t="str">
        <f aca="false">IF(OR($A58="",V$4=""),"",SUMPRODUCT(--(INDEX(Matrix!$C$5:$BJ$204,0,$B58)&gt;0),--(INDEX(Matrix!$C$5:$BJ$204,0,V$3)&gt;0)))</f>
        <v/>
      </c>
      <c r="W58" s="12" t="str">
        <f aca="false">IF(OR($A58="",W$4=""),"",SUMPRODUCT(--(INDEX(Matrix!$C$5:$BJ$204,0,$B58)&gt;0),--(INDEX(Matrix!$C$5:$BJ$204,0,W$3)&gt;0)))</f>
        <v/>
      </c>
      <c r="X58" s="12" t="str">
        <f aca="false">IF(OR($A58="",X$4=""),"",SUMPRODUCT(--(INDEX(Matrix!$C$5:$BJ$204,0,$B58)&gt;0),--(INDEX(Matrix!$C$5:$BJ$204,0,X$3)&gt;0)))</f>
        <v/>
      </c>
      <c r="Y58" s="12" t="str">
        <f aca="false">IF(OR($A58="",Y$4=""),"",SUMPRODUCT(--(INDEX(Matrix!$C$5:$BJ$204,0,$B58)&gt;0),--(INDEX(Matrix!$C$5:$BJ$204,0,Y$3)&gt;0)))</f>
        <v/>
      </c>
      <c r="Z58" s="12" t="str">
        <f aca="false">IF(OR($A58="",Z$4=""),"",SUMPRODUCT(--(INDEX(Matrix!$C$5:$BJ$204,0,$B58)&gt;0),--(INDEX(Matrix!$C$5:$BJ$204,0,Z$3)&gt;0)))</f>
        <v/>
      </c>
      <c r="AA58" s="12" t="str">
        <f aca="false">IF(OR($A58="",AA$4=""),"",SUMPRODUCT(--(INDEX(Matrix!$C$5:$BJ$204,0,$B58)&gt;0),--(INDEX(Matrix!$C$5:$BJ$204,0,AA$3)&gt;0)))</f>
        <v/>
      </c>
      <c r="AB58" s="12" t="str">
        <f aca="false">IF(OR($A58="",AB$4=""),"",SUMPRODUCT(--(INDEX(Matrix!$C$5:$BJ$204,0,$B58)&gt;0),--(INDEX(Matrix!$C$5:$BJ$204,0,AB$3)&gt;0)))</f>
        <v/>
      </c>
      <c r="AC58" s="12" t="str">
        <f aca="false">IF(OR($A58="",AC$4=""),"",SUMPRODUCT(--(INDEX(Matrix!$C$5:$BJ$204,0,$B58)&gt;0),--(INDEX(Matrix!$C$5:$BJ$204,0,AC$3)&gt;0)))</f>
        <v/>
      </c>
      <c r="AD58" s="12" t="str">
        <f aca="false">IF(OR($A58="",AD$4=""),"",SUMPRODUCT(--(INDEX(Matrix!$C$5:$BJ$204,0,$B58)&gt;0),--(INDEX(Matrix!$C$5:$BJ$204,0,AD$3)&gt;0)))</f>
        <v/>
      </c>
      <c r="AE58" s="12" t="str">
        <f aca="false">IF(OR($A58="",AE$4=""),"",SUMPRODUCT(--(INDEX(Matrix!$C$5:$BJ$204,0,$B58)&gt;0),--(INDEX(Matrix!$C$5:$BJ$204,0,AE$3)&gt;0)))</f>
        <v/>
      </c>
      <c r="AF58" s="12" t="str">
        <f aca="false">IF(OR($A58="",AF$4=""),"",SUMPRODUCT(--(INDEX(Matrix!$C$5:$BJ$204,0,$B58)&gt;0),--(INDEX(Matrix!$C$5:$BJ$204,0,AF$3)&gt;0)))</f>
        <v/>
      </c>
      <c r="AG58" s="12" t="str">
        <f aca="false">IF(OR($A58="",AG$4=""),"",SUMPRODUCT(--(INDEX(Matrix!$C$5:$BJ$204,0,$B58)&gt;0),--(INDEX(Matrix!$C$5:$BJ$204,0,AG$3)&gt;0)))</f>
        <v/>
      </c>
      <c r="AH58" s="12" t="str">
        <f aca="false">IF(OR($A58="",AH$4=""),"",SUMPRODUCT(--(INDEX(Matrix!$C$5:$BJ$204,0,$B58)&gt;0),--(INDEX(Matrix!$C$5:$BJ$204,0,AH$3)&gt;0)))</f>
        <v/>
      </c>
      <c r="AI58" s="12" t="str">
        <f aca="false">IF(OR($A58="",AI$4=""),"",SUMPRODUCT(--(INDEX(Matrix!$C$5:$BJ$204,0,$B58)&gt;0),--(INDEX(Matrix!$C$5:$BJ$204,0,AI$3)&gt;0)))</f>
        <v/>
      </c>
      <c r="AJ58" s="12" t="str">
        <f aca="false">IF(OR($A58="",AJ$4=""),"",SUMPRODUCT(--(INDEX(Matrix!$C$5:$BJ$204,0,$B58)&gt;0),--(INDEX(Matrix!$C$5:$BJ$204,0,AJ$3)&gt;0)))</f>
        <v/>
      </c>
      <c r="AK58" s="12" t="str">
        <f aca="false">IF(OR($A58="",AK$4=""),"",SUMPRODUCT(--(INDEX(Matrix!$C$5:$BJ$204,0,$B58)&gt;0),--(INDEX(Matrix!$C$5:$BJ$204,0,AK$3)&gt;0)))</f>
        <v/>
      </c>
      <c r="AL58" s="12" t="str">
        <f aca="false">IF(OR($A58="",AL$4=""),"",SUMPRODUCT(--(INDEX(Matrix!$C$5:$BJ$204,0,$B58)&gt;0),--(INDEX(Matrix!$C$5:$BJ$204,0,AL$3)&gt;0)))</f>
        <v/>
      </c>
      <c r="AM58" s="12" t="str">
        <f aca="false">IF(OR($A58="",AM$4=""),"",SUMPRODUCT(--(INDEX(Matrix!$C$5:$BJ$204,0,$B58)&gt;0),--(INDEX(Matrix!$C$5:$BJ$204,0,AM$3)&gt;0)))</f>
        <v/>
      </c>
      <c r="AN58" s="12" t="str">
        <f aca="false">IF(OR($A58="",AN$4=""),"",SUMPRODUCT(--(INDEX(Matrix!$C$5:$BJ$204,0,$B58)&gt;0),--(INDEX(Matrix!$C$5:$BJ$204,0,AN$3)&gt;0)))</f>
        <v/>
      </c>
      <c r="AO58" s="12" t="str">
        <f aca="false">IF(OR($A58="",AO$4=""),"",SUMPRODUCT(--(INDEX(Matrix!$C$5:$BJ$204,0,$B58)&gt;0),--(INDEX(Matrix!$C$5:$BJ$204,0,AO$3)&gt;0)))</f>
        <v/>
      </c>
      <c r="AP58" s="12" t="str">
        <f aca="false">IF(OR($A58="",AP$4=""),"",SUMPRODUCT(--(INDEX(Matrix!$C$5:$BJ$204,0,$B58)&gt;0),--(INDEX(Matrix!$C$5:$BJ$204,0,AP$3)&gt;0)))</f>
        <v/>
      </c>
      <c r="AQ58" s="12" t="str">
        <f aca="false">IF(OR($A58="",AQ$4=""),"",SUMPRODUCT(--(INDEX(Matrix!$C$5:$BJ$204,0,$B58)&gt;0),--(INDEX(Matrix!$C$5:$BJ$204,0,AQ$3)&gt;0)))</f>
        <v/>
      </c>
      <c r="AR58" s="12" t="str">
        <f aca="false">IF(OR($A58="",AR$4=""),"",SUMPRODUCT(--(INDEX(Matrix!$C$5:$BJ$204,0,$B58)&gt;0),--(INDEX(Matrix!$C$5:$BJ$204,0,AR$3)&gt;0)))</f>
        <v/>
      </c>
      <c r="AS58" s="12" t="str">
        <f aca="false">IF(OR($A58="",AS$4=""),"",SUMPRODUCT(--(INDEX(Matrix!$C$5:$BJ$204,0,$B58)&gt;0),--(INDEX(Matrix!$C$5:$BJ$204,0,AS$3)&gt;0)))</f>
        <v/>
      </c>
      <c r="AT58" s="12" t="str">
        <f aca="false">IF(OR($A58="",AT$4=""),"",SUMPRODUCT(--(INDEX(Matrix!$C$5:$BJ$204,0,$B58)&gt;0),--(INDEX(Matrix!$C$5:$BJ$204,0,AT$3)&gt;0)))</f>
        <v/>
      </c>
      <c r="AU58" s="12" t="str">
        <f aca="false">IF(OR($A58="",AU$4=""),"",SUMPRODUCT(--(INDEX(Matrix!$C$5:$BJ$204,0,$B58)&gt;0),--(INDEX(Matrix!$C$5:$BJ$204,0,AU$3)&gt;0)))</f>
        <v/>
      </c>
      <c r="AV58" s="12" t="str">
        <f aca="false">IF(OR($A58="",AV$4=""),"",SUMPRODUCT(--(INDEX(Matrix!$C$5:$BJ$204,0,$B58)&gt;0),--(INDEX(Matrix!$C$5:$BJ$204,0,AV$3)&gt;0)))</f>
        <v/>
      </c>
      <c r="AW58" s="12" t="str">
        <f aca="false">IF(OR($A58="",AW$4=""),"",SUMPRODUCT(--(INDEX(Matrix!$C$5:$BJ$204,0,$B58)&gt;0),--(INDEX(Matrix!$C$5:$BJ$204,0,AW$3)&gt;0)))</f>
        <v/>
      </c>
      <c r="AX58" s="12" t="str">
        <f aca="false">IF(OR($A58="",AX$4=""),"",SUMPRODUCT(--(INDEX(Matrix!$C$5:$BJ$204,0,$B58)&gt;0),--(INDEX(Matrix!$C$5:$BJ$204,0,AX$3)&gt;0)))</f>
        <v/>
      </c>
      <c r="AY58" s="12" t="str">
        <f aca="false">IF(OR($A58="",AY$4=""),"",SUMPRODUCT(--(INDEX(Matrix!$C$5:$BJ$204,0,$B58)&gt;0),--(INDEX(Matrix!$C$5:$BJ$204,0,AY$3)&gt;0)))</f>
        <v/>
      </c>
      <c r="AZ58" s="12" t="str">
        <f aca="false">IF(OR($A58="",AZ$4=""),"",SUMPRODUCT(--(INDEX(Matrix!$C$5:$BJ$204,0,$B58)&gt;0),--(INDEX(Matrix!$C$5:$BJ$204,0,AZ$3)&gt;0)))</f>
        <v/>
      </c>
      <c r="BA58" s="12" t="str">
        <f aca="false">IF(OR($A58="",BA$4=""),"",SUMPRODUCT(--(INDEX(Matrix!$C$5:$BJ$204,0,$B58)&gt;0),--(INDEX(Matrix!$C$5:$BJ$204,0,BA$3)&gt;0)))</f>
        <v/>
      </c>
      <c r="BB58" s="12" t="str">
        <f aca="false">IF(OR($A58="",BB$4=""),"",SUMPRODUCT(--(INDEX(Matrix!$C$5:$BJ$204,0,$B58)&gt;0),--(INDEX(Matrix!$C$5:$BJ$204,0,BB$3)&gt;0)))</f>
        <v/>
      </c>
      <c r="BC58" s="12" t="str">
        <f aca="false">IF(OR($A58="",BC$4=""),"",SUMPRODUCT(--(INDEX(Matrix!$C$5:$BJ$204,0,$B58)&gt;0),--(INDEX(Matrix!$C$5:$BJ$204,0,BC$3)&gt;0)))</f>
        <v/>
      </c>
      <c r="BD58" s="12" t="str">
        <f aca="false">IF(OR($A58="",BD$4=""),"",SUMPRODUCT(--(INDEX(Matrix!$C$5:$BJ$204,0,$B58)&gt;0),--(INDEX(Matrix!$C$5:$BJ$204,0,BD$3)&gt;0)))</f>
        <v/>
      </c>
      <c r="BE58" s="12" t="str">
        <f aca="false">IF(OR($A58="",BE$4=""),"",SUMPRODUCT(--(INDEX(Matrix!$C$5:$BJ$204,0,$B58)&gt;0),--(INDEX(Matrix!$C$5:$BJ$204,0,BE$3)&gt;0)))</f>
        <v/>
      </c>
      <c r="BF58" s="12" t="str">
        <f aca="false">IF(OR($A58="",BF$4=""),"",SUMPRODUCT(--(INDEX(Matrix!$C$5:$BJ$204,0,$B58)&gt;0),--(INDEX(Matrix!$C$5:$BJ$204,0,BF$3)&gt;0)))</f>
        <v/>
      </c>
      <c r="BG58" s="12" t="str">
        <f aca="false">IF(OR($A58="",BG$4=""),"",SUMPRODUCT(--(INDEX(Matrix!$C$5:$BJ$204,0,$B58)&gt;0),--(INDEX(Matrix!$C$5:$BJ$204,0,BG$3)&gt;0)))</f>
        <v/>
      </c>
      <c r="BH58" s="12" t="str">
        <f aca="false">IF(OR($A58="",BH$4=""),"",SUMPRODUCT(--(INDEX(Matrix!$C$5:$BJ$204,0,$B58)&gt;0),--(INDEX(Matrix!$C$5:$BJ$204,0,BH$3)&gt;0)))</f>
        <v/>
      </c>
      <c r="BI58" s="12" t="str">
        <f aca="false">IF(OR($A58="",BI$4=""),"",SUMPRODUCT(--(INDEX(Matrix!$C$5:$BJ$204,0,$B58)&gt;0),--(INDEX(Matrix!$C$5:$BJ$204,0,BI$3)&gt;0)))</f>
        <v/>
      </c>
      <c r="BJ58" s="12" t="str">
        <f aca="false">IF(OR($A58="",BJ$4=""),"",SUMPRODUCT(--(INDEX(Matrix!$C$5:$BJ$204,0,$B58)&gt;0),--(INDEX(Matrix!$C$5:$BJ$204,0,BJ$3)&gt;0)))</f>
        <v/>
      </c>
    </row>
    <row r="59" customFormat="false" ht="15" hidden="false" customHeight="false" outlineLevel="0" collapsed="false">
      <c r="A59" s="6" t="str">
        <f aca="false">IF(INDEX(Products!$A$2:$A$61,$B59)="","",INDEX(Products!$A$2:$A$61,$B59))</f>
        <v/>
      </c>
      <c r="B59" s="23" t="n">
        <v>55</v>
      </c>
      <c r="C59" s="12" t="str">
        <f aca="false">IF(OR($A59="",C$4=""),"",SUMPRODUCT(--(INDEX(Matrix!$C$5:$BJ$204,0,$B59)&gt;0),--(INDEX(Matrix!$C$5:$BJ$204,0,C$3)&gt;0)))</f>
        <v/>
      </c>
      <c r="D59" s="12" t="str">
        <f aca="false">IF(OR($A59="",D$4=""),"",SUMPRODUCT(--(INDEX(Matrix!$C$5:$BJ$204,0,$B59)&gt;0),--(INDEX(Matrix!$C$5:$BJ$204,0,D$3)&gt;0)))</f>
        <v/>
      </c>
      <c r="E59" s="12" t="str">
        <f aca="false">IF(OR($A59="",E$4=""),"",SUMPRODUCT(--(INDEX(Matrix!$C$5:$BJ$204,0,$B59)&gt;0),--(INDEX(Matrix!$C$5:$BJ$204,0,E$3)&gt;0)))</f>
        <v/>
      </c>
      <c r="F59" s="12" t="str">
        <f aca="false">IF(OR($A59="",F$4=""),"",SUMPRODUCT(--(INDEX(Matrix!$C$5:$BJ$204,0,$B59)&gt;0),--(INDEX(Matrix!$C$5:$BJ$204,0,F$3)&gt;0)))</f>
        <v/>
      </c>
      <c r="G59" s="12" t="str">
        <f aca="false">IF(OR($A59="",G$4=""),"",SUMPRODUCT(--(INDEX(Matrix!$C$5:$BJ$204,0,$B59)&gt;0),--(INDEX(Matrix!$C$5:$BJ$204,0,G$3)&gt;0)))</f>
        <v/>
      </c>
      <c r="H59" s="12" t="str">
        <f aca="false">IF(OR($A59="",H$4=""),"",SUMPRODUCT(--(INDEX(Matrix!$C$5:$BJ$204,0,$B59)&gt;0),--(INDEX(Matrix!$C$5:$BJ$204,0,H$3)&gt;0)))</f>
        <v/>
      </c>
      <c r="I59" s="12" t="str">
        <f aca="false">IF(OR($A59="",I$4=""),"",SUMPRODUCT(--(INDEX(Matrix!$C$5:$BJ$204,0,$B59)&gt;0),--(INDEX(Matrix!$C$5:$BJ$204,0,I$3)&gt;0)))</f>
        <v/>
      </c>
      <c r="J59" s="12" t="str">
        <f aca="false">IF(OR($A59="",J$4=""),"",SUMPRODUCT(--(INDEX(Matrix!$C$5:$BJ$204,0,$B59)&gt;0),--(INDEX(Matrix!$C$5:$BJ$204,0,J$3)&gt;0)))</f>
        <v/>
      </c>
      <c r="K59" s="12" t="str">
        <f aca="false">IF(OR($A59="",K$4=""),"",SUMPRODUCT(--(INDEX(Matrix!$C$5:$BJ$204,0,$B59)&gt;0),--(INDEX(Matrix!$C$5:$BJ$204,0,K$3)&gt;0)))</f>
        <v/>
      </c>
      <c r="L59" s="12" t="str">
        <f aca="false">IF(OR($A59="",L$4=""),"",SUMPRODUCT(--(INDEX(Matrix!$C$5:$BJ$204,0,$B59)&gt;0),--(INDEX(Matrix!$C$5:$BJ$204,0,L$3)&gt;0)))</f>
        <v/>
      </c>
      <c r="M59" s="12" t="str">
        <f aca="false">IF(OR($A59="",M$4=""),"",SUMPRODUCT(--(INDEX(Matrix!$C$5:$BJ$204,0,$B59)&gt;0),--(INDEX(Matrix!$C$5:$BJ$204,0,M$3)&gt;0)))</f>
        <v/>
      </c>
      <c r="N59" s="12" t="str">
        <f aca="false">IF(OR($A59="",N$4=""),"",SUMPRODUCT(--(INDEX(Matrix!$C$5:$BJ$204,0,$B59)&gt;0),--(INDEX(Matrix!$C$5:$BJ$204,0,N$3)&gt;0)))</f>
        <v/>
      </c>
      <c r="O59" s="12" t="str">
        <f aca="false">IF(OR($A59="",O$4=""),"",SUMPRODUCT(--(INDEX(Matrix!$C$5:$BJ$204,0,$B59)&gt;0),--(INDEX(Matrix!$C$5:$BJ$204,0,O$3)&gt;0)))</f>
        <v/>
      </c>
      <c r="P59" s="12" t="str">
        <f aca="false">IF(OR($A59="",P$4=""),"",SUMPRODUCT(--(INDEX(Matrix!$C$5:$BJ$204,0,$B59)&gt;0),--(INDEX(Matrix!$C$5:$BJ$204,0,P$3)&gt;0)))</f>
        <v/>
      </c>
      <c r="Q59" s="12" t="str">
        <f aca="false">IF(OR($A59="",Q$4=""),"",SUMPRODUCT(--(INDEX(Matrix!$C$5:$BJ$204,0,$B59)&gt;0),--(INDEX(Matrix!$C$5:$BJ$204,0,Q$3)&gt;0)))</f>
        <v/>
      </c>
      <c r="R59" s="12" t="str">
        <f aca="false">IF(OR($A59="",R$4=""),"",SUMPRODUCT(--(INDEX(Matrix!$C$5:$BJ$204,0,$B59)&gt;0),--(INDEX(Matrix!$C$5:$BJ$204,0,R$3)&gt;0)))</f>
        <v/>
      </c>
      <c r="S59" s="12" t="str">
        <f aca="false">IF(OR($A59="",S$4=""),"",SUMPRODUCT(--(INDEX(Matrix!$C$5:$BJ$204,0,$B59)&gt;0),--(INDEX(Matrix!$C$5:$BJ$204,0,S$3)&gt;0)))</f>
        <v/>
      </c>
      <c r="T59" s="12" t="str">
        <f aca="false">IF(OR($A59="",T$4=""),"",SUMPRODUCT(--(INDEX(Matrix!$C$5:$BJ$204,0,$B59)&gt;0),--(INDEX(Matrix!$C$5:$BJ$204,0,T$3)&gt;0)))</f>
        <v/>
      </c>
      <c r="U59" s="12" t="str">
        <f aca="false">IF(OR($A59="",U$4=""),"",SUMPRODUCT(--(INDEX(Matrix!$C$5:$BJ$204,0,$B59)&gt;0),--(INDEX(Matrix!$C$5:$BJ$204,0,U$3)&gt;0)))</f>
        <v/>
      </c>
      <c r="V59" s="12" t="str">
        <f aca="false">IF(OR($A59="",V$4=""),"",SUMPRODUCT(--(INDEX(Matrix!$C$5:$BJ$204,0,$B59)&gt;0),--(INDEX(Matrix!$C$5:$BJ$204,0,V$3)&gt;0)))</f>
        <v/>
      </c>
      <c r="W59" s="12" t="str">
        <f aca="false">IF(OR($A59="",W$4=""),"",SUMPRODUCT(--(INDEX(Matrix!$C$5:$BJ$204,0,$B59)&gt;0),--(INDEX(Matrix!$C$5:$BJ$204,0,W$3)&gt;0)))</f>
        <v/>
      </c>
      <c r="X59" s="12" t="str">
        <f aca="false">IF(OR($A59="",X$4=""),"",SUMPRODUCT(--(INDEX(Matrix!$C$5:$BJ$204,0,$B59)&gt;0),--(INDEX(Matrix!$C$5:$BJ$204,0,X$3)&gt;0)))</f>
        <v/>
      </c>
      <c r="Y59" s="12" t="str">
        <f aca="false">IF(OR($A59="",Y$4=""),"",SUMPRODUCT(--(INDEX(Matrix!$C$5:$BJ$204,0,$B59)&gt;0),--(INDEX(Matrix!$C$5:$BJ$204,0,Y$3)&gt;0)))</f>
        <v/>
      </c>
      <c r="Z59" s="12" t="str">
        <f aca="false">IF(OR($A59="",Z$4=""),"",SUMPRODUCT(--(INDEX(Matrix!$C$5:$BJ$204,0,$B59)&gt;0),--(INDEX(Matrix!$C$5:$BJ$204,0,Z$3)&gt;0)))</f>
        <v/>
      </c>
      <c r="AA59" s="12" t="str">
        <f aca="false">IF(OR($A59="",AA$4=""),"",SUMPRODUCT(--(INDEX(Matrix!$C$5:$BJ$204,0,$B59)&gt;0),--(INDEX(Matrix!$C$5:$BJ$204,0,AA$3)&gt;0)))</f>
        <v/>
      </c>
      <c r="AB59" s="12" t="str">
        <f aca="false">IF(OR($A59="",AB$4=""),"",SUMPRODUCT(--(INDEX(Matrix!$C$5:$BJ$204,0,$B59)&gt;0),--(INDEX(Matrix!$C$5:$BJ$204,0,AB$3)&gt;0)))</f>
        <v/>
      </c>
      <c r="AC59" s="12" t="str">
        <f aca="false">IF(OR($A59="",AC$4=""),"",SUMPRODUCT(--(INDEX(Matrix!$C$5:$BJ$204,0,$B59)&gt;0),--(INDEX(Matrix!$C$5:$BJ$204,0,AC$3)&gt;0)))</f>
        <v/>
      </c>
      <c r="AD59" s="12" t="str">
        <f aca="false">IF(OR($A59="",AD$4=""),"",SUMPRODUCT(--(INDEX(Matrix!$C$5:$BJ$204,0,$B59)&gt;0),--(INDEX(Matrix!$C$5:$BJ$204,0,AD$3)&gt;0)))</f>
        <v/>
      </c>
      <c r="AE59" s="12" t="str">
        <f aca="false">IF(OR($A59="",AE$4=""),"",SUMPRODUCT(--(INDEX(Matrix!$C$5:$BJ$204,0,$B59)&gt;0),--(INDEX(Matrix!$C$5:$BJ$204,0,AE$3)&gt;0)))</f>
        <v/>
      </c>
      <c r="AF59" s="12" t="str">
        <f aca="false">IF(OR($A59="",AF$4=""),"",SUMPRODUCT(--(INDEX(Matrix!$C$5:$BJ$204,0,$B59)&gt;0),--(INDEX(Matrix!$C$5:$BJ$204,0,AF$3)&gt;0)))</f>
        <v/>
      </c>
      <c r="AG59" s="12" t="str">
        <f aca="false">IF(OR($A59="",AG$4=""),"",SUMPRODUCT(--(INDEX(Matrix!$C$5:$BJ$204,0,$B59)&gt;0),--(INDEX(Matrix!$C$5:$BJ$204,0,AG$3)&gt;0)))</f>
        <v/>
      </c>
      <c r="AH59" s="12" t="str">
        <f aca="false">IF(OR($A59="",AH$4=""),"",SUMPRODUCT(--(INDEX(Matrix!$C$5:$BJ$204,0,$B59)&gt;0),--(INDEX(Matrix!$C$5:$BJ$204,0,AH$3)&gt;0)))</f>
        <v/>
      </c>
      <c r="AI59" s="12" t="str">
        <f aca="false">IF(OR($A59="",AI$4=""),"",SUMPRODUCT(--(INDEX(Matrix!$C$5:$BJ$204,0,$B59)&gt;0),--(INDEX(Matrix!$C$5:$BJ$204,0,AI$3)&gt;0)))</f>
        <v/>
      </c>
      <c r="AJ59" s="12" t="str">
        <f aca="false">IF(OR($A59="",AJ$4=""),"",SUMPRODUCT(--(INDEX(Matrix!$C$5:$BJ$204,0,$B59)&gt;0),--(INDEX(Matrix!$C$5:$BJ$204,0,AJ$3)&gt;0)))</f>
        <v/>
      </c>
      <c r="AK59" s="12" t="str">
        <f aca="false">IF(OR($A59="",AK$4=""),"",SUMPRODUCT(--(INDEX(Matrix!$C$5:$BJ$204,0,$B59)&gt;0),--(INDEX(Matrix!$C$5:$BJ$204,0,AK$3)&gt;0)))</f>
        <v/>
      </c>
      <c r="AL59" s="12" t="str">
        <f aca="false">IF(OR($A59="",AL$4=""),"",SUMPRODUCT(--(INDEX(Matrix!$C$5:$BJ$204,0,$B59)&gt;0),--(INDEX(Matrix!$C$5:$BJ$204,0,AL$3)&gt;0)))</f>
        <v/>
      </c>
      <c r="AM59" s="12" t="str">
        <f aca="false">IF(OR($A59="",AM$4=""),"",SUMPRODUCT(--(INDEX(Matrix!$C$5:$BJ$204,0,$B59)&gt;0),--(INDEX(Matrix!$C$5:$BJ$204,0,AM$3)&gt;0)))</f>
        <v/>
      </c>
      <c r="AN59" s="12" t="str">
        <f aca="false">IF(OR($A59="",AN$4=""),"",SUMPRODUCT(--(INDEX(Matrix!$C$5:$BJ$204,0,$B59)&gt;0),--(INDEX(Matrix!$C$5:$BJ$204,0,AN$3)&gt;0)))</f>
        <v/>
      </c>
      <c r="AO59" s="12" t="str">
        <f aca="false">IF(OR($A59="",AO$4=""),"",SUMPRODUCT(--(INDEX(Matrix!$C$5:$BJ$204,0,$B59)&gt;0),--(INDEX(Matrix!$C$5:$BJ$204,0,AO$3)&gt;0)))</f>
        <v/>
      </c>
      <c r="AP59" s="12" t="str">
        <f aca="false">IF(OR($A59="",AP$4=""),"",SUMPRODUCT(--(INDEX(Matrix!$C$5:$BJ$204,0,$B59)&gt;0),--(INDEX(Matrix!$C$5:$BJ$204,0,AP$3)&gt;0)))</f>
        <v/>
      </c>
      <c r="AQ59" s="12" t="str">
        <f aca="false">IF(OR($A59="",AQ$4=""),"",SUMPRODUCT(--(INDEX(Matrix!$C$5:$BJ$204,0,$B59)&gt;0),--(INDEX(Matrix!$C$5:$BJ$204,0,AQ$3)&gt;0)))</f>
        <v/>
      </c>
      <c r="AR59" s="12" t="str">
        <f aca="false">IF(OR($A59="",AR$4=""),"",SUMPRODUCT(--(INDEX(Matrix!$C$5:$BJ$204,0,$B59)&gt;0),--(INDEX(Matrix!$C$5:$BJ$204,0,AR$3)&gt;0)))</f>
        <v/>
      </c>
      <c r="AS59" s="12" t="str">
        <f aca="false">IF(OR($A59="",AS$4=""),"",SUMPRODUCT(--(INDEX(Matrix!$C$5:$BJ$204,0,$B59)&gt;0),--(INDEX(Matrix!$C$5:$BJ$204,0,AS$3)&gt;0)))</f>
        <v/>
      </c>
      <c r="AT59" s="12" t="str">
        <f aca="false">IF(OR($A59="",AT$4=""),"",SUMPRODUCT(--(INDEX(Matrix!$C$5:$BJ$204,0,$B59)&gt;0),--(INDEX(Matrix!$C$5:$BJ$204,0,AT$3)&gt;0)))</f>
        <v/>
      </c>
      <c r="AU59" s="12" t="str">
        <f aca="false">IF(OR($A59="",AU$4=""),"",SUMPRODUCT(--(INDEX(Matrix!$C$5:$BJ$204,0,$B59)&gt;0),--(INDEX(Matrix!$C$5:$BJ$204,0,AU$3)&gt;0)))</f>
        <v/>
      </c>
      <c r="AV59" s="12" t="str">
        <f aca="false">IF(OR($A59="",AV$4=""),"",SUMPRODUCT(--(INDEX(Matrix!$C$5:$BJ$204,0,$B59)&gt;0),--(INDEX(Matrix!$C$5:$BJ$204,0,AV$3)&gt;0)))</f>
        <v/>
      </c>
      <c r="AW59" s="12" t="str">
        <f aca="false">IF(OR($A59="",AW$4=""),"",SUMPRODUCT(--(INDEX(Matrix!$C$5:$BJ$204,0,$B59)&gt;0),--(INDEX(Matrix!$C$5:$BJ$204,0,AW$3)&gt;0)))</f>
        <v/>
      </c>
      <c r="AX59" s="12" t="str">
        <f aca="false">IF(OR($A59="",AX$4=""),"",SUMPRODUCT(--(INDEX(Matrix!$C$5:$BJ$204,0,$B59)&gt;0),--(INDEX(Matrix!$C$5:$BJ$204,0,AX$3)&gt;0)))</f>
        <v/>
      </c>
      <c r="AY59" s="12" t="str">
        <f aca="false">IF(OR($A59="",AY$4=""),"",SUMPRODUCT(--(INDEX(Matrix!$C$5:$BJ$204,0,$B59)&gt;0),--(INDEX(Matrix!$C$5:$BJ$204,0,AY$3)&gt;0)))</f>
        <v/>
      </c>
      <c r="AZ59" s="12" t="str">
        <f aca="false">IF(OR($A59="",AZ$4=""),"",SUMPRODUCT(--(INDEX(Matrix!$C$5:$BJ$204,0,$B59)&gt;0),--(INDEX(Matrix!$C$5:$BJ$204,0,AZ$3)&gt;0)))</f>
        <v/>
      </c>
      <c r="BA59" s="12" t="str">
        <f aca="false">IF(OR($A59="",BA$4=""),"",SUMPRODUCT(--(INDEX(Matrix!$C$5:$BJ$204,0,$B59)&gt;0),--(INDEX(Matrix!$C$5:$BJ$204,0,BA$3)&gt;0)))</f>
        <v/>
      </c>
      <c r="BB59" s="12" t="str">
        <f aca="false">IF(OR($A59="",BB$4=""),"",SUMPRODUCT(--(INDEX(Matrix!$C$5:$BJ$204,0,$B59)&gt;0),--(INDEX(Matrix!$C$5:$BJ$204,0,BB$3)&gt;0)))</f>
        <v/>
      </c>
      <c r="BC59" s="12" t="str">
        <f aca="false">IF(OR($A59="",BC$4=""),"",SUMPRODUCT(--(INDEX(Matrix!$C$5:$BJ$204,0,$B59)&gt;0),--(INDEX(Matrix!$C$5:$BJ$204,0,BC$3)&gt;0)))</f>
        <v/>
      </c>
      <c r="BD59" s="12" t="str">
        <f aca="false">IF(OR($A59="",BD$4=""),"",SUMPRODUCT(--(INDEX(Matrix!$C$5:$BJ$204,0,$B59)&gt;0),--(INDEX(Matrix!$C$5:$BJ$204,0,BD$3)&gt;0)))</f>
        <v/>
      </c>
      <c r="BE59" s="12" t="str">
        <f aca="false">IF(OR($A59="",BE$4=""),"",SUMPRODUCT(--(INDEX(Matrix!$C$5:$BJ$204,0,$B59)&gt;0),--(INDEX(Matrix!$C$5:$BJ$204,0,BE$3)&gt;0)))</f>
        <v/>
      </c>
      <c r="BF59" s="12" t="str">
        <f aca="false">IF(OR($A59="",BF$4=""),"",SUMPRODUCT(--(INDEX(Matrix!$C$5:$BJ$204,0,$B59)&gt;0),--(INDEX(Matrix!$C$5:$BJ$204,0,BF$3)&gt;0)))</f>
        <v/>
      </c>
      <c r="BG59" s="12" t="str">
        <f aca="false">IF(OR($A59="",BG$4=""),"",SUMPRODUCT(--(INDEX(Matrix!$C$5:$BJ$204,0,$B59)&gt;0),--(INDEX(Matrix!$C$5:$BJ$204,0,BG$3)&gt;0)))</f>
        <v/>
      </c>
      <c r="BH59" s="12" t="str">
        <f aca="false">IF(OR($A59="",BH$4=""),"",SUMPRODUCT(--(INDEX(Matrix!$C$5:$BJ$204,0,$B59)&gt;0),--(INDEX(Matrix!$C$5:$BJ$204,0,BH$3)&gt;0)))</f>
        <v/>
      </c>
      <c r="BI59" s="12" t="str">
        <f aca="false">IF(OR($A59="",BI$4=""),"",SUMPRODUCT(--(INDEX(Matrix!$C$5:$BJ$204,0,$B59)&gt;0),--(INDEX(Matrix!$C$5:$BJ$204,0,BI$3)&gt;0)))</f>
        <v/>
      </c>
      <c r="BJ59" s="12" t="str">
        <f aca="false">IF(OR($A59="",BJ$4=""),"",SUMPRODUCT(--(INDEX(Matrix!$C$5:$BJ$204,0,$B59)&gt;0),--(INDEX(Matrix!$C$5:$BJ$204,0,BJ$3)&gt;0)))</f>
        <v/>
      </c>
    </row>
    <row r="60" customFormat="false" ht="15" hidden="false" customHeight="false" outlineLevel="0" collapsed="false">
      <c r="A60" s="6" t="str">
        <f aca="false">IF(INDEX(Products!$A$2:$A$61,$B60)="","",INDEX(Products!$A$2:$A$61,$B60))</f>
        <v/>
      </c>
      <c r="B60" s="23" t="n">
        <v>56</v>
      </c>
      <c r="C60" s="12" t="str">
        <f aca="false">IF(OR($A60="",C$4=""),"",SUMPRODUCT(--(INDEX(Matrix!$C$5:$BJ$204,0,$B60)&gt;0),--(INDEX(Matrix!$C$5:$BJ$204,0,C$3)&gt;0)))</f>
        <v/>
      </c>
      <c r="D60" s="12" t="str">
        <f aca="false">IF(OR($A60="",D$4=""),"",SUMPRODUCT(--(INDEX(Matrix!$C$5:$BJ$204,0,$B60)&gt;0),--(INDEX(Matrix!$C$5:$BJ$204,0,D$3)&gt;0)))</f>
        <v/>
      </c>
      <c r="E60" s="12" t="str">
        <f aca="false">IF(OR($A60="",E$4=""),"",SUMPRODUCT(--(INDEX(Matrix!$C$5:$BJ$204,0,$B60)&gt;0),--(INDEX(Matrix!$C$5:$BJ$204,0,E$3)&gt;0)))</f>
        <v/>
      </c>
      <c r="F60" s="12" t="str">
        <f aca="false">IF(OR($A60="",F$4=""),"",SUMPRODUCT(--(INDEX(Matrix!$C$5:$BJ$204,0,$B60)&gt;0),--(INDEX(Matrix!$C$5:$BJ$204,0,F$3)&gt;0)))</f>
        <v/>
      </c>
      <c r="G60" s="12" t="str">
        <f aca="false">IF(OR($A60="",G$4=""),"",SUMPRODUCT(--(INDEX(Matrix!$C$5:$BJ$204,0,$B60)&gt;0),--(INDEX(Matrix!$C$5:$BJ$204,0,G$3)&gt;0)))</f>
        <v/>
      </c>
      <c r="H60" s="12" t="str">
        <f aca="false">IF(OR($A60="",H$4=""),"",SUMPRODUCT(--(INDEX(Matrix!$C$5:$BJ$204,0,$B60)&gt;0),--(INDEX(Matrix!$C$5:$BJ$204,0,H$3)&gt;0)))</f>
        <v/>
      </c>
      <c r="I60" s="12" t="str">
        <f aca="false">IF(OR($A60="",I$4=""),"",SUMPRODUCT(--(INDEX(Matrix!$C$5:$BJ$204,0,$B60)&gt;0),--(INDEX(Matrix!$C$5:$BJ$204,0,I$3)&gt;0)))</f>
        <v/>
      </c>
      <c r="J60" s="12" t="str">
        <f aca="false">IF(OR($A60="",J$4=""),"",SUMPRODUCT(--(INDEX(Matrix!$C$5:$BJ$204,0,$B60)&gt;0),--(INDEX(Matrix!$C$5:$BJ$204,0,J$3)&gt;0)))</f>
        <v/>
      </c>
      <c r="K60" s="12" t="str">
        <f aca="false">IF(OR($A60="",K$4=""),"",SUMPRODUCT(--(INDEX(Matrix!$C$5:$BJ$204,0,$B60)&gt;0),--(INDEX(Matrix!$C$5:$BJ$204,0,K$3)&gt;0)))</f>
        <v/>
      </c>
      <c r="L60" s="12" t="str">
        <f aca="false">IF(OR($A60="",L$4=""),"",SUMPRODUCT(--(INDEX(Matrix!$C$5:$BJ$204,0,$B60)&gt;0),--(INDEX(Matrix!$C$5:$BJ$204,0,L$3)&gt;0)))</f>
        <v/>
      </c>
      <c r="M60" s="12" t="str">
        <f aca="false">IF(OR($A60="",M$4=""),"",SUMPRODUCT(--(INDEX(Matrix!$C$5:$BJ$204,0,$B60)&gt;0),--(INDEX(Matrix!$C$5:$BJ$204,0,M$3)&gt;0)))</f>
        <v/>
      </c>
      <c r="N60" s="12" t="str">
        <f aca="false">IF(OR($A60="",N$4=""),"",SUMPRODUCT(--(INDEX(Matrix!$C$5:$BJ$204,0,$B60)&gt;0),--(INDEX(Matrix!$C$5:$BJ$204,0,N$3)&gt;0)))</f>
        <v/>
      </c>
      <c r="O60" s="12" t="str">
        <f aca="false">IF(OR($A60="",O$4=""),"",SUMPRODUCT(--(INDEX(Matrix!$C$5:$BJ$204,0,$B60)&gt;0),--(INDEX(Matrix!$C$5:$BJ$204,0,O$3)&gt;0)))</f>
        <v/>
      </c>
      <c r="P60" s="12" t="str">
        <f aca="false">IF(OR($A60="",P$4=""),"",SUMPRODUCT(--(INDEX(Matrix!$C$5:$BJ$204,0,$B60)&gt;0),--(INDEX(Matrix!$C$5:$BJ$204,0,P$3)&gt;0)))</f>
        <v/>
      </c>
      <c r="Q60" s="12" t="str">
        <f aca="false">IF(OR($A60="",Q$4=""),"",SUMPRODUCT(--(INDEX(Matrix!$C$5:$BJ$204,0,$B60)&gt;0),--(INDEX(Matrix!$C$5:$BJ$204,0,Q$3)&gt;0)))</f>
        <v/>
      </c>
      <c r="R60" s="12" t="str">
        <f aca="false">IF(OR($A60="",R$4=""),"",SUMPRODUCT(--(INDEX(Matrix!$C$5:$BJ$204,0,$B60)&gt;0),--(INDEX(Matrix!$C$5:$BJ$204,0,R$3)&gt;0)))</f>
        <v/>
      </c>
      <c r="S60" s="12" t="str">
        <f aca="false">IF(OR($A60="",S$4=""),"",SUMPRODUCT(--(INDEX(Matrix!$C$5:$BJ$204,0,$B60)&gt;0),--(INDEX(Matrix!$C$5:$BJ$204,0,S$3)&gt;0)))</f>
        <v/>
      </c>
      <c r="T60" s="12" t="str">
        <f aca="false">IF(OR($A60="",T$4=""),"",SUMPRODUCT(--(INDEX(Matrix!$C$5:$BJ$204,0,$B60)&gt;0),--(INDEX(Matrix!$C$5:$BJ$204,0,T$3)&gt;0)))</f>
        <v/>
      </c>
      <c r="U60" s="12" t="str">
        <f aca="false">IF(OR($A60="",U$4=""),"",SUMPRODUCT(--(INDEX(Matrix!$C$5:$BJ$204,0,$B60)&gt;0),--(INDEX(Matrix!$C$5:$BJ$204,0,U$3)&gt;0)))</f>
        <v/>
      </c>
      <c r="V60" s="12" t="str">
        <f aca="false">IF(OR($A60="",V$4=""),"",SUMPRODUCT(--(INDEX(Matrix!$C$5:$BJ$204,0,$B60)&gt;0),--(INDEX(Matrix!$C$5:$BJ$204,0,V$3)&gt;0)))</f>
        <v/>
      </c>
      <c r="W60" s="12" t="str">
        <f aca="false">IF(OR($A60="",W$4=""),"",SUMPRODUCT(--(INDEX(Matrix!$C$5:$BJ$204,0,$B60)&gt;0),--(INDEX(Matrix!$C$5:$BJ$204,0,W$3)&gt;0)))</f>
        <v/>
      </c>
      <c r="X60" s="12" t="str">
        <f aca="false">IF(OR($A60="",X$4=""),"",SUMPRODUCT(--(INDEX(Matrix!$C$5:$BJ$204,0,$B60)&gt;0),--(INDEX(Matrix!$C$5:$BJ$204,0,X$3)&gt;0)))</f>
        <v/>
      </c>
      <c r="Y60" s="12" t="str">
        <f aca="false">IF(OR($A60="",Y$4=""),"",SUMPRODUCT(--(INDEX(Matrix!$C$5:$BJ$204,0,$B60)&gt;0),--(INDEX(Matrix!$C$5:$BJ$204,0,Y$3)&gt;0)))</f>
        <v/>
      </c>
      <c r="Z60" s="12" t="str">
        <f aca="false">IF(OR($A60="",Z$4=""),"",SUMPRODUCT(--(INDEX(Matrix!$C$5:$BJ$204,0,$B60)&gt;0),--(INDEX(Matrix!$C$5:$BJ$204,0,Z$3)&gt;0)))</f>
        <v/>
      </c>
      <c r="AA60" s="12" t="str">
        <f aca="false">IF(OR($A60="",AA$4=""),"",SUMPRODUCT(--(INDEX(Matrix!$C$5:$BJ$204,0,$B60)&gt;0),--(INDEX(Matrix!$C$5:$BJ$204,0,AA$3)&gt;0)))</f>
        <v/>
      </c>
      <c r="AB60" s="12" t="str">
        <f aca="false">IF(OR($A60="",AB$4=""),"",SUMPRODUCT(--(INDEX(Matrix!$C$5:$BJ$204,0,$B60)&gt;0),--(INDEX(Matrix!$C$5:$BJ$204,0,AB$3)&gt;0)))</f>
        <v/>
      </c>
      <c r="AC60" s="12" t="str">
        <f aca="false">IF(OR($A60="",AC$4=""),"",SUMPRODUCT(--(INDEX(Matrix!$C$5:$BJ$204,0,$B60)&gt;0),--(INDEX(Matrix!$C$5:$BJ$204,0,AC$3)&gt;0)))</f>
        <v/>
      </c>
      <c r="AD60" s="12" t="str">
        <f aca="false">IF(OR($A60="",AD$4=""),"",SUMPRODUCT(--(INDEX(Matrix!$C$5:$BJ$204,0,$B60)&gt;0),--(INDEX(Matrix!$C$5:$BJ$204,0,AD$3)&gt;0)))</f>
        <v/>
      </c>
      <c r="AE60" s="12" t="str">
        <f aca="false">IF(OR($A60="",AE$4=""),"",SUMPRODUCT(--(INDEX(Matrix!$C$5:$BJ$204,0,$B60)&gt;0),--(INDEX(Matrix!$C$5:$BJ$204,0,AE$3)&gt;0)))</f>
        <v/>
      </c>
      <c r="AF60" s="12" t="str">
        <f aca="false">IF(OR($A60="",AF$4=""),"",SUMPRODUCT(--(INDEX(Matrix!$C$5:$BJ$204,0,$B60)&gt;0),--(INDEX(Matrix!$C$5:$BJ$204,0,AF$3)&gt;0)))</f>
        <v/>
      </c>
      <c r="AG60" s="12" t="str">
        <f aca="false">IF(OR($A60="",AG$4=""),"",SUMPRODUCT(--(INDEX(Matrix!$C$5:$BJ$204,0,$B60)&gt;0),--(INDEX(Matrix!$C$5:$BJ$204,0,AG$3)&gt;0)))</f>
        <v/>
      </c>
      <c r="AH60" s="12" t="str">
        <f aca="false">IF(OR($A60="",AH$4=""),"",SUMPRODUCT(--(INDEX(Matrix!$C$5:$BJ$204,0,$B60)&gt;0),--(INDEX(Matrix!$C$5:$BJ$204,0,AH$3)&gt;0)))</f>
        <v/>
      </c>
      <c r="AI60" s="12" t="str">
        <f aca="false">IF(OR($A60="",AI$4=""),"",SUMPRODUCT(--(INDEX(Matrix!$C$5:$BJ$204,0,$B60)&gt;0),--(INDEX(Matrix!$C$5:$BJ$204,0,AI$3)&gt;0)))</f>
        <v/>
      </c>
      <c r="AJ60" s="12" t="str">
        <f aca="false">IF(OR($A60="",AJ$4=""),"",SUMPRODUCT(--(INDEX(Matrix!$C$5:$BJ$204,0,$B60)&gt;0),--(INDEX(Matrix!$C$5:$BJ$204,0,AJ$3)&gt;0)))</f>
        <v/>
      </c>
      <c r="AK60" s="12" t="str">
        <f aca="false">IF(OR($A60="",AK$4=""),"",SUMPRODUCT(--(INDEX(Matrix!$C$5:$BJ$204,0,$B60)&gt;0),--(INDEX(Matrix!$C$5:$BJ$204,0,AK$3)&gt;0)))</f>
        <v/>
      </c>
      <c r="AL60" s="12" t="str">
        <f aca="false">IF(OR($A60="",AL$4=""),"",SUMPRODUCT(--(INDEX(Matrix!$C$5:$BJ$204,0,$B60)&gt;0),--(INDEX(Matrix!$C$5:$BJ$204,0,AL$3)&gt;0)))</f>
        <v/>
      </c>
      <c r="AM60" s="12" t="str">
        <f aca="false">IF(OR($A60="",AM$4=""),"",SUMPRODUCT(--(INDEX(Matrix!$C$5:$BJ$204,0,$B60)&gt;0),--(INDEX(Matrix!$C$5:$BJ$204,0,AM$3)&gt;0)))</f>
        <v/>
      </c>
      <c r="AN60" s="12" t="str">
        <f aca="false">IF(OR($A60="",AN$4=""),"",SUMPRODUCT(--(INDEX(Matrix!$C$5:$BJ$204,0,$B60)&gt;0),--(INDEX(Matrix!$C$5:$BJ$204,0,AN$3)&gt;0)))</f>
        <v/>
      </c>
      <c r="AO60" s="12" t="str">
        <f aca="false">IF(OR($A60="",AO$4=""),"",SUMPRODUCT(--(INDEX(Matrix!$C$5:$BJ$204,0,$B60)&gt;0),--(INDEX(Matrix!$C$5:$BJ$204,0,AO$3)&gt;0)))</f>
        <v/>
      </c>
      <c r="AP60" s="12" t="str">
        <f aca="false">IF(OR($A60="",AP$4=""),"",SUMPRODUCT(--(INDEX(Matrix!$C$5:$BJ$204,0,$B60)&gt;0),--(INDEX(Matrix!$C$5:$BJ$204,0,AP$3)&gt;0)))</f>
        <v/>
      </c>
      <c r="AQ60" s="12" t="str">
        <f aca="false">IF(OR($A60="",AQ$4=""),"",SUMPRODUCT(--(INDEX(Matrix!$C$5:$BJ$204,0,$B60)&gt;0),--(INDEX(Matrix!$C$5:$BJ$204,0,AQ$3)&gt;0)))</f>
        <v/>
      </c>
      <c r="AR60" s="12" t="str">
        <f aca="false">IF(OR($A60="",AR$4=""),"",SUMPRODUCT(--(INDEX(Matrix!$C$5:$BJ$204,0,$B60)&gt;0),--(INDEX(Matrix!$C$5:$BJ$204,0,AR$3)&gt;0)))</f>
        <v/>
      </c>
      <c r="AS60" s="12" t="str">
        <f aca="false">IF(OR($A60="",AS$4=""),"",SUMPRODUCT(--(INDEX(Matrix!$C$5:$BJ$204,0,$B60)&gt;0),--(INDEX(Matrix!$C$5:$BJ$204,0,AS$3)&gt;0)))</f>
        <v/>
      </c>
      <c r="AT60" s="12" t="str">
        <f aca="false">IF(OR($A60="",AT$4=""),"",SUMPRODUCT(--(INDEX(Matrix!$C$5:$BJ$204,0,$B60)&gt;0),--(INDEX(Matrix!$C$5:$BJ$204,0,AT$3)&gt;0)))</f>
        <v/>
      </c>
      <c r="AU60" s="12" t="str">
        <f aca="false">IF(OR($A60="",AU$4=""),"",SUMPRODUCT(--(INDEX(Matrix!$C$5:$BJ$204,0,$B60)&gt;0),--(INDEX(Matrix!$C$5:$BJ$204,0,AU$3)&gt;0)))</f>
        <v/>
      </c>
      <c r="AV60" s="12" t="str">
        <f aca="false">IF(OR($A60="",AV$4=""),"",SUMPRODUCT(--(INDEX(Matrix!$C$5:$BJ$204,0,$B60)&gt;0),--(INDEX(Matrix!$C$5:$BJ$204,0,AV$3)&gt;0)))</f>
        <v/>
      </c>
      <c r="AW60" s="12" t="str">
        <f aca="false">IF(OR($A60="",AW$4=""),"",SUMPRODUCT(--(INDEX(Matrix!$C$5:$BJ$204,0,$B60)&gt;0),--(INDEX(Matrix!$C$5:$BJ$204,0,AW$3)&gt;0)))</f>
        <v/>
      </c>
      <c r="AX60" s="12" t="str">
        <f aca="false">IF(OR($A60="",AX$4=""),"",SUMPRODUCT(--(INDEX(Matrix!$C$5:$BJ$204,0,$B60)&gt;0),--(INDEX(Matrix!$C$5:$BJ$204,0,AX$3)&gt;0)))</f>
        <v/>
      </c>
      <c r="AY60" s="12" t="str">
        <f aca="false">IF(OR($A60="",AY$4=""),"",SUMPRODUCT(--(INDEX(Matrix!$C$5:$BJ$204,0,$B60)&gt;0),--(INDEX(Matrix!$C$5:$BJ$204,0,AY$3)&gt;0)))</f>
        <v/>
      </c>
      <c r="AZ60" s="12" t="str">
        <f aca="false">IF(OR($A60="",AZ$4=""),"",SUMPRODUCT(--(INDEX(Matrix!$C$5:$BJ$204,0,$B60)&gt;0),--(INDEX(Matrix!$C$5:$BJ$204,0,AZ$3)&gt;0)))</f>
        <v/>
      </c>
      <c r="BA60" s="12" t="str">
        <f aca="false">IF(OR($A60="",BA$4=""),"",SUMPRODUCT(--(INDEX(Matrix!$C$5:$BJ$204,0,$B60)&gt;0),--(INDEX(Matrix!$C$5:$BJ$204,0,BA$3)&gt;0)))</f>
        <v/>
      </c>
      <c r="BB60" s="12" t="str">
        <f aca="false">IF(OR($A60="",BB$4=""),"",SUMPRODUCT(--(INDEX(Matrix!$C$5:$BJ$204,0,$B60)&gt;0),--(INDEX(Matrix!$C$5:$BJ$204,0,BB$3)&gt;0)))</f>
        <v/>
      </c>
      <c r="BC60" s="12" t="str">
        <f aca="false">IF(OR($A60="",BC$4=""),"",SUMPRODUCT(--(INDEX(Matrix!$C$5:$BJ$204,0,$B60)&gt;0),--(INDEX(Matrix!$C$5:$BJ$204,0,BC$3)&gt;0)))</f>
        <v/>
      </c>
      <c r="BD60" s="12" t="str">
        <f aca="false">IF(OR($A60="",BD$4=""),"",SUMPRODUCT(--(INDEX(Matrix!$C$5:$BJ$204,0,$B60)&gt;0),--(INDEX(Matrix!$C$5:$BJ$204,0,BD$3)&gt;0)))</f>
        <v/>
      </c>
      <c r="BE60" s="12" t="str">
        <f aca="false">IF(OR($A60="",BE$4=""),"",SUMPRODUCT(--(INDEX(Matrix!$C$5:$BJ$204,0,$B60)&gt;0),--(INDEX(Matrix!$C$5:$BJ$204,0,BE$3)&gt;0)))</f>
        <v/>
      </c>
      <c r="BF60" s="12" t="str">
        <f aca="false">IF(OR($A60="",BF$4=""),"",SUMPRODUCT(--(INDEX(Matrix!$C$5:$BJ$204,0,$B60)&gt;0),--(INDEX(Matrix!$C$5:$BJ$204,0,BF$3)&gt;0)))</f>
        <v/>
      </c>
      <c r="BG60" s="12" t="str">
        <f aca="false">IF(OR($A60="",BG$4=""),"",SUMPRODUCT(--(INDEX(Matrix!$C$5:$BJ$204,0,$B60)&gt;0),--(INDEX(Matrix!$C$5:$BJ$204,0,BG$3)&gt;0)))</f>
        <v/>
      </c>
      <c r="BH60" s="12" t="str">
        <f aca="false">IF(OR($A60="",BH$4=""),"",SUMPRODUCT(--(INDEX(Matrix!$C$5:$BJ$204,0,$B60)&gt;0),--(INDEX(Matrix!$C$5:$BJ$204,0,BH$3)&gt;0)))</f>
        <v/>
      </c>
      <c r="BI60" s="12" t="str">
        <f aca="false">IF(OR($A60="",BI$4=""),"",SUMPRODUCT(--(INDEX(Matrix!$C$5:$BJ$204,0,$B60)&gt;0),--(INDEX(Matrix!$C$5:$BJ$204,0,BI$3)&gt;0)))</f>
        <v/>
      </c>
      <c r="BJ60" s="12" t="str">
        <f aca="false">IF(OR($A60="",BJ$4=""),"",SUMPRODUCT(--(INDEX(Matrix!$C$5:$BJ$204,0,$B60)&gt;0),--(INDEX(Matrix!$C$5:$BJ$204,0,BJ$3)&gt;0)))</f>
        <v/>
      </c>
    </row>
    <row r="61" customFormat="false" ht="15" hidden="false" customHeight="false" outlineLevel="0" collapsed="false">
      <c r="A61" s="6" t="str">
        <f aca="false">IF(INDEX(Products!$A$2:$A$61,$B61)="","",INDEX(Products!$A$2:$A$61,$B61))</f>
        <v/>
      </c>
      <c r="B61" s="23" t="n">
        <v>57</v>
      </c>
      <c r="C61" s="12" t="str">
        <f aca="false">IF(OR($A61="",C$4=""),"",SUMPRODUCT(--(INDEX(Matrix!$C$5:$BJ$204,0,$B61)&gt;0),--(INDEX(Matrix!$C$5:$BJ$204,0,C$3)&gt;0)))</f>
        <v/>
      </c>
      <c r="D61" s="12" t="str">
        <f aca="false">IF(OR($A61="",D$4=""),"",SUMPRODUCT(--(INDEX(Matrix!$C$5:$BJ$204,0,$B61)&gt;0),--(INDEX(Matrix!$C$5:$BJ$204,0,D$3)&gt;0)))</f>
        <v/>
      </c>
      <c r="E61" s="12" t="str">
        <f aca="false">IF(OR($A61="",E$4=""),"",SUMPRODUCT(--(INDEX(Matrix!$C$5:$BJ$204,0,$B61)&gt;0),--(INDEX(Matrix!$C$5:$BJ$204,0,E$3)&gt;0)))</f>
        <v/>
      </c>
      <c r="F61" s="12" t="str">
        <f aca="false">IF(OR($A61="",F$4=""),"",SUMPRODUCT(--(INDEX(Matrix!$C$5:$BJ$204,0,$B61)&gt;0),--(INDEX(Matrix!$C$5:$BJ$204,0,F$3)&gt;0)))</f>
        <v/>
      </c>
      <c r="G61" s="12" t="str">
        <f aca="false">IF(OR($A61="",G$4=""),"",SUMPRODUCT(--(INDEX(Matrix!$C$5:$BJ$204,0,$B61)&gt;0),--(INDEX(Matrix!$C$5:$BJ$204,0,G$3)&gt;0)))</f>
        <v/>
      </c>
      <c r="H61" s="12" t="str">
        <f aca="false">IF(OR($A61="",H$4=""),"",SUMPRODUCT(--(INDEX(Matrix!$C$5:$BJ$204,0,$B61)&gt;0),--(INDEX(Matrix!$C$5:$BJ$204,0,H$3)&gt;0)))</f>
        <v/>
      </c>
      <c r="I61" s="12" t="str">
        <f aca="false">IF(OR($A61="",I$4=""),"",SUMPRODUCT(--(INDEX(Matrix!$C$5:$BJ$204,0,$B61)&gt;0),--(INDEX(Matrix!$C$5:$BJ$204,0,I$3)&gt;0)))</f>
        <v/>
      </c>
      <c r="J61" s="12" t="str">
        <f aca="false">IF(OR($A61="",J$4=""),"",SUMPRODUCT(--(INDEX(Matrix!$C$5:$BJ$204,0,$B61)&gt;0),--(INDEX(Matrix!$C$5:$BJ$204,0,J$3)&gt;0)))</f>
        <v/>
      </c>
      <c r="K61" s="12" t="str">
        <f aca="false">IF(OR($A61="",K$4=""),"",SUMPRODUCT(--(INDEX(Matrix!$C$5:$BJ$204,0,$B61)&gt;0),--(INDEX(Matrix!$C$5:$BJ$204,0,K$3)&gt;0)))</f>
        <v/>
      </c>
      <c r="L61" s="12" t="str">
        <f aca="false">IF(OR($A61="",L$4=""),"",SUMPRODUCT(--(INDEX(Matrix!$C$5:$BJ$204,0,$B61)&gt;0),--(INDEX(Matrix!$C$5:$BJ$204,0,L$3)&gt;0)))</f>
        <v/>
      </c>
      <c r="M61" s="12" t="str">
        <f aca="false">IF(OR($A61="",M$4=""),"",SUMPRODUCT(--(INDEX(Matrix!$C$5:$BJ$204,0,$B61)&gt;0),--(INDEX(Matrix!$C$5:$BJ$204,0,M$3)&gt;0)))</f>
        <v/>
      </c>
      <c r="N61" s="12" t="str">
        <f aca="false">IF(OR($A61="",N$4=""),"",SUMPRODUCT(--(INDEX(Matrix!$C$5:$BJ$204,0,$B61)&gt;0),--(INDEX(Matrix!$C$5:$BJ$204,0,N$3)&gt;0)))</f>
        <v/>
      </c>
      <c r="O61" s="12" t="str">
        <f aca="false">IF(OR($A61="",O$4=""),"",SUMPRODUCT(--(INDEX(Matrix!$C$5:$BJ$204,0,$B61)&gt;0),--(INDEX(Matrix!$C$5:$BJ$204,0,O$3)&gt;0)))</f>
        <v/>
      </c>
      <c r="P61" s="12" t="str">
        <f aca="false">IF(OR($A61="",P$4=""),"",SUMPRODUCT(--(INDEX(Matrix!$C$5:$BJ$204,0,$B61)&gt;0),--(INDEX(Matrix!$C$5:$BJ$204,0,P$3)&gt;0)))</f>
        <v/>
      </c>
      <c r="Q61" s="12" t="str">
        <f aca="false">IF(OR($A61="",Q$4=""),"",SUMPRODUCT(--(INDEX(Matrix!$C$5:$BJ$204,0,$B61)&gt;0),--(INDEX(Matrix!$C$5:$BJ$204,0,Q$3)&gt;0)))</f>
        <v/>
      </c>
      <c r="R61" s="12" t="str">
        <f aca="false">IF(OR($A61="",R$4=""),"",SUMPRODUCT(--(INDEX(Matrix!$C$5:$BJ$204,0,$B61)&gt;0),--(INDEX(Matrix!$C$5:$BJ$204,0,R$3)&gt;0)))</f>
        <v/>
      </c>
      <c r="S61" s="12" t="str">
        <f aca="false">IF(OR($A61="",S$4=""),"",SUMPRODUCT(--(INDEX(Matrix!$C$5:$BJ$204,0,$B61)&gt;0),--(INDEX(Matrix!$C$5:$BJ$204,0,S$3)&gt;0)))</f>
        <v/>
      </c>
      <c r="T61" s="12" t="str">
        <f aca="false">IF(OR($A61="",T$4=""),"",SUMPRODUCT(--(INDEX(Matrix!$C$5:$BJ$204,0,$B61)&gt;0),--(INDEX(Matrix!$C$5:$BJ$204,0,T$3)&gt;0)))</f>
        <v/>
      </c>
      <c r="U61" s="12" t="str">
        <f aca="false">IF(OR($A61="",U$4=""),"",SUMPRODUCT(--(INDEX(Matrix!$C$5:$BJ$204,0,$B61)&gt;0),--(INDEX(Matrix!$C$5:$BJ$204,0,U$3)&gt;0)))</f>
        <v/>
      </c>
      <c r="V61" s="12" t="str">
        <f aca="false">IF(OR($A61="",V$4=""),"",SUMPRODUCT(--(INDEX(Matrix!$C$5:$BJ$204,0,$B61)&gt;0),--(INDEX(Matrix!$C$5:$BJ$204,0,V$3)&gt;0)))</f>
        <v/>
      </c>
      <c r="W61" s="12" t="str">
        <f aca="false">IF(OR($A61="",W$4=""),"",SUMPRODUCT(--(INDEX(Matrix!$C$5:$BJ$204,0,$B61)&gt;0),--(INDEX(Matrix!$C$5:$BJ$204,0,W$3)&gt;0)))</f>
        <v/>
      </c>
      <c r="X61" s="12" t="str">
        <f aca="false">IF(OR($A61="",X$4=""),"",SUMPRODUCT(--(INDEX(Matrix!$C$5:$BJ$204,0,$B61)&gt;0),--(INDEX(Matrix!$C$5:$BJ$204,0,X$3)&gt;0)))</f>
        <v/>
      </c>
      <c r="Y61" s="12" t="str">
        <f aca="false">IF(OR($A61="",Y$4=""),"",SUMPRODUCT(--(INDEX(Matrix!$C$5:$BJ$204,0,$B61)&gt;0),--(INDEX(Matrix!$C$5:$BJ$204,0,Y$3)&gt;0)))</f>
        <v/>
      </c>
      <c r="Z61" s="12" t="str">
        <f aca="false">IF(OR($A61="",Z$4=""),"",SUMPRODUCT(--(INDEX(Matrix!$C$5:$BJ$204,0,$B61)&gt;0),--(INDEX(Matrix!$C$5:$BJ$204,0,Z$3)&gt;0)))</f>
        <v/>
      </c>
      <c r="AA61" s="12" t="str">
        <f aca="false">IF(OR($A61="",AA$4=""),"",SUMPRODUCT(--(INDEX(Matrix!$C$5:$BJ$204,0,$B61)&gt;0),--(INDEX(Matrix!$C$5:$BJ$204,0,AA$3)&gt;0)))</f>
        <v/>
      </c>
      <c r="AB61" s="12" t="str">
        <f aca="false">IF(OR($A61="",AB$4=""),"",SUMPRODUCT(--(INDEX(Matrix!$C$5:$BJ$204,0,$B61)&gt;0),--(INDEX(Matrix!$C$5:$BJ$204,0,AB$3)&gt;0)))</f>
        <v/>
      </c>
      <c r="AC61" s="12" t="str">
        <f aca="false">IF(OR($A61="",AC$4=""),"",SUMPRODUCT(--(INDEX(Matrix!$C$5:$BJ$204,0,$B61)&gt;0),--(INDEX(Matrix!$C$5:$BJ$204,0,AC$3)&gt;0)))</f>
        <v/>
      </c>
      <c r="AD61" s="12" t="str">
        <f aca="false">IF(OR($A61="",AD$4=""),"",SUMPRODUCT(--(INDEX(Matrix!$C$5:$BJ$204,0,$B61)&gt;0),--(INDEX(Matrix!$C$5:$BJ$204,0,AD$3)&gt;0)))</f>
        <v/>
      </c>
      <c r="AE61" s="12" t="str">
        <f aca="false">IF(OR($A61="",AE$4=""),"",SUMPRODUCT(--(INDEX(Matrix!$C$5:$BJ$204,0,$B61)&gt;0),--(INDEX(Matrix!$C$5:$BJ$204,0,AE$3)&gt;0)))</f>
        <v/>
      </c>
      <c r="AF61" s="12" t="str">
        <f aca="false">IF(OR($A61="",AF$4=""),"",SUMPRODUCT(--(INDEX(Matrix!$C$5:$BJ$204,0,$B61)&gt;0),--(INDEX(Matrix!$C$5:$BJ$204,0,AF$3)&gt;0)))</f>
        <v/>
      </c>
      <c r="AG61" s="12" t="str">
        <f aca="false">IF(OR($A61="",AG$4=""),"",SUMPRODUCT(--(INDEX(Matrix!$C$5:$BJ$204,0,$B61)&gt;0),--(INDEX(Matrix!$C$5:$BJ$204,0,AG$3)&gt;0)))</f>
        <v/>
      </c>
      <c r="AH61" s="12" t="str">
        <f aca="false">IF(OR($A61="",AH$4=""),"",SUMPRODUCT(--(INDEX(Matrix!$C$5:$BJ$204,0,$B61)&gt;0),--(INDEX(Matrix!$C$5:$BJ$204,0,AH$3)&gt;0)))</f>
        <v/>
      </c>
      <c r="AI61" s="12" t="str">
        <f aca="false">IF(OR($A61="",AI$4=""),"",SUMPRODUCT(--(INDEX(Matrix!$C$5:$BJ$204,0,$B61)&gt;0),--(INDEX(Matrix!$C$5:$BJ$204,0,AI$3)&gt;0)))</f>
        <v/>
      </c>
      <c r="AJ61" s="12" t="str">
        <f aca="false">IF(OR($A61="",AJ$4=""),"",SUMPRODUCT(--(INDEX(Matrix!$C$5:$BJ$204,0,$B61)&gt;0),--(INDEX(Matrix!$C$5:$BJ$204,0,AJ$3)&gt;0)))</f>
        <v/>
      </c>
      <c r="AK61" s="12" t="str">
        <f aca="false">IF(OR($A61="",AK$4=""),"",SUMPRODUCT(--(INDEX(Matrix!$C$5:$BJ$204,0,$B61)&gt;0),--(INDEX(Matrix!$C$5:$BJ$204,0,AK$3)&gt;0)))</f>
        <v/>
      </c>
      <c r="AL61" s="12" t="str">
        <f aca="false">IF(OR($A61="",AL$4=""),"",SUMPRODUCT(--(INDEX(Matrix!$C$5:$BJ$204,0,$B61)&gt;0),--(INDEX(Matrix!$C$5:$BJ$204,0,AL$3)&gt;0)))</f>
        <v/>
      </c>
      <c r="AM61" s="12" t="str">
        <f aca="false">IF(OR($A61="",AM$4=""),"",SUMPRODUCT(--(INDEX(Matrix!$C$5:$BJ$204,0,$B61)&gt;0),--(INDEX(Matrix!$C$5:$BJ$204,0,AM$3)&gt;0)))</f>
        <v/>
      </c>
      <c r="AN61" s="12" t="str">
        <f aca="false">IF(OR($A61="",AN$4=""),"",SUMPRODUCT(--(INDEX(Matrix!$C$5:$BJ$204,0,$B61)&gt;0),--(INDEX(Matrix!$C$5:$BJ$204,0,AN$3)&gt;0)))</f>
        <v/>
      </c>
      <c r="AO61" s="12" t="str">
        <f aca="false">IF(OR($A61="",AO$4=""),"",SUMPRODUCT(--(INDEX(Matrix!$C$5:$BJ$204,0,$B61)&gt;0),--(INDEX(Matrix!$C$5:$BJ$204,0,AO$3)&gt;0)))</f>
        <v/>
      </c>
      <c r="AP61" s="12" t="str">
        <f aca="false">IF(OR($A61="",AP$4=""),"",SUMPRODUCT(--(INDEX(Matrix!$C$5:$BJ$204,0,$B61)&gt;0),--(INDEX(Matrix!$C$5:$BJ$204,0,AP$3)&gt;0)))</f>
        <v/>
      </c>
      <c r="AQ61" s="12" t="str">
        <f aca="false">IF(OR($A61="",AQ$4=""),"",SUMPRODUCT(--(INDEX(Matrix!$C$5:$BJ$204,0,$B61)&gt;0),--(INDEX(Matrix!$C$5:$BJ$204,0,AQ$3)&gt;0)))</f>
        <v/>
      </c>
      <c r="AR61" s="12" t="str">
        <f aca="false">IF(OR($A61="",AR$4=""),"",SUMPRODUCT(--(INDEX(Matrix!$C$5:$BJ$204,0,$B61)&gt;0),--(INDEX(Matrix!$C$5:$BJ$204,0,AR$3)&gt;0)))</f>
        <v/>
      </c>
      <c r="AS61" s="12" t="str">
        <f aca="false">IF(OR($A61="",AS$4=""),"",SUMPRODUCT(--(INDEX(Matrix!$C$5:$BJ$204,0,$B61)&gt;0),--(INDEX(Matrix!$C$5:$BJ$204,0,AS$3)&gt;0)))</f>
        <v/>
      </c>
      <c r="AT61" s="12" t="str">
        <f aca="false">IF(OR($A61="",AT$4=""),"",SUMPRODUCT(--(INDEX(Matrix!$C$5:$BJ$204,0,$B61)&gt;0),--(INDEX(Matrix!$C$5:$BJ$204,0,AT$3)&gt;0)))</f>
        <v/>
      </c>
      <c r="AU61" s="12" t="str">
        <f aca="false">IF(OR($A61="",AU$4=""),"",SUMPRODUCT(--(INDEX(Matrix!$C$5:$BJ$204,0,$B61)&gt;0),--(INDEX(Matrix!$C$5:$BJ$204,0,AU$3)&gt;0)))</f>
        <v/>
      </c>
      <c r="AV61" s="12" t="str">
        <f aca="false">IF(OR($A61="",AV$4=""),"",SUMPRODUCT(--(INDEX(Matrix!$C$5:$BJ$204,0,$B61)&gt;0),--(INDEX(Matrix!$C$5:$BJ$204,0,AV$3)&gt;0)))</f>
        <v/>
      </c>
      <c r="AW61" s="12" t="str">
        <f aca="false">IF(OR($A61="",AW$4=""),"",SUMPRODUCT(--(INDEX(Matrix!$C$5:$BJ$204,0,$B61)&gt;0),--(INDEX(Matrix!$C$5:$BJ$204,0,AW$3)&gt;0)))</f>
        <v/>
      </c>
      <c r="AX61" s="12" t="str">
        <f aca="false">IF(OR($A61="",AX$4=""),"",SUMPRODUCT(--(INDEX(Matrix!$C$5:$BJ$204,0,$B61)&gt;0),--(INDEX(Matrix!$C$5:$BJ$204,0,AX$3)&gt;0)))</f>
        <v/>
      </c>
      <c r="AY61" s="12" t="str">
        <f aca="false">IF(OR($A61="",AY$4=""),"",SUMPRODUCT(--(INDEX(Matrix!$C$5:$BJ$204,0,$B61)&gt;0),--(INDEX(Matrix!$C$5:$BJ$204,0,AY$3)&gt;0)))</f>
        <v/>
      </c>
      <c r="AZ61" s="12" t="str">
        <f aca="false">IF(OR($A61="",AZ$4=""),"",SUMPRODUCT(--(INDEX(Matrix!$C$5:$BJ$204,0,$B61)&gt;0),--(INDEX(Matrix!$C$5:$BJ$204,0,AZ$3)&gt;0)))</f>
        <v/>
      </c>
      <c r="BA61" s="12" t="str">
        <f aca="false">IF(OR($A61="",BA$4=""),"",SUMPRODUCT(--(INDEX(Matrix!$C$5:$BJ$204,0,$B61)&gt;0),--(INDEX(Matrix!$C$5:$BJ$204,0,BA$3)&gt;0)))</f>
        <v/>
      </c>
      <c r="BB61" s="12" t="str">
        <f aca="false">IF(OR($A61="",BB$4=""),"",SUMPRODUCT(--(INDEX(Matrix!$C$5:$BJ$204,0,$B61)&gt;0),--(INDEX(Matrix!$C$5:$BJ$204,0,BB$3)&gt;0)))</f>
        <v/>
      </c>
      <c r="BC61" s="12" t="str">
        <f aca="false">IF(OR($A61="",BC$4=""),"",SUMPRODUCT(--(INDEX(Matrix!$C$5:$BJ$204,0,$B61)&gt;0),--(INDEX(Matrix!$C$5:$BJ$204,0,BC$3)&gt;0)))</f>
        <v/>
      </c>
      <c r="BD61" s="12" t="str">
        <f aca="false">IF(OR($A61="",BD$4=""),"",SUMPRODUCT(--(INDEX(Matrix!$C$5:$BJ$204,0,$B61)&gt;0),--(INDEX(Matrix!$C$5:$BJ$204,0,BD$3)&gt;0)))</f>
        <v/>
      </c>
      <c r="BE61" s="12" t="str">
        <f aca="false">IF(OR($A61="",BE$4=""),"",SUMPRODUCT(--(INDEX(Matrix!$C$5:$BJ$204,0,$B61)&gt;0),--(INDEX(Matrix!$C$5:$BJ$204,0,BE$3)&gt;0)))</f>
        <v/>
      </c>
      <c r="BF61" s="12" t="str">
        <f aca="false">IF(OR($A61="",BF$4=""),"",SUMPRODUCT(--(INDEX(Matrix!$C$5:$BJ$204,0,$B61)&gt;0),--(INDEX(Matrix!$C$5:$BJ$204,0,BF$3)&gt;0)))</f>
        <v/>
      </c>
      <c r="BG61" s="12" t="str">
        <f aca="false">IF(OR($A61="",BG$4=""),"",SUMPRODUCT(--(INDEX(Matrix!$C$5:$BJ$204,0,$B61)&gt;0),--(INDEX(Matrix!$C$5:$BJ$204,0,BG$3)&gt;0)))</f>
        <v/>
      </c>
      <c r="BH61" s="12" t="str">
        <f aca="false">IF(OR($A61="",BH$4=""),"",SUMPRODUCT(--(INDEX(Matrix!$C$5:$BJ$204,0,$B61)&gt;0),--(INDEX(Matrix!$C$5:$BJ$204,0,BH$3)&gt;0)))</f>
        <v/>
      </c>
      <c r="BI61" s="12" t="str">
        <f aca="false">IF(OR($A61="",BI$4=""),"",SUMPRODUCT(--(INDEX(Matrix!$C$5:$BJ$204,0,$B61)&gt;0),--(INDEX(Matrix!$C$5:$BJ$204,0,BI$3)&gt;0)))</f>
        <v/>
      </c>
      <c r="BJ61" s="12" t="str">
        <f aca="false">IF(OR($A61="",BJ$4=""),"",SUMPRODUCT(--(INDEX(Matrix!$C$5:$BJ$204,0,$B61)&gt;0),--(INDEX(Matrix!$C$5:$BJ$204,0,BJ$3)&gt;0)))</f>
        <v/>
      </c>
    </row>
    <row r="62" customFormat="false" ht="15" hidden="false" customHeight="false" outlineLevel="0" collapsed="false">
      <c r="A62" s="6" t="str">
        <f aca="false">IF(INDEX(Products!$A$2:$A$61,$B62)="","",INDEX(Products!$A$2:$A$61,$B62))</f>
        <v/>
      </c>
      <c r="B62" s="23" t="n">
        <v>58</v>
      </c>
      <c r="C62" s="12" t="str">
        <f aca="false">IF(OR($A62="",C$4=""),"",SUMPRODUCT(--(INDEX(Matrix!$C$5:$BJ$204,0,$B62)&gt;0),--(INDEX(Matrix!$C$5:$BJ$204,0,C$3)&gt;0)))</f>
        <v/>
      </c>
      <c r="D62" s="12" t="str">
        <f aca="false">IF(OR($A62="",D$4=""),"",SUMPRODUCT(--(INDEX(Matrix!$C$5:$BJ$204,0,$B62)&gt;0),--(INDEX(Matrix!$C$5:$BJ$204,0,D$3)&gt;0)))</f>
        <v/>
      </c>
      <c r="E62" s="12" t="str">
        <f aca="false">IF(OR($A62="",E$4=""),"",SUMPRODUCT(--(INDEX(Matrix!$C$5:$BJ$204,0,$B62)&gt;0),--(INDEX(Matrix!$C$5:$BJ$204,0,E$3)&gt;0)))</f>
        <v/>
      </c>
      <c r="F62" s="12" t="str">
        <f aca="false">IF(OR($A62="",F$4=""),"",SUMPRODUCT(--(INDEX(Matrix!$C$5:$BJ$204,0,$B62)&gt;0),--(INDEX(Matrix!$C$5:$BJ$204,0,F$3)&gt;0)))</f>
        <v/>
      </c>
      <c r="G62" s="12" t="str">
        <f aca="false">IF(OR($A62="",G$4=""),"",SUMPRODUCT(--(INDEX(Matrix!$C$5:$BJ$204,0,$B62)&gt;0),--(INDEX(Matrix!$C$5:$BJ$204,0,G$3)&gt;0)))</f>
        <v/>
      </c>
      <c r="H62" s="12" t="str">
        <f aca="false">IF(OR($A62="",H$4=""),"",SUMPRODUCT(--(INDEX(Matrix!$C$5:$BJ$204,0,$B62)&gt;0),--(INDEX(Matrix!$C$5:$BJ$204,0,H$3)&gt;0)))</f>
        <v/>
      </c>
      <c r="I62" s="12" t="str">
        <f aca="false">IF(OR($A62="",I$4=""),"",SUMPRODUCT(--(INDEX(Matrix!$C$5:$BJ$204,0,$B62)&gt;0),--(INDEX(Matrix!$C$5:$BJ$204,0,I$3)&gt;0)))</f>
        <v/>
      </c>
      <c r="J62" s="12" t="str">
        <f aca="false">IF(OR($A62="",J$4=""),"",SUMPRODUCT(--(INDEX(Matrix!$C$5:$BJ$204,0,$B62)&gt;0),--(INDEX(Matrix!$C$5:$BJ$204,0,J$3)&gt;0)))</f>
        <v/>
      </c>
      <c r="K62" s="12" t="str">
        <f aca="false">IF(OR($A62="",K$4=""),"",SUMPRODUCT(--(INDEX(Matrix!$C$5:$BJ$204,0,$B62)&gt;0),--(INDEX(Matrix!$C$5:$BJ$204,0,K$3)&gt;0)))</f>
        <v/>
      </c>
      <c r="L62" s="12" t="str">
        <f aca="false">IF(OR($A62="",L$4=""),"",SUMPRODUCT(--(INDEX(Matrix!$C$5:$BJ$204,0,$B62)&gt;0),--(INDEX(Matrix!$C$5:$BJ$204,0,L$3)&gt;0)))</f>
        <v/>
      </c>
      <c r="M62" s="12" t="str">
        <f aca="false">IF(OR($A62="",M$4=""),"",SUMPRODUCT(--(INDEX(Matrix!$C$5:$BJ$204,0,$B62)&gt;0),--(INDEX(Matrix!$C$5:$BJ$204,0,M$3)&gt;0)))</f>
        <v/>
      </c>
      <c r="N62" s="12" t="str">
        <f aca="false">IF(OR($A62="",N$4=""),"",SUMPRODUCT(--(INDEX(Matrix!$C$5:$BJ$204,0,$B62)&gt;0),--(INDEX(Matrix!$C$5:$BJ$204,0,N$3)&gt;0)))</f>
        <v/>
      </c>
      <c r="O62" s="12" t="str">
        <f aca="false">IF(OR($A62="",O$4=""),"",SUMPRODUCT(--(INDEX(Matrix!$C$5:$BJ$204,0,$B62)&gt;0),--(INDEX(Matrix!$C$5:$BJ$204,0,O$3)&gt;0)))</f>
        <v/>
      </c>
      <c r="P62" s="12" t="str">
        <f aca="false">IF(OR($A62="",P$4=""),"",SUMPRODUCT(--(INDEX(Matrix!$C$5:$BJ$204,0,$B62)&gt;0),--(INDEX(Matrix!$C$5:$BJ$204,0,P$3)&gt;0)))</f>
        <v/>
      </c>
      <c r="Q62" s="12" t="str">
        <f aca="false">IF(OR($A62="",Q$4=""),"",SUMPRODUCT(--(INDEX(Matrix!$C$5:$BJ$204,0,$B62)&gt;0),--(INDEX(Matrix!$C$5:$BJ$204,0,Q$3)&gt;0)))</f>
        <v/>
      </c>
      <c r="R62" s="12" t="str">
        <f aca="false">IF(OR($A62="",R$4=""),"",SUMPRODUCT(--(INDEX(Matrix!$C$5:$BJ$204,0,$B62)&gt;0),--(INDEX(Matrix!$C$5:$BJ$204,0,R$3)&gt;0)))</f>
        <v/>
      </c>
      <c r="S62" s="12" t="str">
        <f aca="false">IF(OR($A62="",S$4=""),"",SUMPRODUCT(--(INDEX(Matrix!$C$5:$BJ$204,0,$B62)&gt;0),--(INDEX(Matrix!$C$5:$BJ$204,0,S$3)&gt;0)))</f>
        <v/>
      </c>
      <c r="T62" s="12" t="str">
        <f aca="false">IF(OR($A62="",T$4=""),"",SUMPRODUCT(--(INDEX(Matrix!$C$5:$BJ$204,0,$B62)&gt;0),--(INDEX(Matrix!$C$5:$BJ$204,0,T$3)&gt;0)))</f>
        <v/>
      </c>
      <c r="U62" s="12" t="str">
        <f aca="false">IF(OR($A62="",U$4=""),"",SUMPRODUCT(--(INDEX(Matrix!$C$5:$BJ$204,0,$B62)&gt;0),--(INDEX(Matrix!$C$5:$BJ$204,0,U$3)&gt;0)))</f>
        <v/>
      </c>
      <c r="V62" s="12" t="str">
        <f aca="false">IF(OR($A62="",V$4=""),"",SUMPRODUCT(--(INDEX(Matrix!$C$5:$BJ$204,0,$B62)&gt;0),--(INDEX(Matrix!$C$5:$BJ$204,0,V$3)&gt;0)))</f>
        <v/>
      </c>
      <c r="W62" s="12" t="str">
        <f aca="false">IF(OR($A62="",W$4=""),"",SUMPRODUCT(--(INDEX(Matrix!$C$5:$BJ$204,0,$B62)&gt;0),--(INDEX(Matrix!$C$5:$BJ$204,0,W$3)&gt;0)))</f>
        <v/>
      </c>
      <c r="X62" s="12" t="str">
        <f aca="false">IF(OR($A62="",X$4=""),"",SUMPRODUCT(--(INDEX(Matrix!$C$5:$BJ$204,0,$B62)&gt;0),--(INDEX(Matrix!$C$5:$BJ$204,0,X$3)&gt;0)))</f>
        <v/>
      </c>
      <c r="Y62" s="12" t="str">
        <f aca="false">IF(OR($A62="",Y$4=""),"",SUMPRODUCT(--(INDEX(Matrix!$C$5:$BJ$204,0,$B62)&gt;0),--(INDEX(Matrix!$C$5:$BJ$204,0,Y$3)&gt;0)))</f>
        <v/>
      </c>
      <c r="Z62" s="12" t="str">
        <f aca="false">IF(OR($A62="",Z$4=""),"",SUMPRODUCT(--(INDEX(Matrix!$C$5:$BJ$204,0,$B62)&gt;0),--(INDEX(Matrix!$C$5:$BJ$204,0,Z$3)&gt;0)))</f>
        <v/>
      </c>
      <c r="AA62" s="12" t="str">
        <f aca="false">IF(OR($A62="",AA$4=""),"",SUMPRODUCT(--(INDEX(Matrix!$C$5:$BJ$204,0,$B62)&gt;0),--(INDEX(Matrix!$C$5:$BJ$204,0,AA$3)&gt;0)))</f>
        <v/>
      </c>
      <c r="AB62" s="12" t="str">
        <f aca="false">IF(OR($A62="",AB$4=""),"",SUMPRODUCT(--(INDEX(Matrix!$C$5:$BJ$204,0,$B62)&gt;0),--(INDEX(Matrix!$C$5:$BJ$204,0,AB$3)&gt;0)))</f>
        <v/>
      </c>
      <c r="AC62" s="12" t="str">
        <f aca="false">IF(OR($A62="",AC$4=""),"",SUMPRODUCT(--(INDEX(Matrix!$C$5:$BJ$204,0,$B62)&gt;0),--(INDEX(Matrix!$C$5:$BJ$204,0,AC$3)&gt;0)))</f>
        <v/>
      </c>
      <c r="AD62" s="12" t="str">
        <f aca="false">IF(OR($A62="",AD$4=""),"",SUMPRODUCT(--(INDEX(Matrix!$C$5:$BJ$204,0,$B62)&gt;0),--(INDEX(Matrix!$C$5:$BJ$204,0,AD$3)&gt;0)))</f>
        <v/>
      </c>
      <c r="AE62" s="12" t="str">
        <f aca="false">IF(OR($A62="",AE$4=""),"",SUMPRODUCT(--(INDEX(Matrix!$C$5:$BJ$204,0,$B62)&gt;0),--(INDEX(Matrix!$C$5:$BJ$204,0,AE$3)&gt;0)))</f>
        <v/>
      </c>
      <c r="AF62" s="12" t="str">
        <f aca="false">IF(OR($A62="",AF$4=""),"",SUMPRODUCT(--(INDEX(Matrix!$C$5:$BJ$204,0,$B62)&gt;0),--(INDEX(Matrix!$C$5:$BJ$204,0,AF$3)&gt;0)))</f>
        <v/>
      </c>
      <c r="AG62" s="12" t="str">
        <f aca="false">IF(OR($A62="",AG$4=""),"",SUMPRODUCT(--(INDEX(Matrix!$C$5:$BJ$204,0,$B62)&gt;0),--(INDEX(Matrix!$C$5:$BJ$204,0,AG$3)&gt;0)))</f>
        <v/>
      </c>
      <c r="AH62" s="12" t="str">
        <f aca="false">IF(OR($A62="",AH$4=""),"",SUMPRODUCT(--(INDEX(Matrix!$C$5:$BJ$204,0,$B62)&gt;0),--(INDEX(Matrix!$C$5:$BJ$204,0,AH$3)&gt;0)))</f>
        <v/>
      </c>
      <c r="AI62" s="12" t="str">
        <f aca="false">IF(OR($A62="",AI$4=""),"",SUMPRODUCT(--(INDEX(Matrix!$C$5:$BJ$204,0,$B62)&gt;0),--(INDEX(Matrix!$C$5:$BJ$204,0,AI$3)&gt;0)))</f>
        <v/>
      </c>
      <c r="AJ62" s="12" t="str">
        <f aca="false">IF(OR($A62="",AJ$4=""),"",SUMPRODUCT(--(INDEX(Matrix!$C$5:$BJ$204,0,$B62)&gt;0),--(INDEX(Matrix!$C$5:$BJ$204,0,AJ$3)&gt;0)))</f>
        <v/>
      </c>
      <c r="AK62" s="12" t="str">
        <f aca="false">IF(OR($A62="",AK$4=""),"",SUMPRODUCT(--(INDEX(Matrix!$C$5:$BJ$204,0,$B62)&gt;0),--(INDEX(Matrix!$C$5:$BJ$204,0,AK$3)&gt;0)))</f>
        <v/>
      </c>
      <c r="AL62" s="12" t="str">
        <f aca="false">IF(OR($A62="",AL$4=""),"",SUMPRODUCT(--(INDEX(Matrix!$C$5:$BJ$204,0,$B62)&gt;0),--(INDEX(Matrix!$C$5:$BJ$204,0,AL$3)&gt;0)))</f>
        <v/>
      </c>
      <c r="AM62" s="12" t="str">
        <f aca="false">IF(OR($A62="",AM$4=""),"",SUMPRODUCT(--(INDEX(Matrix!$C$5:$BJ$204,0,$B62)&gt;0),--(INDEX(Matrix!$C$5:$BJ$204,0,AM$3)&gt;0)))</f>
        <v/>
      </c>
      <c r="AN62" s="12" t="str">
        <f aca="false">IF(OR($A62="",AN$4=""),"",SUMPRODUCT(--(INDEX(Matrix!$C$5:$BJ$204,0,$B62)&gt;0),--(INDEX(Matrix!$C$5:$BJ$204,0,AN$3)&gt;0)))</f>
        <v/>
      </c>
      <c r="AO62" s="12" t="str">
        <f aca="false">IF(OR($A62="",AO$4=""),"",SUMPRODUCT(--(INDEX(Matrix!$C$5:$BJ$204,0,$B62)&gt;0),--(INDEX(Matrix!$C$5:$BJ$204,0,AO$3)&gt;0)))</f>
        <v/>
      </c>
      <c r="AP62" s="12" t="str">
        <f aca="false">IF(OR($A62="",AP$4=""),"",SUMPRODUCT(--(INDEX(Matrix!$C$5:$BJ$204,0,$B62)&gt;0),--(INDEX(Matrix!$C$5:$BJ$204,0,AP$3)&gt;0)))</f>
        <v/>
      </c>
      <c r="AQ62" s="12" t="str">
        <f aca="false">IF(OR($A62="",AQ$4=""),"",SUMPRODUCT(--(INDEX(Matrix!$C$5:$BJ$204,0,$B62)&gt;0),--(INDEX(Matrix!$C$5:$BJ$204,0,AQ$3)&gt;0)))</f>
        <v/>
      </c>
      <c r="AR62" s="12" t="str">
        <f aca="false">IF(OR($A62="",AR$4=""),"",SUMPRODUCT(--(INDEX(Matrix!$C$5:$BJ$204,0,$B62)&gt;0),--(INDEX(Matrix!$C$5:$BJ$204,0,AR$3)&gt;0)))</f>
        <v/>
      </c>
      <c r="AS62" s="12" t="str">
        <f aca="false">IF(OR($A62="",AS$4=""),"",SUMPRODUCT(--(INDEX(Matrix!$C$5:$BJ$204,0,$B62)&gt;0),--(INDEX(Matrix!$C$5:$BJ$204,0,AS$3)&gt;0)))</f>
        <v/>
      </c>
      <c r="AT62" s="12" t="str">
        <f aca="false">IF(OR($A62="",AT$4=""),"",SUMPRODUCT(--(INDEX(Matrix!$C$5:$BJ$204,0,$B62)&gt;0),--(INDEX(Matrix!$C$5:$BJ$204,0,AT$3)&gt;0)))</f>
        <v/>
      </c>
      <c r="AU62" s="12" t="str">
        <f aca="false">IF(OR($A62="",AU$4=""),"",SUMPRODUCT(--(INDEX(Matrix!$C$5:$BJ$204,0,$B62)&gt;0),--(INDEX(Matrix!$C$5:$BJ$204,0,AU$3)&gt;0)))</f>
        <v/>
      </c>
      <c r="AV62" s="12" t="str">
        <f aca="false">IF(OR($A62="",AV$4=""),"",SUMPRODUCT(--(INDEX(Matrix!$C$5:$BJ$204,0,$B62)&gt;0),--(INDEX(Matrix!$C$5:$BJ$204,0,AV$3)&gt;0)))</f>
        <v/>
      </c>
      <c r="AW62" s="12" t="str">
        <f aca="false">IF(OR($A62="",AW$4=""),"",SUMPRODUCT(--(INDEX(Matrix!$C$5:$BJ$204,0,$B62)&gt;0),--(INDEX(Matrix!$C$5:$BJ$204,0,AW$3)&gt;0)))</f>
        <v/>
      </c>
      <c r="AX62" s="12" t="str">
        <f aca="false">IF(OR($A62="",AX$4=""),"",SUMPRODUCT(--(INDEX(Matrix!$C$5:$BJ$204,0,$B62)&gt;0),--(INDEX(Matrix!$C$5:$BJ$204,0,AX$3)&gt;0)))</f>
        <v/>
      </c>
      <c r="AY62" s="12" t="str">
        <f aca="false">IF(OR($A62="",AY$4=""),"",SUMPRODUCT(--(INDEX(Matrix!$C$5:$BJ$204,0,$B62)&gt;0),--(INDEX(Matrix!$C$5:$BJ$204,0,AY$3)&gt;0)))</f>
        <v/>
      </c>
      <c r="AZ62" s="12" t="str">
        <f aca="false">IF(OR($A62="",AZ$4=""),"",SUMPRODUCT(--(INDEX(Matrix!$C$5:$BJ$204,0,$B62)&gt;0),--(INDEX(Matrix!$C$5:$BJ$204,0,AZ$3)&gt;0)))</f>
        <v/>
      </c>
      <c r="BA62" s="12" t="str">
        <f aca="false">IF(OR($A62="",BA$4=""),"",SUMPRODUCT(--(INDEX(Matrix!$C$5:$BJ$204,0,$B62)&gt;0),--(INDEX(Matrix!$C$5:$BJ$204,0,BA$3)&gt;0)))</f>
        <v/>
      </c>
      <c r="BB62" s="12" t="str">
        <f aca="false">IF(OR($A62="",BB$4=""),"",SUMPRODUCT(--(INDEX(Matrix!$C$5:$BJ$204,0,$B62)&gt;0),--(INDEX(Matrix!$C$5:$BJ$204,0,BB$3)&gt;0)))</f>
        <v/>
      </c>
      <c r="BC62" s="12" t="str">
        <f aca="false">IF(OR($A62="",BC$4=""),"",SUMPRODUCT(--(INDEX(Matrix!$C$5:$BJ$204,0,$B62)&gt;0),--(INDEX(Matrix!$C$5:$BJ$204,0,BC$3)&gt;0)))</f>
        <v/>
      </c>
      <c r="BD62" s="12" t="str">
        <f aca="false">IF(OR($A62="",BD$4=""),"",SUMPRODUCT(--(INDEX(Matrix!$C$5:$BJ$204,0,$B62)&gt;0),--(INDEX(Matrix!$C$5:$BJ$204,0,BD$3)&gt;0)))</f>
        <v/>
      </c>
      <c r="BE62" s="12" t="str">
        <f aca="false">IF(OR($A62="",BE$4=""),"",SUMPRODUCT(--(INDEX(Matrix!$C$5:$BJ$204,0,$B62)&gt;0),--(INDEX(Matrix!$C$5:$BJ$204,0,BE$3)&gt;0)))</f>
        <v/>
      </c>
      <c r="BF62" s="12" t="str">
        <f aca="false">IF(OR($A62="",BF$4=""),"",SUMPRODUCT(--(INDEX(Matrix!$C$5:$BJ$204,0,$B62)&gt;0),--(INDEX(Matrix!$C$5:$BJ$204,0,BF$3)&gt;0)))</f>
        <v/>
      </c>
      <c r="BG62" s="12" t="str">
        <f aca="false">IF(OR($A62="",BG$4=""),"",SUMPRODUCT(--(INDEX(Matrix!$C$5:$BJ$204,0,$B62)&gt;0),--(INDEX(Matrix!$C$5:$BJ$204,0,BG$3)&gt;0)))</f>
        <v/>
      </c>
      <c r="BH62" s="12" t="str">
        <f aca="false">IF(OR($A62="",BH$4=""),"",SUMPRODUCT(--(INDEX(Matrix!$C$5:$BJ$204,0,$B62)&gt;0),--(INDEX(Matrix!$C$5:$BJ$204,0,BH$3)&gt;0)))</f>
        <v/>
      </c>
      <c r="BI62" s="12" t="str">
        <f aca="false">IF(OR($A62="",BI$4=""),"",SUMPRODUCT(--(INDEX(Matrix!$C$5:$BJ$204,0,$B62)&gt;0),--(INDEX(Matrix!$C$5:$BJ$204,0,BI$3)&gt;0)))</f>
        <v/>
      </c>
      <c r="BJ62" s="12" t="str">
        <f aca="false">IF(OR($A62="",BJ$4=""),"",SUMPRODUCT(--(INDEX(Matrix!$C$5:$BJ$204,0,$B62)&gt;0),--(INDEX(Matrix!$C$5:$BJ$204,0,BJ$3)&gt;0)))</f>
        <v/>
      </c>
    </row>
    <row r="63" customFormat="false" ht="15" hidden="false" customHeight="false" outlineLevel="0" collapsed="false">
      <c r="A63" s="6" t="str">
        <f aca="false">IF(INDEX(Products!$A$2:$A$61,$B63)="","",INDEX(Products!$A$2:$A$61,$B63))</f>
        <v/>
      </c>
      <c r="B63" s="23" t="n">
        <v>59</v>
      </c>
      <c r="C63" s="12" t="str">
        <f aca="false">IF(OR($A63="",C$4=""),"",SUMPRODUCT(--(INDEX(Matrix!$C$5:$BJ$204,0,$B63)&gt;0),--(INDEX(Matrix!$C$5:$BJ$204,0,C$3)&gt;0)))</f>
        <v/>
      </c>
      <c r="D63" s="12" t="str">
        <f aca="false">IF(OR($A63="",D$4=""),"",SUMPRODUCT(--(INDEX(Matrix!$C$5:$BJ$204,0,$B63)&gt;0),--(INDEX(Matrix!$C$5:$BJ$204,0,D$3)&gt;0)))</f>
        <v/>
      </c>
      <c r="E63" s="12" t="str">
        <f aca="false">IF(OR($A63="",E$4=""),"",SUMPRODUCT(--(INDEX(Matrix!$C$5:$BJ$204,0,$B63)&gt;0),--(INDEX(Matrix!$C$5:$BJ$204,0,E$3)&gt;0)))</f>
        <v/>
      </c>
      <c r="F63" s="12" t="str">
        <f aca="false">IF(OR($A63="",F$4=""),"",SUMPRODUCT(--(INDEX(Matrix!$C$5:$BJ$204,0,$B63)&gt;0),--(INDEX(Matrix!$C$5:$BJ$204,0,F$3)&gt;0)))</f>
        <v/>
      </c>
      <c r="G63" s="12" t="str">
        <f aca="false">IF(OR($A63="",G$4=""),"",SUMPRODUCT(--(INDEX(Matrix!$C$5:$BJ$204,0,$B63)&gt;0),--(INDEX(Matrix!$C$5:$BJ$204,0,G$3)&gt;0)))</f>
        <v/>
      </c>
      <c r="H63" s="12" t="str">
        <f aca="false">IF(OR($A63="",H$4=""),"",SUMPRODUCT(--(INDEX(Matrix!$C$5:$BJ$204,0,$B63)&gt;0),--(INDEX(Matrix!$C$5:$BJ$204,0,H$3)&gt;0)))</f>
        <v/>
      </c>
      <c r="I63" s="12" t="str">
        <f aca="false">IF(OR($A63="",I$4=""),"",SUMPRODUCT(--(INDEX(Matrix!$C$5:$BJ$204,0,$B63)&gt;0),--(INDEX(Matrix!$C$5:$BJ$204,0,I$3)&gt;0)))</f>
        <v/>
      </c>
      <c r="J63" s="12" t="str">
        <f aca="false">IF(OR($A63="",J$4=""),"",SUMPRODUCT(--(INDEX(Matrix!$C$5:$BJ$204,0,$B63)&gt;0),--(INDEX(Matrix!$C$5:$BJ$204,0,J$3)&gt;0)))</f>
        <v/>
      </c>
      <c r="K63" s="12" t="str">
        <f aca="false">IF(OR($A63="",K$4=""),"",SUMPRODUCT(--(INDEX(Matrix!$C$5:$BJ$204,0,$B63)&gt;0),--(INDEX(Matrix!$C$5:$BJ$204,0,K$3)&gt;0)))</f>
        <v/>
      </c>
      <c r="L63" s="12" t="str">
        <f aca="false">IF(OR($A63="",L$4=""),"",SUMPRODUCT(--(INDEX(Matrix!$C$5:$BJ$204,0,$B63)&gt;0),--(INDEX(Matrix!$C$5:$BJ$204,0,L$3)&gt;0)))</f>
        <v/>
      </c>
      <c r="M63" s="12" t="str">
        <f aca="false">IF(OR($A63="",M$4=""),"",SUMPRODUCT(--(INDEX(Matrix!$C$5:$BJ$204,0,$B63)&gt;0),--(INDEX(Matrix!$C$5:$BJ$204,0,M$3)&gt;0)))</f>
        <v/>
      </c>
      <c r="N63" s="12" t="str">
        <f aca="false">IF(OR($A63="",N$4=""),"",SUMPRODUCT(--(INDEX(Matrix!$C$5:$BJ$204,0,$B63)&gt;0),--(INDEX(Matrix!$C$5:$BJ$204,0,N$3)&gt;0)))</f>
        <v/>
      </c>
      <c r="O63" s="12" t="str">
        <f aca="false">IF(OR($A63="",O$4=""),"",SUMPRODUCT(--(INDEX(Matrix!$C$5:$BJ$204,0,$B63)&gt;0),--(INDEX(Matrix!$C$5:$BJ$204,0,O$3)&gt;0)))</f>
        <v/>
      </c>
      <c r="P63" s="12" t="str">
        <f aca="false">IF(OR($A63="",P$4=""),"",SUMPRODUCT(--(INDEX(Matrix!$C$5:$BJ$204,0,$B63)&gt;0),--(INDEX(Matrix!$C$5:$BJ$204,0,P$3)&gt;0)))</f>
        <v/>
      </c>
      <c r="Q63" s="12" t="str">
        <f aca="false">IF(OR($A63="",Q$4=""),"",SUMPRODUCT(--(INDEX(Matrix!$C$5:$BJ$204,0,$B63)&gt;0),--(INDEX(Matrix!$C$5:$BJ$204,0,Q$3)&gt;0)))</f>
        <v/>
      </c>
      <c r="R63" s="12" t="str">
        <f aca="false">IF(OR($A63="",R$4=""),"",SUMPRODUCT(--(INDEX(Matrix!$C$5:$BJ$204,0,$B63)&gt;0),--(INDEX(Matrix!$C$5:$BJ$204,0,R$3)&gt;0)))</f>
        <v/>
      </c>
      <c r="S63" s="12" t="str">
        <f aca="false">IF(OR($A63="",S$4=""),"",SUMPRODUCT(--(INDEX(Matrix!$C$5:$BJ$204,0,$B63)&gt;0),--(INDEX(Matrix!$C$5:$BJ$204,0,S$3)&gt;0)))</f>
        <v/>
      </c>
      <c r="T63" s="12" t="str">
        <f aca="false">IF(OR($A63="",T$4=""),"",SUMPRODUCT(--(INDEX(Matrix!$C$5:$BJ$204,0,$B63)&gt;0),--(INDEX(Matrix!$C$5:$BJ$204,0,T$3)&gt;0)))</f>
        <v/>
      </c>
      <c r="U63" s="12" t="str">
        <f aca="false">IF(OR($A63="",U$4=""),"",SUMPRODUCT(--(INDEX(Matrix!$C$5:$BJ$204,0,$B63)&gt;0),--(INDEX(Matrix!$C$5:$BJ$204,0,U$3)&gt;0)))</f>
        <v/>
      </c>
      <c r="V63" s="12" t="str">
        <f aca="false">IF(OR($A63="",V$4=""),"",SUMPRODUCT(--(INDEX(Matrix!$C$5:$BJ$204,0,$B63)&gt;0),--(INDEX(Matrix!$C$5:$BJ$204,0,V$3)&gt;0)))</f>
        <v/>
      </c>
      <c r="W63" s="12" t="str">
        <f aca="false">IF(OR($A63="",W$4=""),"",SUMPRODUCT(--(INDEX(Matrix!$C$5:$BJ$204,0,$B63)&gt;0),--(INDEX(Matrix!$C$5:$BJ$204,0,W$3)&gt;0)))</f>
        <v/>
      </c>
      <c r="X63" s="12" t="str">
        <f aca="false">IF(OR($A63="",X$4=""),"",SUMPRODUCT(--(INDEX(Matrix!$C$5:$BJ$204,0,$B63)&gt;0),--(INDEX(Matrix!$C$5:$BJ$204,0,X$3)&gt;0)))</f>
        <v/>
      </c>
      <c r="Y63" s="12" t="str">
        <f aca="false">IF(OR($A63="",Y$4=""),"",SUMPRODUCT(--(INDEX(Matrix!$C$5:$BJ$204,0,$B63)&gt;0),--(INDEX(Matrix!$C$5:$BJ$204,0,Y$3)&gt;0)))</f>
        <v/>
      </c>
      <c r="Z63" s="12" t="str">
        <f aca="false">IF(OR($A63="",Z$4=""),"",SUMPRODUCT(--(INDEX(Matrix!$C$5:$BJ$204,0,$B63)&gt;0),--(INDEX(Matrix!$C$5:$BJ$204,0,Z$3)&gt;0)))</f>
        <v/>
      </c>
      <c r="AA63" s="12" t="str">
        <f aca="false">IF(OR($A63="",AA$4=""),"",SUMPRODUCT(--(INDEX(Matrix!$C$5:$BJ$204,0,$B63)&gt;0),--(INDEX(Matrix!$C$5:$BJ$204,0,AA$3)&gt;0)))</f>
        <v/>
      </c>
      <c r="AB63" s="12" t="str">
        <f aca="false">IF(OR($A63="",AB$4=""),"",SUMPRODUCT(--(INDEX(Matrix!$C$5:$BJ$204,0,$B63)&gt;0),--(INDEX(Matrix!$C$5:$BJ$204,0,AB$3)&gt;0)))</f>
        <v/>
      </c>
      <c r="AC63" s="12" t="str">
        <f aca="false">IF(OR($A63="",AC$4=""),"",SUMPRODUCT(--(INDEX(Matrix!$C$5:$BJ$204,0,$B63)&gt;0),--(INDEX(Matrix!$C$5:$BJ$204,0,AC$3)&gt;0)))</f>
        <v/>
      </c>
      <c r="AD63" s="12" t="str">
        <f aca="false">IF(OR($A63="",AD$4=""),"",SUMPRODUCT(--(INDEX(Matrix!$C$5:$BJ$204,0,$B63)&gt;0),--(INDEX(Matrix!$C$5:$BJ$204,0,AD$3)&gt;0)))</f>
        <v/>
      </c>
      <c r="AE63" s="12" t="str">
        <f aca="false">IF(OR($A63="",AE$4=""),"",SUMPRODUCT(--(INDEX(Matrix!$C$5:$BJ$204,0,$B63)&gt;0),--(INDEX(Matrix!$C$5:$BJ$204,0,AE$3)&gt;0)))</f>
        <v/>
      </c>
      <c r="AF63" s="12" t="str">
        <f aca="false">IF(OR($A63="",AF$4=""),"",SUMPRODUCT(--(INDEX(Matrix!$C$5:$BJ$204,0,$B63)&gt;0),--(INDEX(Matrix!$C$5:$BJ$204,0,AF$3)&gt;0)))</f>
        <v/>
      </c>
      <c r="AG63" s="12" t="str">
        <f aca="false">IF(OR($A63="",AG$4=""),"",SUMPRODUCT(--(INDEX(Matrix!$C$5:$BJ$204,0,$B63)&gt;0),--(INDEX(Matrix!$C$5:$BJ$204,0,AG$3)&gt;0)))</f>
        <v/>
      </c>
      <c r="AH63" s="12" t="str">
        <f aca="false">IF(OR($A63="",AH$4=""),"",SUMPRODUCT(--(INDEX(Matrix!$C$5:$BJ$204,0,$B63)&gt;0),--(INDEX(Matrix!$C$5:$BJ$204,0,AH$3)&gt;0)))</f>
        <v/>
      </c>
      <c r="AI63" s="12" t="str">
        <f aca="false">IF(OR($A63="",AI$4=""),"",SUMPRODUCT(--(INDEX(Matrix!$C$5:$BJ$204,0,$B63)&gt;0),--(INDEX(Matrix!$C$5:$BJ$204,0,AI$3)&gt;0)))</f>
        <v/>
      </c>
      <c r="AJ63" s="12" t="str">
        <f aca="false">IF(OR($A63="",AJ$4=""),"",SUMPRODUCT(--(INDEX(Matrix!$C$5:$BJ$204,0,$B63)&gt;0),--(INDEX(Matrix!$C$5:$BJ$204,0,AJ$3)&gt;0)))</f>
        <v/>
      </c>
      <c r="AK63" s="12" t="str">
        <f aca="false">IF(OR($A63="",AK$4=""),"",SUMPRODUCT(--(INDEX(Matrix!$C$5:$BJ$204,0,$B63)&gt;0),--(INDEX(Matrix!$C$5:$BJ$204,0,AK$3)&gt;0)))</f>
        <v/>
      </c>
      <c r="AL63" s="12" t="str">
        <f aca="false">IF(OR($A63="",AL$4=""),"",SUMPRODUCT(--(INDEX(Matrix!$C$5:$BJ$204,0,$B63)&gt;0),--(INDEX(Matrix!$C$5:$BJ$204,0,AL$3)&gt;0)))</f>
        <v/>
      </c>
      <c r="AM63" s="12" t="str">
        <f aca="false">IF(OR($A63="",AM$4=""),"",SUMPRODUCT(--(INDEX(Matrix!$C$5:$BJ$204,0,$B63)&gt;0),--(INDEX(Matrix!$C$5:$BJ$204,0,AM$3)&gt;0)))</f>
        <v/>
      </c>
      <c r="AN63" s="12" t="str">
        <f aca="false">IF(OR($A63="",AN$4=""),"",SUMPRODUCT(--(INDEX(Matrix!$C$5:$BJ$204,0,$B63)&gt;0),--(INDEX(Matrix!$C$5:$BJ$204,0,AN$3)&gt;0)))</f>
        <v/>
      </c>
      <c r="AO63" s="12" t="str">
        <f aca="false">IF(OR($A63="",AO$4=""),"",SUMPRODUCT(--(INDEX(Matrix!$C$5:$BJ$204,0,$B63)&gt;0),--(INDEX(Matrix!$C$5:$BJ$204,0,AO$3)&gt;0)))</f>
        <v/>
      </c>
      <c r="AP63" s="12" t="str">
        <f aca="false">IF(OR($A63="",AP$4=""),"",SUMPRODUCT(--(INDEX(Matrix!$C$5:$BJ$204,0,$B63)&gt;0),--(INDEX(Matrix!$C$5:$BJ$204,0,AP$3)&gt;0)))</f>
        <v/>
      </c>
      <c r="AQ63" s="12" t="str">
        <f aca="false">IF(OR($A63="",AQ$4=""),"",SUMPRODUCT(--(INDEX(Matrix!$C$5:$BJ$204,0,$B63)&gt;0),--(INDEX(Matrix!$C$5:$BJ$204,0,AQ$3)&gt;0)))</f>
        <v/>
      </c>
      <c r="AR63" s="12" t="str">
        <f aca="false">IF(OR($A63="",AR$4=""),"",SUMPRODUCT(--(INDEX(Matrix!$C$5:$BJ$204,0,$B63)&gt;0),--(INDEX(Matrix!$C$5:$BJ$204,0,AR$3)&gt;0)))</f>
        <v/>
      </c>
      <c r="AS63" s="12" t="str">
        <f aca="false">IF(OR($A63="",AS$4=""),"",SUMPRODUCT(--(INDEX(Matrix!$C$5:$BJ$204,0,$B63)&gt;0),--(INDEX(Matrix!$C$5:$BJ$204,0,AS$3)&gt;0)))</f>
        <v/>
      </c>
      <c r="AT63" s="12" t="str">
        <f aca="false">IF(OR($A63="",AT$4=""),"",SUMPRODUCT(--(INDEX(Matrix!$C$5:$BJ$204,0,$B63)&gt;0),--(INDEX(Matrix!$C$5:$BJ$204,0,AT$3)&gt;0)))</f>
        <v/>
      </c>
      <c r="AU63" s="12" t="str">
        <f aca="false">IF(OR($A63="",AU$4=""),"",SUMPRODUCT(--(INDEX(Matrix!$C$5:$BJ$204,0,$B63)&gt;0),--(INDEX(Matrix!$C$5:$BJ$204,0,AU$3)&gt;0)))</f>
        <v/>
      </c>
      <c r="AV63" s="12" t="str">
        <f aca="false">IF(OR($A63="",AV$4=""),"",SUMPRODUCT(--(INDEX(Matrix!$C$5:$BJ$204,0,$B63)&gt;0),--(INDEX(Matrix!$C$5:$BJ$204,0,AV$3)&gt;0)))</f>
        <v/>
      </c>
      <c r="AW63" s="12" t="str">
        <f aca="false">IF(OR($A63="",AW$4=""),"",SUMPRODUCT(--(INDEX(Matrix!$C$5:$BJ$204,0,$B63)&gt;0),--(INDEX(Matrix!$C$5:$BJ$204,0,AW$3)&gt;0)))</f>
        <v/>
      </c>
      <c r="AX63" s="12" t="str">
        <f aca="false">IF(OR($A63="",AX$4=""),"",SUMPRODUCT(--(INDEX(Matrix!$C$5:$BJ$204,0,$B63)&gt;0),--(INDEX(Matrix!$C$5:$BJ$204,0,AX$3)&gt;0)))</f>
        <v/>
      </c>
      <c r="AY63" s="12" t="str">
        <f aca="false">IF(OR($A63="",AY$4=""),"",SUMPRODUCT(--(INDEX(Matrix!$C$5:$BJ$204,0,$B63)&gt;0),--(INDEX(Matrix!$C$5:$BJ$204,0,AY$3)&gt;0)))</f>
        <v/>
      </c>
      <c r="AZ63" s="12" t="str">
        <f aca="false">IF(OR($A63="",AZ$4=""),"",SUMPRODUCT(--(INDEX(Matrix!$C$5:$BJ$204,0,$B63)&gt;0),--(INDEX(Matrix!$C$5:$BJ$204,0,AZ$3)&gt;0)))</f>
        <v/>
      </c>
      <c r="BA63" s="12" t="str">
        <f aca="false">IF(OR($A63="",BA$4=""),"",SUMPRODUCT(--(INDEX(Matrix!$C$5:$BJ$204,0,$B63)&gt;0),--(INDEX(Matrix!$C$5:$BJ$204,0,BA$3)&gt;0)))</f>
        <v/>
      </c>
      <c r="BB63" s="12" t="str">
        <f aca="false">IF(OR($A63="",BB$4=""),"",SUMPRODUCT(--(INDEX(Matrix!$C$5:$BJ$204,0,$B63)&gt;0),--(INDEX(Matrix!$C$5:$BJ$204,0,BB$3)&gt;0)))</f>
        <v/>
      </c>
      <c r="BC63" s="12" t="str">
        <f aca="false">IF(OR($A63="",BC$4=""),"",SUMPRODUCT(--(INDEX(Matrix!$C$5:$BJ$204,0,$B63)&gt;0),--(INDEX(Matrix!$C$5:$BJ$204,0,BC$3)&gt;0)))</f>
        <v/>
      </c>
      <c r="BD63" s="12" t="str">
        <f aca="false">IF(OR($A63="",BD$4=""),"",SUMPRODUCT(--(INDEX(Matrix!$C$5:$BJ$204,0,$B63)&gt;0),--(INDEX(Matrix!$C$5:$BJ$204,0,BD$3)&gt;0)))</f>
        <v/>
      </c>
      <c r="BE63" s="12" t="str">
        <f aca="false">IF(OR($A63="",BE$4=""),"",SUMPRODUCT(--(INDEX(Matrix!$C$5:$BJ$204,0,$B63)&gt;0),--(INDEX(Matrix!$C$5:$BJ$204,0,BE$3)&gt;0)))</f>
        <v/>
      </c>
      <c r="BF63" s="12" t="str">
        <f aca="false">IF(OR($A63="",BF$4=""),"",SUMPRODUCT(--(INDEX(Matrix!$C$5:$BJ$204,0,$B63)&gt;0),--(INDEX(Matrix!$C$5:$BJ$204,0,BF$3)&gt;0)))</f>
        <v/>
      </c>
      <c r="BG63" s="12" t="str">
        <f aca="false">IF(OR($A63="",BG$4=""),"",SUMPRODUCT(--(INDEX(Matrix!$C$5:$BJ$204,0,$B63)&gt;0),--(INDEX(Matrix!$C$5:$BJ$204,0,BG$3)&gt;0)))</f>
        <v/>
      </c>
      <c r="BH63" s="12" t="str">
        <f aca="false">IF(OR($A63="",BH$4=""),"",SUMPRODUCT(--(INDEX(Matrix!$C$5:$BJ$204,0,$B63)&gt;0),--(INDEX(Matrix!$C$5:$BJ$204,0,BH$3)&gt;0)))</f>
        <v/>
      </c>
      <c r="BI63" s="12" t="str">
        <f aca="false">IF(OR($A63="",BI$4=""),"",SUMPRODUCT(--(INDEX(Matrix!$C$5:$BJ$204,0,$B63)&gt;0),--(INDEX(Matrix!$C$5:$BJ$204,0,BI$3)&gt;0)))</f>
        <v/>
      </c>
      <c r="BJ63" s="12" t="str">
        <f aca="false">IF(OR($A63="",BJ$4=""),"",SUMPRODUCT(--(INDEX(Matrix!$C$5:$BJ$204,0,$B63)&gt;0),--(INDEX(Matrix!$C$5:$BJ$204,0,BJ$3)&gt;0)))</f>
        <v/>
      </c>
    </row>
    <row r="64" customFormat="false" ht="15" hidden="false" customHeight="false" outlineLevel="0" collapsed="false">
      <c r="A64" s="6" t="str">
        <f aca="false">IF(INDEX(Products!$A$2:$A$61,$B64)="","",INDEX(Products!$A$2:$A$61,$B64))</f>
        <v/>
      </c>
      <c r="B64" s="23" t="n">
        <v>60</v>
      </c>
      <c r="C64" s="12" t="str">
        <f aca="false">IF(OR($A64="",C$4=""),"",SUMPRODUCT(--(INDEX(Matrix!$C$5:$BJ$204,0,$B64)&gt;0),--(INDEX(Matrix!$C$5:$BJ$204,0,C$3)&gt;0)))</f>
        <v/>
      </c>
      <c r="D64" s="12" t="str">
        <f aca="false">IF(OR($A64="",D$4=""),"",SUMPRODUCT(--(INDEX(Matrix!$C$5:$BJ$204,0,$B64)&gt;0),--(INDEX(Matrix!$C$5:$BJ$204,0,D$3)&gt;0)))</f>
        <v/>
      </c>
      <c r="E64" s="12" t="str">
        <f aca="false">IF(OR($A64="",E$4=""),"",SUMPRODUCT(--(INDEX(Matrix!$C$5:$BJ$204,0,$B64)&gt;0),--(INDEX(Matrix!$C$5:$BJ$204,0,E$3)&gt;0)))</f>
        <v/>
      </c>
      <c r="F64" s="12" t="str">
        <f aca="false">IF(OR($A64="",F$4=""),"",SUMPRODUCT(--(INDEX(Matrix!$C$5:$BJ$204,0,$B64)&gt;0),--(INDEX(Matrix!$C$5:$BJ$204,0,F$3)&gt;0)))</f>
        <v/>
      </c>
      <c r="G64" s="12" t="str">
        <f aca="false">IF(OR($A64="",G$4=""),"",SUMPRODUCT(--(INDEX(Matrix!$C$5:$BJ$204,0,$B64)&gt;0),--(INDEX(Matrix!$C$5:$BJ$204,0,G$3)&gt;0)))</f>
        <v/>
      </c>
      <c r="H64" s="12" t="str">
        <f aca="false">IF(OR($A64="",H$4=""),"",SUMPRODUCT(--(INDEX(Matrix!$C$5:$BJ$204,0,$B64)&gt;0),--(INDEX(Matrix!$C$5:$BJ$204,0,H$3)&gt;0)))</f>
        <v/>
      </c>
      <c r="I64" s="12" t="str">
        <f aca="false">IF(OR($A64="",I$4=""),"",SUMPRODUCT(--(INDEX(Matrix!$C$5:$BJ$204,0,$B64)&gt;0),--(INDEX(Matrix!$C$5:$BJ$204,0,I$3)&gt;0)))</f>
        <v/>
      </c>
      <c r="J64" s="12" t="str">
        <f aca="false">IF(OR($A64="",J$4=""),"",SUMPRODUCT(--(INDEX(Matrix!$C$5:$BJ$204,0,$B64)&gt;0),--(INDEX(Matrix!$C$5:$BJ$204,0,J$3)&gt;0)))</f>
        <v/>
      </c>
      <c r="K64" s="12" t="str">
        <f aca="false">IF(OR($A64="",K$4=""),"",SUMPRODUCT(--(INDEX(Matrix!$C$5:$BJ$204,0,$B64)&gt;0),--(INDEX(Matrix!$C$5:$BJ$204,0,K$3)&gt;0)))</f>
        <v/>
      </c>
      <c r="L64" s="12" t="str">
        <f aca="false">IF(OR($A64="",L$4=""),"",SUMPRODUCT(--(INDEX(Matrix!$C$5:$BJ$204,0,$B64)&gt;0),--(INDEX(Matrix!$C$5:$BJ$204,0,L$3)&gt;0)))</f>
        <v/>
      </c>
      <c r="M64" s="12" t="str">
        <f aca="false">IF(OR($A64="",M$4=""),"",SUMPRODUCT(--(INDEX(Matrix!$C$5:$BJ$204,0,$B64)&gt;0),--(INDEX(Matrix!$C$5:$BJ$204,0,M$3)&gt;0)))</f>
        <v/>
      </c>
      <c r="N64" s="12" t="str">
        <f aca="false">IF(OR($A64="",N$4=""),"",SUMPRODUCT(--(INDEX(Matrix!$C$5:$BJ$204,0,$B64)&gt;0),--(INDEX(Matrix!$C$5:$BJ$204,0,N$3)&gt;0)))</f>
        <v/>
      </c>
      <c r="O64" s="12" t="str">
        <f aca="false">IF(OR($A64="",O$4=""),"",SUMPRODUCT(--(INDEX(Matrix!$C$5:$BJ$204,0,$B64)&gt;0),--(INDEX(Matrix!$C$5:$BJ$204,0,O$3)&gt;0)))</f>
        <v/>
      </c>
      <c r="P64" s="12" t="str">
        <f aca="false">IF(OR($A64="",P$4=""),"",SUMPRODUCT(--(INDEX(Matrix!$C$5:$BJ$204,0,$B64)&gt;0),--(INDEX(Matrix!$C$5:$BJ$204,0,P$3)&gt;0)))</f>
        <v/>
      </c>
      <c r="Q64" s="12" t="str">
        <f aca="false">IF(OR($A64="",Q$4=""),"",SUMPRODUCT(--(INDEX(Matrix!$C$5:$BJ$204,0,$B64)&gt;0),--(INDEX(Matrix!$C$5:$BJ$204,0,Q$3)&gt;0)))</f>
        <v/>
      </c>
      <c r="R64" s="12" t="str">
        <f aca="false">IF(OR($A64="",R$4=""),"",SUMPRODUCT(--(INDEX(Matrix!$C$5:$BJ$204,0,$B64)&gt;0),--(INDEX(Matrix!$C$5:$BJ$204,0,R$3)&gt;0)))</f>
        <v/>
      </c>
      <c r="S64" s="12" t="str">
        <f aca="false">IF(OR($A64="",S$4=""),"",SUMPRODUCT(--(INDEX(Matrix!$C$5:$BJ$204,0,$B64)&gt;0),--(INDEX(Matrix!$C$5:$BJ$204,0,S$3)&gt;0)))</f>
        <v/>
      </c>
      <c r="T64" s="12" t="str">
        <f aca="false">IF(OR($A64="",T$4=""),"",SUMPRODUCT(--(INDEX(Matrix!$C$5:$BJ$204,0,$B64)&gt;0),--(INDEX(Matrix!$C$5:$BJ$204,0,T$3)&gt;0)))</f>
        <v/>
      </c>
      <c r="U64" s="12" t="str">
        <f aca="false">IF(OR($A64="",U$4=""),"",SUMPRODUCT(--(INDEX(Matrix!$C$5:$BJ$204,0,$B64)&gt;0),--(INDEX(Matrix!$C$5:$BJ$204,0,U$3)&gt;0)))</f>
        <v/>
      </c>
      <c r="V64" s="12" t="str">
        <f aca="false">IF(OR($A64="",V$4=""),"",SUMPRODUCT(--(INDEX(Matrix!$C$5:$BJ$204,0,$B64)&gt;0),--(INDEX(Matrix!$C$5:$BJ$204,0,V$3)&gt;0)))</f>
        <v/>
      </c>
      <c r="W64" s="12" t="str">
        <f aca="false">IF(OR($A64="",W$4=""),"",SUMPRODUCT(--(INDEX(Matrix!$C$5:$BJ$204,0,$B64)&gt;0),--(INDEX(Matrix!$C$5:$BJ$204,0,W$3)&gt;0)))</f>
        <v/>
      </c>
      <c r="X64" s="12" t="str">
        <f aca="false">IF(OR($A64="",X$4=""),"",SUMPRODUCT(--(INDEX(Matrix!$C$5:$BJ$204,0,$B64)&gt;0),--(INDEX(Matrix!$C$5:$BJ$204,0,X$3)&gt;0)))</f>
        <v/>
      </c>
      <c r="Y64" s="12" t="str">
        <f aca="false">IF(OR($A64="",Y$4=""),"",SUMPRODUCT(--(INDEX(Matrix!$C$5:$BJ$204,0,$B64)&gt;0),--(INDEX(Matrix!$C$5:$BJ$204,0,Y$3)&gt;0)))</f>
        <v/>
      </c>
      <c r="Z64" s="12" t="str">
        <f aca="false">IF(OR($A64="",Z$4=""),"",SUMPRODUCT(--(INDEX(Matrix!$C$5:$BJ$204,0,$B64)&gt;0),--(INDEX(Matrix!$C$5:$BJ$204,0,Z$3)&gt;0)))</f>
        <v/>
      </c>
      <c r="AA64" s="12" t="str">
        <f aca="false">IF(OR($A64="",AA$4=""),"",SUMPRODUCT(--(INDEX(Matrix!$C$5:$BJ$204,0,$B64)&gt;0),--(INDEX(Matrix!$C$5:$BJ$204,0,AA$3)&gt;0)))</f>
        <v/>
      </c>
      <c r="AB64" s="12" t="str">
        <f aca="false">IF(OR($A64="",AB$4=""),"",SUMPRODUCT(--(INDEX(Matrix!$C$5:$BJ$204,0,$B64)&gt;0),--(INDEX(Matrix!$C$5:$BJ$204,0,AB$3)&gt;0)))</f>
        <v/>
      </c>
      <c r="AC64" s="12" t="str">
        <f aca="false">IF(OR($A64="",AC$4=""),"",SUMPRODUCT(--(INDEX(Matrix!$C$5:$BJ$204,0,$B64)&gt;0),--(INDEX(Matrix!$C$5:$BJ$204,0,AC$3)&gt;0)))</f>
        <v/>
      </c>
      <c r="AD64" s="12" t="str">
        <f aca="false">IF(OR($A64="",AD$4=""),"",SUMPRODUCT(--(INDEX(Matrix!$C$5:$BJ$204,0,$B64)&gt;0),--(INDEX(Matrix!$C$5:$BJ$204,0,AD$3)&gt;0)))</f>
        <v/>
      </c>
      <c r="AE64" s="12" t="str">
        <f aca="false">IF(OR($A64="",AE$4=""),"",SUMPRODUCT(--(INDEX(Matrix!$C$5:$BJ$204,0,$B64)&gt;0),--(INDEX(Matrix!$C$5:$BJ$204,0,AE$3)&gt;0)))</f>
        <v/>
      </c>
      <c r="AF64" s="12" t="str">
        <f aca="false">IF(OR($A64="",AF$4=""),"",SUMPRODUCT(--(INDEX(Matrix!$C$5:$BJ$204,0,$B64)&gt;0),--(INDEX(Matrix!$C$5:$BJ$204,0,AF$3)&gt;0)))</f>
        <v/>
      </c>
      <c r="AG64" s="12" t="str">
        <f aca="false">IF(OR($A64="",AG$4=""),"",SUMPRODUCT(--(INDEX(Matrix!$C$5:$BJ$204,0,$B64)&gt;0),--(INDEX(Matrix!$C$5:$BJ$204,0,AG$3)&gt;0)))</f>
        <v/>
      </c>
      <c r="AH64" s="12" t="str">
        <f aca="false">IF(OR($A64="",AH$4=""),"",SUMPRODUCT(--(INDEX(Matrix!$C$5:$BJ$204,0,$B64)&gt;0),--(INDEX(Matrix!$C$5:$BJ$204,0,AH$3)&gt;0)))</f>
        <v/>
      </c>
      <c r="AI64" s="12" t="str">
        <f aca="false">IF(OR($A64="",AI$4=""),"",SUMPRODUCT(--(INDEX(Matrix!$C$5:$BJ$204,0,$B64)&gt;0),--(INDEX(Matrix!$C$5:$BJ$204,0,AI$3)&gt;0)))</f>
        <v/>
      </c>
      <c r="AJ64" s="12" t="str">
        <f aca="false">IF(OR($A64="",AJ$4=""),"",SUMPRODUCT(--(INDEX(Matrix!$C$5:$BJ$204,0,$B64)&gt;0),--(INDEX(Matrix!$C$5:$BJ$204,0,AJ$3)&gt;0)))</f>
        <v/>
      </c>
      <c r="AK64" s="12" t="str">
        <f aca="false">IF(OR($A64="",AK$4=""),"",SUMPRODUCT(--(INDEX(Matrix!$C$5:$BJ$204,0,$B64)&gt;0),--(INDEX(Matrix!$C$5:$BJ$204,0,AK$3)&gt;0)))</f>
        <v/>
      </c>
      <c r="AL64" s="12" t="str">
        <f aca="false">IF(OR($A64="",AL$4=""),"",SUMPRODUCT(--(INDEX(Matrix!$C$5:$BJ$204,0,$B64)&gt;0),--(INDEX(Matrix!$C$5:$BJ$204,0,AL$3)&gt;0)))</f>
        <v/>
      </c>
      <c r="AM64" s="12" t="str">
        <f aca="false">IF(OR($A64="",AM$4=""),"",SUMPRODUCT(--(INDEX(Matrix!$C$5:$BJ$204,0,$B64)&gt;0),--(INDEX(Matrix!$C$5:$BJ$204,0,AM$3)&gt;0)))</f>
        <v/>
      </c>
      <c r="AN64" s="12" t="str">
        <f aca="false">IF(OR($A64="",AN$4=""),"",SUMPRODUCT(--(INDEX(Matrix!$C$5:$BJ$204,0,$B64)&gt;0),--(INDEX(Matrix!$C$5:$BJ$204,0,AN$3)&gt;0)))</f>
        <v/>
      </c>
      <c r="AO64" s="12" t="str">
        <f aca="false">IF(OR($A64="",AO$4=""),"",SUMPRODUCT(--(INDEX(Matrix!$C$5:$BJ$204,0,$B64)&gt;0),--(INDEX(Matrix!$C$5:$BJ$204,0,AO$3)&gt;0)))</f>
        <v/>
      </c>
      <c r="AP64" s="12" t="str">
        <f aca="false">IF(OR($A64="",AP$4=""),"",SUMPRODUCT(--(INDEX(Matrix!$C$5:$BJ$204,0,$B64)&gt;0),--(INDEX(Matrix!$C$5:$BJ$204,0,AP$3)&gt;0)))</f>
        <v/>
      </c>
      <c r="AQ64" s="12" t="str">
        <f aca="false">IF(OR($A64="",AQ$4=""),"",SUMPRODUCT(--(INDEX(Matrix!$C$5:$BJ$204,0,$B64)&gt;0),--(INDEX(Matrix!$C$5:$BJ$204,0,AQ$3)&gt;0)))</f>
        <v/>
      </c>
      <c r="AR64" s="12" t="str">
        <f aca="false">IF(OR($A64="",AR$4=""),"",SUMPRODUCT(--(INDEX(Matrix!$C$5:$BJ$204,0,$B64)&gt;0),--(INDEX(Matrix!$C$5:$BJ$204,0,AR$3)&gt;0)))</f>
        <v/>
      </c>
      <c r="AS64" s="12" t="str">
        <f aca="false">IF(OR($A64="",AS$4=""),"",SUMPRODUCT(--(INDEX(Matrix!$C$5:$BJ$204,0,$B64)&gt;0),--(INDEX(Matrix!$C$5:$BJ$204,0,AS$3)&gt;0)))</f>
        <v/>
      </c>
      <c r="AT64" s="12" t="str">
        <f aca="false">IF(OR($A64="",AT$4=""),"",SUMPRODUCT(--(INDEX(Matrix!$C$5:$BJ$204,0,$B64)&gt;0),--(INDEX(Matrix!$C$5:$BJ$204,0,AT$3)&gt;0)))</f>
        <v/>
      </c>
      <c r="AU64" s="12" t="str">
        <f aca="false">IF(OR($A64="",AU$4=""),"",SUMPRODUCT(--(INDEX(Matrix!$C$5:$BJ$204,0,$B64)&gt;0),--(INDEX(Matrix!$C$5:$BJ$204,0,AU$3)&gt;0)))</f>
        <v/>
      </c>
      <c r="AV64" s="12" t="str">
        <f aca="false">IF(OR($A64="",AV$4=""),"",SUMPRODUCT(--(INDEX(Matrix!$C$5:$BJ$204,0,$B64)&gt;0),--(INDEX(Matrix!$C$5:$BJ$204,0,AV$3)&gt;0)))</f>
        <v/>
      </c>
      <c r="AW64" s="12" t="str">
        <f aca="false">IF(OR($A64="",AW$4=""),"",SUMPRODUCT(--(INDEX(Matrix!$C$5:$BJ$204,0,$B64)&gt;0),--(INDEX(Matrix!$C$5:$BJ$204,0,AW$3)&gt;0)))</f>
        <v/>
      </c>
      <c r="AX64" s="12" t="str">
        <f aca="false">IF(OR($A64="",AX$4=""),"",SUMPRODUCT(--(INDEX(Matrix!$C$5:$BJ$204,0,$B64)&gt;0),--(INDEX(Matrix!$C$5:$BJ$204,0,AX$3)&gt;0)))</f>
        <v/>
      </c>
      <c r="AY64" s="12" t="str">
        <f aca="false">IF(OR($A64="",AY$4=""),"",SUMPRODUCT(--(INDEX(Matrix!$C$5:$BJ$204,0,$B64)&gt;0),--(INDEX(Matrix!$C$5:$BJ$204,0,AY$3)&gt;0)))</f>
        <v/>
      </c>
      <c r="AZ64" s="12" t="str">
        <f aca="false">IF(OR($A64="",AZ$4=""),"",SUMPRODUCT(--(INDEX(Matrix!$C$5:$BJ$204,0,$B64)&gt;0),--(INDEX(Matrix!$C$5:$BJ$204,0,AZ$3)&gt;0)))</f>
        <v/>
      </c>
      <c r="BA64" s="12" t="str">
        <f aca="false">IF(OR($A64="",BA$4=""),"",SUMPRODUCT(--(INDEX(Matrix!$C$5:$BJ$204,0,$B64)&gt;0),--(INDEX(Matrix!$C$5:$BJ$204,0,BA$3)&gt;0)))</f>
        <v/>
      </c>
      <c r="BB64" s="12" t="str">
        <f aca="false">IF(OR($A64="",BB$4=""),"",SUMPRODUCT(--(INDEX(Matrix!$C$5:$BJ$204,0,$B64)&gt;0),--(INDEX(Matrix!$C$5:$BJ$204,0,BB$3)&gt;0)))</f>
        <v/>
      </c>
      <c r="BC64" s="12" t="str">
        <f aca="false">IF(OR($A64="",BC$4=""),"",SUMPRODUCT(--(INDEX(Matrix!$C$5:$BJ$204,0,$B64)&gt;0),--(INDEX(Matrix!$C$5:$BJ$204,0,BC$3)&gt;0)))</f>
        <v/>
      </c>
      <c r="BD64" s="12" t="str">
        <f aca="false">IF(OR($A64="",BD$4=""),"",SUMPRODUCT(--(INDEX(Matrix!$C$5:$BJ$204,0,$B64)&gt;0),--(INDEX(Matrix!$C$5:$BJ$204,0,BD$3)&gt;0)))</f>
        <v/>
      </c>
      <c r="BE64" s="12" t="str">
        <f aca="false">IF(OR($A64="",BE$4=""),"",SUMPRODUCT(--(INDEX(Matrix!$C$5:$BJ$204,0,$B64)&gt;0),--(INDEX(Matrix!$C$5:$BJ$204,0,BE$3)&gt;0)))</f>
        <v/>
      </c>
      <c r="BF64" s="12" t="str">
        <f aca="false">IF(OR($A64="",BF$4=""),"",SUMPRODUCT(--(INDEX(Matrix!$C$5:$BJ$204,0,$B64)&gt;0),--(INDEX(Matrix!$C$5:$BJ$204,0,BF$3)&gt;0)))</f>
        <v/>
      </c>
      <c r="BG64" s="12" t="str">
        <f aca="false">IF(OR($A64="",BG$4=""),"",SUMPRODUCT(--(INDEX(Matrix!$C$5:$BJ$204,0,$B64)&gt;0),--(INDEX(Matrix!$C$5:$BJ$204,0,BG$3)&gt;0)))</f>
        <v/>
      </c>
      <c r="BH64" s="12" t="str">
        <f aca="false">IF(OR($A64="",BH$4=""),"",SUMPRODUCT(--(INDEX(Matrix!$C$5:$BJ$204,0,$B64)&gt;0),--(INDEX(Matrix!$C$5:$BJ$204,0,BH$3)&gt;0)))</f>
        <v/>
      </c>
      <c r="BI64" s="12" t="str">
        <f aca="false">IF(OR($A64="",BI$4=""),"",SUMPRODUCT(--(INDEX(Matrix!$C$5:$BJ$204,0,$B64)&gt;0),--(INDEX(Matrix!$C$5:$BJ$204,0,BI$3)&gt;0)))</f>
        <v/>
      </c>
      <c r="BJ64" s="12" t="str">
        <f aca="false">IF(OR($A64="",BJ$4=""),"",SUMPRODUCT(--(INDEX(Matrix!$C$5:$BJ$204,0,$B64)&gt;0),--(INDEX(Matrix!$C$5:$BJ$204,0,BJ$3)&gt;0)))</f>
        <v/>
      </c>
    </row>
  </sheetData>
  <conditionalFormatting sqref="C5:BJ64">
    <cfRule type="colorScale" priority="2">
      <colorScale>
        <cfvo type="num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3" style="0" width="28"/>
  </cols>
  <sheetData>
    <row r="1" customFormat="false" ht="15" hidden="false" customHeight="false" outlineLevel="0" collapsed="false">
      <c r="A1" s="10" t="s">
        <v>142</v>
      </c>
      <c r="C1" s="10" t="s">
        <v>143</v>
      </c>
      <c r="E1" s="13" t="s">
        <v>144</v>
      </c>
    </row>
    <row r="2" customFormat="false" ht="15" hidden="false" customHeight="false" outlineLevel="0" collapsed="false">
      <c r="A2" s="15" t="s">
        <v>58</v>
      </c>
      <c r="C2" s="15" t="s">
        <v>128</v>
      </c>
    </row>
    <row r="3" customFormat="false" ht="15" hidden="false" customHeight="false" outlineLevel="0" collapsed="false">
      <c r="A3" s="15" t="s">
        <v>102</v>
      </c>
      <c r="C3" s="15" t="s">
        <v>131</v>
      </c>
    </row>
    <row r="4" customFormat="false" ht="15" hidden="false" customHeight="false" outlineLevel="0" collapsed="false">
      <c r="A4" s="15" t="s">
        <v>65</v>
      </c>
      <c r="C4" s="15" t="s">
        <v>129</v>
      </c>
    </row>
    <row r="5" customFormat="false" ht="15" hidden="false" customHeight="false" outlineLevel="0" collapsed="false">
      <c r="A5" s="15" t="s">
        <v>76</v>
      </c>
      <c r="C5" s="15" t="s">
        <v>130</v>
      </c>
    </row>
    <row r="6" customFormat="false" ht="15" hidden="false" customHeight="false" outlineLevel="0" collapsed="false">
      <c r="A6" s="15" t="s">
        <v>86</v>
      </c>
      <c r="C6" s="15" t="s">
        <v>132</v>
      </c>
    </row>
    <row r="7" customFormat="false" ht="15" hidden="false" customHeight="false" outlineLevel="0" collapsed="false">
      <c r="A7" s="15" t="s">
        <v>59</v>
      </c>
      <c r="C7" s="15" t="s">
        <v>133</v>
      </c>
    </row>
    <row r="8" customFormat="false" ht="15" hidden="false" customHeight="false" outlineLevel="0" collapsed="false">
      <c r="A8" s="15" t="s">
        <v>63</v>
      </c>
      <c r="C8" s="15" t="s">
        <v>134</v>
      </c>
    </row>
    <row r="9" customFormat="false" ht="15" hidden="false" customHeight="false" outlineLevel="0" collapsed="false">
      <c r="A9" s="15" t="s">
        <v>72</v>
      </c>
      <c r="C9" s="15" t="s">
        <v>135</v>
      </c>
    </row>
    <row r="10" customFormat="false" ht="15" hidden="false" customHeight="false" outlineLevel="0" collapsed="false">
      <c r="A10" s="15" t="s">
        <v>84</v>
      </c>
    </row>
    <row r="11" customFormat="false" ht="15" hidden="false" customHeight="false" outlineLevel="0" collapsed="false">
      <c r="A11" s="15" t="s">
        <v>74</v>
      </c>
    </row>
    <row r="12" customFormat="false" ht="15" hidden="false" customHeight="false" outlineLevel="0" collapsed="false">
      <c r="A12" s="15" t="s">
        <v>82</v>
      </c>
    </row>
    <row r="13" customFormat="false" ht="15" hidden="false" customHeight="false" outlineLevel="0" collapsed="false">
      <c r="A13" s="15" t="s">
        <v>145</v>
      </c>
    </row>
    <row r="14" customFormat="false" ht="15" hidden="false" customHeight="false" outlineLevel="0" collapsed="false">
      <c r="A14" s="15" t="s">
        <v>79</v>
      </c>
    </row>
    <row r="15" customFormat="false" ht="15" hidden="false" customHeight="false" outlineLevel="0" collapsed="false">
      <c r="A15" s="15" t="s">
        <v>67</v>
      </c>
    </row>
    <row r="16" customFormat="false" ht="15" hidden="false" customHeight="false" outlineLevel="0" collapsed="false">
      <c r="A16" s="15" t="s">
        <v>61</v>
      </c>
    </row>
    <row r="17" customFormat="false" ht="15" hidden="false" customHeight="false" outlineLevel="0" collapsed="false">
      <c r="A17" s="15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2026-10-05T07:55:15Z</dcterms:created>
  <dc:creator>openpyxl</dc:creator>
  <dc:description/>
  <dc:language>en-US</dc:language>
  <cp:lastModifiedBy/>
  <dcterms:modified xsi:type="dcterms:W3CDTF">2026-10-05T07:55:16Z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